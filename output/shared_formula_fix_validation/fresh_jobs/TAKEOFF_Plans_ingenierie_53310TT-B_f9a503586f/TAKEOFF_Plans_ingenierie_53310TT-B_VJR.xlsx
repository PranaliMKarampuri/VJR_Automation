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VAC\VENTILATION\"/>
    </mc:Choice>
  </mc:AlternateContent>
  <bookViews>
    <workbookView xWindow="0" yWindow="0" windowWidth="23040" windowHeight="8616" tabRatio="736" activeTab="1"/>
  </bookViews>
  <sheets>
    <sheet name="ESTIMÉ" sheetId="1" r:id="rId1"/>
    <sheet name="TAKE OFF" sheetId="3" r:id="rId2"/>
    <sheet name="SPIRALE" sheetId="13" r:id="rId3"/>
    <sheet name="ROND ET FLEX" sheetId="10" r:id="rId4"/>
    <sheet name="COMPARATIF FLEX" sheetId="15" r:id="rId5"/>
    <sheet name="DONNÉES" sheetId="2" r:id="rId6"/>
    <sheet name="SOMM. T.OFF" sheetId="4" r:id="rId7"/>
    <sheet name="INFOSPROJET" sheetId="12" r:id="rId8"/>
    <sheet name="INFOSDESSIN" sheetId="16" r:id="rId9"/>
    <sheet name="DEMANDE RÉFRI" sheetId="21" r:id="rId10"/>
    <sheet name="DEMANDE RÉFRI (2)" sheetId="20" r:id="rId11"/>
    <sheet name="Automatisation" sheetId="22" r:id="rId12"/>
    <sheet name="Registre modifications" sheetId="14" state="hidden" r:id="rId13"/>
  </sheets>
  <definedNames>
    <definedName name="ESTIMATEUR" localSheetId="8">'SOMM. T.OFF'!$A$69:$A$72</definedName>
    <definedName name="ESTIMATEUR">'SOMM. T.OFF'!$A$69:$A$72</definedName>
    <definedName name="_xlnm.Print_Area" localSheetId="4">'COMPARATIF FLEX'!$A$2:$I$62</definedName>
    <definedName name="_xlnm.Print_Area" localSheetId="9">'DEMANDE RÉFRI'!$A$1:$H$59</definedName>
    <definedName name="_xlnm.Print_Area" localSheetId="10">'DEMANDE RÉFRI (2)'!$A$1:$G$56</definedName>
    <definedName name="_xlnm.Print_Area" localSheetId="0">ESTIMÉ!$A$1:$V$82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2" l="1"/>
  <c r="C21" i="22"/>
  <c r="C22" i="22"/>
  <c r="C23" i="22"/>
  <c r="C24" i="22"/>
  <c r="E14" i="22" a="1"/>
  <c r="E15" i="22" a="1"/>
  <c r="E16" i="22" a="1"/>
  <c r="E7" i="22" a="1"/>
  <c r="E3" i="22" a="1"/>
  <c r="E11" i="22" a="1"/>
  <c r="E4" i="22" a="1"/>
  <c r="E19" i="22" a="1"/>
  <c r="E17" i="22" a="1"/>
  <c r="E8" i="22" a="1"/>
  <c r="E18" i="22" a="1"/>
  <c r="E9" i="22" a="1"/>
  <c r="E7" i="22" l="1"/>
  <c r="C7" i="22" s="1"/>
  <c r="E11" i="22"/>
  <c r="C11" i="22" s="1"/>
  <c r="E19" i="22"/>
  <c r="C19" i="22" s="1"/>
  <c r="E9" i="22"/>
  <c r="C9" i="22" s="1"/>
  <c r="E18" i="22"/>
  <c r="C18" i="22" s="1"/>
  <c r="E8" i="22"/>
  <c r="C8" i="22" s="1"/>
  <c r="E17" i="22"/>
  <c r="C17" i="22" s="1"/>
  <c r="E16" i="22"/>
  <c r="C16" i="22" s="1"/>
  <c r="E15" i="22"/>
  <c r="C15" i="22" s="1"/>
  <c r="E14" i="22"/>
  <c r="C14" i="22" s="1"/>
  <c r="E4" i="22"/>
  <c r="C4" i="22" s="1"/>
  <c r="E3" i="22"/>
  <c r="C3" i="22" s="1"/>
  <c r="H53" i="21"/>
  <c r="B10" i="21"/>
  <c r="B9" i="21"/>
  <c r="B8" i="21"/>
  <c r="B7" i="21"/>
  <c r="B6" i="21"/>
  <c r="B5" i="21"/>
  <c r="E5" i="21" s="1"/>
  <c r="B10" i="20"/>
  <c r="B9" i="20"/>
  <c r="B8" i="20"/>
  <c r="B7" i="20"/>
  <c r="B6" i="20"/>
  <c r="B5" i="20"/>
  <c r="E5" i="20" s="1"/>
  <c r="F44" i="1"/>
  <c r="F45" i="1"/>
  <c r="F46" i="1"/>
  <c r="F49" i="1"/>
  <c r="F38" i="1"/>
  <c r="F37" i="1"/>
  <c r="F36" i="1"/>
  <c r="AA47" i="1"/>
  <c r="H47" i="1"/>
  <c r="H4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2" i="1"/>
  <c r="E42" i="1"/>
  <c r="E45" i="1"/>
  <c r="E49" i="1"/>
  <c r="E59" i="1"/>
  <c r="E61" i="1"/>
  <c r="E62" i="1"/>
  <c r="E63" i="1"/>
  <c r="E66" i="1"/>
  <c r="E67" i="1"/>
  <c r="E68" i="1"/>
  <c r="E69" i="1"/>
  <c r="E70" i="1"/>
  <c r="E71" i="1"/>
  <c r="E72" i="1"/>
  <c r="J38" i="1" l="1"/>
  <c r="AC983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20" i="3"/>
  <c r="H50" i="1"/>
  <c r="H51" i="1"/>
  <c r="H41" i="1"/>
  <c r="O41" i="1"/>
  <c r="O42" i="1"/>
  <c r="O43" i="1"/>
  <c r="O44" i="1"/>
  <c r="O45" i="1"/>
  <c r="V45" i="1"/>
  <c r="N46" i="1"/>
  <c r="V46" i="1"/>
  <c r="V47" i="1"/>
  <c r="V48" i="1"/>
  <c r="O49" i="1"/>
  <c r="O50" i="1"/>
  <c r="O52" i="1"/>
  <c r="O56" i="1"/>
  <c r="V62" i="1"/>
  <c r="I50" i="1"/>
  <c r="I51" i="1"/>
  <c r="J50" i="1"/>
  <c r="K50" i="1"/>
  <c r="J51" i="1"/>
  <c r="K51" i="1"/>
  <c r="J52" i="1"/>
  <c r="K52" i="1"/>
  <c r="J40" i="1"/>
  <c r="K40" i="1"/>
  <c r="E62" i="4" l="1"/>
  <c r="O46" i="1"/>
  <c r="H49" i="1" l="1"/>
  <c r="I48" i="1"/>
  <c r="H53" i="1"/>
  <c r="H54" i="1"/>
  <c r="E47" i="1"/>
  <c r="J42" i="1"/>
  <c r="K42" i="1" s="1"/>
  <c r="K24" i="1" l="1"/>
  <c r="K25" i="1"/>
  <c r="K26" i="1"/>
  <c r="K27" i="1"/>
  <c r="K28" i="1"/>
  <c r="K29" i="1"/>
  <c r="J24" i="1"/>
  <c r="J25" i="1"/>
  <c r="J26" i="1"/>
  <c r="J27" i="1"/>
  <c r="J28" i="1"/>
  <c r="J29" i="1"/>
  <c r="I24" i="1"/>
  <c r="I25" i="1"/>
  <c r="I26" i="1"/>
  <c r="I27" i="1"/>
  <c r="I28" i="1"/>
  <c r="I29" i="1"/>
  <c r="A21" i="3"/>
  <c r="B21" i="3"/>
  <c r="B22" i="3" s="1"/>
  <c r="Y50" i="1"/>
  <c r="A22" i="3" l="1"/>
  <c r="F21" i="3"/>
  <c r="E21" i="3"/>
  <c r="F30" i="16"/>
  <c r="F31" i="16"/>
  <c r="F32" i="16"/>
  <c r="F33" i="16"/>
  <c r="F34" i="16"/>
  <c r="F29" i="16"/>
  <c r="F17" i="16"/>
  <c r="F18" i="16"/>
  <c r="F19" i="16"/>
  <c r="F20" i="16"/>
  <c r="F21" i="16"/>
  <c r="E34" i="16"/>
  <c r="D34" i="16"/>
  <c r="A34" i="16"/>
  <c r="E33" i="16"/>
  <c r="D33" i="16"/>
  <c r="A33" i="16"/>
  <c r="E32" i="16"/>
  <c r="D32" i="16"/>
  <c r="A32" i="16"/>
  <c r="E31" i="16"/>
  <c r="D31" i="16"/>
  <c r="A31" i="16"/>
  <c r="E30" i="16"/>
  <c r="D30" i="16"/>
  <c r="A30" i="16"/>
  <c r="E29" i="16"/>
  <c r="D29" i="16"/>
  <c r="A29" i="16"/>
  <c r="G28" i="16"/>
  <c r="E28" i="16"/>
  <c r="D28" i="16"/>
  <c r="A28" i="16"/>
  <c r="G27" i="16"/>
  <c r="E27" i="16"/>
  <c r="D27" i="16"/>
  <c r="A27" i="16"/>
  <c r="G26" i="16"/>
  <c r="E26" i="16"/>
  <c r="D26" i="16"/>
  <c r="A26" i="16"/>
  <c r="G25" i="16"/>
  <c r="E25" i="16"/>
  <c r="D25" i="16"/>
  <c r="A25" i="16"/>
  <c r="F24" i="16"/>
  <c r="E24" i="16"/>
  <c r="D24" i="16"/>
  <c r="A24" i="16"/>
  <c r="F23" i="16"/>
  <c r="E23" i="16"/>
  <c r="D23" i="16"/>
  <c r="A23" i="16"/>
  <c r="F22" i="16"/>
  <c r="E22" i="16"/>
  <c r="D22" i="16"/>
  <c r="A22" i="16"/>
  <c r="E21" i="16"/>
  <c r="D21" i="16"/>
  <c r="A21" i="16"/>
  <c r="E20" i="16"/>
  <c r="D20" i="16"/>
  <c r="A20" i="16"/>
  <c r="E19" i="16"/>
  <c r="D19" i="16"/>
  <c r="A19" i="16"/>
  <c r="E18" i="16"/>
  <c r="D18" i="16"/>
  <c r="A18" i="16"/>
  <c r="E17" i="16"/>
  <c r="D17" i="16"/>
  <c r="A17" i="16"/>
  <c r="F16" i="16"/>
  <c r="E16" i="16"/>
  <c r="D16" i="16"/>
  <c r="A16" i="16"/>
  <c r="C8" i="16"/>
  <c r="G6" i="16"/>
  <c r="B6" i="16"/>
  <c r="B4" i="16"/>
  <c r="N74" i="12"/>
  <c r="C74" i="12"/>
  <c r="M72" i="12"/>
  <c r="N4" i="12"/>
  <c r="M2" i="12"/>
  <c r="J59" i="1"/>
  <c r="AA64" i="1"/>
  <c r="K64" i="1"/>
  <c r="K62" i="1"/>
  <c r="I64" i="1"/>
  <c r="AA63" i="1"/>
  <c r="AA65" i="1"/>
  <c r="E74" i="1"/>
  <c r="I63" i="1"/>
  <c r="I65" i="1"/>
  <c r="J65" i="1"/>
  <c r="K65" i="1"/>
  <c r="AA69" i="1"/>
  <c r="AA68" i="1"/>
  <c r="AA67" i="1"/>
  <c r="AA66" i="1"/>
  <c r="AA62" i="1"/>
  <c r="AA61" i="1"/>
  <c r="AA60" i="1"/>
  <c r="L2" i="10"/>
  <c r="H2" i="10"/>
  <c r="J63" i="1" l="1"/>
  <c r="K63" i="1"/>
  <c r="J64" i="1"/>
  <c r="K59" i="1"/>
  <c r="J60" i="1"/>
  <c r="K60" i="1"/>
  <c r="J62" i="1"/>
  <c r="AA70" i="1"/>
  <c r="H16" i="10"/>
  <c r="Z77" i="1"/>
  <c r="L5" i="10"/>
  <c r="J34" i="10"/>
  <c r="F34" i="10"/>
  <c r="B81" i="2"/>
  <c r="L28" i="10" l="1"/>
  <c r="L27" i="10"/>
  <c r="L9" i="10"/>
  <c r="L23" i="10"/>
  <c r="L11" i="10"/>
  <c r="L4" i="10"/>
  <c r="L22" i="10"/>
  <c r="L10" i="10"/>
  <c r="L33" i="10"/>
  <c r="L21" i="10"/>
  <c r="L32" i="10"/>
  <c r="L20" i="10"/>
  <c r="L8" i="10"/>
  <c r="L31" i="10"/>
  <c r="L19" i="10"/>
  <c r="L7" i="10"/>
  <c r="L30" i="10"/>
  <c r="L18" i="10"/>
  <c r="L6" i="10"/>
  <c r="L16" i="10"/>
  <c r="L15" i="10"/>
  <c r="L26" i="10"/>
  <c r="L14" i="10"/>
  <c r="L25" i="10"/>
  <c r="L13" i="10"/>
  <c r="L24" i="10"/>
  <c r="L12" i="10"/>
  <c r="L29" i="10"/>
  <c r="L17" i="10"/>
  <c r="A10" i="10"/>
  <c r="H27" i="10"/>
  <c r="H15" i="10"/>
  <c r="H26" i="10"/>
  <c r="H14" i="10"/>
  <c r="H25" i="10"/>
  <c r="H13" i="10"/>
  <c r="H24" i="10"/>
  <c r="H12" i="10"/>
  <c r="H23" i="10"/>
  <c r="H11" i="10"/>
  <c r="H4" i="10"/>
  <c r="H22" i="10"/>
  <c r="H10" i="10"/>
  <c r="H33" i="10"/>
  <c r="H21" i="10"/>
  <c r="H9" i="10"/>
  <c r="H32" i="10"/>
  <c r="H20" i="10"/>
  <c r="H8" i="10"/>
  <c r="H31" i="10"/>
  <c r="H19" i="10"/>
  <c r="H7" i="10"/>
  <c r="H30" i="10"/>
  <c r="H18" i="10"/>
  <c r="H6" i="10"/>
  <c r="H29" i="10"/>
  <c r="H17" i="10"/>
  <c r="H5" i="10"/>
  <c r="H28" i="10"/>
  <c r="J71" i="1"/>
  <c r="J72" i="1"/>
  <c r="K70" i="1"/>
  <c r="J69" i="1"/>
  <c r="J67" i="1"/>
  <c r="K66" i="1"/>
  <c r="K61" i="1"/>
  <c r="K68" i="1"/>
  <c r="K73" i="1"/>
  <c r="J68" i="1"/>
  <c r="J73" i="1"/>
  <c r="K10" i="1"/>
  <c r="E970" i="3"/>
  <c r="F970" i="3"/>
  <c r="AA36" i="1"/>
  <c r="AA35" i="1"/>
  <c r="AA34" i="1"/>
  <c r="AA33" i="1"/>
  <c r="AA32" i="1"/>
  <c r="AA31" i="1"/>
  <c r="AA30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L34" i="10" l="1"/>
  <c r="H34" i="10"/>
  <c r="K72" i="1"/>
  <c r="K71" i="1"/>
  <c r="K69" i="1"/>
  <c r="J70" i="1"/>
  <c r="K67" i="1"/>
  <c r="J66" i="1"/>
  <c r="J61" i="1"/>
  <c r="AA37" i="1"/>
  <c r="J74" i="1" s="1"/>
  <c r="K74" i="1" s="1"/>
  <c r="I35" i="2"/>
  <c r="I34" i="2"/>
  <c r="I24" i="2"/>
  <c r="I22" i="2"/>
  <c r="I15" i="2"/>
  <c r="I14" i="2"/>
  <c r="B23" i="3"/>
  <c r="B24" i="3" s="1"/>
  <c r="B25" i="3" s="1"/>
  <c r="B26" i="3" s="1"/>
  <c r="I12" i="2"/>
  <c r="I13" i="2"/>
  <c r="N4" i="13"/>
  <c r="N3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AK45" i="13" s="1"/>
  <c r="L11" i="13"/>
  <c r="O20" i="13"/>
  <c r="O16" i="13"/>
  <c r="O12" i="13"/>
  <c r="O13" i="13"/>
  <c r="O14" i="13"/>
  <c r="O15" i="13"/>
  <c r="O17" i="13"/>
  <c r="O18" i="13"/>
  <c r="O19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AN42" i="13" s="1"/>
  <c r="O43" i="13"/>
  <c r="AN43" i="13" s="1"/>
  <c r="O44" i="13"/>
  <c r="AN44" i="13" s="1"/>
  <c r="O45" i="13"/>
  <c r="AN45" i="13" s="1"/>
  <c r="O11" i="13"/>
  <c r="Y7" i="10"/>
  <c r="Y5" i="10"/>
  <c r="Y4" i="10"/>
  <c r="Y3" i="10"/>
  <c r="U4" i="10"/>
  <c r="U3" i="10"/>
  <c r="Q4" i="10"/>
  <c r="Q5" i="10"/>
  <c r="Q3" i="10"/>
  <c r="AB44" i="13"/>
  <c r="AB45" i="13"/>
  <c r="AC44" i="13"/>
  <c r="AD44" i="13"/>
  <c r="AE44" i="13"/>
  <c r="AF44" i="13"/>
  <c r="AG44" i="13"/>
  <c r="AH44" i="13"/>
  <c r="AC45" i="13"/>
  <c r="AD45" i="13"/>
  <c r="AE45" i="13"/>
  <c r="AF45" i="13"/>
  <c r="AG45" i="13"/>
  <c r="AH45" i="13"/>
  <c r="AN40" i="13"/>
  <c r="AO40" i="13"/>
  <c r="AN41" i="13"/>
  <c r="AO41" i="13"/>
  <c r="AO42" i="13"/>
  <c r="AO43" i="13"/>
  <c r="AO44" i="13"/>
  <c r="AO45" i="13"/>
  <c r="AC39" i="13"/>
  <c r="AD39" i="13"/>
  <c r="AE39" i="13"/>
  <c r="AF39" i="13"/>
  <c r="AG39" i="13"/>
  <c r="AH39" i="13"/>
  <c r="AI39" i="13"/>
  <c r="AJ39" i="13"/>
  <c r="AK39" i="13"/>
  <c r="AC40" i="13"/>
  <c r="AD40" i="13"/>
  <c r="AE40" i="13"/>
  <c r="AF40" i="13"/>
  <c r="AG40" i="13"/>
  <c r="AH40" i="13"/>
  <c r="AI40" i="13"/>
  <c r="AJ40" i="13"/>
  <c r="AK40" i="13"/>
  <c r="AC41" i="13"/>
  <c r="AD41" i="13"/>
  <c r="AE41" i="13"/>
  <c r="AF41" i="13"/>
  <c r="AG41" i="13"/>
  <c r="AH41" i="13"/>
  <c r="AI41" i="13"/>
  <c r="AJ41" i="13"/>
  <c r="AK41" i="13"/>
  <c r="AC42" i="13"/>
  <c r="AD42" i="13"/>
  <c r="AE42" i="13"/>
  <c r="AF42" i="13"/>
  <c r="AG42" i="13"/>
  <c r="AH42" i="13"/>
  <c r="AI42" i="13"/>
  <c r="AJ42" i="13"/>
  <c r="AK42" i="13"/>
  <c r="AC43" i="13"/>
  <c r="AD43" i="13"/>
  <c r="AE43" i="13"/>
  <c r="AF43" i="13"/>
  <c r="AG43" i="13"/>
  <c r="AH43" i="13"/>
  <c r="AI43" i="13"/>
  <c r="AJ43" i="13"/>
  <c r="AK43" i="13"/>
  <c r="AI44" i="13"/>
  <c r="AJ44" i="13"/>
  <c r="AK44" i="13"/>
  <c r="AI45" i="13"/>
  <c r="AJ45" i="13"/>
  <c r="AI46" i="13"/>
  <c r="AI47" i="13"/>
  <c r="AI48" i="13"/>
  <c r="AB40" i="13"/>
  <c r="AB41" i="13"/>
  <c r="AB42" i="13"/>
  <c r="AB43" i="13"/>
  <c r="E8" i="13"/>
  <c r="AA40" i="13"/>
  <c r="AA41" i="13"/>
  <c r="AA42" i="13"/>
  <c r="AA43" i="13"/>
  <c r="AA44" i="13"/>
  <c r="AA45" i="13"/>
  <c r="AA46" i="13"/>
  <c r="AA47" i="13"/>
  <c r="AA48" i="13"/>
  <c r="B10" i="10" l="1"/>
  <c r="H45" i="1" s="1"/>
  <c r="D21" i="3"/>
  <c r="K21" i="3" s="1"/>
  <c r="Y6" i="10"/>
  <c r="D22" i="3" l="1"/>
  <c r="E22" i="3"/>
  <c r="F22" i="3"/>
  <c r="A23" i="3"/>
  <c r="E23" i="3" s="1"/>
  <c r="J75" i="12"/>
  <c r="G75" i="12"/>
  <c r="D75" i="12"/>
  <c r="B72" i="12"/>
  <c r="F23" i="3" l="1"/>
  <c r="D23" i="3"/>
  <c r="A24" i="3"/>
  <c r="E24" i="3" s="1"/>
  <c r="D24" i="3" l="1"/>
  <c r="A25" i="3"/>
  <c r="E25" i="3" s="1"/>
  <c r="F24" i="3"/>
  <c r="J10" i="1"/>
  <c r="A26" i="3" l="1"/>
  <c r="D26" i="3" s="1"/>
  <c r="D25" i="3"/>
  <c r="F25" i="3"/>
  <c r="E3" i="13"/>
  <c r="F26" i="3" l="1"/>
  <c r="E26" i="3"/>
  <c r="E18" i="2"/>
  <c r="E16" i="2"/>
  <c r="D21" i="2"/>
  <c r="D18" i="2"/>
  <c r="D19" i="2"/>
  <c r="D17" i="2"/>
  <c r="D16" i="2"/>
  <c r="C21" i="2"/>
  <c r="C20" i="2"/>
  <c r="C19" i="2"/>
  <c r="C18" i="2"/>
  <c r="C17" i="2"/>
  <c r="Y51" i="2" l="1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30" i="1"/>
  <c r="J31" i="1"/>
  <c r="J32" i="1"/>
  <c r="J33" i="1"/>
  <c r="J34" i="1"/>
  <c r="J35" i="1"/>
  <c r="J36" i="1"/>
  <c r="J37" i="1"/>
  <c r="J39" i="1"/>
  <c r="J41" i="1"/>
  <c r="J43" i="1"/>
  <c r="T1" i="1" l="1"/>
  <c r="AA18" i="13" l="1"/>
  <c r="T24" i="13"/>
  <c r="J5" i="13" s="1"/>
  <c r="AN12" i="13"/>
  <c r="AO12" i="13"/>
  <c r="AN13" i="13"/>
  <c r="AO13" i="13"/>
  <c r="AN14" i="13"/>
  <c r="AO14" i="13"/>
  <c r="AN15" i="13"/>
  <c r="AO15" i="13"/>
  <c r="AN16" i="13"/>
  <c r="AO16" i="13"/>
  <c r="AN17" i="13"/>
  <c r="AO17" i="13"/>
  <c r="AN18" i="13"/>
  <c r="AO18" i="13"/>
  <c r="AN19" i="13"/>
  <c r="AO19" i="13"/>
  <c r="AN20" i="13"/>
  <c r="AO20" i="13"/>
  <c r="AN21" i="13"/>
  <c r="AO21" i="13"/>
  <c r="AN22" i="13"/>
  <c r="AO22" i="13"/>
  <c r="AN23" i="13"/>
  <c r="AO23" i="13"/>
  <c r="AN24" i="13"/>
  <c r="AO24" i="13"/>
  <c r="AN25" i="13"/>
  <c r="AO25" i="13"/>
  <c r="AN26" i="13"/>
  <c r="AO26" i="13"/>
  <c r="AN27" i="13"/>
  <c r="AO27" i="13"/>
  <c r="AN28" i="13"/>
  <c r="AO28" i="13"/>
  <c r="AN29" i="13"/>
  <c r="AO29" i="13"/>
  <c r="AN30" i="13"/>
  <c r="AO30" i="13"/>
  <c r="AN31" i="13"/>
  <c r="AO31" i="13"/>
  <c r="AN32" i="13"/>
  <c r="AO32" i="13"/>
  <c r="AN33" i="13"/>
  <c r="AO33" i="13"/>
  <c r="AN34" i="13"/>
  <c r="AO34" i="13"/>
  <c r="AN35" i="13"/>
  <c r="AO35" i="13"/>
  <c r="AN36" i="13"/>
  <c r="AO36" i="13"/>
  <c r="AN37" i="13"/>
  <c r="AO37" i="13"/>
  <c r="AN38" i="13"/>
  <c r="AO38" i="13"/>
  <c r="AN39" i="13"/>
  <c r="AO39" i="13"/>
  <c r="AO11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L12" i="13"/>
  <c r="AM12" i="13"/>
  <c r="AL13" i="13"/>
  <c r="AM13" i="13"/>
  <c r="AL14" i="13"/>
  <c r="AM14" i="13"/>
  <c r="AL15" i="13"/>
  <c r="AM15" i="13"/>
  <c r="AL16" i="13"/>
  <c r="AM16" i="13"/>
  <c r="AL17" i="13"/>
  <c r="AM17" i="13"/>
  <c r="AL18" i="13"/>
  <c r="AM18" i="13"/>
  <c r="AL19" i="13"/>
  <c r="AM19" i="13"/>
  <c r="AL20" i="13"/>
  <c r="AM20" i="13"/>
  <c r="AL21" i="13"/>
  <c r="AM21" i="13"/>
  <c r="AL22" i="13"/>
  <c r="AM22" i="13"/>
  <c r="AL23" i="13"/>
  <c r="AM23" i="13"/>
  <c r="AL24" i="13"/>
  <c r="AM24" i="13"/>
  <c r="AL25" i="13"/>
  <c r="AM25" i="13"/>
  <c r="AL26" i="13"/>
  <c r="AM26" i="13"/>
  <c r="AL27" i="13"/>
  <c r="AM27" i="13"/>
  <c r="AL28" i="13"/>
  <c r="AM28" i="13"/>
  <c r="AL29" i="13"/>
  <c r="AM29" i="13"/>
  <c r="AL30" i="13"/>
  <c r="AM30" i="13"/>
  <c r="AL31" i="13"/>
  <c r="AM31" i="13"/>
  <c r="AL32" i="13"/>
  <c r="AM32" i="13"/>
  <c r="AL33" i="13"/>
  <c r="AM33" i="13"/>
  <c r="AL34" i="13"/>
  <c r="AM34" i="13"/>
  <c r="AL35" i="13"/>
  <c r="AM35" i="13"/>
  <c r="AL36" i="13"/>
  <c r="AM36" i="13"/>
  <c r="AL37" i="13"/>
  <c r="AM37" i="13"/>
  <c r="AL38" i="13"/>
  <c r="AM38" i="13"/>
  <c r="AL39" i="13"/>
  <c r="AM39" i="13"/>
  <c r="AM11" i="13"/>
  <c r="AL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11" i="13"/>
  <c r="AN11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M8" i="13"/>
  <c r="AB11" i="13"/>
  <c r="AC11" i="13"/>
  <c r="AD11" i="13"/>
  <c r="AE11" i="13"/>
  <c r="AF11" i="13"/>
  <c r="AG11" i="13"/>
  <c r="AH11" i="13"/>
  <c r="AI11" i="13"/>
  <c r="AJ11" i="13"/>
  <c r="AB12" i="13"/>
  <c r="AC12" i="13"/>
  <c r="AD12" i="13"/>
  <c r="AE12" i="13"/>
  <c r="AF12" i="13"/>
  <c r="AG12" i="13"/>
  <c r="AH12" i="13"/>
  <c r="AI12" i="13"/>
  <c r="AJ12" i="13"/>
  <c r="AB13" i="13"/>
  <c r="AC13" i="13"/>
  <c r="AD13" i="13"/>
  <c r="AE13" i="13"/>
  <c r="AF13" i="13"/>
  <c r="AG13" i="13"/>
  <c r="AH13" i="13"/>
  <c r="AI13" i="13"/>
  <c r="AJ13" i="13"/>
  <c r="AB14" i="13"/>
  <c r="AC14" i="13"/>
  <c r="AD14" i="13"/>
  <c r="AE14" i="13"/>
  <c r="AF14" i="13"/>
  <c r="AG14" i="13"/>
  <c r="AH14" i="13"/>
  <c r="AI14" i="13"/>
  <c r="AJ14" i="13"/>
  <c r="AB15" i="13"/>
  <c r="AC15" i="13"/>
  <c r="AD15" i="13"/>
  <c r="AE15" i="13"/>
  <c r="AF15" i="13"/>
  <c r="AG15" i="13"/>
  <c r="AH15" i="13"/>
  <c r="AI15" i="13"/>
  <c r="AJ15" i="13"/>
  <c r="AB16" i="13"/>
  <c r="AC16" i="13"/>
  <c r="AD16" i="13"/>
  <c r="AE16" i="13"/>
  <c r="AF16" i="13"/>
  <c r="AG16" i="13"/>
  <c r="AH16" i="13"/>
  <c r="AI16" i="13"/>
  <c r="AJ16" i="13"/>
  <c r="AB17" i="13"/>
  <c r="AC17" i="13"/>
  <c r="AD17" i="13"/>
  <c r="AE17" i="13"/>
  <c r="AF17" i="13"/>
  <c r="AG17" i="13"/>
  <c r="AH17" i="13"/>
  <c r="AI17" i="13"/>
  <c r="AJ17" i="13"/>
  <c r="AB18" i="13"/>
  <c r="AC18" i="13"/>
  <c r="AD18" i="13"/>
  <c r="AE18" i="13"/>
  <c r="AF18" i="13"/>
  <c r="AG18" i="13"/>
  <c r="AH18" i="13"/>
  <c r="AI18" i="13"/>
  <c r="AJ18" i="13"/>
  <c r="AB19" i="13"/>
  <c r="AC19" i="13"/>
  <c r="AD19" i="13"/>
  <c r="AE19" i="13"/>
  <c r="AF19" i="13"/>
  <c r="AG19" i="13"/>
  <c r="AH19" i="13"/>
  <c r="AI19" i="13"/>
  <c r="AJ19" i="13"/>
  <c r="AB20" i="13"/>
  <c r="AC20" i="13"/>
  <c r="AD20" i="13"/>
  <c r="AE20" i="13"/>
  <c r="AF20" i="13"/>
  <c r="AG20" i="13"/>
  <c r="AH20" i="13"/>
  <c r="AI20" i="13"/>
  <c r="AJ20" i="13"/>
  <c r="AB21" i="13"/>
  <c r="AC21" i="13"/>
  <c r="AD21" i="13"/>
  <c r="AE21" i="13"/>
  <c r="AF21" i="13"/>
  <c r="AG21" i="13"/>
  <c r="AH21" i="13"/>
  <c r="AI21" i="13"/>
  <c r="AJ21" i="13"/>
  <c r="AB22" i="13"/>
  <c r="AC22" i="13"/>
  <c r="AD22" i="13"/>
  <c r="AE22" i="13"/>
  <c r="AF22" i="13"/>
  <c r="AG22" i="13"/>
  <c r="AH22" i="13"/>
  <c r="AI22" i="13"/>
  <c r="AJ22" i="13"/>
  <c r="AB23" i="13"/>
  <c r="AC23" i="13"/>
  <c r="AD23" i="13"/>
  <c r="AE23" i="13"/>
  <c r="AF23" i="13"/>
  <c r="AG23" i="13"/>
  <c r="AH23" i="13"/>
  <c r="AI23" i="13"/>
  <c r="AJ23" i="13"/>
  <c r="AB24" i="13"/>
  <c r="AC24" i="13"/>
  <c r="AD24" i="13"/>
  <c r="AE24" i="13"/>
  <c r="AF24" i="13"/>
  <c r="AG24" i="13"/>
  <c r="AH24" i="13"/>
  <c r="AI24" i="13"/>
  <c r="AJ24" i="13"/>
  <c r="AB25" i="13"/>
  <c r="AC25" i="13"/>
  <c r="AD25" i="13"/>
  <c r="AE25" i="13"/>
  <c r="AF25" i="13"/>
  <c r="AG25" i="13"/>
  <c r="AH25" i="13"/>
  <c r="AI25" i="13"/>
  <c r="AJ25" i="13"/>
  <c r="AB26" i="13"/>
  <c r="AC26" i="13"/>
  <c r="AD26" i="13"/>
  <c r="AE26" i="13"/>
  <c r="AF26" i="13"/>
  <c r="AG26" i="13"/>
  <c r="AH26" i="13"/>
  <c r="AI26" i="13"/>
  <c r="AJ26" i="13"/>
  <c r="AB27" i="13"/>
  <c r="AC27" i="13"/>
  <c r="AD27" i="13"/>
  <c r="AE27" i="13"/>
  <c r="AF27" i="13"/>
  <c r="AG27" i="13"/>
  <c r="AH27" i="13"/>
  <c r="AI27" i="13"/>
  <c r="AJ27" i="13"/>
  <c r="AB28" i="13"/>
  <c r="AC28" i="13"/>
  <c r="AD28" i="13"/>
  <c r="AE28" i="13"/>
  <c r="AF28" i="13"/>
  <c r="AG28" i="13"/>
  <c r="AH28" i="13"/>
  <c r="AI28" i="13"/>
  <c r="AJ28" i="13"/>
  <c r="AB29" i="13"/>
  <c r="AC29" i="13"/>
  <c r="AD29" i="13"/>
  <c r="AE29" i="13"/>
  <c r="AF29" i="13"/>
  <c r="AG29" i="13"/>
  <c r="AH29" i="13"/>
  <c r="AI29" i="13"/>
  <c r="AJ29" i="13"/>
  <c r="AB30" i="13"/>
  <c r="AC30" i="13"/>
  <c r="AD30" i="13"/>
  <c r="AE30" i="13"/>
  <c r="AF30" i="13"/>
  <c r="AG30" i="13"/>
  <c r="AH30" i="13"/>
  <c r="AI30" i="13"/>
  <c r="AJ30" i="13"/>
  <c r="AB31" i="13"/>
  <c r="AC31" i="13"/>
  <c r="AD31" i="13"/>
  <c r="AE31" i="13"/>
  <c r="AF31" i="13"/>
  <c r="AG31" i="13"/>
  <c r="AH31" i="13"/>
  <c r="AI31" i="13"/>
  <c r="AJ31" i="13"/>
  <c r="AB32" i="13"/>
  <c r="AC32" i="13"/>
  <c r="AD32" i="13"/>
  <c r="AE32" i="13"/>
  <c r="AF32" i="13"/>
  <c r="AG32" i="13"/>
  <c r="AH32" i="13"/>
  <c r="AI32" i="13"/>
  <c r="AJ32" i="13"/>
  <c r="AB33" i="13"/>
  <c r="AC33" i="13"/>
  <c r="AD33" i="13"/>
  <c r="AE33" i="13"/>
  <c r="AF33" i="13"/>
  <c r="AG33" i="13"/>
  <c r="AH33" i="13"/>
  <c r="AI33" i="13"/>
  <c r="AJ33" i="13"/>
  <c r="AB34" i="13"/>
  <c r="AC34" i="13"/>
  <c r="AD34" i="13"/>
  <c r="AE34" i="13"/>
  <c r="AF34" i="13"/>
  <c r="AG34" i="13"/>
  <c r="AH34" i="13"/>
  <c r="AI34" i="13"/>
  <c r="AJ34" i="13"/>
  <c r="AB35" i="13"/>
  <c r="AC35" i="13"/>
  <c r="AD35" i="13"/>
  <c r="AE35" i="13"/>
  <c r="AF35" i="13"/>
  <c r="AG35" i="13"/>
  <c r="AH35" i="13"/>
  <c r="AI35" i="13"/>
  <c r="AJ35" i="13"/>
  <c r="AB36" i="13"/>
  <c r="AC36" i="13"/>
  <c r="AD36" i="13"/>
  <c r="AE36" i="13"/>
  <c r="AF36" i="13"/>
  <c r="AG36" i="13"/>
  <c r="AH36" i="13"/>
  <c r="AI36" i="13"/>
  <c r="AJ36" i="13"/>
  <c r="AB37" i="13"/>
  <c r="AC37" i="13"/>
  <c r="AD37" i="13"/>
  <c r="AE37" i="13"/>
  <c r="AF37" i="13"/>
  <c r="AG37" i="13"/>
  <c r="AH37" i="13"/>
  <c r="AI37" i="13"/>
  <c r="AJ37" i="13"/>
  <c r="AB38" i="13"/>
  <c r="AC38" i="13"/>
  <c r="AD38" i="13"/>
  <c r="AE38" i="13"/>
  <c r="AF38" i="13"/>
  <c r="AG38" i="13"/>
  <c r="AH38" i="13"/>
  <c r="AI38" i="13"/>
  <c r="AJ38" i="13"/>
  <c r="AB39" i="13"/>
  <c r="AA12" i="13"/>
  <c r="AA13" i="13"/>
  <c r="AA14" i="13"/>
  <c r="AA15" i="13"/>
  <c r="AA16" i="13"/>
  <c r="AA17" i="13"/>
  <c r="AA19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11" i="13"/>
  <c r="AE65" i="13" l="1"/>
  <c r="AN65" i="13"/>
  <c r="AO65" i="13"/>
  <c r="AI65" i="13"/>
  <c r="AL65" i="13"/>
  <c r="AG65" i="13"/>
  <c r="AF65" i="13"/>
  <c r="AC65" i="13"/>
  <c r="AD65" i="13"/>
  <c r="AH65" i="13"/>
  <c r="T23" i="13"/>
  <c r="S18" i="1" s="1"/>
  <c r="AA20" i="13"/>
  <c r="AA65" i="13" s="1"/>
  <c r="AB65" i="13"/>
  <c r="AM65" i="13"/>
  <c r="AJ65" i="13"/>
  <c r="AK65" i="13"/>
  <c r="S19" i="1"/>
  <c r="T19" i="1" s="1"/>
  <c r="T18" i="1" l="1"/>
  <c r="I41" i="16"/>
  <c r="T25" i="13"/>
  <c r="J4" i="13"/>
  <c r="AP65" i="13"/>
  <c r="G3" i="13" s="1"/>
  <c r="E4" i="13" s="1"/>
  <c r="F6" i="13" s="1"/>
  <c r="Q18" i="1" l="1"/>
  <c r="P23" i="1"/>
  <c r="R71" i="1" l="1"/>
  <c r="U71" i="1"/>
  <c r="H33" i="1"/>
  <c r="R482" i="3" l="1"/>
  <c r="T482" i="3"/>
  <c r="V482" i="3"/>
  <c r="X482" i="3"/>
  <c r="Z482" i="3"/>
  <c r="AA482" i="3"/>
  <c r="AE482" i="3"/>
  <c r="AG482" i="3"/>
  <c r="AI482" i="3"/>
  <c r="AK482" i="3"/>
  <c r="AL482" i="3"/>
  <c r="AN482" i="3"/>
  <c r="AP482" i="3"/>
  <c r="AR482" i="3"/>
  <c r="AS482" i="3"/>
  <c r="R483" i="3"/>
  <c r="T483" i="3"/>
  <c r="V483" i="3"/>
  <c r="X483" i="3"/>
  <c r="Z483" i="3"/>
  <c r="AA483" i="3"/>
  <c r="AE483" i="3"/>
  <c r="AG483" i="3"/>
  <c r="AI483" i="3"/>
  <c r="AK483" i="3"/>
  <c r="AL483" i="3"/>
  <c r="AN483" i="3"/>
  <c r="AP483" i="3"/>
  <c r="AR483" i="3"/>
  <c r="AS483" i="3"/>
  <c r="R484" i="3"/>
  <c r="T484" i="3"/>
  <c r="V484" i="3"/>
  <c r="X484" i="3"/>
  <c r="Z484" i="3"/>
  <c r="AA484" i="3"/>
  <c r="AE484" i="3"/>
  <c r="AG484" i="3"/>
  <c r="AI484" i="3"/>
  <c r="AK484" i="3"/>
  <c r="AL484" i="3"/>
  <c r="AN484" i="3"/>
  <c r="AP484" i="3"/>
  <c r="AR484" i="3"/>
  <c r="AS484" i="3"/>
  <c r="R485" i="3"/>
  <c r="T485" i="3"/>
  <c r="V485" i="3"/>
  <c r="X485" i="3"/>
  <c r="Z485" i="3"/>
  <c r="AA485" i="3"/>
  <c r="AE485" i="3"/>
  <c r="AG485" i="3"/>
  <c r="AI485" i="3"/>
  <c r="AK485" i="3"/>
  <c r="AL485" i="3"/>
  <c r="AN485" i="3"/>
  <c r="AP485" i="3"/>
  <c r="AR485" i="3"/>
  <c r="AS485" i="3"/>
  <c r="R486" i="3"/>
  <c r="T486" i="3"/>
  <c r="V486" i="3"/>
  <c r="X486" i="3"/>
  <c r="Z486" i="3"/>
  <c r="AA486" i="3"/>
  <c r="AE486" i="3"/>
  <c r="AG486" i="3"/>
  <c r="AI486" i="3"/>
  <c r="AK486" i="3"/>
  <c r="AL486" i="3"/>
  <c r="AN486" i="3"/>
  <c r="AP486" i="3"/>
  <c r="AR486" i="3"/>
  <c r="AS486" i="3"/>
  <c r="R487" i="3"/>
  <c r="T487" i="3"/>
  <c r="V487" i="3"/>
  <c r="X487" i="3"/>
  <c r="Z487" i="3"/>
  <c r="AA487" i="3"/>
  <c r="AE487" i="3"/>
  <c r="AG487" i="3"/>
  <c r="AI487" i="3"/>
  <c r="AK487" i="3"/>
  <c r="AL487" i="3"/>
  <c r="AN487" i="3"/>
  <c r="AP487" i="3"/>
  <c r="AR487" i="3"/>
  <c r="AS487" i="3"/>
  <c r="R488" i="3"/>
  <c r="T488" i="3"/>
  <c r="V488" i="3"/>
  <c r="X488" i="3"/>
  <c r="Z488" i="3"/>
  <c r="AA488" i="3"/>
  <c r="AE488" i="3"/>
  <c r="AG488" i="3"/>
  <c r="AI488" i="3"/>
  <c r="AK488" i="3"/>
  <c r="AL488" i="3"/>
  <c r="AN488" i="3"/>
  <c r="AP488" i="3"/>
  <c r="AR488" i="3"/>
  <c r="AS488" i="3"/>
  <c r="R489" i="3"/>
  <c r="T489" i="3"/>
  <c r="V489" i="3"/>
  <c r="X489" i="3"/>
  <c r="Z489" i="3"/>
  <c r="AA489" i="3"/>
  <c r="AE489" i="3"/>
  <c r="AG489" i="3"/>
  <c r="AI489" i="3"/>
  <c r="AK489" i="3"/>
  <c r="AL489" i="3"/>
  <c r="AN489" i="3"/>
  <c r="AP489" i="3"/>
  <c r="AR489" i="3"/>
  <c r="AS489" i="3"/>
  <c r="R490" i="3"/>
  <c r="T490" i="3"/>
  <c r="V490" i="3"/>
  <c r="X490" i="3"/>
  <c r="Z490" i="3"/>
  <c r="AA490" i="3"/>
  <c r="AE490" i="3"/>
  <c r="AG490" i="3"/>
  <c r="AI490" i="3"/>
  <c r="AK490" i="3"/>
  <c r="AL490" i="3"/>
  <c r="AN490" i="3"/>
  <c r="AP490" i="3"/>
  <c r="AR490" i="3"/>
  <c r="AS490" i="3"/>
  <c r="R491" i="3"/>
  <c r="T491" i="3"/>
  <c r="V491" i="3"/>
  <c r="X491" i="3"/>
  <c r="Z491" i="3"/>
  <c r="AA491" i="3"/>
  <c r="AE491" i="3"/>
  <c r="AG491" i="3"/>
  <c r="AI491" i="3"/>
  <c r="AK491" i="3"/>
  <c r="AL491" i="3"/>
  <c r="AN491" i="3"/>
  <c r="AP491" i="3"/>
  <c r="AR491" i="3"/>
  <c r="AS491" i="3"/>
  <c r="R492" i="3"/>
  <c r="T492" i="3"/>
  <c r="V492" i="3"/>
  <c r="X492" i="3"/>
  <c r="Z492" i="3"/>
  <c r="AA492" i="3"/>
  <c r="AE492" i="3"/>
  <c r="AG492" i="3"/>
  <c r="AI492" i="3"/>
  <c r="AK492" i="3"/>
  <c r="AL492" i="3"/>
  <c r="AN492" i="3"/>
  <c r="AP492" i="3"/>
  <c r="AR492" i="3"/>
  <c r="AS492" i="3"/>
  <c r="R493" i="3"/>
  <c r="T493" i="3"/>
  <c r="V493" i="3"/>
  <c r="X493" i="3"/>
  <c r="Z493" i="3"/>
  <c r="AA493" i="3"/>
  <c r="AE493" i="3"/>
  <c r="AG493" i="3"/>
  <c r="AI493" i="3"/>
  <c r="AK493" i="3"/>
  <c r="AL493" i="3"/>
  <c r="AN493" i="3"/>
  <c r="AP493" i="3"/>
  <c r="AR493" i="3"/>
  <c r="AS493" i="3"/>
  <c r="R494" i="3"/>
  <c r="T494" i="3"/>
  <c r="V494" i="3"/>
  <c r="X494" i="3"/>
  <c r="Z494" i="3"/>
  <c r="AA494" i="3"/>
  <c r="AE494" i="3"/>
  <c r="AG494" i="3"/>
  <c r="AI494" i="3"/>
  <c r="AK494" i="3"/>
  <c r="AL494" i="3"/>
  <c r="AN494" i="3"/>
  <c r="AP494" i="3"/>
  <c r="AR494" i="3"/>
  <c r="AS494" i="3"/>
  <c r="R495" i="3"/>
  <c r="T495" i="3"/>
  <c r="V495" i="3"/>
  <c r="X495" i="3"/>
  <c r="Z495" i="3"/>
  <c r="AA495" i="3"/>
  <c r="AE495" i="3"/>
  <c r="AG495" i="3"/>
  <c r="AI495" i="3"/>
  <c r="AK495" i="3"/>
  <c r="AL495" i="3"/>
  <c r="AN495" i="3"/>
  <c r="AP495" i="3"/>
  <c r="AR495" i="3"/>
  <c r="AS495" i="3"/>
  <c r="R496" i="3"/>
  <c r="T496" i="3"/>
  <c r="V496" i="3"/>
  <c r="X496" i="3"/>
  <c r="Z496" i="3"/>
  <c r="AA496" i="3"/>
  <c r="AE496" i="3"/>
  <c r="AG496" i="3"/>
  <c r="AI496" i="3"/>
  <c r="AK496" i="3"/>
  <c r="AL496" i="3"/>
  <c r="AN496" i="3"/>
  <c r="AP496" i="3"/>
  <c r="AR496" i="3"/>
  <c r="AS496" i="3"/>
  <c r="R497" i="3"/>
  <c r="T497" i="3"/>
  <c r="V497" i="3"/>
  <c r="X497" i="3"/>
  <c r="Z497" i="3"/>
  <c r="AA497" i="3"/>
  <c r="AE497" i="3"/>
  <c r="AG497" i="3"/>
  <c r="AI497" i="3"/>
  <c r="AK497" i="3"/>
  <c r="AL497" i="3"/>
  <c r="AN497" i="3"/>
  <c r="AP497" i="3"/>
  <c r="AR497" i="3"/>
  <c r="AS497" i="3"/>
  <c r="R498" i="3"/>
  <c r="T498" i="3"/>
  <c r="V498" i="3"/>
  <c r="X498" i="3"/>
  <c r="Z498" i="3"/>
  <c r="AA498" i="3"/>
  <c r="AE498" i="3"/>
  <c r="AG498" i="3"/>
  <c r="AI498" i="3"/>
  <c r="AK498" i="3"/>
  <c r="AL498" i="3"/>
  <c r="AN498" i="3"/>
  <c r="AP498" i="3"/>
  <c r="AR498" i="3"/>
  <c r="AS498" i="3"/>
  <c r="R499" i="3"/>
  <c r="T499" i="3"/>
  <c r="V499" i="3"/>
  <c r="X499" i="3"/>
  <c r="Z499" i="3"/>
  <c r="AA499" i="3"/>
  <c r="AE499" i="3"/>
  <c r="AG499" i="3"/>
  <c r="AI499" i="3"/>
  <c r="AK499" i="3"/>
  <c r="AL499" i="3"/>
  <c r="AN499" i="3"/>
  <c r="AP499" i="3"/>
  <c r="AR499" i="3"/>
  <c r="AS499" i="3"/>
  <c r="R500" i="3"/>
  <c r="T500" i="3"/>
  <c r="V500" i="3"/>
  <c r="X500" i="3"/>
  <c r="Z500" i="3"/>
  <c r="AA500" i="3"/>
  <c r="AE500" i="3"/>
  <c r="AG500" i="3"/>
  <c r="AI500" i="3"/>
  <c r="AK500" i="3"/>
  <c r="AL500" i="3"/>
  <c r="AN500" i="3"/>
  <c r="AP500" i="3"/>
  <c r="AR500" i="3"/>
  <c r="AS500" i="3"/>
  <c r="R501" i="3"/>
  <c r="T501" i="3"/>
  <c r="V501" i="3"/>
  <c r="X501" i="3"/>
  <c r="Z501" i="3"/>
  <c r="AA501" i="3"/>
  <c r="AE501" i="3"/>
  <c r="AG501" i="3"/>
  <c r="AI501" i="3"/>
  <c r="AK501" i="3"/>
  <c r="AL501" i="3"/>
  <c r="AN501" i="3"/>
  <c r="AP501" i="3"/>
  <c r="AR501" i="3"/>
  <c r="AS501" i="3"/>
  <c r="R502" i="3"/>
  <c r="T502" i="3"/>
  <c r="V502" i="3"/>
  <c r="X502" i="3"/>
  <c r="Z502" i="3"/>
  <c r="AA502" i="3"/>
  <c r="AE502" i="3"/>
  <c r="AG502" i="3"/>
  <c r="AI502" i="3"/>
  <c r="AK502" i="3"/>
  <c r="AL502" i="3"/>
  <c r="AN502" i="3"/>
  <c r="AP502" i="3"/>
  <c r="AR502" i="3"/>
  <c r="AS502" i="3"/>
  <c r="R503" i="3"/>
  <c r="T503" i="3"/>
  <c r="V503" i="3"/>
  <c r="X503" i="3"/>
  <c r="Z503" i="3"/>
  <c r="AA503" i="3"/>
  <c r="AE503" i="3"/>
  <c r="AG503" i="3"/>
  <c r="AI503" i="3"/>
  <c r="AK503" i="3"/>
  <c r="AL503" i="3"/>
  <c r="AN503" i="3"/>
  <c r="AP503" i="3"/>
  <c r="AR503" i="3"/>
  <c r="AS503" i="3"/>
  <c r="R504" i="3"/>
  <c r="T504" i="3"/>
  <c r="V504" i="3"/>
  <c r="X504" i="3"/>
  <c r="Z504" i="3"/>
  <c r="AA504" i="3"/>
  <c r="AE504" i="3"/>
  <c r="AG504" i="3"/>
  <c r="AI504" i="3"/>
  <c r="AK504" i="3"/>
  <c r="AL504" i="3"/>
  <c r="AN504" i="3"/>
  <c r="AP504" i="3"/>
  <c r="AR504" i="3"/>
  <c r="AS504" i="3"/>
  <c r="R505" i="3"/>
  <c r="T505" i="3"/>
  <c r="V505" i="3"/>
  <c r="X505" i="3"/>
  <c r="Z505" i="3"/>
  <c r="AA505" i="3"/>
  <c r="AE505" i="3"/>
  <c r="AG505" i="3"/>
  <c r="AI505" i="3"/>
  <c r="AK505" i="3"/>
  <c r="AL505" i="3"/>
  <c r="AN505" i="3"/>
  <c r="AP505" i="3"/>
  <c r="AR505" i="3"/>
  <c r="AS505" i="3"/>
  <c r="R506" i="3"/>
  <c r="T506" i="3"/>
  <c r="V506" i="3"/>
  <c r="X506" i="3"/>
  <c r="Z506" i="3"/>
  <c r="AA506" i="3"/>
  <c r="AE506" i="3"/>
  <c r="AG506" i="3"/>
  <c r="AI506" i="3"/>
  <c r="AK506" i="3"/>
  <c r="AL506" i="3"/>
  <c r="AN506" i="3"/>
  <c r="AP506" i="3"/>
  <c r="AR506" i="3"/>
  <c r="AS506" i="3"/>
  <c r="R507" i="3"/>
  <c r="T507" i="3"/>
  <c r="V507" i="3"/>
  <c r="X507" i="3"/>
  <c r="Z507" i="3"/>
  <c r="AA507" i="3"/>
  <c r="AE507" i="3"/>
  <c r="AG507" i="3"/>
  <c r="AI507" i="3"/>
  <c r="AK507" i="3"/>
  <c r="AL507" i="3"/>
  <c r="AN507" i="3"/>
  <c r="AP507" i="3"/>
  <c r="AR507" i="3"/>
  <c r="AS507" i="3"/>
  <c r="R508" i="3"/>
  <c r="T508" i="3"/>
  <c r="V508" i="3"/>
  <c r="X508" i="3"/>
  <c r="Z508" i="3"/>
  <c r="AA508" i="3"/>
  <c r="AE508" i="3"/>
  <c r="AG508" i="3"/>
  <c r="AI508" i="3"/>
  <c r="AK508" i="3"/>
  <c r="AL508" i="3"/>
  <c r="AN508" i="3"/>
  <c r="AP508" i="3"/>
  <c r="AR508" i="3"/>
  <c r="AS508" i="3"/>
  <c r="R509" i="3"/>
  <c r="T509" i="3"/>
  <c r="V509" i="3"/>
  <c r="X509" i="3"/>
  <c r="Z509" i="3"/>
  <c r="AA509" i="3"/>
  <c r="AE509" i="3"/>
  <c r="AG509" i="3"/>
  <c r="AI509" i="3"/>
  <c r="AK509" i="3"/>
  <c r="AL509" i="3"/>
  <c r="AN509" i="3"/>
  <c r="AP509" i="3"/>
  <c r="AR509" i="3"/>
  <c r="AS509" i="3"/>
  <c r="R510" i="3"/>
  <c r="T510" i="3"/>
  <c r="V510" i="3"/>
  <c r="X510" i="3"/>
  <c r="Z510" i="3"/>
  <c r="AA510" i="3"/>
  <c r="AE510" i="3"/>
  <c r="AG510" i="3"/>
  <c r="AI510" i="3"/>
  <c r="AK510" i="3"/>
  <c r="AL510" i="3"/>
  <c r="AN510" i="3"/>
  <c r="AP510" i="3"/>
  <c r="AR510" i="3"/>
  <c r="AS510" i="3"/>
  <c r="R511" i="3"/>
  <c r="T511" i="3"/>
  <c r="V511" i="3"/>
  <c r="X511" i="3"/>
  <c r="Z511" i="3"/>
  <c r="AA511" i="3"/>
  <c r="AE511" i="3"/>
  <c r="AG511" i="3"/>
  <c r="AI511" i="3"/>
  <c r="AK511" i="3"/>
  <c r="AL511" i="3"/>
  <c r="AN511" i="3"/>
  <c r="AP511" i="3"/>
  <c r="AR511" i="3"/>
  <c r="AS511" i="3"/>
  <c r="R512" i="3"/>
  <c r="T512" i="3"/>
  <c r="V512" i="3"/>
  <c r="X512" i="3"/>
  <c r="Z512" i="3"/>
  <c r="AA512" i="3"/>
  <c r="AE512" i="3"/>
  <c r="AG512" i="3"/>
  <c r="AI512" i="3"/>
  <c r="AK512" i="3"/>
  <c r="AL512" i="3"/>
  <c r="AN512" i="3"/>
  <c r="AP512" i="3"/>
  <c r="AR512" i="3"/>
  <c r="AS512" i="3"/>
  <c r="R513" i="3"/>
  <c r="T513" i="3"/>
  <c r="V513" i="3"/>
  <c r="X513" i="3"/>
  <c r="Z513" i="3"/>
  <c r="AA513" i="3"/>
  <c r="AE513" i="3"/>
  <c r="AG513" i="3"/>
  <c r="AI513" i="3"/>
  <c r="AK513" i="3"/>
  <c r="AL513" i="3"/>
  <c r="AN513" i="3"/>
  <c r="AP513" i="3"/>
  <c r="AR513" i="3"/>
  <c r="AS513" i="3"/>
  <c r="R514" i="3"/>
  <c r="T514" i="3"/>
  <c r="V514" i="3"/>
  <c r="X514" i="3"/>
  <c r="Z514" i="3"/>
  <c r="AA514" i="3"/>
  <c r="AE514" i="3"/>
  <c r="AG514" i="3"/>
  <c r="AI514" i="3"/>
  <c r="AK514" i="3"/>
  <c r="AL514" i="3"/>
  <c r="AN514" i="3"/>
  <c r="AP514" i="3"/>
  <c r="AR514" i="3"/>
  <c r="AS514" i="3"/>
  <c r="R515" i="3"/>
  <c r="T515" i="3"/>
  <c r="V515" i="3"/>
  <c r="X515" i="3"/>
  <c r="Z515" i="3"/>
  <c r="AA515" i="3"/>
  <c r="AE515" i="3"/>
  <c r="AG515" i="3"/>
  <c r="AI515" i="3"/>
  <c r="AK515" i="3"/>
  <c r="AL515" i="3"/>
  <c r="AN515" i="3"/>
  <c r="AP515" i="3"/>
  <c r="AR515" i="3"/>
  <c r="AS515" i="3"/>
  <c r="R516" i="3"/>
  <c r="T516" i="3"/>
  <c r="V516" i="3"/>
  <c r="X516" i="3"/>
  <c r="Z516" i="3"/>
  <c r="AA516" i="3"/>
  <c r="AE516" i="3"/>
  <c r="AG516" i="3"/>
  <c r="AI516" i="3"/>
  <c r="AK516" i="3"/>
  <c r="AL516" i="3"/>
  <c r="AN516" i="3"/>
  <c r="AP516" i="3"/>
  <c r="AR516" i="3"/>
  <c r="AS516" i="3"/>
  <c r="R517" i="3"/>
  <c r="T517" i="3"/>
  <c r="V517" i="3"/>
  <c r="X517" i="3"/>
  <c r="Z517" i="3"/>
  <c r="AA517" i="3"/>
  <c r="AE517" i="3"/>
  <c r="AG517" i="3"/>
  <c r="AI517" i="3"/>
  <c r="AK517" i="3"/>
  <c r="AL517" i="3"/>
  <c r="AN517" i="3"/>
  <c r="AP517" i="3"/>
  <c r="AR517" i="3"/>
  <c r="AS517" i="3"/>
  <c r="R518" i="3"/>
  <c r="T518" i="3"/>
  <c r="V518" i="3"/>
  <c r="X518" i="3"/>
  <c r="Z518" i="3"/>
  <c r="AA518" i="3"/>
  <c r="AE518" i="3"/>
  <c r="AG518" i="3"/>
  <c r="AI518" i="3"/>
  <c r="AK518" i="3"/>
  <c r="AL518" i="3"/>
  <c r="AN518" i="3"/>
  <c r="AP518" i="3"/>
  <c r="AR518" i="3"/>
  <c r="AS518" i="3"/>
  <c r="R519" i="3"/>
  <c r="T519" i="3"/>
  <c r="V519" i="3"/>
  <c r="X519" i="3"/>
  <c r="Z519" i="3"/>
  <c r="AA519" i="3"/>
  <c r="AE519" i="3"/>
  <c r="AG519" i="3"/>
  <c r="AI519" i="3"/>
  <c r="AK519" i="3"/>
  <c r="AL519" i="3"/>
  <c r="AN519" i="3"/>
  <c r="AP519" i="3"/>
  <c r="AR519" i="3"/>
  <c r="AS519" i="3"/>
  <c r="R520" i="3"/>
  <c r="T520" i="3"/>
  <c r="V520" i="3"/>
  <c r="X520" i="3"/>
  <c r="Z520" i="3"/>
  <c r="AA520" i="3"/>
  <c r="AE520" i="3"/>
  <c r="AG520" i="3"/>
  <c r="AI520" i="3"/>
  <c r="AK520" i="3"/>
  <c r="AL520" i="3"/>
  <c r="AN520" i="3"/>
  <c r="AP520" i="3"/>
  <c r="AR520" i="3"/>
  <c r="AS520" i="3"/>
  <c r="R521" i="3"/>
  <c r="T521" i="3"/>
  <c r="V521" i="3"/>
  <c r="X521" i="3"/>
  <c r="Z521" i="3"/>
  <c r="AA521" i="3"/>
  <c r="AE521" i="3"/>
  <c r="AG521" i="3"/>
  <c r="AI521" i="3"/>
  <c r="AK521" i="3"/>
  <c r="AL521" i="3"/>
  <c r="AN521" i="3"/>
  <c r="AP521" i="3"/>
  <c r="AR521" i="3"/>
  <c r="AS521" i="3"/>
  <c r="R522" i="3"/>
  <c r="T522" i="3"/>
  <c r="V522" i="3"/>
  <c r="X522" i="3"/>
  <c r="Z522" i="3"/>
  <c r="AA522" i="3"/>
  <c r="AE522" i="3"/>
  <c r="AG522" i="3"/>
  <c r="AI522" i="3"/>
  <c r="AK522" i="3"/>
  <c r="AL522" i="3"/>
  <c r="AN522" i="3"/>
  <c r="AP522" i="3"/>
  <c r="AR522" i="3"/>
  <c r="AS522" i="3"/>
  <c r="R523" i="3"/>
  <c r="T523" i="3"/>
  <c r="V523" i="3"/>
  <c r="X523" i="3"/>
  <c r="Z523" i="3"/>
  <c r="AA523" i="3"/>
  <c r="AE523" i="3"/>
  <c r="AG523" i="3"/>
  <c r="AI523" i="3"/>
  <c r="AK523" i="3"/>
  <c r="AL523" i="3"/>
  <c r="AN523" i="3"/>
  <c r="AP523" i="3"/>
  <c r="AR523" i="3"/>
  <c r="AS523" i="3"/>
  <c r="R524" i="3"/>
  <c r="T524" i="3"/>
  <c r="V524" i="3"/>
  <c r="X524" i="3"/>
  <c r="Z524" i="3"/>
  <c r="AA524" i="3"/>
  <c r="AE524" i="3"/>
  <c r="AG524" i="3"/>
  <c r="AI524" i="3"/>
  <c r="AK524" i="3"/>
  <c r="AL524" i="3"/>
  <c r="AN524" i="3"/>
  <c r="AP524" i="3"/>
  <c r="AR524" i="3"/>
  <c r="AS524" i="3"/>
  <c r="R525" i="3"/>
  <c r="T525" i="3"/>
  <c r="V525" i="3"/>
  <c r="X525" i="3"/>
  <c r="Z525" i="3"/>
  <c r="AA525" i="3"/>
  <c r="AE525" i="3"/>
  <c r="AG525" i="3"/>
  <c r="AI525" i="3"/>
  <c r="AK525" i="3"/>
  <c r="AL525" i="3"/>
  <c r="AN525" i="3"/>
  <c r="AP525" i="3"/>
  <c r="AR525" i="3"/>
  <c r="AS525" i="3"/>
  <c r="R526" i="3"/>
  <c r="T526" i="3"/>
  <c r="V526" i="3"/>
  <c r="X526" i="3"/>
  <c r="Z526" i="3"/>
  <c r="AA526" i="3"/>
  <c r="AE526" i="3"/>
  <c r="AG526" i="3"/>
  <c r="AI526" i="3"/>
  <c r="AK526" i="3"/>
  <c r="AL526" i="3"/>
  <c r="AN526" i="3"/>
  <c r="AP526" i="3"/>
  <c r="AR526" i="3"/>
  <c r="AS526" i="3"/>
  <c r="R527" i="3"/>
  <c r="T527" i="3"/>
  <c r="V527" i="3"/>
  <c r="X527" i="3"/>
  <c r="Z527" i="3"/>
  <c r="AA527" i="3"/>
  <c r="AE527" i="3"/>
  <c r="AG527" i="3"/>
  <c r="AI527" i="3"/>
  <c r="AK527" i="3"/>
  <c r="AL527" i="3"/>
  <c r="AN527" i="3"/>
  <c r="AP527" i="3"/>
  <c r="AR527" i="3"/>
  <c r="AS527" i="3"/>
  <c r="R528" i="3"/>
  <c r="T528" i="3"/>
  <c r="V528" i="3"/>
  <c r="X528" i="3"/>
  <c r="Z528" i="3"/>
  <c r="AA528" i="3"/>
  <c r="AE528" i="3"/>
  <c r="AG528" i="3"/>
  <c r="AI528" i="3"/>
  <c r="AK528" i="3"/>
  <c r="AL528" i="3"/>
  <c r="AN528" i="3"/>
  <c r="AP528" i="3"/>
  <c r="AR528" i="3"/>
  <c r="AS528" i="3"/>
  <c r="R529" i="3"/>
  <c r="T529" i="3"/>
  <c r="V529" i="3"/>
  <c r="X529" i="3"/>
  <c r="Z529" i="3"/>
  <c r="AA529" i="3"/>
  <c r="AE529" i="3"/>
  <c r="AG529" i="3"/>
  <c r="AI529" i="3"/>
  <c r="AK529" i="3"/>
  <c r="AL529" i="3"/>
  <c r="AN529" i="3"/>
  <c r="AP529" i="3"/>
  <c r="AR529" i="3"/>
  <c r="AS529" i="3"/>
  <c r="R530" i="3"/>
  <c r="T530" i="3"/>
  <c r="V530" i="3"/>
  <c r="X530" i="3"/>
  <c r="Z530" i="3"/>
  <c r="AA530" i="3"/>
  <c r="AE530" i="3"/>
  <c r="AG530" i="3"/>
  <c r="AI530" i="3"/>
  <c r="AK530" i="3"/>
  <c r="AL530" i="3"/>
  <c r="AN530" i="3"/>
  <c r="AP530" i="3"/>
  <c r="AR530" i="3"/>
  <c r="AS530" i="3"/>
  <c r="R531" i="3"/>
  <c r="T531" i="3"/>
  <c r="V531" i="3"/>
  <c r="X531" i="3"/>
  <c r="Z531" i="3"/>
  <c r="AA531" i="3"/>
  <c r="AE531" i="3"/>
  <c r="AG531" i="3"/>
  <c r="AI531" i="3"/>
  <c r="AK531" i="3"/>
  <c r="AL531" i="3"/>
  <c r="AN531" i="3"/>
  <c r="AP531" i="3"/>
  <c r="AR531" i="3"/>
  <c r="AS531" i="3"/>
  <c r="R532" i="3"/>
  <c r="T532" i="3"/>
  <c r="V532" i="3"/>
  <c r="X532" i="3"/>
  <c r="Z532" i="3"/>
  <c r="AA532" i="3"/>
  <c r="AE532" i="3"/>
  <c r="AG532" i="3"/>
  <c r="AI532" i="3"/>
  <c r="AK532" i="3"/>
  <c r="AL532" i="3"/>
  <c r="AN532" i="3"/>
  <c r="AP532" i="3"/>
  <c r="AR532" i="3"/>
  <c r="AS532" i="3"/>
  <c r="R533" i="3"/>
  <c r="T533" i="3"/>
  <c r="V533" i="3"/>
  <c r="X533" i="3"/>
  <c r="Z533" i="3"/>
  <c r="AA533" i="3"/>
  <c r="AE533" i="3"/>
  <c r="AG533" i="3"/>
  <c r="AI533" i="3"/>
  <c r="AK533" i="3"/>
  <c r="AL533" i="3"/>
  <c r="AN533" i="3"/>
  <c r="AP533" i="3"/>
  <c r="AR533" i="3"/>
  <c r="AS533" i="3"/>
  <c r="R534" i="3"/>
  <c r="T534" i="3"/>
  <c r="V534" i="3"/>
  <c r="X534" i="3"/>
  <c r="Z534" i="3"/>
  <c r="AA534" i="3"/>
  <c r="AE534" i="3"/>
  <c r="AG534" i="3"/>
  <c r="AI534" i="3"/>
  <c r="AK534" i="3"/>
  <c r="AL534" i="3"/>
  <c r="AN534" i="3"/>
  <c r="AP534" i="3"/>
  <c r="AR534" i="3"/>
  <c r="AS534" i="3"/>
  <c r="R535" i="3"/>
  <c r="T535" i="3"/>
  <c r="V535" i="3"/>
  <c r="X535" i="3"/>
  <c r="Z535" i="3"/>
  <c r="AA535" i="3"/>
  <c r="AE535" i="3"/>
  <c r="AG535" i="3"/>
  <c r="AI535" i="3"/>
  <c r="AK535" i="3"/>
  <c r="AL535" i="3"/>
  <c r="AN535" i="3"/>
  <c r="AP535" i="3"/>
  <c r="AR535" i="3"/>
  <c r="AS535" i="3"/>
  <c r="R536" i="3"/>
  <c r="T536" i="3"/>
  <c r="V536" i="3"/>
  <c r="X536" i="3"/>
  <c r="Z536" i="3"/>
  <c r="AA536" i="3"/>
  <c r="AE536" i="3"/>
  <c r="AG536" i="3"/>
  <c r="AI536" i="3"/>
  <c r="AK536" i="3"/>
  <c r="AL536" i="3"/>
  <c r="AN536" i="3"/>
  <c r="AP536" i="3"/>
  <c r="AR536" i="3"/>
  <c r="AS536" i="3"/>
  <c r="R537" i="3"/>
  <c r="T537" i="3"/>
  <c r="V537" i="3"/>
  <c r="X537" i="3"/>
  <c r="Z537" i="3"/>
  <c r="AA537" i="3"/>
  <c r="AE537" i="3"/>
  <c r="AG537" i="3"/>
  <c r="AI537" i="3"/>
  <c r="AK537" i="3"/>
  <c r="AL537" i="3"/>
  <c r="AN537" i="3"/>
  <c r="AP537" i="3"/>
  <c r="AR537" i="3"/>
  <c r="AS537" i="3"/>
  <c r="R538" i="3"/>
  <c r="T538" i="3"/>
  <c r="V538" i="3"/>
  <c r="X538" i="3"/>
  <c r="Z538" i="3"/>
  <c r="AA538" i="3"/>
  <c r="AE538" i="3"/>
  <c r="AG538" i="3"/>
  <c r="AI538" i="3"/>
  <c r="AK538" i="3"/>
  <c r="AL538" i="3"/>
  <c r="AN538" i="3"/>
  <c r="AP538" i="3"/>
  <c r="AR538" i="3"/>
  <c r="AS538" i="3"/>
  <c r="R539" i="3"/>
  <c r="T539" i="3"/>
  <c r="V539" i="3"/>
  <c r="X539" i="3"/>
  <c r="Z539" i="3"/>
  <c r="AA539" i="3"/>
  <c r="AE539" i="3"/>
  <c r="AG539" i="3"/>
  <c r="AI539" i="3"/>
  <c r="AK539" i="3"/>
  <c r="AL539" i="3"/>
  <c r="AN539" i="3"/>
  <c r="AP539" i="3"/>
  <c r="AR539" i="3"/>
  <c r="AS539" i="3"/>
  <c r="R540" i="3"/>
  <c r="T540" i="3"/>
  <c r="V540" i="3"/>
  <c r="X540" i="3"/>
  <c r="Z540" i="3"/>
  <c r="AA540" i="3"/>
  <c r="AE540" i="3"/>
  <c r="AG540" i="3"/>
  <c r="AI540" i="3"/>
  <c r="AK540" i="3"/>
  <c r="AL540" i="3"/>
  <c r="AN540" i="3"/>
  <c r="AP540" i="3"/>
  <c r="AR540" i="3"/>
  <c r="AS540" i="3"/>
  <c r="R541" i="3"/>
  <c r="T541" i="3"/>
  <c r="V541" i="3"/>
  <c r="X541" i="3"/>
  <c r="Z541" i="3"/>
  <c r="AA541" i="3"/>
  <c r="AE541" i="3"/>
  <c r="AG541" i="3"/>
  <c r="AI541" i="3"/>
  <c r="AK541" i="3"/>
  <c r="AL541" i="3"/>
  <c r="AN541" i="3"/>
  <c r="AP541" i="3"/>
  <c r="AR541" i="3"/>
  <c r="AS541" i="3"/>
  <c r="R542" i="3"/>
  <c r="T542" i="3"/>
  <c r="V542" i="3"/>
  <c r="X542" i="3"/>
  <c r="Z542" i="3"/>
  <c r="AA542" i="3"/>
  <c r="AE542" i="3"/>
  <c r="AG542" i="3"/>
  <c r="AI542" i="3"/>
  <c r="AK542" i="3"/>
  <c r="AL542" i="3"/>
  <c r="AN542" i="3"/>
  <c r="AP542" i="3"/>
  <c r="AR542" i="3"/>
  <c r="AS542" i="3"/>
  <c r="R543" i="3"/>
  <c r="T543" i="3"/>
  <c r="V543" i="3"/>
  <c r="X543" i="3"/>
  <c r="Z543" i="3"/>
  <c r="AA543" i="3"/>
  <c r="AE543" i="3"/>
  <c r="AG543" i="3"/>
  <c r="AI543" i="3"/>
  <c r="AK543" i="3"/>
  <c r="AL543" i="3"/>
  <c r="AN543" i="3"/>
  <c r="AP543" i="3"/>
  <c r="AR543" i="3"/>
  <c r="AS543" i="3"/>
  <c r="R544" i="3"/>
  <c r="T544" i="3"/>
  <c r="V544" i="3"/>
  <c r="X544" i="3"/>
  <c r="Z544" i="3"/>
  <c r="AA544" i="3"/>
  <c r="AE544" i="3"/>
  <c r="AG544" i="3"/>
  <c r="AI544" i="3"/>
  <c r="AK544" i="3"/>
  <c r="AL544" i="3"/>
  <c r="AN544" i="3"/>
  <c r="AP544" i="3"/>
  <c r="AR544" i="3"/>
  <c r="AS544" i="3"/>
  <c r="R545" i="3"/>
  <c r="T545" i="3"/>
  <c r="V545" i="3"/>
  <c r="X545" i="3"/>
  <c r="Z545" i="3"/>
  <c r="AA545" i="3"/>
  <c r="AE545" i="3"/>
  <c r="AG545" i="3"/>
  <c r="AI545" i="3"/>
  <c r="AK545" i="3"/>
  <c r="AL545" i="3"/>
  <c r="AN545" i="3"/>
  <c r="AP545" i="3"/>
  <c r="AR545" i="3"/>
  <c r="AS545" i="3"/>
  <c r="R546" i="3"/>
  <c r="T546" i="3"/>
  <c r="V546" i="3"/>
  <c r="X546" i="3"/>
  <c r="Z546" i="3"/>
  <c r="AA546" i="3"/>
  <c r="AE546" i="3"/>
  <c r="AG546" i="3"/>
  <c r="AI546" i="3"/>
  <c r="AK546" i="3"/>
  <c r="AL546" i="3"/>
  <c r="AN546" i="3"/>
  <c r="AP546" i="3"/>
  <c r="AR546" i="3"/>
  <c r="AS546" i="3"/>
  <c r="R547" i="3"/>
  <c r="T547" i="3"/>
  <c r="V547" i="3"/>
  <c r="X547" i="3"/>
  <c r="Z547" i="3"/>
  <c r="AA547" i="3"/>
  <c r="AE547" i="3"/>
  <c r="AG547" i="3"/>
  <c r="AI547" i="3"/>
  <c r="AK547" i="3"/>
  <c r="AL547" i="3"/>
  <c r="AN547" i="3"/>
  <c r="AP547" i="3"/>
  <c r="AR547" i="3"/>
  <c r="AS547" i="3"/>
  <c r="R548" i="3"/>
  <c r="T548" i="3"/>
  <c r="V548" i="3"/>
  <c r="X548" i="3"/>
  <c r="Z548" i="3"/>
  <c r="AA548" i="3"/>
  <c r="AE548" i="3"/>
  <c r="AG548" i="3"/>
  <c r="AI548" i="3"/>
  <c r="AK548" i="3"/>
  <c r="AL548" i="3"/>
  <c r="AN548" i="3"/>
  <c r="AP548" i="3"/>
  <c r="AR548" i="3"/>
  <c r="AS548" i="3"/>
  <c r="R549" i="3"/>
  <c r="T549" i="3"/>
  <c r="V549" i="3"/>
  <c r="X549" i="3"/>
  <c r="Z549" i="3"/>
  <c r="AA549" i="3"/>
  <c r="AE549" i="3"/>
  <c r="AG549" i="3"/>
  <c r="AI549" i="3"/>
  <c r="AK549" i="3"/>
  <c r="AL549" i="3"/>
  <c r="AN549" i="3"/>
  <c r="AP549" i="3"/>
  <c r="AR549" i="3"/>
  <c r="AS549" i="3"/>
  <c r="R550" i="3"/>
  <c r="T550" i="3"/>
  <c r="V550" i="3"/>
  <c r="X550" i="3"/>
  <c r="Z550" i="3"/>
  <c r="AA550" i="3"/>
  <c r="AE550" i="3"/>
  <c r="AG550" i="3"/>
  <c r="AI550" i="3"/>
  <c r="AK550" i="3"/>
  <c r="AL550" i="3"/>
  <c r="AN550" i="3"/>
  <c r="AP550" i="3"/>
  <c r="AR550" i="3"/>
  <c r="AS550" i="3"/>
  <c r="R551" i="3"/>
  <c r="T551" i="3"/>
  <c r="V551" i="3"/>
  <c r="X551" i="3"/>
  <c r="Z551" i="3"/>
  <c r="AA551" i="3"/>
  <c r="AE551" i="3"/>
  <c r="AG551" i="3"/>
  <c r="AI551" i="3"/>
  <c r="AK551" i="3"/>
  <c r="AL551" i="3"/>
  <c r="AN551" i="3"/>
  <c r="AP551" i="3"/>
  <c r="AR551" i="3"/>
  <c r="AS551" i="3"/>
  <c r="R552" i="3"/>
  <c r="T552" i="3"/>
  <c r="V552" i="3"/>
  <c r="X552" i="3"/>
  <c r="Z552" i="3"/>
  <c r="AA552" i="3"/>
  <c r="AE552" i="3"/>
  <c r="AG552" i="3"/>
  <c r="AI552" i="3"/>
  <c r="AK552" i="3"/>
  <c r="AL552" i="3"/>
  <c r="AN552" i="3"/>
  <c r="AP552" i="3"/>
  <c r="AR552" i="3"/>
  <c r="AS552" i="3"/>
  <c r="R553" i="3"/>
  <c r="T553" i="3"/>
  <c r="V553" i="3"/>
  <c r="X553" i="3"/>
  <c r="Z553" i="3"/>
  <c r="AA553" i="3"/>
  <c r="AE553" i="3"/>
  <c r="AG553" i="3"/>
  <c r="AI553" i="3"/>
  <c r="AK553" i="3"/>
  <c r="AL553" i="3"/>
  <c r="AN553" i="3"/>
  <c r="AP553" i="3"/>
  <c r="AR553" i="3"/>
  <c r="AS553" i="3"/>
  <c r="R554" i="3"/>
  <c r="T554" i="3"/>
  <c r="V554" i="3"/>
  <c r="X554" i="3"/>
  <c r="Z554" i="3"/>
  <c r="AA554" i="3"/>
  <c r="AE554" i="3"/>
  <c r="AG554" i="3"/>
  <c r="AI554" i="3"/>
  <c r="AK554" i="3"/>
  <c r="AL554" i="3"/>
  <c r="AN554" i="3"/>
  <c r="AP554" i="3"/>
  <c r="AR554" i="3"/>
  <c r="AS554" i="3"/>
  <c r="R555" i="3"/>
  <c r="T555" i="3"/>
  <c r="V555" i="3"/>
  <c r="X555" i="3"/>
  <c r="Z555" i="3"/>
  <c r="AA555" i="3"/>
  <c r="AE555" i="3"/>
  <c r="AG555" i="3"/>
  <c r="AI555" i="3"/>
  <c r="AK555" i="3"/>
  <c r="AL555" i="3"/>
  <c r="AN555" i="3"/>
  <c r="AP555" i="3"/>
  <c r="AR555" i="3"/>
  <c r="AS555" i="3"/>
  <c r="R556" i="3"/>
  <c r="T556" i="3"/>
  <c r="V556" i="3"/>
  <c r="X556" i="3"/>
  <c r="Z556" i="3"/>
  <c r="AA556" i="3"/>
  <c r="AE556" i="3"/>
  <c r="AG556" i="3"/>
  <c r="AI556" i="3"/>
  <c r="AK556" i="3"/>
  <c r="AL556" i="3"/>
  <c r="AN556" i="3"/>
  <c r="AP556" i="3"/>
  <c r="AR556" i="3"/>
  <c r="AS556" i="3"/>
  <c r="R557" i="3"/>
  <c r="T557" i="3"/>
  <c r="V557" i="3"/>
  <c r="X557" i="3"/>
  <c r="Z557" i="3"/>
  <c r="AA557" i="3"/>
  <c r="AE557" i="3"/>
  <c r="AG557" i="3"/>
  <c r="AI557" i="3"/>
  <c r="AK557" i="3"/>
  <c r="AL557" i="3"/>
  <c r="AN557" i="3"/>
  <c r="AP557" i="3"/>
  <c r="AR557" i="3"/>
  <c r="AS557" i="3"/>
  <c r="R558" i="3"/>
  <c r="T558" i="3"/>
  <c r="V558" i="3"/>
  <c r="X558" i="3"/>
  <c r="Z558" i="3"/>
  <c r="AA558" i="3"/>
  <c r="AE558" i="3"/>
  <c r="AG558" i="3"/>
  <c r="AI558" i="3"/>
  <c r="AK558" i="3"/>
  <c r="AL558" i="3"/>
  <c r="AN558" i="3"/>
  <c r="AP558" i="3"/>
  <c r="AR558" i="3"/>
  <c r="AS558" i="3"/>
  <c r="R559" i="3"/>
  <c r="T559" i="3"/>
  <c r="V559" i="3"/>
  <c r="X559" i="3"/>
  <c r="Z559" i="3"/>
  <c r="AA559" i="3"/>
  <c r="AE559" i="3"/>
  <c r="AG559" i="3"/>
  <c r="AI559" i="3"/>
  <c r="AK559" i="3"/>
  <c r="AL559" i="3"/>
  <c r="AN559" i="3"/>
  <c r="AP559" i="3"/>
  <c r="AR559" i="3"/>
  <c r="AS559" i="3"/>
  <c r="R560" i="3"/>
  <c r="T560" i="3"/>
  <c r="V560" i="3"/>
  <c r="X560" i="3"/>
  <c r="Z560" i="3"/>
  <c r="AA560" i="3"/>
  <c r="AE560" i="3"/>
  <c r="AG560" i="3"/>
  <c r="AI560" i="3"/>
  <c r="AK560" i="3"/>
  <c r="AL560" i="3"/>
  <c r="AN560" i="3"/>
  <c r="AP560" i="3"/>
  <c r="AR560" i="3"/>
  <c r="AS560" i="3"/>
  <c r="R561" i="3"/>
  <c r="T561" i="3"/>
  <c r="V561" i="3"/>
  <c r="X561" i="3"/>
  <c r="Z561" i="3"/>
  <c r="AA561" i="3"/>
  <c r="AE561" i="3"/>
  <c r="AG561" i="3"/>
  <c r="AI561" i="3"/>
  <c r="AK561" i="3"/>
  <c r="AL561" i="3"/>
  <c r="AN561" i="3"/>
  <c r="AP561" i="3"/>
  <c r="AR561" i="3"/>
  <c r="AS561" i="3"/>
  <c r="R562" i="3"/>
  <c r="T562" i="3"/>
  <c r="V562" i="3"/>
  <c r="X562" i="3"/>
  <c r="Z562" i="3"/>
  <c r="AA562" i="3"/>
  <c r="AE562" i="3"/>
  <c r="AG562" i="3"/>
  <c r="AI562" i="3"/>
  <c r="AK562" i="3"/>
  <c r="AL562" i="3"/>
  <c r="AN562" i="3"/>
  <c r="AP562" i="3"/>
  <c r="AR562" i="3"/>
  <c r="AS562" i="3"/>
  <c r="R563" i="3"/>
  <c r="T563" i="3"/>
  <c r="V563" i="3"/>
  <c r="X563" i="3"/>
  <c r="Z563" i="3"/>
  <c r="AA563" i="3"/>
  <c r="AE563" i="3"/>
  <c r="AG563" i="3"/>
  <c r="AI563" i="3"/>
  <c r="AK563" i="3"/>
  <c r="AL563" i="3"/>
  <c r="AN563" i="3"/>
  <c r="AP563" i="3"/>
  <c r="AR563" i="3"/>
  <c r="AS563" i="3"/>
  <c r="R564" i="3"/>
  <c r="T564" i="3"/>
  <c r="V564" i="3"/>
  <c r="X564" i="3"/>
  <c r="Z564" i="3"/>
  <c r="AA564" i="3"/>
  <c r="AE564" i="3"/>
  <c r="AG564" i="3"/>
  <c r="AI564" i="3"/>
  <c r="AK564" i="3"/>
  <c r="AL564" i="3"/>
  <c r="AN564" i="3"/>
  <c r="AP564" i="3"/>
  <c r="AR564" i="3"/>
  <c r="AS564" i="3"/>
  <c r="R565" i="3"/>
  <c r="T565" i="3"/>
  <c r="V565" i="3"/>
  <c r="X565" i="3"/>
  <c r="Z565" i="3"/>
  <c r="AA565" i="3"/>
  <c r="AE565" i="3"/>
  <c r="AG565" i="3"/>
  <c r="AI565" i="3"/>
  <c r="AK565" i="3"/>
  <c r="AL565" i="3"/>
  <c r="AN565" i="3"/>
  <c r="AP565" i="3"/>
  <c r="AR565" i="3"/>
  <c r="AS565" i="3"/>
  <c r="R566" i="3"/>
  <c r="T566" i="3"/>
  <c r="V566" i="3"/>
  <c r="X566" i="3"/>
  <c r="Z566" i="3"/>
  <c r="AA566" i="3"/>
  <c r="AE566" i="3"/>
  <c r="AG566" i="3"/>
  <c r="AI566" i="3"/>
  <c r="AK566" i="3"/>
  <c r="AL566" i="3"/>
  <c r="AN566" i="3"/>
  <c r="AP566" i="3"/>
  <c r="AR566" i="3"/>
  <c r="AS566" i="3"/>
  <c r="R567" i="3"/>
  <c r="T567" i="3"/>
  <c r="V567" i="3"/>
  <c r="X567" i="3"/>
  <c r="Z567" i="3"/>
  <c r="AA567" i="3"/>
  <c r="AE567" i="3"/>
  <c r="AG567" i="3"/>
  <c r="AI567" i="3"/>
  <c r="AK567" i="3"/>
  <c r="AL567" i="3"/>
  <c r="AN567" i="3"/>
  <c r="AP567" i="3"/>
  <c r="AR567" i="3"/>
  <c r="AS567" i="3"/>
  <c r="R568" i="3"/>
  <c r="T568" i="3"/>
  <c r="V568" i="3"/>
  <c r="X568" i="3"/>
  <c r="Z568" i="3"/>
  <c r="AA568" i="3"/>
  <c r="AE568" i="3"/>
  <c r="AG568" i="3"/>
  <c r="AI568" i="3"/>
  <c r="AK568" i="3"/>
  <c r="AL568" i="3"/>
  <c r="AN568" i="3"/>
  <c r="AP568" i="3"/>
  <c r="AR568" i="3"/>
  <c r="AS568" i="3"/>
  <c r="R569" i="3"/>
  <c r="T569" i="3"/>
  <c r="V569" i="3"/>
  <c r="X569" i="3"/>
  <c r="Z569" i="3"/>
  <c r="AA569" i="3"/>
  <c r="AE569" i="3"/>
  <c r="AG569" i="3"/>
  <c r="AI569" i="3"/>
  <c r="AK569" i="3"/>
  <c r="AL569" i="3"/>
  <c r="AN569" i="3"/>
  <c r="AP569" i="3"/>
  <c r="AR569" i="3"/>
  <c r="AS569" i="3"/>
  <c r="R570" i="3"/>
  <c r="T570" i="3"/>
  <c r="V570" i="3"/>
  <c r="X570" i="3"/>
  <c r="Z570" i="3"/>
  <c r="AA570" i="3"/>
  <c r="AE570" i="3"/>
  <c r="AG570" i="3"/>
  <c r="AI570" i="3"/>
  <c r="AK570" i="3"/>
  <c r="AL570" i="3"/>
  <c r="AN570" i="3"/>
  <c r="AP570" i="3"/>
  <c r="AR570" i="3"/>
  <c r="AS570" i="3"/>
  <c r="R571" i="3"/>
  <c r="T571" i="3"/>
  <c r="V571" i="3"/>
  <c r="X571" i="3"/>
  <c r="Z571" i="3"/>
  <c r="AA571" i="3"/>
  <c r="AE571" i="3"/>
  <c r="AG571" i="3"/>
  <c r="AI571" i="3"/>
  <c r="AK571" i="3"/>
  <c r="AL571" i="3"/>
  <c r="AN571" i="3"/>
  <c r="AP571" i="3"/>
  <c r="AR571" i="3"/>
  <c r="AS571" i="3"/>
  <c r="R572" i="3"/>
  <c r="T572" i="3"/>
  <c r="V572" i="3"/>
  <c r="X572" i="3"/>
  <c r="Z572" i="3"/>
  <c r="AA572" i="3"/>
  <c r="AE572" i="3"/>
  <c r="AG572" i="3"/>
  <c r="AI572" i="3"/>
  <c r="AK572" i="3"/>
  <c r="AL572" i="3"/>
  <c r="AN572" i="3"/>
  <c r="AP572" i="3"/>
  <c r="AR572" i="3"/>
  <c r="AS572" i="3"/>
  <c r="R573" i="3"/>
  <c r="T573" i="3"/>
  <c r="V573" i="3"/>
  <c r="X573" i="3"/>
  <c r="Z573" i="3"/>
  <c r="AA573" i="3"/>
  <c r="AE573" i="3"/>
  <c r="AG573" i="3"/>
  <c r="AI573" i="3"/>
  <c r="AK573" i="3"/>
  <c r="AL573" i="3"/>
  <c r="AN573" i="3"/>
  <c r="AP573" i="3"/>
  <c r="AR573" i="3"/>
  <c r="AS573" i="3"/>
  <c r="R574" i="3"/>
  <c r="T574" i="3"/>
  <c r="V574" i="3"/>
  <c r="X574" i="3"/>
  <c r="Z574" i="3"/>
  <c r="AA574" i="3"/>
  <c r="AE574" i="3"/>
  <c r="AG574" i="3"/>
  <c r="AI574" i="3"/>
  <c r="AK574" i="3"/>
  <c r="AL574" i="3"/>
  <c r="AN574" i="3"/>
  <c r="AP574" i="3"/>
  <c r="AR574" i="3"/>
  <c r="AS574" i="3"/>
  <c r="R575" i="3"/>
  <c r="T575" i="3"/>
  <c r="V575" i="3"/>
  <c r="X575" i="3"/>
  <c r="Z575" i="3"/>
  <c r="AA575" i="3"/>
  <c r="AE575" i="3"/>
  <c r="AG575" i="3"/>
  <c r="AI575" i="3"/>
  <c r="AK575" i="3"/>
  <c r="AL575" i="3"/>
  <c r="AN575" i="3"/>
  <c r="AP575" i="3"/>
  <c r="AR575" i="3"/>
  <c r="AS575" i="3"/>
  <c r="R576" i="3"/>
  <c r="T576" i="3"/>
  <c r="V576" i="3"/>
  <c r="X576" i="3"/>
  <c r="Z576" i="3"/>
  <c r="AA576" i="3"/>
  <c r="AE576" i="3"/>
  <c r="AG576" i="3"/>
  <c r="AI576" i="3"/>
  <c r="AK576" i="3"/>
  <c r="AL576" i="3"/>
  <c r="AN576" i="3"/>
  <c r="AP576" i="3"/>
  <c r="AR576" i="3"/>
  <c r="AS576" i="3"/>
  <c r="R577" i="3"/>
  <c r="T577" i="3"/>
  <c r="V577" i="3"/>
  <c r="X577" i="3"/>
  <c r="Z577" i="3"/>
  <c r="AA577" i="3"/>
  <c r="AE577" i="3"/>
  <c r="AG577" i="3"/>
  <c r="AI577" i="3"/>
  <c r="AK577" i="3"/>
  <c r="AL577" i="3"/>
  <c r="AN577" i="3"/>
  <c r="AP577" i="3"/>
  <c r="AR577" i="3"/>
  <c r="AS577" i="3"/>
  <c r="R578" i="3"/>
  <c r="T578" i="3"/>
  <c r="V578" i="3"/>
  <c r="X578" i="3"/>
  <c r="Z578" i="3"/>
  <c r="AA578" i="3"/>
  <c r="AE578" i="3"/>
  <c r="AG578" i="3"/>
  <c r="AI578" i="3"/>
  <c r="AK578" i="3"/>
  <c r="AL578" i="3"/>
  <c r="AN578" i="3"/>
  <c r="AP578" i="3"/>
  <c r="AR578" i="3"/>
  <c r="AS578" i="3"/>
  <c r="R579" i="3"/>
  <c r="T579" i="3"/>
  <c r="V579" i="3"/>
  <c r="X579" i="3"/>
  <c r="Z579" i="3"/>
  <c r="AA579" i="3"/>
  <c r="AE579" i="3"/>
  <c r="AG579" i="3"/>
  <c r="AI579" i="3"/>
  <c r="AK579" i="3"/>
  <c r="AL579" i="3"/>
  <c r="AN579" i="3"/>
  <c r="AP579" i="3"/>
  <c r="AR579" i="3"/>
  <c r="AS579" i="3"/>
  <c r="R580" i="3"/>
  <c r="T580" i="3"/>
  <c r="V580" i="3"/>
  <c r="X580" i="3"/>
  <c r="Z580" i="3"/>
  <c r="AA580" i="3"/>
  <c r="AE580" i="3"/>
  <c r="AG580" i="3"/>
  <c r="AI580" i="3"/>
  <c r="AK580" i="3"/>
  <c r="AL580" i="3"/>
  <c r="AN580" i="3"/>
  <c r="AP580" i="3"/>
  <c r="AR580" i="3"/>
  <c r="AS580" i="3"/>
  <c r="R581" i="3"/>
  <c r="T581" i="3"/>
  <c r="V581" i="3"/>
  <c r="X581" i="3"/>
  <c r="Z581" i="3"/>
  <c r="AA581" i="3"/>
  <c r="AE581" i="3"/>
  <c r="AG581" i="3"/>
  <c r="AI581" i="3"/>
  <c r="AK581" i="3"/>
  <c r="AL581" i="3"/>
  <c r="AN581" i="3"/>
  <c r="AP581" i="3"/>
  <c r="AR581" i="3"/>
  <c r="AS581" i="3"/>
  <c r="R582" i="3"/>
  <c r="T582" i="3"/>
  <c r="V582" i="3"/>
  <c r="X582" i="3"/>
  <c r="Z582" i="3"/>
  <c r="AA582" i="3"/>
  <c r="AE582" i="3"/>
  <c r="AG582" i="3"/>
  <c r="AI582" i="3"/>
  <c r="AK582" i="3"/>
  <c r="AL582" i="3"/>
  <c r="AN582" i="3"/>
  <c r="AP582" i="3"/>
  <c r="AR582" i="3"/>
  <c r="AS582" i="3"/>
  <c r="R583" i="3"/>
  <c r="T583" i="3"/>
  <c r="V583" i="3"/>
  <c r="X583" i="3"/>
  <c r="Z583" i="3"/>
  <c r="AA583" i="3"/>
  <c r="AE583" i="3"/>
  <c r="AG583" i="3"/>
  <c r="AI583" i="3"/>
  <c r="AK583" i="3"/>
  <c r="AL583" i="3"/>
  <c r="AN583" i="3"/>
  <c r="AP583" i="3"/>
  <c r="AR583" i="3"/>
  <c r="AS583" i="3"/>
  <c r="R584" i="3"/>
  <c r="T584" i="3"/>
  <c r="V584" i="3"/>
  <c r="X584" i="3"/>
  <c r="Z584" i="3"/>
  <c r="AA584" i="3"/>
  <c r="AE584" i="3"/>
  <c r="AG584" i="3"/>
  <c r="AI584" i="3"/>
  <c r="AK584" i="3"/>
  <c r="AL584" i="3"/>
  <c r="AN584" i="3"/>
  <c r="AP584" i="3"/>
  <c r="AR584" i="3"/>
  <c r="AS584" i="3"/>
  <c r="R585" i="3"/>
  <c r="T585" i="3"/>
  <c r="V585" i="3"/>
  <c r="X585" i="3"/>
  <c r="Z585" i="3"/>
  <c r="AA585" i="3"/>
  <c r="AE585" i="3"/>
  <c r="AG585" i="3"/>
  <c r="AI585" i="3"/>
  <c r="AK585" i="3"/>
  <c r="AL585" i="3"/>
  <c r="AN585" i="3"/>
  <c r="AP585" i="3"/>
  <c r="AR585" i="3"/>
  <c r="AS585" i="3"/>
  <c r="R586" i="3"/>
  <c r="T586" i="3"/>
  <c r="V586" i="3"/>
  <c r="X586" i="3"/>
  <c r="Z586" i="3"/>
  <c r="AA586" i="3"/>
  <c r="AE586" i="3"/>
  <c r="AG586" i="3"/>
  <c r="AI586" i="3"/>
  <c r="AK586" i="3"/>
  <c r="AL586" i="3"/>
  <c r="AN586" i="3"/>
  <c r="AP586" i="3"/>
  <c r="AR586" i="3"/>
  <c r="AS586" i="3"/>
  <c r="R587" i="3"/>
  <c r="T587" i="3"/>
  <c r="V587" i="3"/>
  <c r="X587" i="3"/>
  <c r="Z587" i="3"/>
  <c r="AA587" i="3"/>
  <c r="AE587" i="3"/>
  <c r="AG587" i="3"/>
  <c r="AI587" i="3"/>
  <c r="AK587" i="3"/>
  <c r="AL587" i="3"/>
  <c r="AN587" i="3"/>
  <c r="AP587" i="3"/>
  <c r="AR587" i="3"/>
  <c r="AS587" i="3"/>
  <c r="R588" i="3"/>
  <c r="T588" i="3"/>
  <c r="V588" i="3"/>
  <c r="X588" i="3"/>
  <c r="Z588" i="3"/>
  <c r="AA588" i="3"/>
  <c r="AE588" i="3"/>
  <c r="AG588" i="3"/>
  <c r="AI588" i="3"/>
  <c r="AK588" i="3"/>
  <c r="AL588" i="3"/>
  <c r="AN588" i="3"/>
  <c r="AP588" i="3"/>
  <c r="AR588" i="3"/>
  <c r="AS588" i="3"/>
  <c r="R589" i="3"/>
  <c r="T589" i="3"/>
  <c r="V589" i="3"/>
  <c r="X589" i="3"/>
  <c r="Z589" i="3"/>
  <c r="AA589" i="3"/>
  <c r="AE589" i="3"/>
  <c r="AG589" i="3"/>
  <c r="AI589" i="3"/>
  <c r="AK589" i="3"/>
  <c r="AL589" i="3"/>
  <c r="AN589" i="3"/>
  <c r="AP589" i="3"/>
  <c r="AR589" i="3"/>
  <c r="AS589" i="3"/>
  <c r="R590" i="3"/>
  <c r="T590" i="3"/>
  <c r="V590" i="3"/>
  <c r="X590" i="3"/>
  <c r="Z590" i="3"/>
  <c r="AA590" i="3"/>
  <c r="AE590" i="3"/>
  <c r="AG590" i="3"/>
  <c r="AI590" i="3"/>
  <c r="AK590" i="3"/>
  <c r="AL590" i="3"/>
  <c r="AN590" i="3"/>
  <c r="AP590" i="3"/>
  <c r="AR590" i="3"/>
  <c r="AS590" i="3"/>
  <c r="R591" i="3"/>
  <c r="T591" i="3"/>
  <c r="V591" i="3"/>
  <c r="X591" i="3"/>
  <c r="Z591" i="3"/>
  <c r="AA591" i="3"/>
  <c r="AE591" i="3"/>
  <c r="AG591" i="3"/>
  <c r="AI591" i="3"/>
  <c r="AK591" i="3"/>
  <c r="AL591" i="3"/>
  <c r="AN591" i="3"/>
  <c r="AP591" i="3"/>
  <c r="AR591" i="3"/>
  <c r="AS591" i="3"/>
  <c r="R592" i="3"/>
  <c r="T592" i="3"/>
  <c r="V592" i="3"/>
  <c r="X592" i="3"/>
  <c r="Z592" i="3"/>
  <c r="AA592" i="3"/>
  <c r="AE592" i="3"/>
  <c r="AG592" i="3"/>
  <c r="AI592" i="3"/>
  <c r="AK592" i="3"/>
  <c r="AL592" i="3"/>
  <c r="AN592" i="3"/>
  <c r="AP592" i="3"/>
  <c r="AR592" i="3"/>
  <c r="AS592" i="3"/>
  <c r="R593" i="3"/>
  <c r="T593" i="3"/>
  <c r="V593" i="3"/>
  <c r="X593" i="3"/>
  <c r="Z593" i="3"/>
  <c r="AA593" i="3"/>
  <c r="AE593" i="3"/>
  <c r="AG593" i="3"/>
  <c r="AI593" i="3"/>
  <c r="AK593" i="3"/>
  <c r="AL593" i="3"/>
  <c r="AN593" i="3"/>
  <c r="AP593" i="3"/>
  <c r="AR593" i="3"/>
  <c r="AS593" i="3"/>
  <c r="R594" i="3"/>
  <c r="T594" i="3"/>
  <c r="V594" i="3"/>
  <c r="X594" i="3"/>
  <c r="Z594" i="3"/>
  <c r="AA594" i="3"/>
  <c r="AE594" i="3"/>
  <c r="AG594" i="3"/>
  <c r="AI594" i="3"/>
  <c r="AK594" i="3"/>
  <c r="AL594" i="3"/>
  <c r="AN594" i="3"/>
  <c r="AP594" i="3"/>
  <c r="AR594" i="3"/>
  <c r="AS594" i="3"/>
  <c r="R595" i="3"/>
  <c r="T595" i="3"/>
  <c r="V595" i="3"/>
  <c r="X595" i="3"/>
  <c r="Z595" i="3"/>
  <c r="AA595" i="3"/>
  <c r="AE595" i="3"/>
  <c r="AG595" i="3"/>
  <c r="AI595" i="3"/>
  <c r="AK595" i="3"/>
  <c r="AL595" i="3"/>
  <c r="AN595" i="3"/>
  <c r="AP595" i="3"/>
  <c r="AR595" i="3"/>
  <c r="AS595" i="3"/>
  <c r="R596" i="3"/>
  <c r="T596" i="3"/>
  <c r="V596" i="3"/>
  <c r="X596" i="3"/>
  <c r="Z596" i="3"/>
  <c r="AA596" i="3"/>
  <c r="AE596" i="3"/>
  <c r="AG596" i="3"/>
  <c r="AI596" i="3"/>
  <c r="AK596" i="3"/>
  <c r="AL596" i="3"/>
  <c r="AN596" i="3"/>
  <c r="AP596" i="3"/>
  <c r="AR596" i="3"/>
  <c r="AS596" i="3"/>
  <c r="R597" i="3"/>
  <c r="T597" i="3"/>
  <c r="V597" i="3"/>
  <c r="X597" i="3"/>
  <c r="Z597" i="3"/>
  <c r="AA597" i="3"/>
  <c r="AE597" i="3"/>
  <c r="AG597" i="3"/>
  <c r="AI597" i="3"/>
  <c r="AK597" i="3"/>
  <c r="AL597" i="3"/>
  <c r="AN597" i="3"/>
  <c r="AP597" i="3"/>
  <c r="AR597" i="3"/>
  <c r="AS597" i="3"/>
  <c r="R598" i="3"/>
  <c r="T598" i="3"/>
  <c r="V598" i="3"/>
  <c r="X598" i="3"/>
  <c r="Z598" i="3"/>
  <c r="AA598" i="3"/>
  <c r="AE598" i="3"/>
  <c r="AG598" i="3"/>
  <c r="AI598" i="3"/>
  <c r="AK598" i="3"/>
  <c r="AL598" i="3"/>
  <c r="AN598" i="3"/>
  <c r="AP598" i="3"/>
  <c r="AR598" i="3"/>
  <c r="AS598" i="3"/>
  <c r="R599" i="3"/>
  <c r="T599" i="3"/>
  <c r="V599" i="3"/>
  <c r="X599" i="3"/>
  <c r="Z599" i="3"/>
  <c r="AA599" i="3"/>
  <c r="AE599" i="3"/>
  <c r="AG599" i="3"/>
  <c r="AI599" i="3"/>
  <c r="AK599" i="3"/>
  <c r="AL599" i="3"/>
  <c r="AN599" i="3"/>
  <c r="AP599" i="3"/>
  <c r="AR599" i="3"/>
  <c r="AS599" i="3"/>
  <c r="R600" i="3"/>
  <c r="T600" i="3"/>
  <c r="V600" i="3"/>
  <c r="X600" i="3"/>
  <c r="Z600" i="3"/>
  <c r="AA600" i="3"/>
  <c r="AE600" i="3"/>
  <c r="AG600" i="3"/>
  <c r="AI600" i="3"/>
  <c r="AK600" i="3"/>
  <c r="AL600" i="3"/>
  <c r="AN600" i="3"/>
  <c r="AP600" i="3"/>
  <c r="AR600" i="3"/>
  <c r="AS600" i="3"/>
  <c r="R601" i="3"/>
  <c r="T601" i="3"/>
  <c r="V601" i="3"/>
  <c r="X601" i="3"/>
  <c r="Z601" i="3"/>
  <c r="AA601" i="3"/>
  <c r="AE601" i="3"/>
  <c r="AG601" i="3"/>
  <c r="AI601" i="3"/>
  <c r="AK601" i="3"/>
  <c r="AL601" i="3"/>
  <c r="AN601" i="3"/>
  <c r="AP601" i="3"/>
  <c r="AR601" i="3"/>
  <c r="AS601" i="3"/>
  <c r="R602" i="3"/>
  <c r="T602" i="3"/>
  <c r="V602" i="3"/>
  <c r="X602" i="3"/>
  <c r="Z602" i="3"/>
  <c r="AA602" i="3"/>
  <c r="AE602" i="3"/>
  <c r="AG602" i="3"/>
  <c r="AI602" i="3"/>
  <c r="AK602" i="3"/>
  <c r="AL602" i="3"/>
  <c r="AN602" i="3"/>
  <c r="AP602" i="3"/>
  <c r="AR602" i="3"/>
  <c r="AS602" i="3"/>
  <c r="R603" i="3"/>
  <c r="T603" i="3"/>
  <c r="V603" i="3"/>
  <c r="X603" i="3"/>
  <c r="Z603" i="3"/>
  <c r="AA603" i="3"/>
  <c r="AE603" i="3"/>
  <c r="AG603" i="3"/>
  <c r="AI603" i="3"/>
  <c r="AK603" i="3"/>
  <c r="AL603" i="3"/>
  <c r="AN603" i="3"/>
  <c r="AP603" i="3"/>
  <c r="AR603" i="3"/>
  <c r="AS603" i="3"/>
  <c r="R604" i="3"/>
  <c r="T604" i="3"/>
  <c r="V604" i="3"/>
  <c r="X604" i="3"/>
  <c r="Z604" i="3"/>
  <c r="AA604" i="3"/>
  <c r="AE604" i="3"/>
  <c r="AG604" i="3"/>
  <c r="AI604" i="3"/>
  <c r="AK604" i="3"/>
  <c r="AL604" i="3"/>
  <c r="AN604" i="3"/>
  <c r="AP604" i="3"/>
  <c r="AR604" i="3"/>
  <c r="AS604" i="3"/>
  <c r="R605" i="3"/>
  <c r="T605" i="3"/>
  <c r="V605" i="3"/>
  <c r="X605" i="3"/>
  <c r="Z605" i="3"/>
  <c r="AA605" i="3"/>
  <c r="AE605" i="3"/>
  <c r="AG605" i="3"/>
  <c r="AI605" i="3"/>
  <c r="AK605" i="3"/>
  <c r="AL605" i="3"/>
  <c r="AN605" i="3"/>
  <c r="AP605" i="3"/>
  <c r="AR605" i="3"/>
  <c r="AS605" i="3"/>
  <c r="R606" i="3"/>
  <c r="T606" i="3"/>
  <c r="V606" i="3"/>
  <c r="X606" i="3"/>
  <c r="Z606" i="3"/>
  <c r="AA606" i="3"/>
  <c r="AE606" i="3"/>
  <c r="AG606" i="3"/>
  <c r="AI606" i="3"/>
  <c r="AK606" i="3"/>
  <c r="AL606" i="3"/>
  <c r="AN606" i="3"/>
  <c r="AP606" i="3"/>
  <c r="AR606" i="3"/>
  <c r="AS606" i="3"/>
  <c r="R607" i="3"/>
  <c r="T607" i="3"/>
  <c r="V607" i="3"/>
  <c r="X607" i="3"/>
  <c r="Z607" i="3"/>
  <c r="AA607" i="3"/>
  <c r="AE607" i="3"/>
  <c r="AG607" i="3"/>
  <c r="AI607" i="3"/>
  <c r="AK607" i="3"/>
  <c r="AL607" i="3"/>
  <c r="AN607" i="3"/>
  <c r="AP607" i="3"/>
  <c r="AR607" i="3"/>
  <c r="AS607" i="3"/>
  <c r="R608" i="3"/>
  <c r="T608" i="3"/>
  <c r="V608" i="3"/>
  <c r="X608" i="3"/>
  <c r="Z608" i="3"/>
  <c r="AA608" i="3"/>
  <c r="AE608" i="3"/>
  <c r="AG608" i="3"/>
  <c r="AI608" i="3"/>
  <c r="AK608" i="3"/>
  <c r="AL608" i="3"/>
  <c r="AN608" i="3"/>
  <c r="AP608" i="3"/>
  <c r="AR608" i="3"/>
  <c r="AS608" i="3"/>
  <c r="R609" i="3"/>
  <c r="T609" i="3"/>
  <c r="V609" i="3"/>
  <c r="X609" i="3"/>
  <c r="Z609" i="3"/>
  <c r="AA609" i="3"/>
  <c r="AE609" i="3"/>
  <c r="AG609" i="3"/>
  <c r="AI609" i="3"/>
  <c r="AK609" i="3"/>
  <c r="AL609" i="3"/>
  <c r="AN609" i="3"/>
  <c r="AP609" i="3"/>
  <c r="AR609" i="3"/>
  <c r="AS609" i="3"/>
  <c r="R610" i="3"/>
  <c r="T610" i="3"/>
  <c r="V610" i="3"/>
  <c r="X610" i="3"/>
  <c r="Z610" i="3"/>
  <c r="AA610" i="3"/>
  <c r="AE610" i="3"/>
  <c r="AG610" i="3"/>
  <c r="AI610" i="3"/>
  <c r="AK610" i="3"/>
  <c r="AL610" i="3"/>
  <c r="AN610" i="3"/>
  <c r="AP610" i="3"/>
  <c r="AR610" i="3"/>
  <c r="AS610" i="3"/>
  <c r="R611" i="3"/>
  <c r="T611" i="3"/>
  <c r="V611" i="3"/>
  <c r="X611" i="3"/>
  <c r="Z611" i="3"/>
  <c r="AA611" i="3"/>
  <c r="AE611" i="3"/>
  <c r="AG611" i="3"/>
  <c r="AI611" i="3"/>
  <c r="AK611" i="3"/>
  <c r="AL611" i="3"/>
  <c r="AN611" i="3"/>
  <c r="AP611" i="3"/>
  <c r="AR611" i="3"/>
  <c r="AS611" i="3"/>
  <c r="R612" i="3"/>
  <c r="T612" i="3"/>
  <c r="V612" i="3"/>
  <c r="X612" i="3"/>
  <c r="Z612" i="3"/>
  <c r="AA612" i="3"/>
  <c r="AE612" i="3"/>
  <c r="AG612" i="3"/>
  <c r="AI612" i="3"/>
  <c r="AK612" i="3"/>
  <c r="AL612" i="3"/>
  <c r="AN612" i="3"/>
  <c r="AP612" i="3"/>
  <c r="AR612" i="3"/>
  <c r="AS612" i="3"/>
  <c r="R613" i="3"/>
  <c r="T613" i="3"/>
  <c r="V613" i="3"/>
  <c r="X613" i="3"/>
  <c r="Z613" i="3"/>
  <c r="AA613" i="3"/>
  <c r="AE613" i="3"/>
  <c r="AG613" i="3"/>
  <c r="AI613" i="3"/>
  <c r="AK613" i="3"/>
  <c r="AL613" i="3"/>
  <c r="AN613" i="3"/>
  <c r="AP613" i="3"/>
  <c r="AR613" i="3"/>
  <c r="AS613" i="3"/>
  <c r="R614" i="3"/>
  <c r="T614" i="3"/>
  <c r="V614" i="3"/>
  <c r="X614" i="3"/>
  <c r="Z614" i="3"/>
  <c r="AA614" i="3"/>
  <c r="AE614" i="3"/>
  <c r="AG614" i="3"/>
  <c r="AI614" i="3"/>
  <c r="AK614" i="3"/>
  <c r="AL614" i="3"/>
  <c r="AN614" i="3"/>
  <c r="AP614" i="3"/>
  <c r="AR614" i="3"/>
  <c r="AS614" i="3"/>
  <c r="R615" i="3"/>
  <c r="T615" i="3"/>
  <c r="V615" i="3"/>
  <c r="X615" i="3"/>
  <c r="Z615" i="3"/>
  <c r="AA615" i="3"/>
  <c r="AE615" i="3"/>
  <c r="AG615" i="3"/>
  <c r="AI615" i="3"/>
  <c r="AK615" i="3"/>
  <c r="AL615" i="3"/>
  <c r="AN615" i="3"/>
  <c r="AP615" i="3"/>
  <c r="AR615" i="3"/>
  <c r="AS615" i="3"/>
  <c r="R616" i="3"/>
  <c r="T616" i="3"/>
  <c r="V616" i="3"/>
  <c r="X616" i="3"/>
  <c r="Z616" i="3"/>
  <c r="AA616" i="3"/>
  <c r="AE616" i="3"/>
  <c r="AG616" i="3"/>
  <c r="AI616" i="3"/>
  <c r="AK616" i="3"/>
  <c r="AL616" i="3"/>
  <c r="AN616" i="3"/>
  <c r="AP616" i="3"/>
  <c r="AR616" i="3"/>
  <c r="AS616" i="3"/>
  <c r="R617" i="3"/>
  <c r="T617" i="3"/>
  <c r="V617" i="3"/>
  <c r="X617" i="3"/>
  <c r="Z617" i="3"/>
  <c r="AA617" i="3"/>
  <c r="AE617" i="3"/>
  <c r="AG617" i="3"/>
  <c r="AI617" i="3"/>
  <c r="AK617" i="3"/>
  <c r="AL617" i="3"/>
  <c r="AN617" i="3"/>
  <c r="AP617" i="3"/>
  <c r="AR617" i="3"/>
  <c r="AS617" i="3"/>
  <c r="R618" i="3"/>
  <c r="T618" i="3"/>
  <c r="V618" i="3"/>
  <c r="X618" i="3"/>
  <c r="Z618" i="3"/>
  <c r="AA618" i="3"/>
  <c r="AE618" i="3"/>
  <c r="AG618" i="3"/>
  <c r="AI618" i="3"/>
  <c r="AK618" i="3"/>
  <c r="AL618" i="3"/>
  <c r="AN618" i="3"/>
  <c r="AP618" i="3"/>
  <c r="AR618" i="3"/>
  <c r="AS618" i="3"/>
  <c r="R619" i="3"/>
  <c r="T619" i="3"/>
  <c r="V619" i="3"/>
  <c r="X619" i="3"/>
  <c r="Z619" i="3"/>
  <c r="AA619" i="3"/>
  <c r="AE619" i="3"/>
  <c r="AG619" i="3"/>
  <c r="AI619" i="3"/>
  <c r="AK619" i="3"/>
  <c r="AL619" i="3"/>
  <c r="AN619" i="3"/>
  <c r="AP619" i="3"/>
  <c r="AR619" i="3"/>
  <c r="AS619" i="3"/>
  <c r="R620" i="3"/>
  <c r="T620" i="3"/>
  <c r="V620" i="3"/>
  <c r="X620" i="3"/>
  <c r="Z620" i="3"/>
  <c r="AA620" i="3"/>
  <c r="AE620" i="3"/>
  <c r="AG620" i="3"/>
  <c r="AI620" i="3"/>
  <c r="AK620" i="3"/>
  <c r="AL620" i="3"/>
  <c r="AN620" i="3"/>
  <c r="AP620" i="3"/>
  <c r="AR620" i="3"/>
  <c r="AS620" i="3"/>
  <c r="R621" i="3"/>
  <c r="T621" i="3"/>
  <c r="V621" i="3"/>
  <c r="X621" i="3"/>
  <c r="Z621" i="3"/>
  <c r="AA621" i="3"/>
  <c r="AE621" i="3"/>
  <c r="AG621" i="3"/>
  <c r="AI621" i="3"/>
  <c r="AK621" i="3"/>
  <c r="AL621" i="3"/>
  <c r="AN621" i="3"/>
  <c r="AP621" i="3"/>
  <c r="AR621" i="3"/>
  <c r="AS621" i="3"/>
  <c r="R622" i="3"/>
  <c r="T622" i="3"/>
  <c r="V622" i="3"/>
  <c r="X622" i="3"/>
  <c r="Z622" i="3"/>
  <c r="AA622" i="3"/>
  <c r="AE622" i="3"/>
  <c r="AG622" i="3"/>
  <c r="AI622" i="3"/>
  <c r="AK622" i="3"/>
  <c r="AL622" i="3"/>
  <c r="AN622" i="3"/>
  <c r="AP622" i="3"/>
  <c r="AR622" i="3"/>
  <c r="AS622" i="3"/>
  <c r="R623" i="3"/>
  <c r="T623" i="3"/>
  <c r="V623" i="3"/>
  <c r="X623" i="3"/>
  <c r="Z623" i="3"/>
  <c r="AA623" i="3"/>
  <c r="AE623" i="3"/>
  <c r="AG623" i="3"/>
  <c r="AI623" i="3"/>
  <c r="AK623" i="3"/>
  <c r="AL623" i="3"/>
  <c r="AN623" i="3"/>
  <c r="AP623" i="3"/>
  <c r="AR623" i="3"/>
  <c r="AS623" i="3"/>
  <c r="R624" i="3"/>
  <c r="T624" i="3"/>
  <c r="V624" i="3"/>
  <c r="X624" i="3"/>
  <c r="Z624" i="3"/>
  <c r="AA624" i="3"/>
  <c r="AE624" i="3"/>
  <c r="AG624" i="3"/>
  <c r="AI624" i="3"/>
  <c r="AK624" i="3"/>
  <c r="AL624" i="3"/>
  <c r="AN624" i="3"/>
  <c r="AP624" i="3"/>
  <c r="AR624" i="3"/>
  <c r="AS624" i="3"/>
  <c r="R625" i="3"/>
  <c r="T625" i="3"/>
  <c r="V625" i="3"/>
  <c r="X625" i="3"/>
  <c r="Z625" i="3"/>
  <c r="AA625" i="3"/>
  <c r="AE625" i="3"/>
  <c r="AG625" i="3"/>
  <c r="AI625" i="3"/>
  <c r="AK625" i="3"/>
  <c r="AL625" i="3"/>
  <c r="AN625" i="3"/>
  <c r="AP625" i="3"/>
  <c r="AR625" i="3"/>
  <c r="AS625" i="3"/>
  <c r="R626" i="3"/>
  <c r="T626" i="3"/>
  <c r="V626" i="3"/>
  <c r="X626" i="3"/>
  <c r="Z626" i="3"/>
  <c r="AA626" i="3"/>
  <c r="AE626" i="3"/>
  <c r="AG626" i="3"/>
  <c r="AI626" i="3"/>
  <c r="AK626" i="3"/>
  <c r="AL626" i="3"/>
  <c r="AN626" i="3"/>
  <c r="AP626" i="3"/>
  <c r="AR626" i="3"/>
  <c r="AS626" i="3"/>
  <c r="R627" i="3"/>
  <c r="T627" i="3"/>
  <c r="V627" i="3"/>
  <c r="X627" i="3"/>
  <c r="Z627" i="3"/>
  <c r="AA627" i="3"/>
  <c r="AE627" i="3"/>
  <c r="AG627" i="3"/>
  <c r="AI627" i="3"/>
  <c r="AK627" i="3"/>
  <c r="AL627" i="3"/>
  <c r="AN627" i="3"/>
  <c r="AP627" i="3"/>
  <c r="AR627" i="3"/>
  <c r="AS627" i="3"/>
  <c r="R628" i="3"/>
  <c r="T628" i="3"/>
  <c r="V628" i="3"/>
  <c r="X628" i="3"/>
  <c r="Z628" i="3"/>
  <c r="AA628" i="3"/>
  <c r="AE628" i="3"/>
  <c r="AG628" i="3"/>
  <c r="AI628" i="3"/>
  <c r="AK628" i="3"/>
  <c r="AL628" i="3"/>
  <c r="AN628" i="3"/>
  <c r="AP628" i="3"/>
  <c r="AR628" i="3"/>
  <c r="AS628" i="3"/>
  <c r="R629" i="3"/>
  <c r="T629" i="3"/>
  <c r="V629" i="3"/>
  <c r="X629" i="3"/>
  <c r="Z629" i="3"/>
  <c r="AA629" i="3"/>
  <c r="AE629" i="3"/>
  <c r="AG629" i="3"/>
  <c r="AI629" i="3"/>
  <c r="AK629" i="3"/>
  <c r="AL629" i="3"/>
  <c r="AN629" i="3"/>
  <c r="AP629" i="3"/>
  <c r="AR629" i="3"/>
  <c r="AS629" i="3"/>
  <c r="R630" i="3"/>
  <c r="T630" i="3"/>
  <c r="V630" i="3"/>
  <c r="X630" i="3"/>
  <c r="Z630" i="3"/>
  <c r="AA630" i="3"/>
  <c r="AE630" i="3"/>
  <c r="AG630" i="3"/>
  <c r="AI630" i="3"/>
  <c r="AK630" i="3"/>
  <c r="AL630" i="3"/>
  <c r="AN630" i="3"/>
  <c r="AP630" i="3"/>
  <c r="AR630" i="3"/>
  <c r="AS630" i="3"/>
  <c r="R631" i="3"/>
  <c r="T631" i="3"/>
  <c r="V631" i="3"/>
  <c r="X631" i="3"/>
  <c r="Z631" i="3"/>
  <c r="AA631" i="3"/>
  <c r="AE631" i="3"/>
  <c r="AG631" i="3"/>
  <c r="AI631" i="3"/>
  <c r="AK631" i="3"/>
  <c r="AL631" i="3"/>
  <c r="AN631" i="3"/>
  <c r="AP631" i="3"/>
  <c r="AR631" i="3"/>
  <c r="AS631" i="3"/>
  <c r="R632" i="3"/>
  <c r="T632" i="3"/>
  <c r="V632" i="3"/>
  <c r="X632" i="3"/>
  <c r="Z632" i="3"/>
  <c r="AA632" i="3"/>
  <c r="AE632" i="3"/>
  <c r="AG632" i="3"/>
  <c r="AI632" i="3"/>
  <c r="AK632" i="3"/>
  <c r="AL632" i="3"/>
  <c r="AN632" i="3"/>
  <c r="AP632" i="3"/>
  <c r="AR632" i="3"/>
  <c r="AS632" i="3"/>
  <c r="R633" i="3"/>
  <c r="T633" i="3"/>
  <c r="V633" i="3"/>
  <c r="X633" i="3"/>
  <c r="Z633" i="3"/>
  <c r="AA633" i="3"/>
  <c r="AE633" i="3"/>
  <c r="AG633" i="3"/>
  <c r="AI633" i="3"/>
  <c r="AK633" i="3"/>
  <c r="AL633" i="3"/>
  <c r="AN633" i="3"/>
  <c r="AP633" i="3"/>
  <c r="AR633" i="3"/>
  <c r="AS633" i="3"/>
  <c r="R634" i="3"/>
  <c r="T634" i="3"/>
  <c r="V634" i="3"/>
  <c r="X634" i="3"/>
  <c r="Z634" i="3"/>
  <c r="AA634" i="3"/>
  <c r="AE634" i="3"/>
  <c r="AG634" i="3"/>
  <c r="AI634" i="3"/>
  <c r="AK634" i="3"/>
  <c r="AL634" i="3"/>
  <c r="AN634" i="3"/>
  <c r="AP634" i="3"/>
  <c r="AR634" i="3"/>
  <c r="AS634" i="3"/>
  <c r="R635" i="3"/>
  <c r="T635" i="3"/>
  <c r="V635" i="3"/>
  <c r="X635" i="3"/>
  <c r="Z635" i="3"/>
  <c r="AA635" i="3"/>
  <c r="AE635" i="3"/>
  <c r="AG635" i="3"/>
  <c r="AI635" i="3"/>
  <c r="AK635" i="3"/>
  <c r="AL635" i="3"/>
  <c r="AN635" i="3"/>
  <c r="AP635" i="3"/>
  <c r="AR635" i="3"/>
  <c r="AS635" i="3"/>
  <c r="R636" i="3"/>
  <c r="T636" i="3"/>
  <c r="V636" i="3"/>
  <c r="X636" i="3"/>
  <c r="Z636" i="3"/>
  <c r="AA636" i="3"/>
  <c r="AE636" i="3"/>
  <c r="AG636" i="3"/>
  <c r="AI636" i="3"/>
  <c r="AK636" i="3"/>
  <c r="AL636" i="3"/>
  <c r="AN636" i="3"/>
  <c r="AP636" i="3"/>
  <c r="AR636" i="3"/>
  <c r="AS636" i="3"/>
  <c r="R637" i="3"/>
  <c r="T637" i="3"/>
  <c r="V637" i="3"/>
  <c r="X637" i="3"/>
  <c r="Z637" i="3"/>
  <c r="AA637" i="3"/>
  <c r="AE637" i="3"/>
  <c r="AG637" i="3"/>
  <c r="AI637" i="3"/>
  <c r="AK637" i="3"/>
  <c r="AL637" i="3"/>
  <c r="AN637" i="3"/>
  <c r="AP637" i="3"/>
  <c r="AR637" i="3"/>
  <c r="AS637" i="3"/>
  <c r="R638" i="3"/>
  <c r="T638" i="3"/>
  <c r="V638" i="3"/>
  <c r="X638" i="3"/>
  <c r="Z638" i="3"/>
  <c r="AA638" i="3"/>
  <c r="AE638" i="3"/>
  <c r="AG638" i="3"/>
  <c r="AI638" i="3"/>
  <c r="AK638" i="3"/>
  <c r="AL638" i="3"/>
  <c r="AN638" i="3"/>
  <c r="AP638" i="3"/>
  <c r="AR638" i="3"/>
  <c r="AS638" i="3"/>
  <c r="R639" i="3"/>
  <c r="T639" i="3"/>
  <c r="V639" i="3"/>
  <c r="X639" i="3"/>
  <c r="Z639" i="3"/>
  <c r="AA639" i="3"/>
  <c r="AE639" i="3"/>
  <c r="AG639" i="3"/>
  <c r="AI639" i="3"/>
  <c r="AK639" i="3"/>
  <c r="AL639" i="3"/>
  <c r="AN639" i="3"/>
  <c r="AP639" i="3"/>
  <c r="AR639" i="3"/>
  <c r="AS639" i="3"/>
  <c r="R640" i="3"/>
  <c r="T640" i="3"/>
  <c r="V640" i="3"/>
  <c r="X640" i="3"/>
  <c r="Z640" i="3"/>
  <c r="AA640" i="3"/>
  <c r="AE640" i="3"/>
  <c r="AG640" i="3"/>
  <c r="AI640" i="3"/>
  <c r="AK640" i="3"/>
  <c r="AL640" i="3"/>
  <c r="AN640" i="3"/>
  <c r="AP640" i="3"/>
  <c r="AR640" i="3"/>
  <c r="AS640" i="3"/>
  <c r="R641" i="3"/>
  <c r="T641" i="3"/>
  <c r="V641" i="3"/>
  <c r="X641" i="3"/>
  <c r="Z641" i="3"/>
  <c r="AA641" i="3"/>
  <c r="AE641" i="3"/>
  <c r="AG641" i="3"/>
  <c r="AI641" i="3"/>
  <c r="AK641" i="3"/>
  <c r="AL641" i="3"/>
  <c r="AN641" i="3"/>
  <c r="AP641" i="3"/>
  <c r="AR641" i="3"/>
  <c r="AS641" i="3"/>
  <c r="R642" i="3"/>
  <c r="T642" i="3"/>
  <c r="V642" i="3"/>
  <c r="X642" i="3"/>
  <c r="Z642" i="3"/>
  <c r="AA642" i="3"/>
  <c r="AE642" i="3"/>
  <c r="AG642" i="3"/>
  <c r="AI642" i="3"/>
  <c r="AK642" i="3"/>
  <c r="AL642" i="3"/>
  <c r="AN642" i="3"/>
  <c r="AP642" i="3"/>
  <c r="AR642" i="3"/>
  <c r="AS642" i="3"/>
  <c r="R643" i="3"/>
  <c r="T643" i="3"/>
  <c r="V643" i="3"/>
  <c r="X643" i="3"/>
  <c r="Z643" i="3"/>
  <c r="AA643" i="3"/>
  <c r="AE643" i="3"/>
  <c r="AG643" i="3"/>
  <c r="AI643" i="3"/>
  <c r="AK643" i="3"/>
  <c r="AL643" i="3"/>
  <c r="AN643" i="3"/>
  <c r="AP643" i="3"/>
  <c r="AR643" i="3"/>
  <c r="AS643" i="3"/>
  <c r="R644" i="3"/>
  <c r="T644" i="3"/>
  <c r="V644" i="3"/>
  <c r="X644" i="3"/>
  <c r="Z644" i="3"/>
  <c r="AA644" i="3"/>
  <c r="AE644" i="3"/>
  <c r="AG644" i="3"/>
  <c r="AI644" i="3"/>
  <c r="AK644" i="3"/>
  <c r="AL644" i="3"/>
  <c r="AN644" i="3"/>
  <c r="AP644" i="3"/>
  <c r="AR644" i="3"/>
  <c r="AS644" i="3"/>
  <c r="R645" i="3"/>
  <c r="T645" i="3"/>
  <c r="V645" i="3"/>
  <c r="X645" i="3"/>
  <c r="Z645" i="3"/>
  <c r="AA645" i="3"/>
  <c r="AE645" i="3"/>
  <c r="AG645" i="3"/>
  <c r="AI645" i="3"/>
  <c r="AK645" i="3"/>
  <c r="AL645" i="3"/>
  <c r="AN645" i="3"/>
  <c r="AP645" i="3"/>
  <c r="AR645" i="3"/>
  <c r="AS645" i="3"/>
  <c r="R646" i="3"/>
  <c r="T646" i="3"/>
  <c r="V646" i="3"/>
  <c r="X646" i="3"/>
  <c r="Z646" i="3"/>
  <c r="AA646" i="3"/>
  <c r="AE646" i="3"/>
  <c r="AG646" i="3"/>
  <c r="AI646" i="3"/>
  <c r="AK646" i="3"/>
  <c r="AL646" i="3"/>
  <c r="AN646" i="3"/>
  <c r="AP646" i="3"/>
  <c r="AR646" i="3"/>
  <c r="AS646" i="3"/>
  <c r="R647" i="3"/>
  <c r="T647" i="3"/>
  <c r="V647" i="3"/>
  <c r="X647" i="3"/>
  <c r="Z647" i="3"/>
  <c r="AA647" i="3"/>
  <c r="AE647" i="3"/>
  <c r="AG647" i="3"/>
  <c r="AI647" i="3"/>
  <c r="AK647" i="3"/>
  <c r="AL647" i="3"/>
  <c r="AN647" i="3"/>
  <c r="AP647" i="3"/>
  <c r="AR647" i="3"/>
  <c r="AS647" i="3"/>
  <c r="R648" i="3"/>
  <c r="T648" i="3"/>
  <c r="V648" i="3"/>
  <c r="X648" i="3"/>
  <c r="Z648" i="3"/>
  <c r="AA648" i="3"/>
  <c r="AE648" i="3"/>
  <c r="AG648" i="3"/>
  <c r="AI648" i="3"/>
  <c r="AK648" i="3"/>
  <c r="AL648" i="3"/>
  <c r="AN648" i="3"/>
  <c r="AP648" i="3"/>
  <c r="AR648" i="3"/>
  <c r="AS648" i="3"/>
  <c r="R649" i="3"/>
  <c r="T649" i="3"/>
  <c r="V649" i="3"/>
  <c r="X649" i="3"/>
  <c r="Z649" i="3"/>
  <c r="AA649" i="3"/>
  <c r="AE649" i="3"/>
  <c r="AG649" i="3"/>
  <c r="AI649" i="3"/>
  <c r="AK649" i="3"/>
  <c r="AL649" i="3"/>
  <c r="AN649" i="3"/>
  <c r="AP649" i="3"/>
  <c r="AR649" i="3"/>
  <c r="AS649" i="3"/>
  <c r="R650" i="3"/>
  <c r="T650" i="3"/>
  <c r="V650" i="3"/>
  <c r="X650" i="3"/>
  <c r="Z650" i="3"/>
  <c r="AA650" i="3"/>
  <c r="AE650" i="3"/>
  <c r="AG650" i="3"/>
  <c r="AI650" i="3"/>
  <c r="AK650" i="3"/>
  <c r="AL650" i="3"/>
  <c r="AN650" i="3"/>
  <c r="AP650" i="3"/>
  <c r="AR650" i="3"/>
  <c r="AS650" i="3"/>
  <c r="R651" i="3"/>
  <c r="T651" i="3"/>
  <c r="V651" i="3"/>
  <c r="X651" i="3"/>
  <c r="Z651" i="3"/>
  <c r="AA651" i="3"/>
  <c r="AE651" i="3"/>
  <c r="AG651" i="3"/>
  <c r="AI651" i="3"/>
  <c r="AK651" i="3"/>
  <c r="AL651" i="3"/>
  <c r="AN651" i="3"/>
  <c r="AP651" i="3"/>
  <c r="AR651" i="3"/>
  <c r="AS651" i="3"/>
  <c r="R652" i="3"/>
  <c r="T652" i="3"/>
  <c r="V652" i="3"/>
  <c r="X652" i="3"/>
  <c r="Z652" i="3"/>
  <c r="AA652" i="3"/>
  <c r="AE652" i="3"/>
  <c r="AG652" i="3"/>
  <c r="AI652" i="3"/>
  <c r="AK652" i="3"/>
  <c r="AL652" i="3"/>
  <c r="AN652" i="3"/>
  <c r="AP652" i="3"/>
  <c r="AR652" i="3"/>
  <c r="AS652" i="3"/>
  <c r="R653" i="3"/>
  <c r="T653" i="3"/>
  <c r="V653" i="3"/>
  <c r="X653" i="3"/>
  <c r="Z653" i="3"/>
  <c r="AA653" i="3"/>
  <c r="AE653" i="3"/>
  <c r="AG653" i="3"/>
  <c r="AI653" i="3"/>
  <c r="AK653" i="3"/>
  <c r="AL653" i="3"/>
  <c r="AN653" i="3"/>
  <c r="AP653" i="3"/>
  <c r="AR653" i="3"/>
  <c r="AS653" i="3"/>
  <c r="R654" i="3"/>
  <c r="T654" i="3"/>
  <c r="V654" i="3"/>
  <c r="X654" i="3"/>
  <c r="Z654" i="3"/>
  <c r="AA654" i="3"/>
  <c r="AE654" i="3"/>
  <c r="AG654" i="3"/>
  <c r="AI654" i="3"/>
  <c r="AK654" i="3"/>
  <c r="AL654" i="3"/>
  <c r="AN654" i="3"/>
  <c r="AP654" i="3"/>
  <c r="AR654" i="3"/>
  <c r="AS654" i="3"/>
  <c r="R655" i="3"/>
  <c r="T655" i="3"/>
  <c r="V655" i="3"/>
  <c r="X655" i="3"/>
  <c r="Z655" i="3"/>
  <c r="AA655" i="3"/>
  <c r="AE655" i="3"/>
  <c r="AG655" i="3"/>
  <c r="AI655" i="3"/>
  <c r="AK655" i="3"/>
  <c r="AL655" i="3"/>
  <c r="AN655" i="3"/>
  <c r="AP655" i="3"/>
  <c r="AR655" i="3"/>
  <c r="AS655" i="3"/>
  <c r="R656" i="3"/>
  <c r="T656" i="3"/>
  <c r="V656" i="3"/>
  <c r="X656" i="3"/>
  <c r="Z656" i="3"/>
  <c r="AA656" i="3"/>
  <c r="AE656" i="3"/>
  <c r="AG656" i="3"/>
  <c r="AI656" i="3"/>
  <c r="AK656" i="3"/>
  <c r="AL656" i="3"/>
  <c r="AN656" i="3"/>
  <c r="AP656" i="3"/>
  <c r="AR656" i="3"/>
  <c r="AS656" i="3"/>
  <c r="R657" i="3"/>
  <c r="T657" i="3"/>
  <c r="V657" i="3"/>
  <c r="X657" i="3"/>
  <c r="Z657" i="3"/>
  <c r="AA657" i="3"/>
  <c r="AE657" i="3"/>
  <c r="AG657" i="3"/>
  <c r="AI657" i="3"/>
  <c r="AK657" i="3"/>
  <c r="AL657" i="3"/>
  <c r="AN657" i="3"/>
  <c r="AP657" i="3"/>
  <c r="AR657" i="3"/>
  <c r="AS657" i="3"/>
  <c r="R658" i="3"/>
  <c r="T658" i="3"/>
  <c r="V658" i="3"/>
  <c r="X658" i="3"/>
  <c r="Z658" i="3"/>
  <c r="AA658" i="3"/>
  <c r="AE658" i="3"/>
  <c r="AG658" i="3"/>
  <c r="AI658" i="3"/>
  <c r="AK658" i="3"/>
  <c r="AL658" i="3"/>
  <c r="AN658" i="3"/>
  <c r="AP658" i="3"/>
  <c r="AR658" i="3"/>
  <c r="AS658" i="3"/>
  <c r="R659" i="3"/>
  <c r="T659" i="3"/>
  <c r="V659" i="3"/>
  <c r="X659" i="3"/>
  <c r="Z659" i="3"/>
  <c r="AA659" i="3"/>
  <c r="AE659" i="3"/>
  <c r="AG659" i="3"/>
  <c r="AI659" i="3"/>
  <c r="AK659" i="3"/>
  <c r="AL659" i="3"/>
  <c r="AN659" i="3"/>
  <c r="AP659" i="3"/>
  <c r="AR659" i="3"/>
  <c r="AS659" i="3"/>
  <c r="R660" i="3"/>
  <c r="T660" i="3"/>
  <c r="V660" i="3"/>
  <c r="X660" i="3"/>
  <c r="Z660" i="3"/>
  <c r="AA660" i="3"/>
  <c r="AE660" i="3"/>
  <c r="AG660" i="3"/>
  <c r="AI660" i="3"/>
  <c r="AK660" i="3"/>
  <c r="AL660" i="3"/>
  <c r="AN660" i="3"/>
  <c r="AP660" i="3"/>
  <c r="AR660" i="3"/>
  <c r="AS660" i="3"/>
  <c r="R661" i="3"/>
  <c r="T661" i="3"/>
  <c r="V661" i="3"/>
  <c r="X661" i="3"/>
  <c r="Z661" i="3"/>
  <c r="AA661" i="3"/>
  <c r="AE661" i="3"/>
  <c r="AG661" i="3"/>
  <c r="AI661" i="3"/>
  <c r="AK661" i="3"/>
  <c r="AL661" i="3"/>
  <c r="AN661" i="3"/>
  <c r="AP661" i="3"/>
  <c r="AR661" i="3"/>
  <c r="AS661" i="3"/>
  <c r="R662" i="3"/>
  <c r="T662" i="3"/>
  <c r="V662" i="3"/>
  <c r="X662" i="3"/>
  <c r="Z662" i="3"/>
  <c r="AA662" i="3"/>
  <c r="AE662" i="3"/>
  <c r="AG662" i="3"/>
  <c r="AI662" i="3"/>
  <c r="AK662" i="3"/>
  <c r="AL662" i="3"/>
  <c r="AN662" i="3"/>
  <c r="AP662" i="3"/>
  <c r="AR662" i="3"/>
  <c r="AS662" i="3"/>
  <c r="R663" i="3"/>
  <c r="T663" i="3"/>
  <c r="V663" i="3"/>
  <c r="X663" i="3"/>
  <c r="Z663" i="3"/>
  <c r="AA663" i="3"/>
  <c r="AE663" i="3"/>
  <c r="AG663" i="3"/>
  <c r="AI663" i="3"/>
  <c r="AK663" i="3"/>
  <c r="AL663" i="3"/>
  <c r="AN663" i="3"/>
  <c r="AP663" i="3"/>
  <c r="AR663" i="3"/>
  <c r="AS663" i="3"/>
  <c r="R664" i="3"/>
  <c r="T664" i="3"/>
  <c r="V664" i="3"/>
  <c r="X664" i="3"/>
  <c r="Z664" i="3"/>
  <c r="AA664" i="3"/>
  <c r="AE664" i="3"/>
  <c r="AG664" i="3"/>
  <c r="AI664" i="3"/>
  <c r="AK664" i="3"/>
  <c r="AL664" i="3"/>
  <c r="AN664" i="3"/>
  <c r="AP664" i="3"/>
  <c r="AR664" i="3"/>
  <c r="AS664" i="3"/>
  <c r="R665" i="3"/>
  <c r="T665" i="3"/>
  <c r="V665" i="3"/>
  <c r="X665" i="3"/>
  <c r="Z665" i="3"/>
  <c r="AA665" i="3"/>
  <c r="AE665" i="3"/>
  <c r="AG665" i="3"/>
  <c r="AI665" i="3"/>
  <c r="AK665" i="3"/>
  <c r="AL665" i="3"/>
  <c r="AN665" i="3"/>
  <c r="AP665" i="3"/>
  <c r="AR665" i="3"/>
  <c r="AS665" i="3"/>
  <c r="R666" i="3"/>
  <c r="T666" i="3"/>
  <c r="V666" i="3"/>
  <c r="X666" i="3"/>
  <c r="Z666" i="3"/>
  <c r="AA666" i="3"/>
  <c r="AE666" i="3"/>
  <c r="AG666" i="3"/>
  <c r="AI666" i="3"/>
  <c r="AK666" i="3"/>
  <c r="AL666" i="3"/>
  <c r="AN666" i="3"/>
  <c r="AP666" i="3"/>
  <c r="AR666" i="3"/>
  <c r="AS666" i="3"/>
  <c r="R667" i="3"/>
  <c r="T667" i="3"/>
  <c r="V667" i="3"/>
  <c r="X667" i="3"/>
  <c r="Z667" i="3"/>
  <c r="AA667" i="3"/>
  <c r="AE667" i="3"/>
  <c r="AG667" i="3"/>
  <c r="AI667" i="3"/>
  <c r="AK667" i="3"/>
  <c r="AL667" i="3"/>
  <c r="AN667" i="3"/>
  <c r="AP667" i="3"/>
  <c r="AR667" i="3"/>
  <c r="AS667" i="3"/>
  <c r="R668" i="3"/>
  <c r="T668" i="3"/>
  <c r="V668" i="3"/>
  <c r="X668" i="3"/>
  <c r="Z668" i="3"/>
  <c r="AA668" i="3"/>
  <c r="AE668" i="3"/>
  <c r="AG668" i="3"/>
  <c r="AI668" i="3"/>
  <c r="AK668" i="3"/>
  <c r="AL668" i="3"/>
  <c r="AN668" i="3"/>
  <c r="AP668" i="3"/>
  <c r="AR668" i="3"/>
  <c r="AS668" i="3"/>
  <c r="R669" i="3"/>
  <c r="T669" i="3"/>
  <c r="V669" i="3"/>
  <c r="X669" i="3"/>
  <c r="Z669" i="3"/>
  <c r="AA669" i="3"/>
  <c r="AE669" i="3"/>
  <c r="AG669" i="3"/>
  <c r="AI669" i="3"/>
  <c r="AK669" i="3"/>
  <c r="AL669" i="3"/>
  <c r="AN669" i="3"/>
  <c r="AP669" i="3"/>
  <c r="AR669" i="3"/>
  <c r="AS669" i="3"/>
  <c r="R670" i="3"/>
  <c r="T670" i="3"/>
  <c r="V670" i="3"/>
  <c r="X670" i="3"/>
  <c r="Z670" i="3"/>
  <c r="AA670" i="3"/>
  <c r="AE670" i="3"/>
  <c r="AG670" i="3"/>
  <c r="AI670" i="3"/>
  <c r="AK670" i="3"/>
  <c r="AL670" i="3"/>
  <c r="AN670" i="3"/>
  <c r="AP670" i="3"/>
  <c r="AR670" i="3"/>
  <c r="AS670" i="3"/>
  <c r="R671" i="3"/>
  <c r="T671" i="3"/>
  <c r="V671" i="3"/>
  <c r="X671" i="3"/>
  <c r="Z671" i="3"/>
  <c r="AA671" i="3"/>
  <c r="AE671" i="3"/>
  <c r="AG671" i="3"/>
  <c r="AI671" i="3"/>
  <c r="AK671" i="3"/>
  <c r="AL671" i="3"/>
  <c r="AN671" i="3"/>
  <c r="AP671" i="3"/>
  <c r="AR671" i="3"/>
  <c r="AS671" i="3"/>
  <c r="R672" i="3"/>
  <c r="T672" i="3"/>
  <c r="V672" i="3"/>
  <c r="X672" i="3"/>
  <c r="Z672" i="3"/>
  <c r="AA672" i="3"/>
  <c r="AE672" i="3"/>
  <c r="AG672" i="3"/>
  <c r="AI672" i="3"/>
  <c r="AK672" i="3"/>
  <c r="AL672" i="3"/>
  <c r="AN672" i="3"/>
  <c r="AP672" i="3"/>
  <c r="AR672" i="3"/>
  <c r="AS672" i="3"/>
  <c r="R673" i="3"/>
  <c r="T673" i="3"/>
  <c r="V673" i="3"/>
  <c r="X673" i="3"/>
  <c r="Z673" i="3"/>
  <c r="AA673" i="3"/>
  <c r="AE673" i="3"/>
  <c r="AG673" i="3"/>
  <c r="AI673" i="3"/>
  <c r="AK673" i="3"/>
  <c r="AL673" i="3"/>
  <c r="AN673" i="3"/>
  <c r="AP673" i="3"/>
  <c r="AR673" i="3"/>
  <c r="AS673" i="3"/>
  <c r="R674" i="3"/>
  <c r="T674" i="3"/>
  <c r="V674" i="3"/>
  <c r="X674" i="3"/>
  <c r="Z674" i="3"/>
  <c r="AA674" i="3"/>
  <c r="AE674" i="3"/>
  <c r="AG674" i="3"/>
  <c r="AI674" i="3"/>
  <c r="AK674" i="3"/>
  <c r="AL674" i="3"/>
  <c r="AN674" i="3"/>
  <c r="AP674" i="3"/>
  <c r="AR674" i="3"/>
  <c r="AS674" i="3"/>
  <c r="R675" i="3"/>
  <c r="T675" i="3"/>
  <c r="V675" i="3"/>
  <c r="X675" i="3"/>
  <c r="Z675" i="3"/>
  <c r="AA675" i="3"/>
  <c r="AE675" i="3"/>
  <c r="AG675" i="3"/>
  <c r="AI675" i="3"/>
  <c r="AK675" i="3"/>
  <c r="AL675" i="3"/>
  <c r="AN675" i="3"/>
  <c r="AP675" i="3"/>
  <c r="AR675" i="3"/>
  <c r="AS675" i="3"/>
  <c r="R676" i="3"/>
  <c r="T676" i="3"/>
  <c r="V676" i="3"/>
  <c r="X676" i="3"/>
  <c r="Z676" i="3"/>
  <c r="AA676" i="3"/>
  <c r="AE676" i="3"/>
  <c r="AG676" i="3"/>
  <c r="AI676" i="3"/>
  <c r="AK676" i="3"/>
  <c r="AL676" i="3"/>
  <c r="AN676" i="3"/>
  <c r="AP676" i="3"/>
  <c r="AR676" i="3"/>
  <c r="AS676" i="3"/>
  <c r="R677" i="3"/>
  <c r="T677" i="3"/>
  <c r="V677" i="3"/>
  <c r="X677" i="3"/>
  <c r="Z677" i="3"/>
  <c r="AA677" i="3"/>
  <c r="AE677" i="3"/>
  <c r="AG677" i="3"/>
  <c r="AI677" i="3"/>
  <c r="AK677" i="3"/>
  <c r="AL677" i="3"/>
  <c r="AN677" i="3"/>
  <c r="AP677" i="3"/>
  <c r="AR677" i="3"/>
  <c r="AS677" i="3"/>
  <c r="R678" i="3"/>
  <c r="T678" i="3"/>
  <c r="V678" i="3"/>
  <c r="X678" i="3"/>
  <c r="Z678" i="3"/>
  <c r="AA678" i="3"/>
  <c r="AE678" i="3"/>
  <c r="AG678" i="3"/>
  <c r="AI678" i="3"/>
  <c r="AK678" i="3"/>
  <c r="AL678" i="3"/>
  <c r="AN678" i="3"/>
  <c r="AP678" i="3"/>
  <c r="AR678" i="3"/>
  <c r="AS678" i="3"/>
  <c r="R679" i="3"/>
  <c r="T679" i="3"/>
  <c r="V679" i="3"/>
  <c r="X679" i="3"/>
  <c r="Z679" i="3"/>
  <c r="AA679" i="3"/>
  <c r="AE679" i="3"/>
  <c r="AG679" i="3"/>
  <c r="AI679" i="3"/>
  <c r="AK679" i="3"/>
  <c r="AL679" i="3"/>
  <c r="AN679" i="3"/>
  <c r="AP679" i="3"/>
  <c r="AR679" i="3"/>
  <c r="AS679" i="3"/>
  <c r="R680" i="3"/>
  <c r="T680" i="3"/>
  <c r="V680" i="3"/>
  <c r="X680" i="3"/>
  <c r="Z680" i="3"/>
  <c r="AA680" i="3"/>
  <c r="AE680" i="3"/>
  <c r="AG680" i="3"/>
  <c r="AI680" i="3"/>
  <c r="AK680" i="3"/>
  <c r="AL680" i="3"/>
  <c r="AN680" i="3"/>
  <c r="AP680" i="3"/>
  <c r="AR680" i="3"/>
  <c r="AS680" i="3"/>
  <c r="R681" i="3"/>
  <c r="T681" i="3"/>
  <c r="V681" i="3"/>
  <c r="X681" i="3"/>
  <c r="Z681" i="3"/>
  <c r="AA681" i="3"/>
  <c r="AE681" i="3"/>
  <c r="AG681" i="3"/>
  <c r="AI681" i="3"/>
  <c r="AK681" i="3"/>
  <c r="AL681" i="3"/>
  <c r="AN681" i="3"/>
  <c r="AP681" i="3"/>
  <c r="AR681" i="3"/>
  <c r="AS681" i="3"/>
  <c r="R682" i="3"/>
  <c r="T682" i="3"/>
  <c r="V682" i="3"/>
  <c r="X682" i="3"/>
  <c r="Z682" i="3"/>
  <c r="AA682" i="3"/>
  <c r="AE682" i="3"/>
  <c r="AG682" i="3"/>
  <c r="AI682" i="3"/>
  <c r="AK682" i="3"/>
  <c r="AL682" i="3"/>
  <c r="AN682" i="3"/>
  <c r="AP682" i="3"/>
  <c r="AR682" i="3"/>
  <c r="AS682" i="3"/>
  <c r="R683" i="3"/>
  <c r="T683" i="3"/>
  <c r="V683" i="3"/>
  <c r="X683" i="3"/>
  <c r="Z683" i="3"/>
  <c r="AA683" i="3"/>
  <c r="AE683" i="3"/>
  <c r="AG683" i="3"/>
  <c r="AI683" i="3"/>
  <c r="AK683" i="3"/>
  <c r="AL683" i="3"/>
  <c r="AN683" i="3"/>
  <c r="AP683" i="3"/>
  <c r="AR683" i="3"/>
  <c r="AS683" i="3"/>
  <c r="R684" i="3"/>
  <c r="T684" i="3"/>
  <c r="V684" i="3"/>
  <c r="X684" i="3"/>
  <c r="Z684" i="3"/>
  <c r="AA684" i="3"/>
  <c r="AE684" i="3"/>
  <c r="AG684" i="3"/>
  <c r="AI684" i="3"/>
  <c r="AK684" i="3"/>
  <c r="AL684" i="3"/>
  <c r="AN684" i="3"/>
  <c r="AP684" i="3"/>
  <c r="AR684" i="3"/>
  <c r="AS684" i="3"/>
  <c r="R685" i="3"/>
  <c r="T685" i="3"/>
  <c r="V685" i="3"/>
  <c r="X685" i="3"/>
  <c r="Z685" i="3"/>
  <c r="AA685" i="3"/>
  <c r="AE685" i="3"/>
  <c r="AG685" i="3"/>
  <c r="AI685" i="3"/>
  <c r="AK685" i="3"/>
  <c r="AL685" i="3"/>
  <c r="AN685" i="3"/>
  <c r="AP685" i="3"/>
  <c r="AR685" i="3"/>
  <c r="AS685" i="3"/>
  <c r="R686" i="3"/>
  <c r="T686" i="3"/>
  <c r="V686" i="3"/>
  <c r="X686" i="3"/>
  <c r="Z686" i="3"/>
  <c r="AA686" i="3"/>
  <c r="AE686" i="3"/>
  <c r="AG686" i="3"/>
  <c r="AI686" i="3"/>
  <c r="AK686" i="3"/>
  <c r="AL686" i="3"/>
  <c r="AN686" i="3"/>
  <c r="AP686" i="3"/>
  <c r="AR686" i="3"/>
  <c r="AS686" i="3"/>
  <c r="R687" i="3"/>
  <c r="T687" i="3"/>
  <c r="V687" i="3"/>
  <c r="X687" i="3"/>
  <c r="Z687" i="3"/>
  <c r="AA687" i="3"/>
  <c r="AE687" i="3"/>
  <c r="AG687" i="3"/>
  <c r="AI687" i="3"/>
  <c r="AK687" i="3"/>
  <c r="AL687" i="3"/>
  <c r="AN687" i="3"/>
  <c r="AP687" i="3"/>
  <c r="AR687" i="3"/>
  <c r="AS687" i="3"/>
  <c r="R688" i="3"/>
  <c r="T688" i="3"/>
  <c r="V688" i="3"/>
  <c r="X688" i="3"/>
  <c r="Z688" i="3"/>
  <c r="AA688" i="3"/>
  <c r="AE688" i="3"/>
  <c r="AG688" i="3"/>
  <c r="AI688" i="3"/>
  <c r="AK688" i="3"/>
  <c r="AL688" i="3"/>
  <c r="AN688" i="3"/>
  <c r="AP688" i="3"/>
  <c r="AR688" i="3"/>
  <c r="AS688" i="3"/>
  <c r="R689" i="3"/>
  <c r="T689" i="3"/>
  <c r="V689" i="3"/>
  <c r="X689" i="3"/>
  <c r="Z689" i="3"/>
  <c r="AA689" i="3"/>
  <c r="AE689" i="3"/>
  <c r="AG689" i="3"/>
  <c r="AI689" i="3"/>
  <c r="AK689" i="3"/>
  <c r="AL689" i="3"/>
  <c r="AN689" i="3"/>
  <c r="AP689" i="3"/>
  <c r="AR689" i="3"/>
  <c r="AS689" i="3"/>
  <c r="R690" i="3"/>
  <c r="T690" i="3"/>
  <c r="V690" i="3"/>
  <c r="X690" i="3"/>
  <c r="Z690" i="3"/>
  <c r="AA690" i="3"/>
  <c r="AE690" i="3"/>
  <c r="AG690" i="3"/>
  <c r="AI690" i="3"/>
  <c r="AK690" i="3"/>
  <c r="AL690" i="3"/>
  <c r="AN690" i="3"/>
  <c r="AP690" i="3"/>
  <c r="AR690" i="3"/>
  <c r="AS690" i="3"/>
  <c r="R691" i="3"/>
  <c r="T691" i="3"/>
  <c r="V691" i="3"/>
  <c r="X691" i="3"/>
  <c r="Z691" i="3"/>
  <c r="AA691" i="3"/>
  <c r="AE691" i="3"/>
  <c r="AG691" i="3"/>
  <c r="AI691" i="3"/>
  <c r="AK691" i="3"/>
  <c r="AL691" i="3"/>
  <c r="AN691" i="3"/>
  <c r="AP691" i="3"/>
  <c r="AR691" i="3"/>
  <c r="AS691" i="3"/>
  <c r="R692" i="3"/>
  <c r="T692" i="3"/>
  <c r="V692" i="3"/>
  <c r="X692" i="3"/>
  <c r="Z692" i="3"/>
  <c r="AA692" i="3"/>
  <c r="AE692" i="3"/>
  <c r="AG692" i="3"/>
  <c r="AI692" i="3"/>
  <c r="AK692" i="3"/>
  <c r="AL692" i="3"/>
  <c r="AN692" i="3"/>
  <c r="AP692" i="3"/>
  <c r="AR692" i="3"/>
  <c r="AS692" i="3"/>
  <c r="R693" i="3"/>
  <c r="T693" i="3"/>
  <c r="V693" i="3"/>
  <c r="X693" i="3"/>
  <c r="Z693" i="3"/>
  <c r="AA693" i="3"/>
  <c r="AE693" i="3"/>
  <c r="AG693" i="3"/>
  <c r="AI693" i="3"/>
  <c r="AK693" i="3"/>
  <c r="AL693" i="3"/>
  <c r="AN693" i="3"/>
  <c r="AP693" i="3"/>
  <c r="AR693" i="3"/>
  <c r="AS693" i="3"/>
  <c r="R694" i="3"/>
  <c r="T694" i="3"/>
  <c r="V694" i="3"/>
  <c r="X694" i="3"/>
  <c r="Z694" i="3"/>
  <c r="AA694" i="3"/>
  <c r="AE694" i="3"/>
  <c r="AG694" i="3"/>
  <c r="AI694" i="3"/>
  <c r="AK694" i="3"/>
  <c r="AL694" i="3"/>
  <c r="AN694" i="3"/>
  <c r="AP694" i="3"/>
  <c r="AR694" i="3"/>
  <c r="AS694" i="3"/>
  <c r="R695" i="3"/>
  <c r="T695" i="3"/>
  <c r="V695" i="3"/>
  <c r="X695" i="3"/>
  <c r="Z695" i="3"/>
  <c r="AA695" i="3"/>
  <c r="AE695" i="3"/>
  <c r="AG695" i="3"/>
  <c r="AI695" i="3"/>
  <c r="AK695" i="3"/>
  <c r="AL695" i="3"/>
  <c r="AN695" i="3"/>
  <c r="AP695" i="3"/>
  <c r="AR695" i="3"/>
  <c r="AS695" i="3"/>
  <c r="R696" i="3"/>
  <c r="T696" i="3"/>
  <c r="V696" i="3"/>
  <c r="X696" i="3"/>
  <c r="Z696" i="3"/>
  <c r="AA696" i="3"/>
  <c r="AE696" i="3"/>
  <c r="AG696" i="3"/>
  <c r="AI696" i="3"/>
  <c r="AK696" i="3"/>
  <c r="AL696" i="3"/>
  <c r="AN696" i="3"/>
  <c r="AP696" i="3"/>
  <c r="AR696" i="3"/>
  <c r="AS696" i="3"/>
  <c r="R697" i="3"/>
  <c r="T697" i="3"/>
  <c r="V697" i="3"/>
  <c r="X697" i="3"/>
  <c r="Z697" i="3"/>
  <c r="AA697" i="3"/>
  <c r="AE697" i="3"/>
  <c r="AG697" i="3"/>
  <c r="AI697" i="3"/>
  <c r="AK697" i="3"/>
  <c r="AL697" i="3"/>
  <c r="AN697" i="3"/>
  <c r="AP697" i="3"/>
  <c r="AR697" i="3"/>
  <c r="AS697" i="3"/>
  <c r="R698" i="3"/>
  <c r="T698" i="3"/>
  <c r="V698" i="3"/>
  <c r="X698" i="3"/>
  <c r="Z698" i="3"/>
  <c r="AA698" i="3"/>
  <c r="AE698" i="3"/>
  <c r="AG698" i="3"/>
  <c r="AI698" i="3"/>
  <c r="AK698" i="3"/>
  <c r="AL698" i="3"/>
  <c r="AN698" i="3"/>
  <c r="AP698" i="3"/>
  <c r="AR698" i="3"/>
  <c r="AS698" i="3"/>
  <c r="R699" i="3"/>
  <c r="T699" i="3"/>
  <c r="V699" i="3"/>
  <c r="X699" i="3"/>
  <c r="Z699" i="3"/>
  <c r="AA699" i="3"/>
  <c r="AE699" i="3"/>
  <c r="AG699" i="3"/>
  <c r="AI699" i="3"/>
  <c r="AK699" i="3"/>
  <c r="AL699" i="3"/>
  <c r="AN699" i="3"/>
  <c r="AP699" i="3"/>
  <c r="AR699" i="3"/>
  <c r="AS699" i="3"/>
  <c r="R700" i="3"/>
  <c r="T700" i="3"/>
  <c r="V700" i="3"/>
  <c r="X700" i="3"/>
  <c r="Z700" i="3"/>
  <c r="AA700" i="3"/>
  <c r="AE700" i="3"/>
  <c r="AG700" i="3"/>
  <c r="AI700" i="3"/>
  <c r="AK700" i="3"/>
  <c r="AL700" i="3"/>
  <c r="AN700" i="3"/>
  <c r="AP700" i="3"/>
  <c r="AR700" i="3"/>
  <c r="AS700" i="3"/>
  <c r="R701" i="3"/>
  <c r="T701" i="3"/>
  <c r="V701" i="3"/>
  <c r="X701" i="3"/>
  <c r="Z701" i="3"/>
  <c r="AA701" i="3"/>
  <c r="AE701" i="3"/>
  <c r="AG701" i="3"/>
  <c r="AI701" i="3"/>
  <c r="AK701" i="3"/>
  <c r="AL701" i="3"/>
  <c r="AN701" i="3"/>
  <c r="AP701" i="3"/>
  <c r="AR701" i="3"/>
  <c r="AS701" i="3"/>
  <c r="R702" i="3"/>
  <c r="T702" i="3"/>
  <c r="V702" i="3"/>
  <c r="X702" i="3"/>
  <c r="Z702" i="3"/>
  <c r="AA702" i="3"/>
  <c r="AE702" i="3"/>
  <c r="AG702" i="3"/>
  <c r="AI702" i="3"/>
  <c r="AK702" i="3"/>
  <c r="AL702" i="3"/>
  <c r="AN702" i="3"/>
  <c r="AP702" i="3"/>
  <c r="AR702" i="3"/>
  <c r="AS702" i="3"/>
  <c r="R703" i="3"/>
  <c r="T703" i="3"/>
  <c r="V703" i="3"/>
  <c r="X703" i="3"/>
  <c r="Z703" i="3"/>
  <c r="AA703" i="3"/>
  <c r="AE703" i="3"/>
  <c r="AG703" i="3"/>
  <c r="AI703" i="3"/>
  <c r="AK703" i="3"/>
  <c r="AL703" i="3"/>
  <c r="AN703" i="3"/>
  <c r="AP703" i="3"/>
  <c r="AR703" i="3"/>
  <c r="AS703" i="3"/>
  <c r="R704" i="3"/>
  <c r="T704" i="3"/>
  <c r="V704" i="3"/>
  <c r="X704" i="3"/>
  <c r="Z704" i="3"/>
  <c r="AA704" i="3"/>
  <c r="AE704" i="3"/>
  <c r="AG704" i="3"/>
  <c r="AI704" i="3"/>
  <c r="AK704" i="3"/>
  <c r="AL704" i="3"/>
  <c r="AN704" i="3"/>
  <c r="AP704" i="3"/>
  <c r="AR704" i="3"/>
  <c r="AS704" i="3"/>
  <c r="R705" i="3"/>
  <c r="T705" i="3"/>
  <c r="V705" i="3"/>
  <c r="X705" i="3"/>
  <c r="Z705" i="3"/>
  <c r="AA705" i="3"/>
  <c r="AE705" i="3"/>
  <c r="AG705" i="3"/>
  <c r="AI705" i="3"/>
  <c r="AK705" i="3"/>
  <c r="AL705" i="3"/>
  <c r="AN705" i="3"/>
  <c r="AP705" i="3"/>
  <c r="AR705" i="3"/>
  <c r="AS705" i="3"/>
  <c r="R706" i="3"/>
  <c r="T706" i="3"/>
  <c r="V706" i="3"/>
  <c r="X706" i="3"/>
  <c r="Z706" i="3"/>
  <c r="AA706" i="3"/>
  <c r="AE706" i="3"/>
  <c r="AG706" i="3"/>
  <c r="AI706" i="3"/>
  <c r="AK706" i="3"/>
  <c r="AL706" i="3"/>
  <c r="AN706" i="3"/>
  <c r="AP706" i="3"/>
  <c r="AR706" i="3"/>
  <c r="AS706" i="3"/>
  <c r="R707" i="3"/>
  <c r="T707" i="3"/>
  <c r="V707" i="3"/>
  <c r="X707" i="3"/>
  <c r="Z707" i="3"/>
  <c r="AA707" i="3"/>
  <c r="AE707" i="3"/>
  <c r="AG707" i="3"/>
  <c r="AI707" i="3"/>
  <c r="AK707" i="3"/>
  <c r="AL707" i="3"/>
  <c r="AN707" i="3"/>
  <c r="AP707" i="3"/>
  <c r="AR707" i="3"/>
  <c r="AS707" i="3"/>
  <c r="R708" i="3"/>
  <c r="T708" i="3"/>
  <c r="V708" i="3"/>
  <c r="X708" i="3"/>
  <c r="Z708" i="3"/>
  <c r="AA708" i="3"/>
  <c r="AE708" i="3"/>
  <c r="AG708" i="3"/>
  <c r="AI708" i="3"/>
  <c r="AK708" i="3"/>
  <c r="AL708" i="3"/>
  <c r="AN708" i="3"/>
  <c r="AP708" i="3"/>
  <c r="AR708" i="3"/>
  <c r="AS708" i="3"/>
  <c r="R709" i="3"/>
  <c r="T709" i="3"/>
  <c r="V709" i="3"/>
  <c r="X709" i="3"/>
  <c r="Z709" i="3"/>
  <c r="AA709" i="3"/>
  <c r="AE709" i="3"/>
  <c r="AG709" i="3"/>
  <c r="AI709" i="3"/>
  <c r="AK709" i="3"/>
  <c r="AL709" i="3"/>
  <c r="AN709" i="3"/>
  <c r="AP709" i="3"/>
  <c r="AR709" i="3"/>
  <c r="AS709" i="3"/>
  <c r="R710" i="3"/>
  <c r="T710" i="3"/>
  <c r="V710" i="3"/>
  <c r="X710" i="3"/>
  <c r="Z710" i="3"/>
  <c r="AA710" i="3"/>
  <c r="AE710" i="3"/>
  <c r="AG710" i="3"/>
  <c r="AI710" i="3"/>
  <c r="AK710" i="3"/>
  <c r="AL710" i="3"/>
  <c r="AN710" i="3"/>
  <c r="AP710" i="3"/>
  <c r="AR710" i="3"/>
  <c r="AS710" i="3"/>
  <c r="R711" i="3"/>
  <c r="T711" i="3"/>
  <c r="V711" i="3"/>
  <c r="X711" i="3"/>
  <c r="Z711" i="3"/>
  <c r="AA711" i="3"/>
  <c r="AE711" i="3"/>
  <c r="AG711" i="3"/>
  <c r="AI711" i="3"/>
  <c r="AK711" i="3"/>
  <c r="AL711" i="3"/>
  <c r="AN711" i="3"/>
  <c r="AP711" i="3"/>
  <c r="AR711" i="3"/>
  <c r="AS711" i="3"/>
  <c r="R712" i="3"/>
  <c r="T712" i="3"/>
  <c r="V712" i="3"/>
  <c r="X712" i="3"/>
  <c r="Z712" i="3"/>
  <c r="AA712" i="3"/>
  <c r="AE712" i="3"/>
  <c r="AG712" i="3"/>
  <c r="AI712" i="3"/>
  <c r="AK712" i="3"/>
  <c r="AL712" i="3"/>
  <c r="AN712" i="3"/>
  <c r="AP712" i="3"/>
  <c r="AR712" i="3"/>
  <c r="AS712" i="3"/>
  <c r="R713" i="3"/>
  <c r="T713" i="3"/>
  <c r="V713" i="3"/>
  <c r="X713" i="3"/>
  <c r="Z713" i="3"/>
  <c r="AA713" i="3"/>
  <c r="AE713" i="3"/>
  <c r="AG713" i="3"/>
  <c r="AI713" i="3"/>
  <c r="AK713" i="3"/>
  <c r="AL713" i="3"/>
  <c r="AN713" i="3"/>
  <c r="AP713" i="3"/>
  <c r="AR713" i="3"/>
  <c r="AS713" i="3"/>
  <c r="R714" i="3"/>
  <c r="T714" i="3"/>
  <c r="V714" i="3"/>
  <c r="X714" i="3"/>
  <c r="Z714" i="3"/>
  <c r="AA714" i="3"/>
  <c r="AE714" i="3"/>
  <c r="AG714" i="3"/>
  <c r="AI714" i="3"/>
  <c r="AK714" i="3"/>
  <c r="AL714" i="3"/>
  <c r="AN714" i="3"/>
  <c r="AP714" i="3"/>
  <c r="AR714" i="3"/>
  <c r="AS714" i="3"/>
  <c r="R715" i="3"/>
  <c r="T715" i="3"/>
  <c r="V715" i="3"/>
  <c r="X715" i="3"/>
  <c r="Z715" i="3"/>
  <c r="AA715" i="3"/>
  <c r="AE715" i="3"/>
  <c r="AG715" i="3"/>
  <c r="AI715" i="3"/>
  <c r="AK715" i="3"/>
  <c r="AL715" i="3"/>
  <c r="AN715" i="3"/>
  <c r="AP715" i="3"/>
  <c r="AR715" i="3"/>
  <c r="AS715" i="3"/>
  <c r="R716" i="3"/>
  <c r="T716" i="3"/>
  <c r="V716" i="3"/>
  <c r="X716" i="3"/>
  <c r="Z716" i="3"/>
  <c r="AA716" i="3"/>
  <c r="AE716" i="3"/>
  <c r="AG716" i="3"/>
  <c r="AI716" i="3"/>
  <c r="AK716" i="3"/>
  <c r="AL716" i="3"/>
  <c r="AN716" i="3"/>
  <c r="AP716" i="3"/>
  <c r="AR716" i="3"/>
  <c r="AS716" i="3"/>
  <c r="R717" i="3"/>
  <c r="T717" i="3"/>
  <c r="V717" i="3"/>
  <c r="X717" i="3"/>
  <c r="Z717" i="3"/>
  <c r="AA717" i="3"/>
  <c r="AE717" i="3"/>
  <c r="AG717" i="3"/>
  <c r="AI717" i="3"/>
  <c r="AK717" i="3"/>
  <c r="AL717" i="3"/>
  <c r="AN717" i="3"/>
  <c r="AP717" i="3"/>
  <c r="AR717" i="3"/>
  <c r="AS717" i="3"/>
  <c r="R718" i="3"/>
  <c r="T718" i="3"/>
  <c r="V718" i="3"/>
  <c r="X718" i="3"/>
  <c r="Z718" i="3"/>
  <c r="AA718" i="3"/>
  <c r="AE718" i="3"/>
  <c r="AG718" i="3"/>
  <c r="AI718" i="3"/>
  <c r="AK718" i="3"/>
  <c r="AL718" i="3"/>
  <c r="AN718" i="3"/>
  <c r="AP718" i="3"/>
  <c r="AR718" i="3"/>
  <c r="AS718" i="3"/>
  <c r="R719" i="3"/>
  <c r="T719" i="3"/>
  <c r="V719" i="3"/>
  <c r="X719" i="3"/>
  <c r="Z719" i="3"/>
  <c r="AA719" i="3"/>
  <c r="AE719" i="3"/>
  <c r="AG719" i="3"/>
  <c r="AI719" i="3"/>
  <c r="AK719" i="3"/>
  <c r="AL719" i="3"/>
  <c r="AN719" i="3"/>
  <c r="AP719" i="3"/>
  <c r="AR719" i="3"/>
  <c r="AS719" i="3"/>
  <c r="R720" i="3"/>
  <c r="T720" i="3"/>
  <c r="V720" i="3"/>
  <c r="X720" i="3"/>
  <c r="Z720" i="3"/>
  <c r="AA720" i="3"/>
  <c r="AE720" i="3"/>
  <c r="AG720" i="3"/>
  <c r="AI720" i="3"/>
  <c r="AK720" i="3"/>
  <c r="AL720" i="3"/>
  <c r="AN720" i="3"/>
  <c r="AP720" i="3"/>
  <c r="AR720" i="3"/>
  <c r="AS720" i="3"/>
  <c r="R721" i="3"/>
  <c r="T721" i="3"/>
  <c r="V721" i="3"/>
  <c r="X721" i="3"/>
  <c r="Z721" i="3"/>
  <c r="AA721" i="3"/>
  <c r="AE721" i="3"/>
  <c r="AG721" i="3"/>
  <c r="AI721" i="3"/>
  <c r="AK721" i="3"/>
  <c r="AL721" i="3"/>
  <c r="AN721" i="3"/>
  <c r="AP721" i="3"/>
  <c r="AR721" i="3"/>
  <c r="AS721" i="3"/>
  <c r="R722" i="3"/>
  <c r="T722" i="3"/>
  <c r="V722" i="3"/>
  <c r="X722" i="3"/>
  <c r="Z722" i="3"/>
  <c r="AA722" i="3"/>
  <c r="AE722" i="3"/>
  <c r="AG722" i="3"/>
  <c r="AI722" i="3"/>
  <c r="AK722" i="3"/>
  <c r="AL722" i="3"/>
  <c r="AN722" i="3"/>
  <c r="AP722" i="3"/>
  <c r="AR722" i="3"/>
  <c r="AS722" i="3"/>
  <c r="R723" i="3"/>
  <c r="T723" i="3"/>
  <c r="V723" i="3"/>
  <c r="X723" i="3"/>
  <c r="Z723" i="3"/>
  <c r="AA723" i="3"/>
  <c r="AE723" i="3"/>
  <c r="AG723" i="3"/>
  <c r="AI723" i="3"/>
  <c r="AK723" i="3"/>
  <c r="AL723" i="3"/>
  <c r="AN723" i="3"/>
  <c r="AP723" i="3"/>
  <c r="AR723" i="3"/>
  <c r="AS723" i="3"/>
  <c r="R724" i="3"/>
  <c r="T724" i="3"/>
  <c r="V724" i="3"/>
  <c r="X724" i="3"/>
  <c r="Z724" i="3"/>
  <c r="AA724" i="3"/>
  <c r="AE724" i="3"/>
  <c r="AG724" i="3"/>
  <c r="AI724" i="3"/>
  <c r="AK724" i="3"/>
  <c r="AL724" i="3"/>
  <c r="AN724" i="3"/>
  <c r="AP724" i="3"/>
  <c r="AR724" i="3"/>
  <c r="AS724" i="3"/>
  <c r="R725" i="3"/>
  <c r="T725" i="3"/>
  <c r="V725" i="3"/>
  <c r="X725" i="3"/>
  <c r="Z725" i="3"/>
  <c r="AA725" i="3"/>
  <c r="AE725" i="3"/>
  <c r="AG725" i="3"/>
  <c r="AI725" i="3"/>
  <c r="AK725" i="3"/>
  <c r="AL725" i="3"/>
  <c r="AN725" i="3"/>
  <c r="AP725" i="3"/>
  <c r="AR725" i="3"/>
  <c r="AS725" i="3"/>
  <c r="R726" i="3"/>
  <c r="T726" i="3"/>
  <c r="V726" i="3"/>
  <c r="X726" i="3"/>
  <c r="Z726" i="3"/>
  <c r="AA726" i="3"/>
  <c r="AE726" i="3"/>
  <c r="AG726" i="3"/>
  <c r="AI726" i="3"/>
  <c r="AK726" i="3"/>
  <c r="AL726" i="3"/>
  <c r="AN726" i="3"/>
  <c r="AP726" i="3"/>
  <c r="AR726" i="3"/>
  <c r="AS726" i="3"/>
  <c r="R727" i="3"/>
  <c r="T727" i="3"/>
  <c r="V727" i="3"/>
  <c r="X727" i="3"/>
  <c r="Z727" i="3"/>
  <c r="AA727" i="3"/>
  <c r="AE727" i="3"/>
  <c r="AG727" i="3"/>
  <c r="AI727" i="3"/>
  <c r="AK727" i="3"/>
  <c r="AL727" i="3"/>
  <c r="AN727" i="3"/>
  <c r="AP727" i="3"/>
  <c r="AR727" i="3"/>
  <c r="AS727" i="3"/>
  <c r="R728" i="3"/>
  <c r="T728" i="3"/>
  <c r="V728" i="3"/>
  <c r="X728" i="3"/>
  <c r="Z728" i="3"/>
  <c r="AA728" i="3"/>
  <c r="AE728" i="3"/>
  <c r="AG728" i="3"/>
  <c r="AI728" i="3"/>
  <c r="AK728" i="3"/>
  <c r="AL728" i="3"/>
  <c r="AN728" i="3"/>
  <c r="AP728" i="3"/>
  <c r="AR728" i="3"/>
  <c r="AS728" i="3"/>
  <c r="R729" i="3"/>
  <c r="T729" i="3"/>
  <c r="V729" i="3"/>
  <c r="X729" i="3"/>
  <c r="Z729" i="3"/>
  <c r="AA729" i="3"/>
  <c r="AE729" i="3"/>
  <c r="AG729" i="3"/>
  <c r="AI729" i="3"/>
  <c r="AK729" i="3"/>
  <c r="AL729" i="3"/>
  <c r="AN729" i="3"/>
  <c r="AP729" i="3"/>
  <c r="AR729" i="3"/>
  <c r="AS729" i="3"/>
  <c r="R730" i="3"/>
  <c r="T730" i="3"/>
  <c r="V730" i="3"/>
  <c r="X730" i="3"/>
  <c r="Z730" i="3"/>
  <c r="AA730" i="3"/>
  <c r="AE730" i="3"/>
  <c r="AG730" i="3"/>
  <c r="AI730" i="3"/>
  <c r="AK730" i="3"/>
  <c r="AL730" i="3"/>
  <c r="AN730" i="3"/>
  <c r="AP730" i="3"/>
  <c r="AR730" i="3"/>
  <c r="AS730" i="3"/>
  <c r="R731" i="3"/>
  <c r="T731" i="3"/>
  <c r="V731" i="3"/>
  <c r="X731" i="3"/>
  <c r="Z731" i="3"/>
  <c r="AA731" i="3"/>
  <c r="AE731" i="3"/>
  <c r="AG731" i="3"/>
  <c r="AI731" i="3"/>
  <c r="AK731" i="3"/>
  <c r="AL731" i="3"/>
  <c r="AN731" i="3"/>
  <c r="AP731" i="3"/>
  <c r="AR731" i="3"/>
  <c r="AS731" i="3"/>
  <c r="R732" i="3"/>
  <c r="T732" i="3"/>
  <c r="V732" i="3"/>
  <c r="X732" i="3"/>
  <c r="Z732" i="3"/>
  <c r="AA732" i="3"/>
  <c r="AE732" i="3"/>
  <c r="AG732" i="3"/>
  <c r="AI732" i="3"/>
  <c r="AK732" i="3"/>
  <c r="AL732" i="3"/>
  <c r="AN732" i="3"/>
  <c r="AP732" i="3"/>
  <c r="AR732" i="3"/>
  <c r="AS732" i="3"/>
  <c r="R733" i="3"/>
  <c r="T733" i="3"/>
  <c r="V733" i="3"/>
  <c r="X733" i="3"/>
  <c r="Z733" i="3"/>
  <c r="AA733" i="3"/>
  <c r="AE733" i="3"/>
  <c r="AG733" i="3"/>
  <c r="AI733" i="3"/>
  <c r="AK733" i="3"/>
  <c r="AL733" i="3"/>
  <c r="AN733" i="3"/>
  <c r="AP733" i="3"/>
  <c r="AR733" i="3"/>
  <c r="AS733" i="3"/>
  <c r="R734" i="3"/>
  <c r="T734" i="3"/>
  <c r="V734" i="3"/>
  <c r="X734" i="3"/>
  <c r="Z734" i="3"/>
  <c r="AA734" i="3"/>
  <c r="AE734" i="3"/>
  <c r="AG734" i="3"/>
  <c r="AI734" i="3"/>
  <c r="AK734" i="3"/>
  <c r="AL734" i="3"/>
  <c r="AN734" i="3"/>
  <c r="AP734" i="3"/>
  <c r="AR734" i="3"/>
  <c r="AS734" i="3"/>
  <c r="R735" i="3"/>
  <c r="T735" i="3"/>
  <c r="V735" i="3"/>
  <c r="X735" i="3"/>
  <c r="Z735" i="3"/>
  <c r="AA735" i="3"/>
  <c r="AE735" i="3"/>
  <c r="AG735" i="3"/>
  <c r="AI735" i="3"/>
  <c r="AK735" i="3"/>
  <c r="AL735" i="3"/>
  <c r="AN735" i="3"/>
  <c r="AP735" i="3"/>
  <c r="AR735" i="3"/>
  <c r="AS735" i="3"/>
  <c r="R736" i="3"/>
  <c r="T736" i="3"/>
  <c r="V736" i="3"/>
  <c r="X736" i="3"/>
  <c r="Z736" i="3"/>
  <c r="AA736" i="3"/>
  <c r="AE736" i="3"/>
  <c r="AG736" i="3"/>
  <c r="AI736" i="3"/>
  <c r="AK736" i="3"/>
  <c r="AL736" i="3"/>
  <c r="AN736" i="3"/>
  <c r="AP736" i="3"/>
  <c r="AR736" i="3"/>
  <c r="AS736" i="3"/>
  <c r="R737" i="3"/>
  <c r="T737" i="3"/>
  <c r="V737" i="3"/>
  <c r="X737" i="3"/>
  <c r="Z737" i="3"/>
  <c r="AA737" i="3"/>
  <c r="AE737" i="3"/>
  <c r="AG737" i="3"/>
  <c r="AI737" i="3"/>
  <c r="AK737" i="3"/>
  <c r="AL737" i="3"/>
  <c r="AN737" i="3"/>
  <c r="AP737" i="3"/>
  <c r="AR737" i="3"/>
  <c r="AS737" i="3"/>
  <c r="R738" i="3"/>
  <c r="T738" i="3"/>
  <c r="V738" i="3"/>
  <c r="X738" i="3"/>
  <c r="Z738" i="3"/>
  <c r="AA738" i="3"/>
  <c r="AE738" i="3"/>
  <c r="AG738" i="3"/>
  <c r="AI738" i="3"/>
  <c r="AK738" i="3"/>
  <c r="AL738" i="3"/>
  <c r="AN738" i="3"/>
  <c r="AP738" i="3"/>
  <c r="AR738" i="3"/>
  <c r="AS738" i="3"/>
  <c r="R739" i="3"/>
  <c r="T739" i="3"/>
  <c r="V739" i="3"/>
  <c r="X739" i="3"/>
  <c r="Z739" i="3"/>
  <c r="AA739" i="3"/>
  <c r="AE739" i="3"/>
  <c r="AG739" i="3"/>
  <c r="AI739" i="3"/>
  <c r="AK739" i="3"/>
  <c r="AL739" i="3"/>
  <c r="AN739" i="3"/>
  <c r="AP739" i="3"/>
  <c r="AR739" i="3"/>
  <c r="AS739" i="3"/>
  <c r="R740" i="3"/>
  <c r="T740" i="3"/>
  <c r="V740" i="3"/>
  <c r="X740" i="3"/>
  <c r="Z740" i="3"/>
  <c r="AA740" i="3"/>
  <c r="AE740" i="3"/>
  <c r="AG740" i="3"/>
  <c r="AI740" i="3"/>
  <c r="AK740" i="3"/>
  <c r="AL740" i="3"/>
  <c r="AN740" i="3"/>
  <c r="AP740" i="3"/>
  <c r="AR740" i="3"/>
  <c r="AS740" i="3"/>
  <c r="R741" i="3"/>
  <c r="T741" i="3"/>
  <c r="V741" i="3"/>
  <c r="X741" i="3"/>
  <c r="Z741" i="3"/>
  <c r="AA741" i="3"/>
  <c r="AE741" i="3"/>
  <c r="AG741" i="3"/>
  <c r="AI741" i="3"/>
  <c r="AK741" i="3"/>
  <c r="AL741" i="3"/>
  <c r="AN741" i="3"/>
  <c r="AP741" i="3"/>
  <c r="AR741" i="3"/>
  <c r="AS741" i="3"/>
  <c r="R742" i="3"/>
  <c r="T742" i="3"/>
  <c r="V742" i="3"/>
  <c r="X742" i="3"/>
  <c r="Z742" i="3"/>
  <c r="AA742" i="3"/>
  <c r="AE742" i="3"/>
  <c r="AG742" i="3"/>
  <c r="AI742" i="3"/>
  <c r="AK742" i="3"/>
  <c r="AL742" i="3"/>
  <c r="AN742" i="3"/>
  <c r="AP742" i="3"/>
  <c r="AR742" i="3"/>
  <c r="AS742" i="3"/>
  <c r="R743" i="3"/>
  <c r="T743" i="3"/>
  <c r="V743" i="3"/>
  <c r="X743" i="3"/>
  <c r="Z743" i="3"/>
  <c r="AA743" i="3"/>
  <c r="AE743" i="3"/>
  <c r="AG743" i="3"/>
  <c r="AI743" i="3"/>
  <c r="AK743" i="3"/>
  <c r="AL743" i="3"/>
  <c r="AN743" i="3"/>
  <c r="AP743" i="3"/>
  <c r="AR743" i="3"/>
  <c r="AS743" i="3"/>
  <c r="R744" i="3"/>
  <c r="T744" i="3"/>
  <c r="V744" i="3"/>
  <c r="X744" i="3"/>
  <c r="Z744" i="3"/>
  <c r="AA744" i="3"/>
  <c r="AE744" i="3"/>
  <c r="AG744" i="3"/>
  <c r="AI744" i="3"/>
  <c r="AK744" i="3"/>
  <c r="AL744" i="3"/>
  <c r="AN744" i="3"/>
  <c r="AP744" i="3"/>
  <c r="AR744" i="3"/>
  <c r="AS744" i="3"/>
  <c r="R745" i="3"/>
  <c r="T745" i="3"/>
  <c r="V745" i="3"/>
  <c r="X745" i="3"/>
  <c r="Z745" i="3"/>
  <c r="AA745" i="3"/>
  <c r="AE745" i="3"/>
  <c r="AG745" i="3"/>
  <c r="AI745" i="3"/>
  <c r="AK745" i="3"/>
  <c r="AL745" i="3"/>
  <c r="AN745" i="3"/>
  <c r="AP745" i="3"/>
  <c r="AR745" i="3"/>
  <c r="AS745" i="3"/>
  <c r="R746" i="3"/>
  <c r="T746" i="3"/>
  <c r="V746" i="3"/>
  <c r="X746" i="3"/>
  <c r="Z746" i="3"/>
  <c r="AA746" i="3"/>
  <c r="AE746" i="3"/>
  <c r="AG746" i="3"/>
  <c r="AI746" i="3"/>
  <c r="AK746" i="3"/>
  <c r="AL746" i="3"/>
  <c r="AN746" i="3"/>
  <c r="AP746" i="3"/>
  <c r="AR746" i="3"/>
  <c r="AS746" i="3"/>
  <c r="R747" i="3"/>
  <c r="T747" i="3"/>
  <c r="V747" i="3"/>
  <c r="X747" i="3"/>
  <c r="Z747" i="3"/>
  <c r="AA747" i="3"/>
  <c r="AE747" i="3"/>
  <c r="AG747" i="3"/>
  <c r="AI747" i="3"/>
  <c r="AK747" i="3"/>
  <c r="AL747" i="3"/>
  <c r="AN747" i="3"/>
  <c r="AP747" i="3"/>
  <c r="AR747" i="3"/>
  <c r="AS747" i="3"/>
  <c r="R748" i="3"/>
  <c r="T748" i="3"/>
  <c r="V748" i="3"/>
  <c r="X748" i="3"/>
  <c r="Z748" i="3"/>
  <c r="AA748" i="3"/>
  <c r="AE748" i="3"/>
  <c r="AG748" i="3"/>
  <c r="AI748" i="3"/>
  <c r="AK748" i="3"/>
  <c r="AL748" i="3"/>
  <c r="AN748" i="3"/>
  <c r="AP748" i="3"/>
  <c r="AR748" i="3"/>
  <c r="AS748" i="3"/>
  <c r="R749" i="3"/>
  <c r="T749" i="3"/>
  <c r="V749" i="3"/>
  <c r="X749" i="3"/>
  <c r="Z749" i="3"/>
  <c r="AA749" i="3"/>
  <c r="AE749" i="3"/>
  <c r="AG749" i="3"/>
  <c r="AI749" i="3"/>
  <c r="AK749" i="3"/>
  <c r="AL749" i="3"/>
  <c r="AN749" i="3"/>
  <c r="AP749" i="3"/>
  <c r="AR749" i="3"/>
  <c r="AS749" i="3"/>
  <c r="R750" i="3"/>
  <c r="T750" i="3"/>
  <c r="V750" i="3"/>
  <c r="X750" i="3"/>
  <c r="Z750" i="3"/>
  <c r="AA750" i="3"/>
  <c r="AE750" i="3"/>
  <c r="AG750" i="3"/>
  <c r="AI750" i="3"/>
  <c r="AK750" i="3"/>
  <c r="AL750" i="3"/>
  <c r="AN750" i="3"/>
  <c r="AP750" i="3"/>
  <c r="AR750" i="3"/>
  <c r="AS750" i="3"/>
  <c r="R751" i="3"/>
  <c r="T751" i="3"/>
  <c r="V751" i="3"/>
  <c r="X751" i="3"/>
  <c r="Z751" i="3"/>
  <c r="AA751" i="3"/>
  <c r="AE751" i="3"/>
  <c r="AG751" i="3"/>
  <c r="AI751" i="3"/>
  <c r="AK751" i="3"/>
  <c r="AL751" i="3"/>
  <c r="AN751" i="3"/>
  <c r="AP751" i="3"/>
  <c r="AR751" i="3"/>
  <c r="AS751" i="3"/>
  <c r="R752" i="3"/>
  <c r="T752" i="3"/>
  <c r="V752" i="3"/>
  <c r="X752" i="3"/>
  <c r="Z752" i="3"/>
  <c r="AA752" i="3"/>
  <c r="AE752" i="3"/>
  <c r="AG752" i="3"/>
  <c r="AI752" i="3"/>
  <c r="AK752" i="3"/>
  <c r="AL752" i="3"/>
  <c r="AN752" i="3"/>
  <c r="AP752" i="3"/>
  <c r="AR752" i="3"/>
  <c r="AS752" i="3"/>
  <c r="R753" i="3"/>
  <c r="T753" i="3"/>
  <c r="V753" i="3"/>
  <c r="X753" i="3"/>
  <c r="Z753" i="3"/>
  <c r="AA753" i="3"/>
  <c r="AE753" i="3"/>
  <c r="AG753" i="3"/>
  <c r="AI753" i="3"/>
  <c r="AK753" i="3"/>
  <c r="AL753" i="3"/>
  <c r="AN753" i="3"/>
  <c r="AP753" i="3"/>
  <c r="AR753" i="3"/>
  <c r="AS753" i="3"/>
  <c r="R754" i="3"/>
  <c r="T754" i="3"/>
  <c r="V754" i="3"/>
  <c r="X754" i="3"/>
  <c r="Z754" i="3"/>
  <c r="AA754" i="3"/>
  <c r="AE754" i="3"/>
  <c r="AG754" i="3"/>
  <c r="AI754" i="3"/>
  <c r="AK754" i="3"/>
  <c r="AL754" i="3"/>
  <c r="AN754" i="3"/>
  <c r="AP754" i="3"/>
  <c r="AR754" i="3"/>
  <c r="AS754" i="3"/>
  <c r="R755" i="3"/>
  <c r="T755" i="3"/>
  <c r="V755" i="3"/>
  <c r="X755" i="3"/>
  <c r="Z755" i="3"/>
  <c r="AA755" i="3"/>
  <c r="AE755" i="3"/>
  <c r="AG755" i="3"/>
  <c r="AI755" i="3"/>
  <c r="AK755" i="3"/>
  <c r="AL755" i="3"/>
  <c r="AN755" i="3"/>
  <c r="AP755" i="3"/>
  <c r="AR755" i="3"/>
  <c r="AS755" i="3"/>
  <c r="R756" i="3"/>
  <c r="T756" i="3"/>
  <c r="V756" i="3"/>
  <c r="X756" i="3"/>
  <c r="Z756" i="3"/>
  <c r="AA756" i="3"/>
  <c r="AE756" i="3"/>
  <c r="AG756" i="3"/>
  <c r="AI756" i="3"/>
  <c r="AK756" i="3"/>
  <c r="AL756" i="3"/>
  <c r="AN756" i="3"/>
  <c r="AP756" i="3"/>
  <c r="AR756" i="3"/>
  <c r="AS756" i="3"/>
  <c r="R757" i="3"/>
  <c r="T757" i="3"/>
  <c r="V757" i="3"/>
  <c r="X757" i="3"/>
  <c r="Z757" i="3"/>
  <c r="AA757" i="3"/>
  <c r="AE757" i="3"/>
  <c r="AG757" i="3"/>
  <c r="AI757" i="3"/>
  <c r="AK757" i="3"/>
  <c r="AL757" i="3"/>
  <c r="AN757" i="3"/>
  <c r="AP757" i="3"/>
  <c r="AR757" i="3"/>
  <c r="AS757" i="3"/>
  <c r="R758" i="3"/>
  <c r="T758" i="3"/>
  <c r="V758" i="3"/>
  <c r="X758" i="3"/>
  <c r="Z758" i="3"/>
  <c r="AA758" i="3"/>
  <c r="AE758" i="3"/>
  <c r="AG758" i="3"/>
  <c r="AI758" i="3"/>
  <c r="AK758" i="3"/>
  <c r="AL758" i="3"/>
  <c r="AN758" i="3"/>
  <c r="AP758" i="3"/>
  <c r="AR758" i="3"/>
  <c r="AS758" i="3"/>
  <c r="R759" i="3"/>
  <c r="T759" i="3"/>
  <c r="V759" i="3"/>
  <c r="X759" i="3"/>
  <c r="Z759" i="3"/>
  <c r="AA759" i="3"/>
  <c r="AE759" i="3"/>
  <c r="AG759" i="3"/>
  <c r="AI759" i="3"/>
  <c r="AK759" i="3"/>
  <c r="AL759" i="3"/>
  <c r="AN759" i="3"/>
  <c r="AP759" i="3"/>
  <c r="AR759" i="3"/>
  <c r="AS759" i="3"/>
  <c r="R760" i="3"/>
  <c r="T760" i="3"/>
  <c r="V760" i="3"/>
  <c r="X760" i="3"/>
  <c r="Z760" i="3"/>
  <c r="AA760" i="3"/>
  <c r="AE760" i="3"/>
  <c r="AG760" i="3"/>
  <c r="AI760" i="3"/>
  <c r="AK760" i="3"/>
  <c r="AL760" i="3"/>
  <c r="AN760" i="3"/>
  <c r="AP760" i="3"/>
  <c r="AR760" i="3"/>
  <c r="AS760" i="3"/>
  <c r="R761" i="3"/>
  <c r="T761" i="3"/>
  <c r="V761" i="3"/>
  <c r="X761" i="3"/>
  <c r="Z761" i="3"/>
  <c r="AA761" i="3"/>
  <c r="AE761" i="3"/>
  <c r="AG761" i="3"/>
  <c r="AI761" i="3"/>
  <c r="AK761" i="3"/>
  <c r="AL761" i="3"/>
  <c r="AN761" i="3"/>
  <c r="AP761" i="3"/>
  <c r="AR761" i="3"/>
  <c r="AS761" i="3"/>
  <c r="R762" i="3"/>
  <c r="T762" i="3"/>
  <c r="V762" i="3"/>
  <c r="X762" i="3"/>
  <c r="Z762" i="3"/>
  <c r="AA762" i="3"/>
  <c r="AE762" i="3"/>
  <c r="AG762" i="3"/>
  <c r="AI762" i="3"/>
  <c r="AK762" i="3"/>
  <c r="AL762" i="3"/>
  <c r="AN762" i="3"/>
  <c r="AP762" i="3"/>
  <c r="AR762" i="3"/>
  <c r="AS762" i="3"/>
  <c r="R763" i="3"/>
  <c r="T763" i="3"/>
  <c r="V763" i="3"/>
  <c r="X763" i="3"/>
  <c r="Z763" i="3"/>
  <c r="AA763" i="3"/>
  <c r="AE763" i="3"/>
  <c r="AG763" i="3"/>
  <c r="AI763" i="3"/>
  <c r="AK763" i="3"/>
  <c r="AL763" i="3"/>
  <c r="AN763" i="3"/>
  <c r="AP763" i="3"/>
  <c r="AR763" i="3"/>
  <c r="AS763" i="3"/>
  <c r="R764" i="3"/>
  <c r="T764" i="3"/>
  <c r="V764" i="3"/>
  <c r="X764" i="3"/>
  <c r="Z764" i="3"/>
  <c r="AA764" i="3"/>
  <c r="AE764" i="3"/>
  <c r="AG764" i="3"/>
  <c r="AI764" i="3"/>
  <c r="AK764" i="3"/>
  <c r="AL764" i="3"/>
  <c r="AN764" i="3"/>
  <c r="AP764" i="3"/>
  <c r="AR764" i="3"/>
  <c r="AS764" i="3"/>
  <c r="R765" i="3"/>
  <c r="T765" i="3"/>
  <c r="V765" i="3"/>
  <c r="X765" i="3"/>
  <c r="Z765" i="3"/>
  <c r="AA765" i="3"/>
  <c r="AE765" i="3"/>
  <c r="AG765" i="3"/>
  <c r="AI765" i="3"/>
  <c r="AK765" i="3"/>
  <c r="AL765" i="3"/>
  <c r="AN765" i="3"/>
  <c r="AP765" i="3"/>
  <c r="AR765" i="3"/>
  <c r="AS765" i="3"/>
  <c r="R766" i="3"/>
  <c r="T766" i="3"/>
  <c r="V766" i="3"/>
  <c r="X766" i="3"/>
  <c r="Z766" i="3"/>
  <c r="AA766" i="3"/>
  <c r="AE766" i="3"/>
  <c r="AG766" i="3"/>
  <c r="AI766" i="3"/>
  <c r="AK766" i="3"/>
  <c r="AL766" i="3"/>
  <c r="AN766" i="3"/>
  <c r="AP766" i="3"/>
  <c r="AR766" i="3"/>
  <c r="AS766" i="3"/>
  <c r="R767" i="3"/>
  <c r="T767" i="3"/>
  <c r="V767" i="3"/>
  <c r="X767" i="3"/>
  <c r="Z767" i="3"/>
  <c r="AA767" i="3"/>
  <c r="AE767" i="3"/>
  <c r="AG767" i="3"/>
  <c r="AI767" i="3"/>
  <c r="AK767" i="3"/>
  <c r="AL767" i="3"/>
  <c r="AN767" i="3"/>
  <c r="AP767" i="3"/>
  <c r="AR767" i="3"/>
  <c r="AS767" i="3"/>
  <c r="R768" i="3"/>
  <c r="T768" i="3"/>
  <c r="V768" i="3"/>
  <c r="X768" i="3"/>
  <c r="Z768" i="3"/>
  <c r="AA768" i="3"/>
  <c r="AE768" i="3"/>
  <c r="AG768" i="3"/>
  <c r="AI768" i="3"/>
  <c r="AK768" i="3"/>
  <c r="AL768" i="3"/>
  <c r="AN768" i="3"/>
  <c r="AP768" i="3"/>
  <c r="AR768" i="3"/>
  <c r="AS768" i="3"/>
  <c r="R769" i="3"/>
  <c r="T769" i="3"/>
  <c r="V769" i="3"/>
  <c r="X769" i="3"/>
  <c r="Z769" i="3"/>
  <c r="AA769" i="3"/>
  <c r="AE769" i="3"/>
  <c r="AG769" i="3"/>
  <c r="AI769" i="3"/>
  <c r="AK769" i="3"/>
  <c r="AL769" i="3"/>
  <c r="AN769" i="3"/>
  <c r="AP769" i="3"/>
  <c r="AR769" i="3"/>
  <c r="AS769" i="3"/>
  <c r="R770" i="3"/>
  <c r="T770" i="3"/>
  <c r="V770" i="3"/>
  <c r="X770" i="3"/>
  <c r="Z770" i="3"/>
  <c r="AA770" i="3"/>
  <c r="AE770" i="3"/>
  <c r="AG770" i="3"/>
  <c r="AI770" i="3"/>
  <c r="AK770" i="3"/>
  <c r="AL770" i="3"/>
  <c r="AN770" i="3"/>
  <c r="AP770" i="3"/>
  <c r="AR770" i="3"/>
  <c r="AS770" i="3"/>
  <c r="R771" i="3"/>
  <c r="T771" i="3"/>
  <c r="V771" i="3"/>
  <c r="X771" i="3"/>
  <c r="Z771" i="3"/>
  <c r="AA771" i="3"/>
  <c r="AE771" i="3"/>
  <c r="AG771" i="3"/>
  <c r="AI771" i="3"/>
  <c r="AK771" i="3"/>
  <c r="AL771" i="3"/>
  <c r="AN771" i="3"/>
  <c r="AP771" i="3"/>
  <c r="AR771" i="3"/>
  <c r="AS771" i="3"/>
  <c r="R772" i="3"/>
  <c r="T772" i="3"/>
  <c r="V772" i="3"/>
  <c r="X772" i="3"/>
  <c r="Z772" i="3"/>
  <c r="AA772" i="3"/>
  <c r="AE772" i="3"/>
  <c r="AG772" i="3"/>
  <c r="AI772" i="3"/>
  <c r="AK772" i="3"/>
  <c r="AL772" i="3"/>
  <c r="AN772" i="3"/>
  <c r="AP772" i="3"/>
  <c r="AR772" i="3"/>
  <c r="AS772" i="3"/>
  <c r="R773" i="3"/>
  <c r="T773" i="3"/>
  <c r="V773" i="3"/>
  <c r="X773" i="3"/>
  <c r="Z773" i="3"/>
  <c r="AA773" i="3"/>
  <c r="AE773" i="3"/>
  <c r="AG773" i="3"/>
  <c r="AI773" i="3"/>
  <c r="AK773" i="3"/>
  <c r="AL773" i="3"/>
  <c r="AN773" i="3"/>
  <c r="AP773" i="3"/>
  <c r="AR773" i="3"/>
  <c r="AS773" i="3"/>
  <c r="R774" i="3"/>
  <c r="T774" i="3"/>
  <c r="V774" i="3"/>
  <c r="X774" i="3"/>
  <c r="Z774" i="3"/>
  <c r="AA774" i="3"/>
  <c r="AE774" i="3"/>
  <c r="AG774" i="3"/>
  <c r="AI774" i="3"/>
  <c r="AK774" i="3"/>
  <c r="AL774" i="3"/>
  <c r="AN774" i="3"/>
  <c r="AP774" i="3"/>
  <c r="AR774" i="3"/>
  <c r="AS774" i="3"/>
  <c r="R775" i="3"/>
  <c r="T775" i="3"/>
  <c r="V775" i="3"/>
  <c r="X775" i="3"/>
  <c r="Z775" i="3"/>
  <c r="AA775" i="3"/>
  <c r="AE775" i="3"/>
  <c r="AG775" i="3"/>
  <c r="AI775" i="3"/>
  <c r="AK775" i="3"/>
  <c r="AL775" i="3"/>
  <c r="AN775" i="3"/>
  <c r="AP775" i="3"/>
  <c r="AR775" i="3"/>
  <c r="AS775" i="3"/>
  <c r="R776" i="3"/>
  <c r="T776" i="3"/>
  <c r="V776" i="3"/>
  <c r="X776" i="3"/>
  <c r="Z776" i="3"/>
  <c r="AA776" i="3"/>
  <c r="AE776" i="3"/>
  <c r="AG776" i="3"/>
  <c r="AI776" i="3"/>
  <c r="AK776" i="3"/>
  <c r="AL776" i="3"/>
  <c r="AN776" i="3"/>
  <c r="AP776" i="3"/>
  <c r="AR776" i="3"/>
  <c r="AS776" i="3"/>
  <c r="R777" i="3"/>
  <c r="T777" i="3"/>
  <c r="V777" i="3"/>
  <c r="X777" i="3"/>
  <c r="Z777" i="3"/>
  <c r="AA777" i="3"/>
  <c r="AE777" i="3"/>
  <c r="AG777" i="3"/>
  <c r="AI777" i="3"/>
  <c r="AK777" i="3"/>
  <c r="AL777" i="3"/>
  <c r="AN777" i="3"/>
  <c r="AP777" i="3"/>
  <c r="AR777" i="3"/>
  <c r="AS777" i="3"/>
  <c r="R778" i="3"/>
  <c r="T778" i="3"/>
  <c r="V778" i="3"/>
  <c r="X778" i="3"/>
  <c r="Z778" i="3"/>
  <c r="AA778" i="3"/>
  <c r="AE778" i="3"/>
  <c r="AG778" i="3"/>
  <c r="AI778" i="3"/>
  <c r="AK778" i="3"/>
  <c r="AL778" i="3"/>
  <c r="AN778" i="3"/>
  <c r="AP778" i="3"/>
  <c r="AR778" i="3"/>
  <c r="AS778" i="3"/>
  <c r="R779" i="3"/>
  <c r="T779" i="3"/>
  <c r="V779" i="3"/>
  <c r="X779" i="3"/>
  <c r="Z779" i="3"/>
  <c r="AA779" i="3"/>
  <c r="AE779" i="3"/>
  <c r="AG779" i="3"/>
  <c r="AI779" i="3"/>
  <c r="AK779" i="3"/>
  <c r="AL779" i="3"/>
  <c r="AN779" i="3"/>
  <c r="AP779" i="3"/>
  <c r="AR779" i="3"/>
  <c r="AS779" i="3"/>
  <c r="R780" i="3"/>
  <c r="T780" i="3"/>
  <c r="V780" i="3"/>
  <c r="X780" i="3"/>
  <c r="Z780" i="3"/>
  <c r="AA780" i="3"/>
  <c r="AE780" i="3"/>
  <c r="AG780" i="3"/>
  <c r="AI780" i="3"/>
  <c r="AK780" i="3"/>
  <c r="AL780" i="3"/>
  <c r="AN780" i="3"/>
  <c r="AP780" i="3"/>
  <c r="AR780" i="3"/>
  <c r="AS780" i="3"/>
  <c r="R781" i="3"/>
  <c r="T781" i="3"/>
  <c r="V781" i="3"/>
  <c r="X781" i="3"/>
  <c r="Z781" i="3"/>
  <c r="AA781" i="3"/>
  <c r="AE781" i="3"/>
  <c r="AG781" i="3"/>
  <c r="AI781" i="3"/>
  <c r="AK781" i="3"/>
  <c r="AL781" i="3"/>
  <c r="AN781" i="3"/>
  <c r="AP781" i="3"/>
  <c r="AR781" i="3"/>
  <c r="AS781" i="3"/>
  <c r="R782" i="3"/>
  <c r="T782" i="3"/>
  <c r="V782" i="3"/>
  <c r="X782" i="3"/>
  <c r="Z782" i="3"/>
  <c r="AA782" i="3"/>
  <c r="AE782" i="3"/>
  <c r="AG782" i="3"/>
  <c r="AI782" i="3"/>
  <c r="AK782" i="3"/>
  <c r="AL782" i="3"/>
  <c r="AN782" i="3"/>
  <c r="AP782" i="3"/>
  <c r="AR782" i="3"/>
  <c r="AS782" i="3"/>
  <c r="R783" i="3"/>
  <c r="T783" i="3"/>
  <c r="V783" i="3"/>
  <c r="X783" i="3"/>
  <c r="Z783" i="3"/>
  <c r="AA783" i="3"/>
  <c r="AE783" i="3"/>
  <c r="AG783" i="3"/>
  <c r="AI783" i="3"/>
  <c r="AK783" i="3"/>
  <c r="AL783" i="3"/>
  <c r="AN783" i="3"/>
  <c r="AP783" i="3"/>
  <c r="AR783" i="3"/>
  <c r="AS783" i="3"/>
  <c r="R784" i="3"/>
  <c r="T784" i="3"/>
  <c r="V784" i="3"/>
  <c r="X784" i="3"/>
  <c r="Z784" i="3"/>
  <c r="AA784" i="3"/>
  <c r="AE784" i="3"/>
  <c r="AG784" i="3"/>
  <c r="AI784" i="3"/>
  <c r="AK784" i="3"/>
  <c r="AL784" i="3"/>
  <c r="AN784" i="3"/>
  <c r="AP784" i="3"/>
  <c r="AR784" i="3"/>
  <c r="AS784" i="3"/>
  <c r="R785" i="3"/>
  <c r="T785" i="3"/>
  <c r="V785" i="3"/>
  <c r="X785" i="3"/>
  <c r="Z785" i="3"/>
  <c r="AA785" i="3"/>
  <c r="AE785" i="3"/>
  <c r="AG785" i="3"/>
  <c r="AI785" i="3"/>
  <c r="AK785" i="3"/>
  <c r="AL785" i="3"/>
  <c r="AN785" i="3"/>
  <c r="AP785" i="3"/>
  <c r="AR785" i="3"/>
  <c r="AS785" i="3"/>
  <c r="R786" i="3"/>
  <c r="T786" i="3"/>
  <c r="V786" i="3"/>
  <c r="X786" i="3"/>
  <c r="Z786" i="3"/>
  <c r="AA786" i="3"/>
  <c r="AE786" i="3"/>
  <c r="AG786" i="3"/>
  <c r="AI786" i="3"/>
  <c r="AK786" i="3"/>
  <c r="AL786" i="3"/>
  <c r="AN786" i="3"/>
  <c r="AP786" i="3"/>
  <c r="AR786" i="3"/>
  <c r="AS786" i="3"/>
  <c r="R787" i="3"/>
  <c r="T787" i="3"/>
  <c r="V787" i="3"/>
  <c r="X787" i="3"/>
  <c r="Z787" i="3"/>
  <c r="AA787" i="3"/>
  <c r="AE787" i="3"/>
  <c r="AG787" i="3"/>
  <c r="AI787" i="3"/>
  <c r="AK787" i="3"/>
  <c r="AL787" i="3"/>
  <c r="AN787" i="3"/>
  <c r="AP787" i="3"/>
  <c r="AR787" i="3"/>
  <c r="AS787" i="3"/>
  <c r="R788" i="3"/>
  <c r="T788" i="3"/>
  <c r="V788" i="3"/>
  <c r="X788" i="3"/>
  <c r="Z788" i="3"/>
  <c r="AA788" i="3"/>
  <c r="AE788" i="3"/>
  <c r="AG788" i="3"/>
  <c r="AI788" i="3"/>
  <c r="AK788" i="3"/>
  <c r="AL788" i="3"/>
  <c r="AN788" i="3"/>
  <c r="AP788" i="3"/>
  <c r="AR788" i="3"/>
  <c r="AS788" i="3"/>
  <c r="R789" i="3"/>
  <c r="T789" i="3"/>
  <c r="V789" i="3"/>
  <c r="X789" i="3"/>
  <c r="Z789" i="3"/>
  <c r="AA789" i="3"/>
  <c r="AE789" i="3"/>
  <c r="AG789" i="3"/>
  <c r="AI789" i="3"/>
  <c r="AK789" i="3"/>
  <c r="AL789" i="3"/>
  <c r="AN789" i="3"/>
  <c r="AP789" i="3"/>
  <c r="AR789" i="3"/>
  <c r="AS789" i="3"/>
  <c r="R790" i="3"/>
  <c r="T790" i="3"/>
  <c r="V790" i="3"/>
  <c r="X790" i="3"/>
  <c r="Z790" i="3"/>
  <c r="AA790" i="3"/>
  <c r="AE790" i="3"/>
  <c r="AG790" i="3"/>
  <c r="AI790" i="3"/>
  <c r="AK790" i="3"/>
  <c r="AL790" i="3"/>
  <c r="AN790" i="3"/>
  <c r="AP790" i="3"/>
  <c r="AR790" i="3"/>
  <c r="AS790" i="3"/>
  <c r="R791" i="3"/>
  <c r="T791" i="3"/>
  <c r="V791" i="3"/>
  <c r="X791" i="3"/>
  <c r="Z791" i="3"/>
  <c r="AA791" i="3"/>
  <c r="AE791" i="3"/>
  <c r="AG791" i="3"/>
  <c r="AI791" i="3"/>
  <c r="AK791" i="3"/>
  <c r="AL791" i="3"/>
  <c r="AN791" i="3"/>
  <c r="AP791" i="3"/>
  <c r="AR791" i="3"/>
  <c r="AS791" i="3"/>
  <c r="R792" i="3"/>
  <c r="T792" i="3"/>
  <c r="V792" i="3"/>
  <c r="X792" i="3"/>
  <c r="Z792" i="3"/>
  <c r="AA792" i="3"/>
  <c r="AE792" i="3"/>
  <c r="AG792" i="3"/>
  <c r="AI792" i="3"/>
  <c r="AK792" i="3"/>
  <c r="AL792" i="3"/>
  <c r="AN792" i="3"/>
  <c r="AP792" i="3"/>
  <c r="AR792" i="3"/>
  <c r="AS792" i="3"/>
  <c r="R793" i="3"/>
  <c r="T793" i="3"/>
  <c r="V793" i="3"/>
  <c r="X793" i="3"/>
  <c r="Z793" i="3"/>
  <c r="AA793" i="3"/>
  <c r="AE793" i="3"/>
  <c r="AG793" i="3"/>
  <c r="AI793" i="3"/>
  <c r="AK793" i="3"/>
  <c r="AL793" i="3"/>
  <c r="AN793" i="3"/>
  <c r="AP793" i="3"/>
  <c r="AR793" i="3"/>
  <c r="AS793" i="3"/>
  <c r="R794" i="3"/>
  <c r="T794" i="3"/>
  <c r="V794" i="3"/>
  <c r="X794" i="3"/>
  <c r="Z794" i="3"/>
  <c r="AA794" i="3"/>
  <c r="AE794" i="3"/>
  <c r="AG794" i="3"/>
  <c r="AI794" i="3"/>
  <c r="AK794" i="3"/>
  <c r="AL794" i="3"/>
  <c r="AN794" i="3"/>
  <c r="AP794" i="3"/>
  <c r="AR794" i="3"/>
  <c r="AS794" i="3"/>
  <c r="R795" i="3"/>
  <c r="T795" i="3"/>
  <c r="V795" i="3"/>
  <c r="X795" i="3"/>
  <c r="Z795" i="3"/>
  <c r="AA795" i="3"/>
  <c r="AE795" i="3"/>
  <c r="AG795" i="3"/>
  <c r="AI795" i="3"/>
  <c r="AK795" i="3"/>
  <c r="AL795" i="3"/>
  <c r="AN795" i="3"/>
  <c r="AP795" i="3"/>
  <c r="AR795" i="3"/>
  <c r="AS795" i="3"/>
  <c r="R796" i="3"/>
  <c r="T796" i="3"/>
  <c r="V796" i="3"/>
  <c r="X796" i="3"/>
  <c r="Z796" i="3"/>
  <c r="AA796" i="3"/>
  <c r="AE796" i="3"/>
  <c r="AG796" i="3"/>
  <c r="AI796" i="3"/>
  <c r="AK796" i="3"/>
  <c r="AL796" i="3"/>
  <c r="AN796" i="3"/>
  <c r="AP796" i="3"/>
  <c r="AR796" i="3"/>
  <c r="AS796" i="3"/>
  <c r="R797" i="3"/>
  <c r="T797" i="3"/>
  <c r="V797" i="3"/>
  <c r="X797" i="3"/>
  <c r="Z797" i="3"/>
  <c r="AA797" i="3"/>
  <c r="AE797" i="3"/>
  <c r="AG797" i="3"/>
  <c r="AI797" i="3"/>
  <c r="AK797" i="3"/>
  <c r="AL797" i="3"/>
  <c r="AN797" i="3"/>
  <c r="AP797" i="3"/>
  <c r="AR797" i="3"/>
  <c r="AS797" i="3"/>
  <c r="R798" i="3"/>
  <c r="T798" i="3"/>
  <c r="V798" i="3"/>
  <c r="X798" i="3"/>
  <c r="Z798" i="3"/>
  <c r="AA798" i="3"/>
  <c r="AE798" i="3"/>
  <c r="AG798" i="3"/>
  <c r="AI798" i="3"/>
  <c r="AK798" i="3"/>
  <c r="AL798" i="3"/>
  <c r="AN798" i="3"/>
  <c r="AP798" i="3"/>
  <c r="AR798" i="3"/>
  <c r="AS798" i="3"/>
  <c r="R799" i="3"/>
  <c r="T799" i="3"/>
  <c r="V799" i="3"/>
  <c r="X799" i="3"/>
  <c r="Z799" i="3"/>
  <c r="AA799" i="3"/>
  <c r="AE799" i="3"/>
  <c r="AG799" i="3"/>
  <c r="AI799" i="3"/>
  <c r="AK799" i="3"/>
  <c r="AL799" i="3"/>
  <c r="AN799" i="3"/>
  <c r="AP799" i="3"/>
  <c r="AR799" i="3"/>
  <c r="AS799" i="3"/>
  <c r="R800" i="3"/>
  <c r="T800" i="3"/>
  <c r="V800" i="3"/>
  <c r="X800" i="3"/>
  <c r="Z800" i="3"/>
  <c r="AA800" i="3"/>
  <c r="AE800" i="3"/>
  <c r="AG800" i="3"/>
  <c r="AI800" i="3"/>
  <c r="AK800" i="3"/>
  <c r="AL800" i="3"/>
  <c r="AN800" i="3"/>
  <c r="AP800" i="3"/>
  <c r="AR800" i="3"/>
  <c r="AS800" i="3"/>
  <c r="R801" i="3"/>
  <c r="T801" i="3"/>
  <c r="V801" i="3"/>
  <c r="X801" i="3"/>
  <c r="Z801" i="3"/>
  <c r="AA801" i="3"/>
  <c r="AE801" i="3"/>
  <c r="AG801" i="3"/>
  <c r="AI801" i="3"/>
  <c r="AK801" i="3"/>
  <c r="AL801" i="3"/>
  <c r="AN801" i="3"/>
  <c r="AP801" i="3"/>
  <c r="AR801" i="3"/>
  <c r="AS801" i="3"/>
  <c r="R802" i="3"/>
  <c r="T802" i="3"/>
  <c r="V802" i="3"/>
  <c r="X802" i="3"/>
  <c r="Z802" i="3"/>
  <c r="AA802" i="3"/>
  <c r="AE802" i="3"/>
  <c r="AG802" i="3"/>
  <c r="AI802" i="3"/>
  <c r="AK802" i="3"/>
  <c r="AL802" i="3"/>
  <c r="AN802" i="3"/>
  <c r="AP802" i="3"/>
  <c r="AR802" i="3"/>
  <c r="AS802" i="3"/>
  <c r="R803" i="3"/>
  <c r="T803" i="3"/>
  <c r="V803" i="3"/>
  <c r="X803" i="3"/>
  <c r="Z803" i="3"/>
  <c r="AA803" i="3"/>
  <c r="AE803" i="3"/>
  <c r="AG803" i="3"/>
  <c r="AI803" i="3"/>
  <c r="AK803" i="3"/>
  <c r="AL803" i="3"/>
  <c r="AN803" i="3"/>
  <c r="AP803" i="3"/>
  <c r="AR803" i="3"/>
  <c r="AS803" i="3"/>
  <c r="R804" i="3"/>
  <c r="T804" i="3"/>
  <c r="V804" i="3"/>
  <c r="X804" i="3"/>
  <c r="Z804" i="3"/>
  <c r="AA804" i="3"/>
  <c r="AE804" i="3"/>
  <c r="AG804" i="3"/>
  <c r="AI804" i="3"/>
  <c r="AK804" i="3"/>
  <c r="AL804" i="3"/>
  <c r="AN804" i="3"/>
  <c r="AP804" i="3"/>
  <c r="AR804" i="3"/>
  <c r="AS804" i="3"/>
  <c r="R805" i="3"/>
  <c r="T805" i="3"/>
  <c r="V805" i="3"/>
  <c r="X805" i="3"/>
  <c r="Z805" i="3"/>
  <c r="AA805" i="3"/>
  <c r="AE805" i="3"/>
  <c r="AG805" i="3"/>
  <c r="AI805" i="3"/>
  <c r="AK805" i="3"/>
  <c r="AL805" i="3"/>
  <c r="AN805" i="3"/>
  <c r="AP805" i="3"/>
  <c r="AR805" i="3"/>
  <c r="AS805" i="3"/>
  <c r="R806" i="3"/>
  <c r="T806" i="3"/>
  <c r="V806" i="3"/>
  <c r="X806" i="3"/>
  <c r="Z806" i="3"/>
  <c r="AA806" i="3"/>
  <c r="AE806" i="3"/>
  <c r="AG806" i="3"/>
  <c r="AI806" i="3"/>
  <c r="AK806" i="3"/>
  <c r="AL806" i="3"/>
  <c r="AN806" i="3"/>
  <c r="AP806" i="3"/>
  <c r="AR806" i="3"/>
  <c r="AS806" i="3"/>
  <c r="R807" i="3"/>
  <c r="T807" i="3"/>
  <c r="V807" i="3"/>
  <c r="X807" i="3"/>
  <c r="Z807" i="3"/>
  <c r="AA807" i="3"/>
  <c r="AE807" i="3"/>
  <c r="AG807" i="3"/>
  <c r="AI807" i="3"/>
  <c r="AK807" i="3"/>
  <c r="AL807" i="3"/>
  <c r="AN807" i="3"/>
  <c r="AP807" i="3"/>
  <c r="AR807" i="3"/>
  <c r="AS807" i="3"/>
  <c r="R808" i="3"/>
  <c r="T808" i="3"/>
  <c r="V808" i="3"/>
  <c r="X808" i="3"/>
  <c r="Z808" i="3"/>
  <c r="AA808" i="3"/>
  <c r="AE808" i="3"/>
  <c r="AG808" i="3"/>
  <c r="AI808" i="3"/>
  <c r="AK808" i="3"/>
  <c r="AL808" i="3"/>
  <c r="AN808" i="3"/>
  <c r="AP808" i="3"/>
  <c r="AR808" i="3"/>
  <c r="AS808" i="3"/>
  <c r="R809" i="3"/>
  <c r="T809" i="3"/>
  <c r="V809" i="3"/>
  <c r="X809" i="3"/>
  <c r="Z809" i="3"/>
  <c r="AA809" i="3"/>
  <c r="AE809" i="3"/>
  <c r="AG809" i="3"/>
  <c r="AI809" i="3"/>
  <c r="AK809" i="3"/>
  <c r="AL809" i="3"/>
  <c r="AN809" i="3"/>
  <c r="AP809" i="3"/>
  <c r="AR809" i="3"/>
  <c r="AS809" i="3"/>
  <c r="R810" i="3"/>
  <c r="T810" i="3"/>
  <c r="V810" i="3"/>
  <c r="X810" i="3"/>
  <c r="Z810" i="3"/>
  <c r="AA810" i="3"/>
  <c r="AE810" i="3"/>
  <c r="AG810" i="3"/>
  <c r="AI810" i="3"/>
  <c r="AK810" i="3"/>
  <c r="AL810" i="3"/>
  <c r="AN810" i="3"/>
  <c r="AP810" i="3"/>
  <c r="AR810" i="3"/>
  <c r="AS810" i="3"/>
  <c r="R811" i="3"/>
  <c r="T811" i="3"/>
  <c r="V811" i="3"/>
  <c r="X811" i="3"/>
  <c r="Z811" i="3"/>
  <c r="AA811" i="3"/>
  <c r="AE811" i="3"/>
  <c r="AG811" i="3"/>
  <c r="AI811" i="3"/>
  <c r="AK811" i="3"/>
  <c r="AL811" i="3"/>
  <c r="AN811" i="3"/>
  <c r="AP811" i="3"/>
  <c r="AR811" i="3"/>
  <c r="AS811" i="3"/>
  <c r="R812" i="3"/>
  <c r="T812" i="3"/>
  <c r="V812" i="3"/>
  <c r="X812" i="3"/>
  <c r="Z812" i="3"/>
  <c r="AA812" i="3"/>
  <c r="AE812" i="3"/>
  <c r="AG812" i="3"/>
  <c r="AI812" i="3"/>
  <c r="AK812" i="3"/>
  <c r="AL812" i="3"/>
  <c r="AN812" i="3"/>
  <c r="AP812" i="3"/>
  <c r="AR812" i="3"/>
  <c r="AS812" i="3"/>
  <c r="R813" i="3"/>
  <c r="T813" i="3"/>
  <c r="V813" i="3"/>
  <c r="X813" i="3"/>
  <c r="Z813" i="3"/>
  <c r="AA813" i="3"/>
  <c r="AE813" i="3"/>
  <c r="AG813" i="3"/>
  <c r="AI813" i="3"/>
  <c r="AK813" i="3"/>
  <c r="AL813" i="3"/>
  <c r="AN813" i="3"/>
  <c r="AP813" i="3"/>
  <c r="AR813" i="3"/>
  <c r="AS813" i="3"/>
  <c r="R814" i="3"/>
  <c r="T814" i="3"/>
  <c r="V814" i="3"/>
  <c r="X814" i="3"/>
  <c r="Z814" i="3"/>
  <c r="AA814" i="3"/>
  <c r="AE814" i="3"/>
  <c r="AG814" i="3"/>
  <c r="AI814" i="3"/>
  <c r="AK814" i="3"/>
  <c r="AL814" i="3"/>
  <c r="AN814" i="3"/>
  <c r="AP814" i="3"/>
  <c r="AR814" i="3"/>
  <c r="AS814" i="3"/>
  <c r="R815" i="3"/>
  <c r="T815" i="3"/>
  <c r="V815" i="3"/>
  <c r="X815" i="3"/>
  <c r="Z815" i="3"/>
  <c r="AA815" i="3"/>
  <c r="AE815" i="3"/>
  <c r="AG815" i="3"/>
  <c r="AI815" i="3"/>
  <c r="AK815" i="3"/>
  <c r="AL815" i="3"/>
  <c r="AN815" i="3"/>
  <c r="AP815" i="3"/>
  <c r="AR815" i="3"/>
  <c r="AS815" i="3"/>
  <c r="R816" i="3"/>
  <c r="T816" i="3"/>
  <c r="V816" i="3"/>
  <c r="X816" i="3"/>
  <c r="Z816" i="3"/>
  <c r="AA816" i="3"/>
  <c r="AE816" i="3"/>
  <c r="AG816" i="3"/>
  <c r="AI816" i="3"/>
  <c r="AK816" i="3"/>
  <c r="AL816" i="3"/>
  <c r="AN816" i="3"/>
  <c r="AP816" i="3"/>
  <c r="AR816" i="3"/>
  <c r="AS816" i="3"/>
  <c r="R817" i="3"/>
  <c r="T817" i="3"/>
  <c r="V817" i="3"/>
  <c r="X817" i="3"/>
  <c r="Z817" i="3"/>
  <c r="AA817" i="3"/>
  <c r="AE817" i="3"/>
  <c r="AG817" i="3"/>
  <c r="AI817" i="3"/>
  <c r="AK817" i="3"/>
  <c r="AL817" i="3"/>
  <c r="AN817" i="3"/>
  <c r="AP817" i="3"/>
  <c r="AR817" i="3"/>
  <c r="AS817" i="3"/>
  <c r="R818" i="3"/>
  <c r="T818" i="3"/>
  <c r="V818" i="3"/>
  <c r="X818" i="3"/>
  <c r="Z818" i="3"/>
  <c r="AA818" i="3"/>
  <c r="AE818" i="3"/>
  <c r="AG818" i="3"/>
  <c r="AI818" i="3"/>
  <c r="AK818" i="3"/>
  <c r="AL818" i="3"/>
  <c r="AN818" i="3"/>
  <c r="AP818" i="3"/>
  <c r="AR818" i="3"/>
  <c r="AS818" i="3"/>
  <c r="R819" i="3"/>
  <c r="T819" i="3"/>
  <c r="V819" i="3"/>
  <c r="X819" i="3"/>
  <c r="Z819" i="3"/>
  <c r="AA819" i="3"/>
  <c r="AE819" i="3"/>
  <c r="AG819" i="3"/>
  <c r="AI819" i="3"/>
  <c r="AK819" i="3"/>
  <c r="AL819" i="3"/>
  <c r="AN819" i="3"/>
  <c r="AP819" i="3"/>
  <c r="AR819" i="3"/>
  <c r="AS819" i="3"/>
  <c r="R820" i="3"/>
  <c r="T820" i="3"/>
  <c r="V820" i="3"/>
  <c r="X820" i="3"/>
  <c r="Z820" i="3"/>
  <c r="AA820" i="3"/>
  <c r="AE820" i="3"/>
  <c r="AG820" i="3"/>
  <c r="AI820" i="3"/>
  <c r="AK820" i="3"/>
  <c r="AL820" i="3"/>
  <c r="AN820" i="3"/>
  <c r="AP820" i="3"/>
  <c r="AR820" i="3"/>
  <c r="AS820" i="3"/>
  <c r="R821" i="3"/>
  <c r="T821" i="3"/>
  <c r="V821" i="3"/>
  <c r="X821" i="3"/>
  <c r="Z821" i="3"/>
  <c r="AA821" i="3"/>
  <c r="AE821" i="3"/>
  <c r="AG821" i="3"/>
  <c r="AI821" i="3"/>
  <c r="AK821" i="3"/>
  <c r="AL821" i="3"/>
  <c r="AN821" i="3"/>
  <c r="AP821" i="3"/>
  <c r="AR821" i="3"/>
  <c r="AS821" i="3"/>
  <c r="R822" i="3"/>
  <c r="T822" i="3"/>
  <c r="V822" i="3"/>
  <c r="X822" i="3"/>
  <c r="Z822" i="3"/>
  <c r="AA822" i="3"/>
  <c r="AE822" i="3"/>
  <c r="AG822" i="3"/>
  <c r="AI822" i="3"/>
  <c r="AK822" i="3"/>
  <c r="AL822" i="3"/>
  <c r="AN822" i="3"/>
  <c r="AP822" i="3"/>
  <c r="AR822" i="3"/>
  <c r="AS822" i="3"/>
  <c r="R823" i="3"/>
  <c r="T823" i="3"/>
  <c r="V823" i="3"/>
  <c r="X823" i="3"/>
  <c r="Z823" i="3"/>
  <c r="AA823" i="3"/>
  <c r="AE823" i="3"/>
  <c r="AG823" i="3"/>
  <c r="AI823" i="3"/>
  <c r="AK823" i="3"/>
  <c r="AL823" i="3"/>
  <c r="AN823" i="3"/>
  <c r="AP823" i="3"/>
  <c r="AR823" i="3"/>
  <c r="AS823" i="3"/>
  <c r="R824" i="3"/>
  <c r="T824" i="3"/>
  <c r="V824" i="3"/>
  <c r="X824" i="3"/>
  <c r="Z824" i="3"/>
  <c r="AA824" i="3"/>
  <c r="AE824" i="3"/>
  <c r="AG824" i="3"/>
  <c r="AI824" i="3"/>
  <c r="AK824" i="3"/>
  <c r="AL824" i="3"/>
  <c r="AN824" i="3"/>
  <c r="AP824" i="3"/>
  <c r="AR824" i="3"/>
  <c r="AS824" i="3"/>
  <c r="R825" i="3"/>
  <c r="T825" i="3"/>
  <c r="V825" i="3"/>
  <c r="X825" i="3"/>
  <c r="Z825" i="3"/>
  <c r="AA825" i="3"/>
  <c r="AE825" i="3"/>
  <c r="AG825" i="3"/>
  <c r="AI825" i="3"/>
  <c r="AK825" i="3"/>
  <c r="AL825" i="3"/>
  <c r="AN825" i="3"/>
  <c r="AP825" i="3"/>
  <c r="AR825" i="3"/>
  <c r="AS825" i="3"/>
  <c r="R826" i="3"/>
  <c r="T826" i="3"/>
  <c r="V826" i="3"/>
  <c r="X826" i="3"/>
  <c r="Z826" i="3"/>
  <c r="AA826" i="3"/>
  <c r="AE826" i="3"/>
  <c r="AG826" i="3"/>
  <c r="AI826" i="3"/>
  <c r="AK826" i="3"/>
  <c r="AL826" i="3"/>
  <c r="AN826" i="3"/>
  <c r="AP826" i="3"/>
  <c r="AR826" i="3"/>
  <c r="AS826" i="3"/>
  <c r="R827" i="3"/>
  <c r="T827" i="3"/>
  <c r="V827" i="3"/>
  <c r="X827" i="3"/>
  <c r="Z827" i="3"/>
  <c r="AA827" i="3"/>
  <c r="AE827" i="3"/>
  <c r="AG827" i="3"/>
  <c r="AI827" i="3"/>
  <c r="AK827" i="3"/>
  <c r="AL827" i="3"/>
  <c r="AN827" i="3"/>
  <c r="AP827" i="3"/>
  <c r="AR827" i="3"/>
  <c r="AS827" i="3"/>
  <c r="R828" i="3"/>
  <c r="T828" i="3"/>
  <c r="V828" i="3"/>
  <c r="X828" i="3"/>
  <c r="Z828" i="3"/>
  <c r="AA828" i="3"/>
  <c r="AE828" i="3"/>
  <c r="AG828" i="3"/>
  <c r="AI828" i="3"/>
  <c r="AK828" i="3"/>
  <c r="AL828" i="3"/>
  <c r="AN828" i="3"/>
  <c r="AP828" i="3"/>
  <c r="AR828" i="3"/>
  <c r="AS828" i="3"/>
  <c r="R829" i="3"/>
  <c r="T829" i="3"/>
  <c r="V829" i="3"/>
  <c r="X829" i="3"/>
  <c r="Z829" i="3"/>
  <c r="AA829" i="3"/>
  <c r="AE829" i="3"/>
  <c r="AG829" i="3"/>
  <c r="AI829" i="3"/>
  <c r="AK829" i="3"/>
  <c r="AL829" i="3"/>
  <c r="AN829" i="3"/>
  <c r="AP829" i="3"/>
  <c r="AR829" i="3"/>
  <c r="AS829" i="3"/>
  <c r="R830" i="3"/>
  <c r="T830" i="3"/>
  <c r="V830" i="3"/>
  <c r="X830" i="3"/>
  <c r="Z830" i="3"/>
  <c r="AA830" i="3"/>
  <c r="AE830" i="3"/>
  <c r="AG830" i="3"/>
  <c r="AI830" i="3"/>
  <c r="AK830" i="3"/>
  <c r="AL830" i="3"/>
  <c r="AN830" i="3"/>
  <c r="AP830" i="3"/>
  <c r="AR830" i="3"/>
  <c r="AS830" i="3"/>
  <c r="R831" i="3"/>
  <c r="T831" i="3"/>
  <c r="V831" i="3"/>
  <c r="X831" i="3"/>
  <c r="Z831" i="3"/>
  <c r="AA831" i="3"/>
  <c r="AE831" i="3"/>
  <c r="AG831" i="3"/>
  <c r="AI831" i="3"/>
  <c r="AK831" i="3"/>
  <c r="AL831" i="3"/>
  <c r="AN831" i="3"/>
  <c r="AP831" i="3"/>
  <c r="AR831" i="3"/>
  <c r="AS831" i="3"/>
  <c r="R832" i="3"/>
  <c r="T832" i="3"/>
  <c r="V832" i="3"/>
  <c r="X832" i="3"/>
  <c r="Z832" i="3"/>
  <c r="AA832" i="3"/>
  <c r="AE832" i="3"/>
  <c r="AG832" i="3"/>
  <c r="AI832" i="3"/>
  <c r="AK832" i="3"/>
  <c r="AL832" i="3"/>
  <c r="AN832" i="3"/>
  <c r="AP832" i="3"/>
  <c r="AR832" i="3"/>
  <c r="AS832" i="3"/>
  <c r="R833" i="3"/>
  <c r="T833" i="3"/>
  <c r="V833" i="3"/>
  <c r="X833" i="3"/>
  <c r="Z833" i="3"/>
  <c r="AA833" i="3"/>
  <c r="AE833" i="3"/>
  <c r="AG833" i="3"/>
  <c r="AI833" i="3"/>
  <c r="AK833" i="3"/>
  <c r="AL833" i="3"/>
  <c r="AN833" i="3"/>
  <c r="AP833" i="3"/>
  <c r="AR833" i="3"/>
  <c r="AS833" i="3"/>
  <c r="R834" i="3"/>
  <c r="T834" i="3"/>
  <c r="V834" i="3"/>
  <c r="X834" i="3"/>
  <c r="Z834" i="3"/>
  <c r="AA834" i="3"/>
  <c r="AE834" i="3"/>
  <c r="AG834" i="3"/>
  <c r="AI834" i="3"/>
  <c r="AK834" i="3"/>
  <c r="AL834" i="3"/>
  <c r="AN834" i="3"/>
  <c r="AP834" i="3"/>
  <c r="AR834" i="3"/>
  <c r="AS834" i="3"/>
  <c r="R835" i="3"/>
  <c r="T835" i="3"/>
  <c r="V835" i="3"/>
  <c r="X835" i="3"/>
  <c r="Z835" i="3"/>
  <c r="AA835" i="3"/>
  <c r="AE835" i="3"/>
  <c r="AG835" i="3"/>
  <c r="AI835" i="3"/>
  <c r="AK835" i="3"/>
  <c r="AL835" i="3"/>
  <c r="AN835" i="3"/>
  <c r="AP835" i="3"/>
  <c r="AR835" i="3"/>
  <c r="AS835" i="3"/>
  <c r="R836" i="3"/>
  <c r="T836" i="3"/>
  <c r="V836" i="3"/>
  <c r="X836" i="3"/>
  <c r="Z836" i="3"/>
  <c r="AA836" i="3"/>
  <c r="AE836" i="3"/>
  <c r="AG836" i="3"/>
  <c r="AI836" i="3"/>
  <c r="AK836" i="3"/>
  <c r="AL836" i="3"/>
  <c r="AN836" i="3"/>
  <c r="AP836" i="3"/>
  <c r="AR836" i="3"/>
  <c r="AS836" i="3"/>
  <c r="R837" i="3"/>
  <c r="T837" i="3"/>
  <c r="V837" i="3"/>
  <c r="X837" i="3"/>
  <c r="Z837" i="3"/>
  <c r="AA837" i="3"/>
  <c r="AE837" i="3"/>
  <c r="AG837" i="3"/>
  <c r="AI837" i="3"/>
  <c r="AK837" i="3"/>
  <c r="AL837" i="3"/>
  <c r="AN837" i="3"/>
  <c r="AP837" i="3"/>
  <c r="AR837" i="3"/>
  <c r="AS837" i="3"/>
  <c r="R838" i="3"/>
  <c r="T838" i="3"/>
  <c r="V838" i="3"/>
  <c r="X838" i="3"/>
  <c r="Z838" i="3"/>
  <c r="AA838" i="3"/>
  <c r="AE838" i="3"/>
  <c r="AG838" i="3"/>
  <c r="AI838" i="3"/>
  <c r="AK838" i="3"/>
  <c r="AL838" i="3"/>
  <c r="AN838" i="3"/>
  <c r="AP838" i="3"/>
  <c r="AR838" i="3"/>
  <c r="AS838" i="3"/>
  <c r="R839" i="3"/>
  <c r="T839" i="3"/>
  <c r="V839" i="3"/>
  <c r="X839" i="3"/>
  <c r="Z839" i="3"/>
  <c r="AA839" i="3"/>
  <c r="AE839" i="3"/>
  <c r="AG839" i="3"/>
  <c r="AI839" i="3"/>
  <c r="AK839" i="3"/>
  <c r="AL839" i="3"/>
  <c r="AN839" i="3"/>
  <c r="AP839" i="3"/>
  <c r="AR839" i="3"/>
  <c r="AS839" i="3"/>
  <c r="R840" i="3"/>
  <c r="T840" i="3"/>
  <c r="V840" i="3"/>
  <c r="X840" i="3"/>
  <c r="Z840" i="3"/>
  <c r="AA840" i="3"/>
  <c r="AE840" i="3"/>
  <c r="AG840" i="3"/>
  <c r="AI840" i="3"/>
  <c r="AK840" i="3"/>
  <c r="AL840" i="3"/>
  <c r="AN840" i="3"/>
  <c r="AP840" i="3"/>
  <c r="AR840" i="3"/>
  <c r="AS840" i="3"/>
  <c r="R841" i="3"/>
  <c r="T841" i="3"/>
  <c r="V841" i="3"/>
  <c r="X841" i="3"/>
  <c r="Z841" i="3"/>
  <c r="AA841" i="3"/>
  <c r="AE841" i="3"/>
  <c r="AG841" i="3"/>
  <c r="AI841" i="3"/>
  <c r="AK841" i="3"/>
  <c r="AL841" i="3"/>
  <c r="AN841" i="3"/>
  <c r="AP841" i="3"/>
  <c r="AR841" i="3"/>
  <c r="AS841" i="3"/>
  <c r="R842" i="3"/>
  <c r="T842" i="3"/>
  <c r="V842" i="3"/>
  <c r="X842" i="3"/>
  <c r="Z842" i="3"/>
  <c r="AA842" i="3"/>
  <c r="AE842" i="3"/>
  <c r="AG842" i="3"/>
  <c r="AI842" i="3"/>
  <c r="AK842" i="3"/>
  <c r="AL842" i="3"/>
  <c r="AN842" i="3"/>
  <c r="AP842" i="3"/>
  <c r="AR842" i="3"/>
  <c r="AS842" i="3"/>
  <c r="R843" i="3"/>
  <c r="T843" i="3"/>
  <c r="V843" i="3"/>
  <c r="X843" i="3"/>
  <c r="Z843" i="3"/>
  <c r="AA843" i="3"/>
  <c r="AE843" i="3"/>
  <c r="AG843" i="3"/>
  <c r="AI843" i="3"/>
  <c r="AK843" i="3"/>
  <c r="AL843" i="3"/>
  <c r="AN843" i="3"/>
  <c r="AP843" i="3"/>
  <c r="AR843" i="3"/>
  <c r="AS843" i="3"/>
  <c r="R844" i="3"/>
  <c r="T844" i="3"/>
  <c r="V844" i="3"/>
  <c r="X844" i="3"/>
  <c r="Z844" i="3"/>
  <c r="AA844" i="3"/>
  <c r="AE844" i="3"/>
  <c r="AG844" i="3"/>
  <c r="AI844" i="3"/>
  <c r="AK844" i="3"/>
  <c r="AL844" i="3"/>
  <c r="AN844" i="3"/>
  <c r="AP844" i="3"/>
  <c r="AR844" i="3"/>
  <c r="AS844" i="3"/>
  <c r="R845" i="3"/>
  <c r="T845" i="3"/>
  <c r="V845" i="3"/>
  <c r="X845" i="3"/>
  <c r="Z845" i="3"/>
  <c r="AA845" i="3"/>
  <c r="AE845" i="3"/>
  <c r="AG845" i="3"/>
  <c r="AI845" i="3"/>
  <c r="AK845" i="3"/>
  <c r="AL845" i="3"/>
  <c r="AN845" i="3"/>
  <c r="AP845" i="3"/>
  <c r="AR845" i="3"/>
  <c r="AS845" i="3"/>
  <c r="R846" i="3"/>
  <c r="T846" i="3"/>
  <c r="V846" i="3"/>
  <c r="X846" i="3"/>
  <c r="Z846" i="3"/>
  <c r="AA846" i="3"/>
  <c r="AE846" i="3"/>
  <c r="AG846" i="3"/>
  <c r="AI846" i="3"/>
  <c r="AK846" i="3"/>
  <c r="AL846" i="3"/>
  <c r="AN846" i="3"/>
  <c r="AP846" i="3"/>
  <c r="AR846" i="3"/>
  <c r="AS846" i="3"/>
  <c r="R847" i="3"/>
  <c r="T847" i="3"/>
  <c r="V847" i="3"/>
  <c r="X847" i="3"/>
  <c r="Z847" i="3"/>
  <c r="AA847" i="3"/>
  <c r="AE847" i="3"/>
  <c r="AG847" i="3"/>
  <c r="AI847" i="3"/>
  <c r="AK847" i="3"/>
  <c r="AL847" i="3"/>
  <c r="AN847" i="3"/>
  <c r="AP847" i="3"/>
  <c r="AR847" i="3"/>
  <c r="AS847" i="3"/>
  <c r="R848" i="3"/>
  <c r="T848" i="3"/>
  <c r="V848" i="3"/>
  <c r="X848" i="3"/>
  <c r="Z848" i="3"/>
  <c r="AA848" i="3"/>
  <c r="AE848" i="3"/>
  <c r="AG848" i="3"/>
  <c r="AI848" i="3"/>
  <c r="AK848" i="3"/>
  <c r="AL848" i="3"/>
  <c r="AN848" i="3"/>
  <c r="AP848" i="3"/>
  <c r="AR848" i="3"/>
  <c r="AS848" i="3"/>
  <c r="R849" i="3"/>
  <c r="T849" i="3"/>
  <c r="V849" i="3"/>
  <c r="X849" i="3"/>
  <c r="Z849" i="3"/>
  <c r="AA849" i="3"/>
  <c r="AE849" i="3"/>
  <c r="AG849" i="3"/>
  <c r="AI849" i="3"/>
  <c r="AK849" i="3"/>
  <c r="AL849" i="3"/>
  <c r="AN849" i="3"/>
  <c r="AP849" i="3"/>
  <c r="AR849" i="3"/>
  <c r="AS849" i="3"/>
  <c r="R850" i="3"/>
  <c r="T850" i="3"/>
  <c r="V850" i="3"/>
  <c r="X850" i="3"/>
  <c r="Z850" i="3"/>
  <c r="AA850" i="3"/>
  <c r="AE850" i="3"/>
  <c r="AG850" i="3"/>
  <c r="AI850" i="3"/>
  <c r="AK850" i="3"/>
  <c r="AL850" i="3"/>
  <c r="AN850" i="3"/>
  <c r="AP850" i="3"/>
  <c r="AR850" i="3"/>
  <c r="AS850" i="3"/>
  <c r="R851" i="3"/>
  <c r="T851" i="3"/>
  <c r="V851" i="3"/>
  <c r="X851" i="3"/>
  <c r="Z851" i="3"/>
  <c r="AA851" i="3"/>
  <c r="AE851" i="3"/>
  <c r="AG851" i="3"/>
  <c r="AI851" i="3"/>
  <c r="AK851" i="3"/>
  <c r="AL851" i="3"/>
  <c r="AN851" i="3"/>
  <c r="AP851" i="3"/>
  <c r="AR851" i="3"/>
  <c r="AS851" i="3"/>
  <c r="R852" i="3"/>
  <c r="T852" i="3"/>
  <c r="V852" i="3"/>
  <c r="X852" i="3"/>
  <c r="Z852" i="3"/>
  <c r="AA852" i="3"/>
  <c r="AE852" i="3"/>
  <c r="AG852" i="3"/>
  <c r="AI852" i="3"/>
  <c r="AK852" i="3"/>
  <c r="AL852" i="3"/>
  <c r="AN852" i="3"/>
  <c r="AP852" i="3"/>
  <c r="AR852" i="3"/>
  <c r="AS852" i="3"/>
  <c r="R853" i="3"/>
  <c r="T853" i="3"/>
  <c r="V853" i="3"/>
  <c r="X853" i="3"/>
  <c r="Z853" i="3"/>
  <c r="AA853" i="3"/>
  <c r="AE853" i="3"/>
  <c r="AG853" i="3"/>
  <c r="AI853" i="3"/>
  <c r="AK853" i="3"/>
  <c r="AL853" i="3"/>
  <c r="AN853" i="3"/>
  <c r="AP853" i="3"/>
  <c r="AR853" i="3"/>
  <c r="AS853" i="3"/>
  <c r="R854" i="3"/>
  <c r="T854" i="3"/>
  <c r="V854" i="3"/>
  <c r="X854" i="3"/>
  <c r="Z854" i="3"/>
  <c r="AA854" i="3"/>
  <c r="AE854" i="3"/>
  <c r="AG854" i="3"/>
  <c r="AI854" i="3"/>
  <c r="AK854" i="3"/>
  <c r="AL854" i="3"/>
  <c r="AN854" i="3"/>
  <c r="AP854" i="3"/>
  <c r="AR854" i="3"/>
  <c r="AS854" i="3"/>
  <c r="R855" i="3"/>
  <c r="T855" i="3"/>
  <c r="V855" i="3"/>
  <c r="X855" i="3"/>
  <c r="Z855" i="3"/>
  <c r="AA855" i="3"/>
  <c r="AE855" i="3"/>
  <c r="AG855" i="3"/>
  <c r="AI855" i="3"/>
  <c r="AK855" i="3"/>
  <c r="AL855" i="3"/>
  <c r="AN855" i="3"/>
  <c r="AP855" i="3"/>
  <c r="AR855" i="3"/>
  <c r="AS855" i="3"/>
  <c r="R856" i="3"/>
  <c r="T856" i="3"/>
  <c r="V856" i="3"/>
  <c r="X856" i="3"/>
  <c r="Z856" i="3"/>
  <c r="AA856" i="3"/>
  <c r="AE856" i="3"/>
  <c r="AG856" i="3"/>
  <c r="AI856" i="3"/>
  <c r="AK856" i="3"/>
  <c r="AL856" i="3"/>
  <c r="AN856" i="3"/>
  <c r="AP856" i="3"/>
  <c r="AR856" i="3"/>
  <c r="AS856" i="3"/>
  <c r="R857" i="3"/>
  <c r="T857" i="3"/>
  <c r="V857" i="3"/>
  <c r="X857" i="3"/>
  <c r="Z857" i="3"/>
  <c r="AA857" i="3"/>
  <c r="AE857" i="3"/>
  <c r="AG857" i="3"/>
  <c r="AI857" i="3"/>
  <c r="AK857" i="3"/>
  <c r="AL857" i="3"/>
  <c r="AN857" i="3"/>
  <c r="AP857" i="3"/>
  <c r="AR857" i="3"/>
  <c r="AS857" i="3"/>
  <c r="R858" i="3"/>
  <c r="T858" i="3"/>
  <c r="V858" i="3"/>
  <c r="X858" i="3"/>
  <c r="Z858" i="3"/>
  <c r="AA858" i="3"/>
  <c r="AE858" i="3"/>
  <c r="AG858" i="3"/>
  <c r="AI858" i="3"/>
  <c r="AK858" i="3"/>
  <c r="AL858" i="3"/>
  <c r="AN858" i="3"/>
  <c r="AP858" i="3"/>
  <c r="AR858" i="3"/>
  <c r="AS858" i="3"/>
  <c r="R859" i="3"/>
  <c r="T859" i="3"/>
  <c r="V859" i="3"/>
  <c r="X859" i="3"/>
  <c r="Z859" i="3"/>
  <c r="AA859" i="3"/>
  <c r="AE859" i="3"/>
  <c r="AG859" i="3"/>
  <c r="AI859" i="3"/>
  <c r="AK859" i="3"/>
  <c r="AL859" i="3"/>
  <c r="AN859" i="3"/>
  <c r="AP859" i="3"/>
  <c r="AR859" i="3"/>
  <c r="AS859" i="3"/>
  <c r="R860" i="3"/>
  <c r="T860" i="3"/>
  <c r="V860" i="3"/>
  <c r="X860" i="3"/>
  <c r="Z860" i="3"/>
  <c r="AA860" i="3"/>
  <c r="AE860" i="3"/>
  <c r="AG860" i="3"/>
  <c r="AI860" i="3"/>
  <c r="AK860" i="3"/>
  <c r="AL860" i="3"/>
  <c r="AN860" i="3"/>
  <c r="AP860" i="3"/>
  <c r="AR860" i="3"/>
  <c r="AS860" i="3"/>
  <c r="R861" i="3"/>
  <c r="T861" i="3"/>
  <c r="V861" i="3"/>
  <c r="X861" i="3"/>
  <c r="Z861" i="3"/>
  <c r="AA861" i="3"/>
  <c r="AE861" i="3"/>
  <c r="AG861" i="3"/>
  <c r="AI861" i="3"/>
  <c r="AK861" i="3"/>
  <c r="AL861" i="3"/>
  <c r="AN861" i="3"/>
  <c r="AP861" i="3"/>
  <c r="AR861" i="3"/>
  <c r="AS861" i="3"/>
  <c r="R862" i="3"/>
  <c r="T862" i="3"/>
  <c r="V862" i="3"/>
  <c r="X862" i="3"/>
  <c r="Z862" i="3"/>
  <c r="AA862" i="3"/>
  <c r="AE862" i="3"/>
  <c r="AG862" i="3"/>
  <c r="AI862" i="3"/>
  <c r="AK862" i="3"/>
  <c r="AL862" i="3"/>
  <c r="AN862" i="3"/>
  <c r="AP862" i="3"/>
  <c r="AR862" i="3"/>
  <c r="AS862" i="3"/>
  <c r="R863" i="3"/>
  <c r="T863" i="3"/>
  <c r="V863" i="3"/>
  <c r="X863" i="3"/>
  <c r="Z863" i="3"/>
  <c r="AA863" i="3"/>
  <c r="AE863" i="3"/>
  <c r="AG863" i="3"/>
  <c r="AI863" i="3"/>
  <c r="AK863" i="3"/>
  <c r="AL863" i="3"/>
  <c r="AN863" i="3"/>
  <c r="AP863" i="3"/>
  <c r="AR863" i="3"/>
  <c r="AS863" i="3"/>
  <c r="R864" i="3"/>
  <c r="T864" i="3"/>
  <c r="V864" i="3"/>
  <c r="X864" i="3"/>
  <c r="Z864" i="3"/>
  <c r="AA864" i="3"/>
  <c r="AE864" i="3"/>
  <c r="AG864" i="3"/>
  <c r="AI864" i="3"/>
  <c r="AK864" i="3"/>
  <c r="AL864" i="3"/>
  <c r="AN864" i="3"/>
  <c r="AP864" i="3"/>
  <c r="AR864" i="3"/>
  <c r="AS864" i="3"/>
  <c r="R865" i="3"/>
  <c r="T865" i="3"/>
  <c r="V865" i="3"/>
  <c r="X865" i="3"/>
  <c r="Z865" i="3"/>
  <c r="AA865" i="3"/>
  <c r="AE865" i="3"/>
  <c r="AG865" i="3"/>
  <c r="AI865" i="3"/>
  <c r="AK865" i="3"/>
  <c r="AL865" i="3"/>
  <c r="AN865" i="3"/>
  <c r="AP865" i="3"/>
  <c r="AR865" i="3"/>
  <c r="AS865" i="3"/>
  <c r="R866" i="3"/>
  <c r="T866" i="3"/>
  <c r="V866" i="3"/>
  <c r="X866" i="3"/>
  <c r="Z866" i="3"/>
  <c r="AA866" i="3"/>
  <c r="AE866" i="3"/>
  <c r="AG866" i="3"/>
  <c r="AI866" i="3"/>
  <c r="AK866" i="3"/>
  <c r="AL866" i="3"/>
  <c r="AN866" i="3"/>
  <c r="AP866" i="3"/>
  <c r="AR866" i="3"/>
  <c r="AS866" i="3"/>
  <c r="R867" i="3"/>
  <c r="T867" i="3"/>
  <c r="V867" i="3"/>
  <c r="X867" i="3"/>
  <c r="Z867" i="3"/>
  <c r="AA867" i="3"/>
  <c r="AE867" i="3"/>
  <c r="AG867" i="3"/>
  <c r="AI867" i="3"/>
  <c r="AK867" i="3"/>
  <c r="AL867" i="3"/>
  <c r="AN867" i="3"/>
  <c r="AP867" i="3"/>
  <c r="AR867" i="3"/>
  <c r="AS867" i="3"/>
  <c r="R868" i="3"/>
  <c r="T868" i="3"/>
  <c r="V868" i="3"/>
  <c r="X868" i="3"/>
  <c r="Z868" i="3"/>
  <c r="AA868" i="3"/>
  <c r="AE868" i="3"/>
  <c r="AG868" i="3"/>
  <c r="AI868" i="3"/>
  <c r="AK868" i="3"/>
  <c r="AL868" i="3"/>
  <c r="AN868" i="3"/>
  <c r="AP868" i="3"/>
  <c r="AR868" i="3"/>
  <c r="AS868" i="3"/>
  <c r="R869" i="3"/>
  <c r="T869" i="3"/>
  <c r="V869" i="3"/>
  <c r="X869" i="3"/>
  <c r="Z869" i="3"/>
  <c r="AA869" i="3"/>
  <c r="AE869" i="3"/>
  <c r="AG869" i="3"/>
  <c r="AI869" i="3"/>
  <c r="AK869" i="3"/>
  <c r="AL869" i="3"/>
  <c r="AN869" i="3"/>
  <c r="AP869" i="3"/>
  <c r="AR869" i="3"/>
  <c r="AS869" i="3"/>
  <c r="R870" i="3"/>
  <c r="T870" i="3"/>
  <c r="V870" i="3"/>
  <c r="X870" i="3"/>
  <c r="Z870" i="3"/>
  <c r="AA870" i="3"/>
  <c r="AE870" i="3"/>
  <c r="AG870" i="3"/>
  <c r="AI870" i="3"/>
  <c r="AK870" i="3"/>
  <c r="AL870" i="3"/>
  <c r="AN870" i="3"/>
  <c r="AP870" i="3"/>
  <c r="AR870" i="3"/>
  <c r="AS870" i="3"/>
  <c r="R871" i="3"/>
  <c r="T871" i="3"/>
  <c r="V871" i="3"/>
  <c r="X871" i="3"/>
  <c r="Z871" i="3"/>
  <c r="AA871" i="3"/>
  <c r="AE871" i="3"/>
  <c r="AG871" i="3"/>
  <c r="AI871" i="3"/>
  <c r="AK871" i="3"/>
  <c r="AL871" i="3"/>
  <c r="AN871" i="3"/>
  <c r="AP871" i="3"/>
  <c r="AR871" i="3"/>
  <c r="AS871" i="3"/>
  <c r="R872" i="3"/>
  <c r="T872" i="3"/>
  <c r="V872" i="3"/>
  <c r="X872" i="3"/>
  <c r="Z872" i="3"/>
  <c r="AA872" i="3"/>
  <c r="AE872" i="3"/>
  <c r="AG872" i="3"/>
  <c r="AI872" i="3"/>
  <c r="AK872" i="3"/>
  <c r="AL872" i="3"/>
  <c r="AN872" i="3"/>
  <c r="AP872" i="3"/>
  <c r="AR872" i="3"/>
  <c r="AS872" i="3"/>
  <c r="R873" i="3"/>
  <c r="T873" i="3"/>
  <c r="V873" i="3"/>
  <c r="X873" i="3"/>
  <c r="Z873" i="3"/>
  <c r="AA873" i="3"/>
  <c r="AE873" i="3"/>
  <c r="AG873" i="3"/>
  <c r="AI873" i="3"/>
  <c r="AK873" i="3"/>
  <c r="AL873" i="3"/>
  <c r="AN873" i="3"/>
  <c r="AP873" i="3"/>
  <c r="AR873" i="3"/>
  <c r="AS873" i="3"/>
  <c r="R874" i="3"/>
  <c r="T874" i="3"/>
  <c r="V874" i="3"/>
  <c r="X874" i="3"/>
  <c r="Z874" i="3"/>
  <c r="AA874" i="3"/>
  <c r="AE874" i="3"/>
  <c r="AG874" i="3"/>
  <c r="AI874" i="3"/>
  <c r="AK874" i="3"/>
  <c r="AL874" i="3"/>
  <c r="AN874" i="3"/>
  <c r="AP874" i="3"/>
  <c r="AR874" i="3"/>
  <c r="AS874" i="3"/>
  <c r="R875" i="3"/>
  <c r="T875" i="3"/>
  <c r="V875" i="3"/>
  <c r="X875" i="3"/>
  <c r="Z875" i="3"/>
  <c r="AA875" i="3"/>
  <c r="AE875" i="3"/>
  <c r="AG875" i="3"/>
  <c r="AI875" i="3"/>
  <c r="AK875" i="3"/>
  <c r="AL875" i="3"/>
  <c r="AN875" i="3"/>
  <c r="AP875" i="3"/>
  <c r="AR875" i="3"/>
  <c r="AS875" i="3"/>
  <c r="R876" i="3"/>
  <c r="T876" i="3"/>
  <c r="V876" i="3"/>
  <c r="X876" i="3"/>
  <c r="Z876" i="3"/>
  <c r="AA876" i="3"/>
  <c r="AE876" i="3"/>
  <c r="AG876" i="3"/>
  <c r="AI876" i="3"/>
  <c r="AK876" i="3"/>
  <c r="AL876" i="3"/>
  <c r="AN876" i="3"/>
  <c r="AP876" i="3"/>
  <c r="AR876" i="3"/>
  <c r="AS876" i="3"/>
  <c r="R877" i="3"/>
  <c r="T877" i="3"/>
  <c r="V877" i="3"/>
  <c r="X877" i="3"/>
  <c r="Z877" i="3"/>
  <c r="AA877" i="3"/>
  <c r="AE877" i="3"/>
  <c r="AG877" i="3"/>
  <c r="AI877" i="3"/>
  <c r="AK877" i="3"/>
  <c r="AL877" i="3"/>
  <c r="AN877" i="3"/>
  <c r="AP877" i="3"/>
  <c r="AR877" i="3"/>
  <c r="AS877" i="3"/>
  <c r="R878" i="3"/>
  <c r="T878" i="3"/>
  <c r="V878" i="3"/>
  <c r="X878" i="3"/>
  <c r="Z878" i="3"/>
  <c r="AA878" i="3"/>
  <c r="AE878" i="3"/>
  <c r="AG878" i="3"/>
  <c r="AI878" i="3"/>
  <c r="AK878" i="3"/>
  <c r="AL878" i="3"/>
  <c r="AN878" i="3"/>
  <c r="AP878" i="3"/>
  <c r="AR878" i="3"/>
  <c r="AS878" i="3"/>
  <c r="R879" i="3"/>
  <c r="T879" i="3"/>
  <c r="V879" i="3"/>
  <c r="X879" i="3"/>
  <c r="Z879" i="3"/>
  <c r="AA879" i="3"/>
  <c r="AE879" i="3"/>
  <c r="AG879" i="3"/>
  <c r="AI879" i="3"/>
  <c r="AK879" i="3"/>
  <c r="AL879" i="3"/>
  <c r="AN879" i="3"/>
  <c r="AP879" i="3"/>
  <c r="AR879" i="3"/>
  <c r="AS879" i="3"/>
  <c r="R880" i="3"/>
  <c r="T880" i="3"/>
  <c r="V880" i="3"/>
  <c r="X880" i="3"/>
  <c r="Z880" i="3"/>
  <c r="AA880" i="3"/>
  <c r="AE880" i="3"/>
  <c r="AG880" i="3"/>
  <c r="AI880" i="3"/>
  <c r="AK880" i="3"/>
  <c r="AL880" i="3"/>
  <c r="AN880" i="3"/>
  <c r="AP880" i="3"/>
  <c r="AR880" i="3"/>
  <c r="AS880" i="3"/>
  <c r="R881" i="3"/>
  <c r="T881" i="3"/>
  <c r="V881" i="3"/>
  <c r="X881" i="3"/>
  <c r="Z881" i="3"/>
  <c r="AA881" i="3"/>
  <c r="AE881" i="3"/>
  <c r="AG881" i="3"/>
  <c r="AI881" i="3"/>
  <c r="AK881" i="3"/>
  <c r="AL881" i="3"/>
  <c r="AN881" i="3"/>
  <c r="AP881" i="3"/>
  <c r="AR881" i="3"/>
  <c r="AS881" i="3"/>
  <c r="R882" i="3"/>
  <c r="T882" i="3"/>
  <c r="V882" i="3"/>
  <c r="X882" i="3"/>
  <c r="Z882" i="3"/>
  <c r="AA882" i="3"/>
  <c r="AE882" i="3"/>
  <c r="AG882" i="3"/>
  <c r="AI882" i="3"/>
  <c r="AK882" i="3"/>
  <c r="AL882" i="3"/>
  <c r="AN882" i="3"/>
  <c r="AP882" i="3"/>
  <c r="AR882" i="3"/>
  <c r="AS882" i="3"/>
  <c r="R883" i="3"/>
  <c r="T883" i="3"/>
  <c r="V883" i="3"/>
  <c r="X883" i="3"/>
  <c r="Z883" i="3"/>
  <c r="AA883" i="3"/>
  <c r="AE883" i="3"/>
  <c r="AG883" i="3"/>
  <c r="AI883" i="3"/>
  <c r="AK883" i="3"/>
  <c r="AL883" i="3"/>
  <c r="AN883" i="3"/>
  <c r="AP883" i="3"/>
  <c r="AR883" i="3"/>
  <c r="AS883" i="3"/>
  <c r="R884" i="3"/>
  <c r="T884" i="3"/>
  <c r="V884" i="3"/>
  <c r="X884" i="3"/>
  <c r="Z884" i="3"/>
  <c r="AA884" i="3"/>
  <c r="AE884" i="3"/>
  <c r="AG884" i="3"/>
  <c r="AI884" i="3"/>
  <c r="AK884" i="3"/>
  <c r="AL884" i="3"/>
  <c r="AN884" i="3"/>
  <c r="AP884" i="3"/>
  <c r="AR884" i="3"/>
  <c r="AS884" i="3"/>
  <c r="R885" i="3"/>
  <c r="T885" i="3"/>
  <c r="V885" i="3"/>
  <c r="X885" i="3"/>
  <c r="Z885" i="3"/>
  <c r="AA885" i="3"/>
  <c r="AE885" i="3"/>
  <c r="AG885" i="3"/>
  <c r="AI885" i="3"/>
  <c r="AK885" i="3"/>
  <c r="AL885" i="3"/>
  <c r="AN885" i="3"/>
  <c r="AP885" i="3"/>
  <c r="AR885" i="3"/>
  <c r="AS885" i="3"/>
  <c r="R886" i="3"/>
  <c r="T886" i="3"/>
  <c r="V886" i="3"/>
  <c r="X886" i="3"/>
  <c r="Z886" i="3"/>
  <c r="AA886" i="3"/>
  <c r="AE886" i="3"/>
  <c r="AG886" i="3"/>
  <c r="AI886" i="3"/>
  <c r="AK886" i="3"/>
  <c r="AL886" i="3"/>
  <c r="AN886" i="3"/>
  <c r="AP886" i="3"/>
  <c r="AR886" i="3"/>
  <c r="AS886" i="3"/>
  <c r="R887" i="3"/>
  <c r="T887" i="3"/>
  <c r="V887" i="3"/>
  <c r="X887" i="3"/>
  <c r="Z887" i="3"/>
  <c r="AA887" i="3"/>
  <c r="AE887" i="3"/>
  <c r="AG887" i="3"/>
  <c r="AI887" i="3"/>
  <c r="AK887" i="3"/>
  <c r="AL887" i="3"/>
  <c r="AN887" i="3"/>
  <c r="AP887" i="3"/>
  <c r="AR887" i="3"/>
  <c r="AS887" i="3"/>
  <c r="R888" i="3"/>
  <c r="T888" i="3"/>
  <c r="V888" i="3"/>
  <c r="X888" i="3"/>
  <c r="Z888" i="3"/>
  <c r="AA888" i="3"/>
  <c r="AE888" i="3"/>
  <c r="AG888" i="3"/>
  <c r="AI888" i="3"/>
  <c r="AK888" i="3"/>
  <c r="AL888" i="3"/>
  <c r="AN888" i="3"/>
  <c r="AP888" i="3"/>
  <c r="AR888" i="3"/>
  <c r="AS888" i="3"/>
  <c r="R889" i="3"/>
  <c r="T889" i="3"/>
  <c r="V889" i="3"/>
  <c r="X889" i="3"/>
  <c r="Z889" i="3"/>
  <c r="AA889" i="3"/>
  <c r="AE889" i="3"/>
  <c r="AG889" i="3"/>
  <c r="AI889" i="3"/>
  <c r="AK889" i="3"/>
  <c r="AL889" i="3"/>
  <c r="AN889" i="3"/>
  <c r="AP889" i="3"/>
  <c r="AR889" i="3"/>
  <c r="AS889" i="3"/>
  <c r="R890" i="3"/>
  <c r="T890" i="3"/>
  <c r="V890" i="3"/>
  <c r="X890" i="3"/>
  <c r="Z890" i="3"/>
  <c r="AA890" i="3"/>
  <c r="AE890" i="3"/>
  <c r="AG890" i="3"/>
  <c r="AI890" i="3"/>
  <c r="AK890" i="3"/>
  <c r="AL890" i="3"/>
  <c r="AN890" i="3"/>
  <c r="AP890" i="3"/>
  <c r="AR890" i="3"/>
  <c r="AS890" i="3"/>
  <c r="R891" i="3"/>
  <c r="T891" i="3"/>
  <c r="V891" i="3"/>
  <c r="X891" i="3"/>
  <c r="Z891" i="3"/>
  <c r="AA891" i="3"/>
  <c r="AE891" i="3"/>
  <c r="AG891" i="3"/>
  <c r="AI891" i="3"/>
  <c r="AK891" i="3"/>
  <c r="AL891" i="3"/>
  <c r="AN891" i="3"/>
  <c r="AP891" i="3"/>
  <c r="AR891" i="3"/>
  <c r="AS891" i="3"/>
  <c r="R892" i="3"/>
  <c r="T892" i="3"/>
  <c r="V892" i="3"/>
  <c r="X892" i="3"/>
  <c r="Z892" i="3"/>
  <c r="AA892" i="3"/>
  <c r="AE892" i="3"/>
  <c r="AG892" i="3"/>
  <c r="AI892" i="3"/>
  <c r="AK892" i="3"/>
  <c r="AL892" i="3"/>
  <c r="AN892" i="3"/>
  <c r="AP892" i="3"/>
  <c r="AR892" i="3"/>
  <c r="AS892" i="3"/>
  <c r="R893" i="3"/>
  <c r="T893" i="3"/>
  <c r="V893" i="3"/>
  <c r="X893" i="3"/>
  <c r="Z893" i="3"/>
  <c r="AA893" i="3"/>
  <c r="AE893" i="3"/>
  <c r="AG893" i="3"/>
  <c r="AI893" i="3"/>
  <c r="AK893" i="3"/>
  <c r="AL893" i="3"/>
  <c r="AN893" i="3"/>
  <c r="AP893" i="3"/>
  <c r="AR893" i="3"/>
  <c r="AS893" i="3"/>
  <c r="R894" i="3"/>
  <c r="T894" i="3"/>
  <c r="V894" i="3"/>
  <c r="X894" i="3"/>
  <c r="Z894" i="3"/>
  <c r="AA894" i="3"/>
  <c r="AE894" i="3"/>
  <c r="AG894" i="3"/>
  <c r="AI894" i="3"/>
  <c r="AK894" i="3"/>
  <c r="AL894" i="3"/>
  <c r="AN894" i="3"/>
  <c r="AP894" i="3"/>
  <c r="AR894" i="3"/>
  <c r="AS894" i="3"/>
  <c r="R895" i="3"/>
  <c r="T895" i="3"/>
  <c r="V895" i="3"/>
  <c r="X895" i="3"/>
  <c r="Z895" i="3"/>
  <c r="AA895" i="3"/>
  <c r="AE895" i="3"/>
  <c r="AG895" i="3"/>
  <c r="AI895" i="3"/>
  <c r="AK895" i="3"/>
  <c r="AL895" i="3"/>
  <c r="AN895" i="3"/>
  <c r="AP895" i="3"/>
  <c r="AR895" i="3"/>
  <c r="AS895" i="3"/>
  <c r="R896" i="3"/>
  <c r="T896" i="3"/>
  <c r="V896" i="3"/>
  <c r="X896" i="3"/>
  <c r="Z896" i="3"/>
  <c r="AA896" i="3"/>
  <c r="AE896" i="3"/>
  <c r="AG896" i="3"/>
  <c r="AI896" i="3"/>
  <c r="AK896" i="3"/>
  <c r="AL896" i="3"/>
  <c r="AN896" i="3"/>
  <c r="AP896" i="3"/>
  <c r="AR896" i="3"/>
  <c r="AS896" i="3"/>
  <c r="R897" i="3"/>
  <c r="T897" i="3"/>
  <c r="V897" i="3"/>
  <c r="X897" i="3"/>
  <c r="Z897" i="3"/>
  <c r="AA897" i="3"/>
  <c r="AE897" i="3"/>
  <c r="AG897" i="3"/>
  <c r="AI897" i="3"/>
  <c r="AK897" i="3"/>
  <c r="AL897" i="3"/>
  <c r="AN897" i="3"/>
  <c r="AP897" i="3"/>
  <c r="AR897" i="3"/>
  <c r="AS897" i="3"/>
  <c r="R898" i="3"/>
  <c r="T898" i="3"/>
  <c r="V898" i="3"/>
  <c r="X898" i="3"/>
  <c r="Z898" i="3"/>
  <c r="AA898" i="3"/>
  <c r="AE898" i="3"/>
  <c r="AG898" i="3"/>
  <c r="AI898" i="3"/>
  <c r="AK898" i="3"/>
  <c r="AL898" i="3"/>
  <c r="AN898" i="3"/>
  <c r="AP898" i="3"/>
  <c r="AR898" i="3"/>
  <c r="AS898" i="3"/>
  <c r="R899" i="3"/>
  <c r="T899" i="3"/>
  <c r="V899" i="3"/>
  <c r="X899" i="3"/>
  <c r="Z899" i="3"/>
  <c r="AA899" i="3"/>
  <c r="AE899" i="3"/>
  <c r="AG899" i="3"/>
  <c r="AI899" i="3"/>
  <c r="AK899" i="3"/>
  <c r="AL899" i="3"/>
  <c r="AN899" i="3"/>
  <c r="AP899" i="3"/>
  <c r="AR899" i="3"/>
  <c r="AS899" i="3"/>
  <c r="R900" i="3"/>
  <c r="T900" i="3"/>
  <c r="V900" i="3"/>
  <c r="X900" i="3"/>
  <c r="Z900" i="3"/>
  <c r="AA900" i="3"/>
  <c r="AE900" i="3"/>
  <c r="AG900" i="3"/>
  <c r="AI900" i="3"/>
  <c r="AK900" i="3"/>
  <c r="AL900" i="3"/>
  <c r="AN900" i="3"/>
  <c r="AP900" i="3"/>
  <c r="AR900" i="3"/>
  <c r="AS900" i="3"/>
  <c r="R901" i="3"/>
  <c r="T901" i="3"/>
  <c r="V901" i="3"/>
  <c r="X901" i="3"/>
  <c r="Z901" i="3"/>
  <c r="AA901" i="3"/>
  <c r="AE901" i="3"/>
  <c r="AG901" i="3"/>
  <c r="AI901" i="3"/>
  <c r="AK901" i="3"/>
  <c r="AL901" i="3"/>
  <c r="AN901" i="3"/>
  <c r="AP901" i="3"/>
  <c r="AR901" i="3"/>
  <c r="AS901" i="3"/>
  <c r="R902" i="3"/>
  <c r="T902" i="3"/>
  <c r="V902" i="3"/>
  <c r="X902" i="3"/>
  <c r="Z902" i="3"/>
  <c r="AA902" i="3"/>
  <c r="AE902" i="3"/>
  <c r="AG902" i="3"/>
  <c r="AI902" i="3"/>
  <c r="AK902" i="3"/>
  <c r="AL902" i="3"/>
  <c r="AN902" i="3"/>
  <c r="AP902" i="3"/>
  <c r="AR902" i="3"/>
  <c r="AS902" i="3"/>
  <c r="R903" i="3"/>
  <c r="T903" i="3"/>
  <c r="V903" i="3"/>
  <c r="X903" i="3"/>
  <c r="Z903" i="3"/>
  <c r="AA903" i="3"/>
  <c r="AE903" i="3"/>
  <c r="AG903" i="3"/>
  <c r="AI903" i="3"/>
  <c r="AK903" i="3"/>
  <c r="AL903" i="3"/>
  <c r="AN903" i="3"/>
  <c r="AP903" i="3"/>
  <c r="AR903" i="3"/>
  <c r="AS903" i="3"/>
  <c r="R904" i="3"/>
  <c r="T904" i="3"/>
  <c r="V904" i="3"/>
  <c r="X904" i="3"/>
  <c r="Z904" i="3"/>
  <c r="AA904" i="3"/>
  <c r="AE904" i="3"/>
  <c r="AG904" i="3"/>
  <c r="AI904" i="3"/>
  <c r="AK904" i="3"/>
  <c r="AL904" i="3"/>
  <c r="AN904" i="3"/>
  <c r="AP904" i="3"/>
  <c r="AR904" i="3"/>
  <c r="AS904" i="3"/>
  <c r="R905" i="3"/>
  <c r="T905" i="3"/>
  <c r="V905" i="3"/>
  <c r="X905" i="3"/>
  <c r="Z905" i="3"/>
  <c r="AA905" i="3"/>
  <c r="AE905" i="3"/>
  <c r="AG905" i="3"/>
  <c r="AI905" i="3"/>
  <c r="AK905" i="3"/>
  <c r="AL905" i="3"/>
  <c r="AN905" i="3"/>
  <c r="AP905" i="3"/>
  <c r="AR905" i="3"/>
  <c r="AS905" i="3"/>
  <c r="R906" i="3"/>
  <c r="T906" i="3"/>
  <c r="V906" i="3"/>
  <c r="X906" i="3"/>
  <c r="Z906" i="3"/>
  <c r="AA906" i="3"/>
  <c r="AE906" i="3"/>
  <c r="AG906" i="3"/>
  <c r="AI906" i="3"/>
  <c r="AK906" i="3"/>
  <c r="AL906" i="3"/>
  <c r="AN906" i="3"/>
  <c r="AP906" i="3"/>
  <c r="AR906" i="3"/>
  <c r="AS906" i="3"/>
  <c r="R907" i="3"/>
  <c r="T907" i="3"/>
  <c r="V907" i="3"/>
  <c r="X907" i="3"/>
  <c r="Z907" i="3"/>
  <c r="AA907" i="3"/>
  <c r="AE907" i="3"/>
  <c r="AG907" i="3"/>
  <c r="AI907" i="3"/>
  <c r="AK907" i="3"/>
  <c r="AL907" i="3"/>
  <c r="AN907" i="3"/>
  <c r="AP907" i="3"/>
  <c r="AR907" i="3"/>
  <c r="AS907" i="3"/>
  <c r="R908" i="3"/>
  <c r="T908" i="3"/>
  <c r="V908" i="3"/>
  <c r="X908" i="3"/>
  <c r="Z908" i="3"/>
  <c r="AA908" i="3"/>
  <c r="AE908" i="3"/>
  <c r="AG908" i="3"/>
  <c r="AI908" i="3"/>
  <c r="AK908" i="3"/>
  <c r="AL908" i="3"/>
  <c r="AN908" i="3"/>
  <c r="AP908" i="3"/>
  <c r="AR908" i="3"/>
  <c r="AS908" i="3"/>
  <c r="R909" i="3"/>
  <c r="T909" i="3"/>
  <c r="V909" i="3"/>
  <c r="X909" i="3"/>
  <c r="Z909" i="3"/>
  <c r="AA909" i="3"/>
  <c r="AE909" i="3"/>
  <c r="AG909" i="3"/>
  <c r="AI909" i="3"/>
  <c r="AK909" i="3"/>
  <c r="AL909" i="3"/>
  <c r="AN909" i="3"/>
  <c r="AP909" i="3"/>
  <c r="AR909" i="3"/>
  <c r="AS909" i="3"/>
  <c r="R910" i="3"/>
  <c r="T910" i="3"/>
  <c r="V910" i="3"/>
  <c r="X910" i="3"/>
  <c r="Z910" i="3"/>
  <c r="AA910" i="3"/>
  <c r="AE910" i="3"/>
  <c r="AG910" i="3"/>
  <c r="AI910" i="3"/>
  <c r="AK910" i="3"/>
  <c r="AL910" i="3"/>
  <c r="AN910" i="3"/>
  <c r="AP910" i="3"/>
  <c r="AR910" i="3"/>
  <c r="AS910" i="3"/>
  <c r="R911" i="3"/>
  <c r="T911" i="3"/>
  <c r="V911" i="3"/>
  <c r="X911" i="3"/>
  <c r="Z911" i="3"/>
  <c r="AA911" i="3"/>
  <c r="AE911" i="3"/>
  <c r="AG911" i="3"/>
  <c r="AI911" i="3"/>
  <c r="AK911" i="3"/>
  <c r="AL911" i="3"/>
  <c r="AN911" i="3"/>
  <c r="AP911" i="3"/>
  <c r="AR911" i="3"/>
  <c r="AS911" i="3"/>
  <c r="R912" i="3"/>
  <c r="T912" i="3"/>
  <c r="V912" i="3"/>
  <c r="X912" i="3"/>
  <c r="Z912" i="3"/>
  <c r="AA912" i="3"/>
  <c r="AE912" i="3"/>
  <c r="AG912" i="3"/>
  <c r="AI912" i="3"/>
  <c r="AK912" i="3"/>
  <c r="AL912" i="3"/>
  <c r="AN912" i="3"/>
  <c r="AP912" i="3"/>
  <c r="AR912" i="3"/>
  <c r="AS912" i="3"/>
  <c r="R913" i="3"/>
  <c r="T913" i="3"/>
  <c r="V913" i="3"/>
  <c r="X913" i="3"/>
  <c r="Z913" i="3"/>
  <c r="AA913" i="3"/>
  <c r="AE913" i="3"/>
  <c r="AG913" i="3"/>
  <c r="AI913" i="3"/>
  <c r="AK913" i="3"/>
  <c r="AL913" i="3"/>
  <c r="AN913" i="3"/>
  <c r="AP913" i="3"/>
  <c r="AR913" i="3"/>
  <c r="AS913" i="3"/>
  <c r="R914" i="3"/>
  <c r="T914" i="3"/>
  <c r="V914" i="3"/>
  <c r="X914" i="3"/>
  <c r="Z914" i="3"/>
  <c r="AA914" i="3"/>
  <c r="AE914" i="3"/>
  <c r="AG914" i="3"/>
  <c r="AI914" i="3"/>
  <c r="AK914" i="3"/>
  <c r="AL914" i="3"/>
  <c r="AN914" i="3"/>
  <c r="AP914" i="3"/>
  <c r="AR914" i="3"/>
  <c r="AS914" i="3"/>
  <c r="R915" i="3"/>
  <c r="T915" i="3"/>
  <c r="V915" i="3"/>
  <c r="X915" i="3"/>
  <c r="Z915" i="3"/>
  <c r="AA915" i="3"/>
  <c r="AE915" i="3"/>
  <c r="AG915" i="3"/>
  <c r="AI915" i="3"/>
  <c r="AK915" i="3"/>
  <c r="AL915" i="3"/>
  <c r="AN915" i="3"/>
  <c r="AP915" i="3"/>
  <c r="AR915" i="3"/>
  <c r="AS915" i="3"/>
  <c r="R916" i="3"/>
  <c r="T916" i="3"/>
  <c r="V916" i="3"/>
  <c r="X916" i="3"/>
  <c r="Z916" i="3"/>
  <c r="AA916" i="3"/>
  <c r="AE916" i="3"/>
  <c r="AG916" i="3"/>
  <c r="AI916" i="3"/>
  <c r="AK916" i="3"/>
  <c r="AL916" i="3"/>
  <c r="AN916" i="3"/>
  <c r="AP916" i="3"/>
  <c r="AR916" i="3"/>
  <c r="AS916" i="3"/>
  <c r="R917" i="3"/>
  <c r="T917" i="3"/>
  <c r="V917" i="3"/>
  <c r="X917" i="3"/>
  <c r="Z917" i="3"/>
  <c r="AA917" i="3"/>
  <c r="AE917" i="3"/>
  <c r="AG917" i="3"/>
  <c r="AI917" i="3"/>
  <c r="AK917" i="3"/>
  <c r="AL917" i="3"/>
  <c r="AN917" i="3"/>
  <c r="AP917" i="3"/>
  <c r="AR917" i="3"/>
  <c r="AS917" i="3"/>
  <c r="R918" i="3"/>
  <c r="T918" i="3"/>
  <c r="V918" i="3"/>
  <c r="X918" i="3"/>
  <c r="Z918" i="3"/>
  <c r="AA918" i="3"/>
  <c r="AE918" i="3"/>
  <c r="AG918" i="3"/>
  <c r="AI918" i="3"/>
  <c r="AK918" i="3"/>
  <c r="AL918" i="3"/>
  <c r="AN918" i="3"/>
  <c r="AP918" i="3"/>
  <c r="AR918" i="3"/>
  <c r="AS918" i="3"/>
  <c r="R919" i="3"/>
  <c r="T919" i="3"/>
  <c r="V919" i="3"/>
  <c r="X919" i="3"/>
  <c r="Z919" i="3"/>
  <c r="AA919" i="3"/>
  <c r="AE919" i="3"/>
  <c r="AG919" i="3"/>
  <c r="AI919" i="3"/>
  <c r="AK919" i="3"/>
  <c r="AL919" i="3"/>
  <c r="AN919" i="3"/>
  <c r="AP919" i="3"/>
  <c r="AR919" i="3"/>
  <c r="AS919" i="3"/>
  <c r="R920" i="3"/>
  <c r="T920" i="3"/>
  <c r="V920" i="3"/>
  <c r="X920" i="3"/>
  <c r="Z920" i="3"/>
  <c r="AA920" i="3"/>
  <c r="AE920" i="3"/>
  <c r="AG920" i="3"/>
  <c r="AI920" i="3"/>
  <c r="AK920" i="3"/>
  <c r="AL920" i="3"/>
  <c r="AN920" i="3"/>
  <c r="AP920" i="3"/>
  <c r="AR920" i="3"/>
  <c r="AS920" i="3"/>
  <c r="R921" i="3"/>
  <c r="T921" i="3"/>
  <c r="V921" i="3"/>
  <c r="X921" i="3"/>
  <c r="Z921" i="3"/>
  <c r="AA921" i="3"/>
  <c r="AE921" i="3"/>
  <c r="AG921" i="3"/>
  <c r="AI921" i="3"/>
  <c r="AK921" i="3"/>
  <c r="AL921" i="3"/>
  <c r="AN921" i="3"/>
  <c r="AP921" i="3"/>
  <c r="AR921" i="3"/>
  <c r="AS921" i="3"/>
  <c r="R922" i="3"/>
  <c r="T922" i="3"/>
  <c r="V922" i="3"/>
  <c r="X922" i="3"/>
  <c r="Z922" i="3"/>
  <c r="AA922" i="3"/>
  <c r="AE922" i="3"/>
  <c r="AG922" i="3"/>
  <c r="AI922" i="3"/>
  <c r="AK922" i="3"/>
  <c r="AL922" i="3"/>
  <c r="AN922" i="3"/>
  <c r="AP922" i="3"/>
  <c r="AR922" i="3"/>
  <c r="AS922" i="3"/>
  <c r="R923" i="3"/>
  <c r="T923" i="3"/>
  <c r="V923" i="3"/>
  <c r="X923" i="3"/>
  <c r="Z923" i="3"/>
  <c r="AA923" i="3"/>
  <c r="AE923" i="3"/>
  <c r="AG923" i="3"/>
  <c r="AI923" i="3"/>
  <c r="AK923" i="3"/>
  <c r="AL923" i="3"/>
  <c r="AN923" i="3"/>
  <c r="AP923" i="3"/>
  <c r="AR923" i="3"/>
  <c r="AS923" i="3"/>
  <c r="R924" i="3"/>
  <c r="T924" i="3"/>
  <c r="V924" i="3"/>
  <c r="X924" i="3"/>
  <c r="Z924" i="3"/>
  <c r="AA924" i="3"/>
  <c r="AE924" i="3"/>
  <c r="AG924" i="3"/>
  <c r="AI924" i="3"/>
  <c r="AK924" i="3"/>
  <c r="AL924" i="3"/>
  <c r="AN924" i="3"/>
  <c r="AP924" i="3"/>
  <c r="AR924" i="3"/>
  <c r="AS924" i="3"/>
  <c r="R925" i="3"/>
  <c r="T925" i="3"/>
  <c r="V925" i="3"/>
  <c r="X925" i="3"/>
  <c r="Z925" i="3"/>
  <c r="AA925" i="3"/>
  <c r="AE925" i="3"/>
  <c r="AG925" i="3"/>
  <c r="AI925" i="3"/>
  <c r="AK925" i="3"/>
  <c r="AL925" i="3"/>
  <c r="AN925" i="3"/>
  <c r="AP925" i="3"/>
  <c r="AR925" i="3"/>
  <c r="AS925" i="3"/>
  <c r="R926" i="3"/>
  <c r="T926" i="3"/>
  <c r="V926" i="3"/>
  <c r="X926" i="3"/>
  <c r="Z926" i="3"/>
  <c r="AA926" i="3"/>
  <c r="AE926" i="3"/>
  <c r="AG926" i="3"/>
  <c r="AI926" i="3"/>
  <c r="AK926" i="3"/>
  <c r="AL926" i="3"/>
  <c r="AN926" i="3"/>
  <c r="AP926" i="3"/>
  <c r="AR926" i="3"/>
  <c r="AS926" i="3"/>
  <c r="R927" i="3"/>
  <c r="T927" i="3"/>
  <c r="V927" i="3"/>
  <c r="X927" i="3"/>
  <c r="Z927" i="3"/>
  <c r="AA927" i="3"/>
  <c r="AE927" i="3"/>
  <c r="AG927" i="3"/>
  <c r="AI927" i="3"/>
  <c r="AK927" i="3"/>
  <c r="AL927" i="3"/>
  <c r="AN927" i="3"/>
  <c r="AP927" i="3"/>
  <c r="AR927" i="3"/>
  <c r="AS927" i="3"/>
  <c r="R928" i="3"/>
  <c r="T928" i="3"/>
  <c r="V928" i="3"/>
  <c r="X928" i="3"/>
  <c r="Z928" i="3"/>
  <c r="AA928" i="3"/>
  <c r="AE928" i="3"/>
  <c r="AG928" i="3"/>
  <c r="AI928" i="3"/>
  <c r="AK928" i="3"/>
  <c r="AL928" i="3"/>
  <c r="AN928" i="3"/>
  <c r="AP928" i="3"/>
  <c r="AR928" i="3"/>
  <c r="AS928" i="3"/>
  <c r="R929" i="3"/>
  <c r="T929" i="3"/>
  <c r="V929" i="3"/>
  <c r="X929" i="3"/>
  <c r="Z929" i="3"/>
  <c r="AA929" i="3"/>
  <c r="AE929" i="3"/>
  <c r="AG929" i="3"/>
  <c r="AI929" i="3"/>
  <c r="AK929" i="3"/>
  <c r="AL929" i="3"/>
  <c r="AN929" i="3"/>
  <c r="AP929" i="3"/>
  <c r="AR929" i="3"/>
  <c r="AS929" i="3"/>
  <c r="R930" i="3"/>
  <c r="T930" i="3"/>
  <c r="V930" i="3"/>
  <c r="X930" i="3"/>
  <c r="Z930" i="3"/>
  <c r="AA930" i="3"/>
  <c r="AE930" i="3"/>
  <c r="AG930" i="3"/>
  <c r="AI930" i="3"/>
  <c r="AK930" i="3"/>
  <c r="AL930" i="3"/>
  <c r="AN930" i="3"/>
  <c r="AP930" i="3"/>
  <c r="AR930" i="3"/>
  <c r="AS930" i="3"/>
  <c r="R931" i="3"/>
  <c r="T931" i="3"/>
  <c r="V931" i="3"/>
  <c r="X931" i="3"/>
  <c r="Z931" i="3"/>
  <c r="AA931" i="3"/>
  <c r="AE931" i="3"/>
  <c r="AG931" i="3"/>
  <c r="AI931" i="3"/>
  <c r="AK931" i="3"/>
  <c r="AL931" i="3"/>
  <c r="AN931" i="3"/>
  <c r="AP931" i="3"/>
  <c r="AR931" i="3"/>
  <c r="AS931" i="3"/>
  <c r="R932" i="3"/>
  <c r="T932" i="3"/>
  <c r="V932" i="3"/>
  <c r="X932" i="3"/>
  <c r="Z932" i="3"/>
  <c r="AA932" i="3"/>
  <c r="AE932" i="3"/>
  <c r="AG932" i="3"/>
  <c r="AI932" i="3"/>
  <c r="AK932" i="3"/>
  <c r="AL932" i="3"/>
  <c r="AN932" i="3"/>
  <c r="AP932" i="3"/>
  <c r="AR932" i="3"/>
  <c r="AS932" i="3"/>
  <c r="R933" i="3"/>
  <c r="T933" i="3"/>
  <c r="V933" i="3"/>
  <c r="X933" i="3"/>
  <c r="Z933" i="3"/>
  <c r="AA933" i="3"/>
  <c r="AE933" i="3"/>
  <c r="AG933" i="3"/>
  <c r="AI933" i="3"/>
  <c r="AK933" i="3"/>
  <c r="AL933" i="3"/>
  <c r="AN933" i="3"/>
  <c r="AP933" i="3"/>
  <c r="AR933" i="3"/>
  <c r="AS933" i="3"/>
  <c r="R934" i="3"/>
  <c r="T934" i="3"/>
  <c r="V934" i="3"/>
  <c r="X934" i="3"/>
  <c r="Z934" i="3"/>
  <c r="AA934" i="3"/>
  <c r="AE934" i="3"/>
  <c r="AG934" i="3"/>
  <c r="AI934" i="3"/>
  <c r="AK934" i="3"/>
  <c r="AL934" i="3"/>
  <c r="AN934" i="3"/>
  <c r="AP934" i="3"/>
  <c r="AR934" i="3"/>
  <c r="AS934" i="3"/>
  <c r="R935" i="3"/>
  <c r="T935" i="3"/>
  <c r="V935" i="3"/>
  <c r="X935" i="3"/>
  <c r="Z935" i="3"/>
  <c r="AA935" i="3"/>
  <c r="AE935" i="3"/>
  <c r="AG935" i="3"/>
  <c r="AI935" i="3"/>
  <c r="AK935" i="3"/>
  <c r="AL935" i="3"/>
  <c r="AN935" i="3"/>
  <c r="AP935" i="3"/>
  <c r="AR935" i="3"/>
  <c r="AS935" i="3"/>
  <c r="R936" i="3"/>
  <c r="T936" i="3"/>
  <c r="V936" i="3"/>
  <c r="X936" i="3"/>
  <c r="Z936" i="3"/>
  <c r="AA936" i="3"/>
  <c r="AE936" i="3"/>
  <c r="AG936" i="3"/>
  <c r="AI936" i="3"/>
  <c r="AK936" i="3"/>
  <c r="AL936" i="3"/>
  <c r="AN936" i="3"/>
  <c r="AP936" i="3"/>
  <c r="AR936" i="3"/>
  <c r="AS936" i="3"/>
  <c r="R937" i="3"/>
  <c r="T937" i="3"/>
  <c r="V937" i="3"/>
  <c r="X937" i="3"/>
  <c r="Z937" i="3"/>
  <c r="AA937" i="3"/>
  <c r="AE937" i="3"/>
  <c r="AG937" i="3"/>
  <c r="AI937" i="3"/>
  <c r="AK937" i="3"/>
  <c r="AL937" i="3"/>
  <c r="AN937" i="3"/>
  <c r="AP937" i="3"/>
  <c r="AR937" i="3"/>
  <c r="AS937" i="3"/>
  <c r="R938" i="3"/>
  <c r="T938" i="3"/>
  <c r="V938" i="3"/>
  <c r="X938" i="3"/>
  <c r="Z938" i="3"/>
  <c r="AA938" i="3"/>
  <c r="AE938" i="3"/>
  <c r="AG938" i="3"/>
  <c r="AI938" i="3"/>
  <c r="AK938" i="3"/>
  <c r="AL938" i="3"/>
  <c r="AN938" i="3"/>
  <c r="AP938" i="3"/>
  <c r="AR938" i="3"/>
  <c r="AS938" i="3"/>
  <c r="R939" i="3"/>
  <c r="T939" i="3"/>
  <c r="V939" i="3"/>
  <c r="X939" i="3"/>
  <c r="Z939" i="3"/>
  <c r="AA939" i="3"/>
  <c r="AE939" i="3"/>
  <c r="AG939" i="3"/>
  <c r="AI939" i="3"/>
  <c r="AK939" i="3"/>
  <c r="AL939" i="3"/>
  <c r="AN939" i="3"/>
  <c r="AP939" i="3"/>
  <c r="AR939" i="3"/>
  <c r="AS939" i="3"/>
  <c r="R940" i="3"/>
  <c r="T940" i="3"/>
  <c r="V940" i="3"/>
  <c r="X940" i="3"/>
  <c r="Z940" i="3"/>
  <c r="AA940" i="3"/>
  <c r="AE940" i="3"/>
  <c r="AG940" i="3"/>
  <c r="AI940" i="3"/>
  <c r="AK940" i="3"/>
  <c r="AL940" i="3"/>
  <c r="AN940" i="3"/>
  <c r="AP940" i="3"/>
  <c r="AR940" i="3"/>
  <c r="AS940" i="3"/>
  <c r="R941" i="3"/>
  <c r="T941" i="3"/>
  <c r="V941" i="3"/>
  <c r="X941" i="3"/>
  <c r="Z941" i="3"/>
  <c r="AA941" i="3"/>
  <c r="AE941" i="3"/>
  <c r="AG941" i="3"/>
  <c r="AI941" i="3"/>
  <c r="AK941" i="3"/>
  <c r="AL941" i="3"/>
  <c r="AN941" i="3"/>
  <c r="AP941" i="3"/>
  <c r="AR941" i="3"/>
  <c r="AS941" i="3"/>
  <c r="R942" i="3"/>
  <c r="T942" i="3"/>
  <c r="V942" i="3"/>
  <c r="X942" i="3"/>
  <c r="Z942" i="3"/>
  <c r="AA942" i="3"/>
  <c r="AE942" i="3"/>
  <c r="AG942" i="3"/>
  <c r="AI942" i="3"/>
  <c r="AK942" i="3"/>
  <c r="AL942" i="3"/>
  <c r="AN942" i="3"/>
  <c r="AP942" i="3"/>
  <c r="AR942" i="3"/>
  <c r="AS942" i="3"/>
  <c r="R943" i="3"/>
  <c r="T943" i="3"/>
  <c r="V943" i="3"/>
  <c r="X943" i="3"/>
  <c r="Z943" i="3"/>
  <c r="AA943" i="3"/>
  <c r="AE943" i="3"/>
  <c r="AG943" i="3"/>
  <c r="AI943" i="3"/>
  <c r="AK943" i="3"/>
  <c r="AL943" i="3"/>
  <c r="AN943" i="3"/>
  <c r="AP943" i="3"/>
  <c r="AR943" i="3"/>
  <c r="AS943" i="3"/>
  <c r="R944" i="3"/>
  <c r="T944" i="3"/>
  <c r="V944" i="3"/>
  <c r="X944" i="3"/>
  <c r="Z944" i="3"/>
  <c r="AA944" i="3"/>
  <c r="AE944" i="3"/>
  <c r="AG944" i="3"/>
  <c r="AI944" i="3"/>
  <c r="AK944" i="3"/>
  <c r="AL944" i="3"/>
  <c r="AN944" i="3"/>
  <c r="AP944" i="3"/>
  <c r="AR944" i="3"/>
  <c r="AS944" i="3"/>
  <c r="R945" i="3"/>
  <c r="T945" i="3"/>
  <c r="V945" i="3"/>
  <c r="X945" i="3"/>
  <c r="Z945" i="3"/>
  <c r="AA945" i="3"/>
  <c r="AE945" i="3"/>
  <c r="AG945" i="3"/>
  <c r="AI945" i="3"/>
  <c r="AK945" i="3"/>
  <c r="AL945" i="3"/>
  <c r="AN945" i="3"/>
  <c r="AP945" i="3"/>
  <c r="AR945" i="3"/>
  <c r="AS945" i="3"/>
  <c r="R946" i="3"/>
  <c r="T946" i="3"/>
  <c r="V946" i="3"/>
  <c r="X946" i="3"/>
  <c r="Z946" i="3"/>
  <c r="AA946" i="3"/>
  <c r="AE946" i="3"/>
  <c r="AG946" i="3"/>
  <c r="AI946" i="3"/>
  <c r="AK946" i="3"/>
  <c r="AL946" i="3"/>
  <c r="AN946" i="3"/>
  <c r="AP946" i="3"/>
  <c r="AR946" i="3"/>
  <c r="AS946" i="3"/>
  <c r="R947" i="3"/>
  <c r="T947" i="3"/>
  <c r="V947" i="3"/>
  <c r="X947" i="3"/>
  <c r="Z947" i="3"/>
  <c r="AA947" i="3"/>
  <c r="AE947" i="3"/>
  <c r="AG947" i="3"/>
  <c r="AI947" i="3"/>
  <c r="AK947" i="3"/>
  <c r="AL947" i="3"/>
  <c r="AN947" i="3"/>
  <c r="AP947" i="3"/>
  <c r="AR947" i="3"/>
  <c r="AS947" i="3"/>
  <c r="R948" i="3"/>
  <c r="T948" i="3"/>
  <c r="V948" i="3"/>
  <c r="X948" i="3"/>
  <c r="Z948" i="3"/>
  <c r="AA948" i="3"/>
  <c r="AE948" i="3"/>
  <c r="AG948" i="3"/>
  <c r="AI948" i="3"/>
  <c r="AK948" i="3"/>
  <c r="AL948" i="3"/>
  <c r="AN948" i="3"/>
  <c r="AP948" i="3"/>
  <c r="AR948" i="3"/>
  <c r="AS948" i="3"/>
  <c r="R949" i="3"/>
  <c r="T949" i="3"/>
  <c r="V949" i="3"/>
  <c r="X949" i="3"/>
  <c r="Z949" i="3"/>
  <c r="AA949" i="3"/>
  <c r="AE949" i="3"/>
  <c r="AG949" i="3"/>
  <c r="AI949" i="3"/>
  <c r="AK949" i="3"/>
  <c r="AL949" i="3"/>
  <c r="AN949" i="3"/>
  <c r="AP949" i="3"/>
  <c r="AR949" i="3"/>
  <c r="AS949" i="3"/>
  <c r="R950" i="3"/>
  <c r="T950" i="3"/>
  <c r="V950" i="3"/>
  <c r="X950" i="3"/>
  <c r="Z950" i="3"/>
  <c r="AA950" i="3"/>
  <c r="AE950" i="3"/>
  <c r="AG950" i="3"/>
  <c r="AI950" i="3"/>
  <c r="AK950" i="3"/>
  <c r="AL950" i="3"/>
  <c r="AN950" i="3"/>
  <c r="AP950" i="3"/>
  <c r="AR950" i="3"/>
  <c r="AS950" i="3"/>
  <c r="R951" i="3"/>
  <c r="T951" i="3"/>
  <c r="V951" i="3"/>
  <c r="X951" i="3"/>
  <c r="Z951" i="3"/>
  <c r="AA951" i="3"/>
  <c r="AE951" i="3"/>
  <c r="AG951" i="3"/>
  <c r="AI951" i="3"/>
  <c r="AK951" i="3"/>
  <c r="AL951" i="3"/>
  <c r="AN951" i="3"/>
  <c r="AP951" i="3"/>
  <c r="AR951" i="3"/>
  <c r="AS951" i="3"/>
  <c r="R952" i="3"/>
  <c r="T952" i="3"/>
  <c r="V952" i="3"/>
  <c r="X952" i="3"/>
  <c r="Z952" i="3"/>
  <c r="AA952" i="3"/>
  <c r="AE952" i="3"/>
  <c r="AG952" i="3"/>
  <c r="AI952" i="3"/>
  <c r="AK952" i="3"/>
  <c r="AL952" i="3"/>
  <c r="AN952" i="3"/>
  <c r="AP952" i="3"/>
  <c r="AR952" i="3"/>
  <c r="AS952" i="3"/>
  <c r="R953" i="3"/>
  <c r="T953" i="3"/>
  <c r="V953" i="3"/>
  <c r="X953" i="3"/>
  <c r="Z953" i="3"/>
  <c r="AA953" i="3"/>
  <c r="AE953" i="3"/>
  <c r="AG953" i="3"/>
  <c r="AI953" i="3"/>
  <c r="AK953" i="3"/>
  <c r="AL953" i="3"/>
  <c r="AN953" i="3"/>
  <c r="AP953" i="3"/>
  <c r="AR953" i="3"/>
  <c r="AS953" i="3"/>
  <c r="R954" i="3"/>
  <c r="T954" i="3"/>
  <c r="V954" i="3"/>
  <c r="X954" i="3"/>
  <c r="Z954" i="3"/>
  <c r="AA954" i="3"/>
  <c r="AE954" i="3"/>
  <c r="AG954" i="3"/>
  <c r="AI954" i="3"/>
  <c r="AK954" i="3"/>
  <c r="AL954" i="3"/>
  <c r="AN954" i="3"/>
  <c r="AP954" i="3"/>
  <c r="AR954" i="3"/>
  <c r="AS954" i="3"/>
  <c r="R955" i="3"/>
  <c r="T955" i="3"/>
  <c r="V955" i="3"/>
  <c r="X955" i="3"/>
  <c r="Z955" i="3"/>
  <c r="AA955" i="3"/>
  <c r="AE955" i="3"/>
  <c r="AG955" i="3"/>
  <c r="AI955" i="3"/>
  <c r="AK955" i="3"/>
  <c r="AL955" i="3"/>
  <c r="AN955" i="3"/>
  <c r="AP955" i="3"/>
  <c r="AR955" i="3"/>
  <c r="AS955" i="3"/>
  <c r="R956" i="3"/>
  <c r="T956" i="3"/>
  <c r="V956" i="3"/>
  <c r="X956" i="3"/>
  <c r="Z956" i="3"/>
  <c r="AA956" i="3"/>
  <c r="AE956" i="3"/>
  <c r="AG956" i="3"/>
  <c r="AI956" i="3"/>
  <c r="AK956" i="3"/>
  <c r="AL956" i="3"/>
  <c r="AN956" i="3"/>
  <c r="AP956" i="3"/>
  <c r="AR956" i="3"/>
  <c r="AS956" i="3"/>
  <c r="R957" i="3"/>
  <c r="T957" i="3"/>
  <c r="V957" i="3"/>
  <c r="X957" i="3"/>
  <c r="Z957" i="3"/>
  <c r="AA957" i="3"/>
  <c r="AE957" i="3"/>
  <c r="AG957" i="3"/>
  <c r="AI957" i="3"/>
  <c r="AK957" i="3"/>
  <c r="AL957" i="3"/>
  <c r="AN957" i="3"/>
  <c r="AP957" i="3"/>
  <c r="AR957" i="3"/>
  <c r="AS957" i="3"/>
  <c r="R958" i="3"/>
  <c r="T958" i="3"/>
  <c r="V958" i="3"/>
  <c r="X958" i="3"/>
  <c r="Z958" i="3"/>
  <c r="AA958" i="3"/>
  <c r="AE958" i="3"/>
  <c r="AG958" i="3"/>
  <c r="AI958" i="3"/>
  <c r="AK958" i="3"/>
  <c r="AL958" i="3"/>
  <c r="AN958" i="3"/>
  <c r="AP958" i="3"/>
  <c r="AR958" i="3"/>
  <c r="AS958" i="3"/>
  <c r="R959" i="3"/>
  <c r="T959" i="3"/>
  <c r="V959" i="3"/>
  <c r="X959" i="3"/>
  <c r="Z959" i="3"/>
  <c r="AA959" i="3"/>
  <c r="AE959" i="3"/>
  <c r="AG959" i="3"/>
  <c r="AI959" i="3"/>
  <c r="AK959" i="3"/>
  <c r="AL959" i="3"/>
  <c r="AN959" i="3"/>
  <c r="AP959" i="3"/>
  <c r="AR959" i="3"/>
  <c r="AS959" i="3"/>
  <c r="R960" i="3"/>
  <c r="T960" i="3"/>
  <c r="V960" i="3"/>
  <c r="X960" i="3"/>
  <c r="Z960" i="3"/>
  <c r="AA960" i="3"/>
  <c r="AE960" i="3"/>
  <c r="AG960" i="3"/>
  <c r="AI960" i="3"/>
  <c r="AK960" i="3"/>
  <c r="AL960" i="3"/>
  <c r="AN960" i="3"/>
  <c r="AP960" i="3"/>
  <c r="AR960" i="3"/>
  <c r="AS960" i="3"/>
  <c r="R961" i="3"/>
  <c r="T961" i="3"/>
  <c r="V961" i="3"/>
  <c r="X961" i="3"/>
  <c r="Z961" i="3"/>
  <c r="AA961" i="3"/>
  <c r="AE961" i="3"/>
  <c r="AG961" i="3"/>
  <c r="AI961" i="3"/>
  <c r="AK961" i="3"/>
  <c r="AL961" i="3"/>
  <c r="AN961" i="3"/>
  <c r="AP961" i="3"/>
  <c r="AR961" i="3"/>
  <c r="AS961" i="3"/>
  <c r="R962" i="3"/>
  <c r="T962" i="3"/>
  <c r="V962" i="3"/>
  <c r="X962" i="3"/>
  <c r="Z962" i="3"/>
  <c r="AA962" i="3"/>
  <c r="AE962" i="3"/>
  <c r="AG962" i="3"/>
  <c r="AI962" i="3"/>
  <c r="AK962" i="3"/>
  <c r="AL962" i="3"/>
  <c r="AN962" i="3"/>
  <c r="AP962" i="3"/>
  <c r="AR962" i="3"/>
  <c r="AS962" i="3"/>
  <c r="R963" i="3"/>
  <c r="T963" i="3"/>
  <c r="V963" i="3"/>
  <c r="X963" i="3"/>
  <c r="Z963" i="3"/>
  <c r="AA963" i="3"/>
  <c r="AE963" i="3"/>
  <c r="AG963" i="3"/>
  <c r="AI963" i="3"/>
  <c r="AK963" i="3"/>
  <c r="AL963" i="3"/>
  <c r="AN963" i="3"/>
  <c r="AP963" i="3"/>
  <c r="AR963" i="3"/>
  <c r="AS963" i="3"/>
  <c r="R964" i="3"/>
  <c r="T964" i="3"/>
  <c r="V964" i="3"/>
  <c r="X964" i="3"/>
  <c r="Z964" i="3"/>
  <c r="AA964" i="3"/>
  <c r="AE964" i="3"/>
  <c r="AG964" i="3"/>
  <c r="AI964" i="3"/>
  <c r="AK964" i="3"/>
  <c r="AL964" i="3"/>
  <c r="AN964" i="3"/>
  <c r="AP964" i="3"/>
  <c r="AR964" i="3"/>
  <c r="AS964" i="3"/>
  <c r="R965" i="3"/>
  <c r="T965" i="3"/>
  <c r="V965" i="3"/>
  <c r="X965" i="3"/>
  <c r="Z965" i="3"/>
  <c r="AA965" i="3"/>
  <c r="AE965" i="3"/>
  <c r="AG965" i="3"/>
  <c r="AI965" i="3"/>
  <c r="AK965" i="3"/>
  <c r="AL965" i="3"/>
  <c r="AN965" i="3"/>
  <c r="AP965" i="3"/>
  <c r="AR965" i="3"/>
  <c r="AS965" i="3"/>
  <c r="R966" i="3"/>
  <c r="T966" i="3"/>
  <c r="V966" i="3"/>
  <c r="X966" i="3"/>
  <c r="Z966" i="3"/>
  <c r="AA966" i="3"/>
  <c r="AE966" i="3"/>
  <c r="AG966" i="3"/>
  <c r="AI966" i="3"/>
  <c r="AK966" i="3"/>
  <c r="AL966" i="3"/>
  <c r="AN966" i="3"/>
  <c r="AP966" i="3"/>
  <c r="AR966" i="3"/>
  <c r="AS966" i="3"/>
  <c r="R967" i="3"/>
  <c r="T967" i="3"/>
  <c r="V967" i="3"/>
  <c r="X967" i="3"/>
  <c r="Z967" i="3"/>
  <c r="AA967" i="3"/>
  <c r="AE967" i="3"/>
  <c r="AG967" i="3"/>
  <c r="AI967" i="3"/>
  <c r="AK967" i="3"/>
  <c r="AL967" i="3"/>
  <c r="AN967" i="3"/>
  <c r="AP967" i="3"/>
  <c r="AR967" i="3"/>
  <c r="AS967" i="3"/>
  <c r="R968" i="3"/>
  <c r="T968" i="3"/>
  <c r="V968" i="3"/>
  <c r="X968" i="3"/>
  <c r="Z968" i="3"/>
  <c r="AA968" i="3"/>
  <c r="AE968" i="3"/>
  <c r="AG968" i="3"/>
  <c r="AI968" i="3"/>
  <c r="AK968" i="3"/>
  <c r="AL968" i="3"/>
  <c r="AN968" i="3"/>
  <c r="AP968" i="3"/>
  <c r="AR968" i="3"/>
  <c r="AS968" i="3"/>
  <c r="R969" i="3"/>
  <c r="T969" i="3"/>
  <c r="V969" i="3"/>
  <c r="X969" i="3"/>
  <c r="Z969" i="3"/>
  <c r="AA969" i="3"/>
  <c r="AE969" i="3"/>
  <c r="AG969" i="3"/>
  <c r="AI969" i="3"/>
  <c r="AK969" i="3"/>
  <c r="AL969" i="3"/>
  <c r="AN969" i="3"/>
  <c r="AP969" i="3"/>
  <c r="AR969" i="3"/>
  <c r="AS969" i="3"/>
  <c r="R970" i="3"/>
  <c r="T970" i="3"/>
  <c r="V970" i="3"/>
  <c r="X970" i="3"/>
  <c r="Z970" i="3"/>
  <c r="AA970" i="3"/>
  <c r="AE970" i="3"/>
  <c r="AG970" i="3"/>
  <c r="AI970" i="3"/>
  <c r="AK970" i="3"/>
  <c r="AL970" i="3"/>
  <c r="AN970" i="3"/>
  <c r="AP970" i="3"/>
  <c r="AR970" i="3"/>
  <c r="AS970" i="3"/>
  <c r="R971" i="3"/>
  <c r="T971" i="3"/>
  <c r="V971" i="3"/>
  <c r="X971" i="3"/>
  <c r="Z971" i="3"/>
  <c r="AA971" i="3"/>
  <c r="AE971" i="3"/>
  <c r="AG971" i="3"/>
  <c r="AI971" i="3"/>
  <c r="AK971" i="3"/>
  <c r="AL971" i="3"/>
  <c r="AN971" i="3"/>
  <c r="AP971" i="3"/>
  <c r="AR971" i="3"/>
  <c r="AS971" i="3"/>
  <c r="R972" i="3"/>
  <c r="T972" i="3"/>
  <c r="V972" i="3"/>
  <c r="X972" i="3"/>
  <c r="Z972" i="3"/>
  <c r="AA972" i="3"/>
  <c r="AE972" i="3"/>
  <c r="AG972" i="3"/>
  <c r="AI972" i="3"/>
  <c r="AK972" i="3"/>
  <c r="AL972" i="3"/>
  <c r="AN972" i="3"/>
  <c r="AP972" i="3"/>
  <c r="AR972" i="3"/>
  <c r="AS972" i="3"/>
  <c r="R973" i="3"/>
  <c r="T973" i="3"/>
  <c r="V973" i="3"/>
  <c r="X973" i="3"/>
  <c r="Z973" i="3"/>
  <c r="AA973" i="3"/>
  <c r="AE973" i="3"/>
  <c r="AG973" i="3"/>
  <c r="AI973" i="3"/>
  <c r="AK973" i="3"/>
  <c r="AL973" i="3"/>
  <c r="AN973" i="3"/>
  <c r="AP973" i="3"/>
  <c r="AR973" i="3"/>
  <c r="AS973" i="3"/>
  <c r="R974" i="3"/>
  <c r="T974" i="3"/>
  <c r="V974" i="3"/>
  <c r="X974" i="3"/>
  <c r="Z974" i="3"/>
  <c r="AA974" i="3"/>
  <c r="AE974" i="3"/>
  <c r="AG974" i="3"/>
  <c r="AI974" i="3"/>
  <c r="AK974" i="3"/>
  <c r="AL974" i="3"/>
  <c r="AN974" i="3"/>
  <c r="AP974" i="3"/>
  <c r="AR974" i="3"/>
  <c r="AS974" i="3"/>
  <c r="R975" i="3"/>
  <c r="T975" i="3"/>
  <c r="V975" i="3"/>
  <c r="X975" i="3"/>
  <c r="Z975" i="3"/>
  <c r="AA975" i="3"/>
  <c r="AE975" i="3"/>
  <c r="AG975" i="3"/>
  <c r="AI975" i="3"/>
  <c r="AK975" i="3"/>
  <c r="AL975" i="3"/>
  <c r="AN975" i="3"/>
  <c r="AP975" i="3"/>
  <c r="AR975" i="3"/>
  <c r="AS975" i="3"/>
  <c r="R976" i="3"/>
  <c r="T976" i="3"/>
  <c r="V976" i="3"/>
  <c r="X976" i="3"/>
  <c r="Z976" i="3"/>
  <c r="AA976" i="3"/>
  <c r="AE976" i="3"/>
  <c r="AG976" i="3"/>
  <c r="AI976" i="3"/>
  <c r="AK976" i="3"/>
  <c r="AL976" i="3"/>
  <c r="AN976" i="3"/>
  <c r="AP976" i="3"/>
  <c r="AR976" i="3"/>
  <c r="AS976" i="3"/>
  <c r="R977" i="3"/>
  <c r="T977" i="3"/>
  <c r="V977" i="3"/>
  <c r="X977" i="3"/>
  <c r="Z977" i="3"/>
  <c r="AA977" i="3"/>
  <c r="AE977" i="3"/>
  <c r="AG977" i="3"/>
  <c r="AI977" i="3"/>
  <c r="AK977" i="3"/>
  <c r="AL977" i="3"/>
  <c r="AN977" i="3"/>
  <c r="AP977" i="3"/>
  <c r="AR977" i="3"/>
  <c r="AS977" i="3"/>
  <c r="R978" i="3"/>
  <c r="T978" i="3"/>
  <c r="V978" i="3"/>
  <c r="X978" i="3"/>
  <c r="Z978" i="3"/>
  <c r="AA978" i="3"/>
  <c r="AE978" i="3"/>
  <c r="AG978" i="3"/>
  <c r="AI978" i="3"/>
  <c r="AK978" i="3"/>
  <c r="AL978" i="3"/>
  <c r="AN978" i="3"/>
  <c r="AP978" i="3"/>
  <c r="AR978" i="3"/>
  <c r="AS978" i="3"/>
  <c r="R979" i="3"/>
  <c r="T979" i="3"/>
  <c r="V979" i="3"/>
  <c r="X979" i="3"/>
  <c r="Z979" i="3"/>
  <c r="AA979" i="3"/>
  <c r="AE979" i="3"/>
  <c r="AG979" i="3"/>
  <c r="AI979" i="3"/>
  <c r="AK979" i="3"/>
  <c r="AL979" i="3"/>
  <c r="AN979" i="3"/>
  <c r="AP979" i="3"/>
  <c r="AR979" i="3"/>
  <c r="AS979" i="3"/>
  <c r="R980" i="3"/>
  <c r="T980" i="3"/>
  <c r="V980" i="3"/>
  <c r="X980" i="3"/>
  <c r="Z980" i="3"/>
  <c r="AA980" i="3"/>
  <c r="AE980" i="3"/>
  <c r="AG980" i="3"/>
  <c r="AI980" i="3"/>
  <c r="AK980" i="3"/>
  <c r="AL980" i="3"/>
  <c r="AN980" i="3"/>
  <c r="AP980" i="3"/>
  <c r="AR980" i="3"/>
  <c r="AS980" i="3"/>
  <c r="R981" i="3"/>
  <c r="T981" i="3"/>
  <c r="V981" i="3"/>
  <c r="X981" i="3"/>
  <c r="Z981" i="3"/>
  <c r="AA981" i="3"/>
  <c r="AE981" i="3"/>
  <c r="AG981" i="3"/>
  <c r="AI981" i="3"/>
  <c r="AK981" i="3"/>
  <c r="AL981" i="3"/>
  <c r="AN981" i="3"/>
  <c r="AP981" i="3"/>
  <c r="AR981" i="3"/>
  <c r="AS981" i="3"/>
  <c r="R982" i="3"/>
  <c r="T982" i="3"/>
  <c r="V982" i="3"/>
  <c r="X982" i="3"/>
  <c r="Z982" i="3"/>
  <c r="AA982" i="3"/>
  <c r="AE982" i="3"/>
  <c r="AG982" i="3"/>
  <c r="AI982" i="3"/>
  <c r="AK982" i="3"/>
  <c r="AL982" i="3"/>
  <c r="AN982" i="3"/>
  <c r="AP982" i="3"/>
  <c r="AR982" i="3"/>
  <c r="AS982" i="3"/>
  <c r="R983" i="3"/>
  <c r="T983" i="3"/>
  <c r="V983" i="3"/>
  <c r="X983" i="3"/>
  <c r="Z983" i="3"/>
  <c r="AA983" i="3"/>
  <c r="AE983" i="3"/>
  <c r="AG983" i="3"/>
  <c r="AI983" i="3"/>
  <c r="AK983" i="3"/>
  <c r="AL983" i="3"/>
  <c r="AN983" i="3"/>
  <c r="AP983" i="3"/>
  <c r="AR983" i="3"/>
  <c r="AS983" i="3"/>
  <c r="R984" i="3"/>
  <c r="T984" i="3"/>
  <c r="V984" i="3"/>
  <c r="X984" i="3"/>
  <c r="Z984" i="3"/>
  <c r="AA984" i="3"/>
  <c r="AE984" i="3"/>
  <c r="AG984" i="3"/>
  <c r="AI984" i="3"/>
  <c r="AK984" i="3"/>
  <c r="AL984" i="3"/>
  <c r="AN984" i="3"/>
  <c r="AP984" i="3"/>
  <c r="AR984" i="3"/>
  <c r="AS984" i="3"/>
  <c r="R985" i="3"/>
  <c r="T985" i="3"/>
  <c r="V985" i="3"/>
  <c r="X985" i="3"/>
  <c r="Z985" i="3"/>
  <c r="AA985" i="3"/>
  <c r="AE985" i="3"/>
  <c r="AG985" i="3"/>
  <c r="AI985" i="3"/>
  <c r="AK985" i="3"/>
  <c r="AL985" i="3"/>
  <c r="AN985" i="3"/>
  <c r="AP985" i="3"/>
  <c r="AR985" i="3"/>
  <c r="AS985" i="3"/>
  <c r="R986" i="3"/>
  <c r="T986" i="3"/>
  <c r="V986" i="3"/>
  <c r="X986" i="3"/>
  <c r="Z986" i="3"/>
  <c r="AA986" i="3"/>
  <c r="AE986" i="3"/>
  <c r="AG986" i="3"/>
  <c r="AI986" i="3"/>
  <c r="AK986" i="3"/>
  <c r="AL986" i="3"/>
  <c r="AN986" i="3"/>
  <c r="AP986" i="3"/>
  <c r="AR986" i="3"/>
  <c r="AS986" i="3"/>
  <c r="R987" i="3"/>
  <c r="T987" i="3"/>
  <c r="V987" i="3"/>
  <c r="X987" i="3"/>
  <c r="Z987" i="3"/>
  <c r="AA987" i="3"/>
  <c r="AE987" i="3"/>
  <c r="AG987" i="3"/>
  <c r="AI987" i="3"/>
  <c r="AK987" i="3"/>
  <c r="AL987" i="3"/>
  <c r="AN987" i="3"/>
  <c r="AP987" i="3"/>
  <c r="AR987" i="3"/>
  <c r="AS987" i="3"/>
  <c r="R988" i="3"/>
  <c r="T988" i="3"/>
  <c r="V988" i="3"/>
  <c r="X988" i="3"/>
  <c r="Z988" i="3"/>
  <c r="AA988" i="3"/>
  <c r="AE988" i="3"/>
  <c r="AG988" i="3"/>
  <c r="AI988" i="3"/>
  <c r="AK988" i="3"/>
  <c r="AL988" i="3"/>
  <c r="AN988" i="3"/>
  <c r="AP988" i="3"/>
  <c r="AR988" i="3"/>
  <c r="AS988" i="3"/>
  <c r="R989" i="3"/>
  <c r="T989" i="3"/>
  <c r="V989" i="3"/>
  <c r="X989" i="3"/>
  <c r="Z989" i="3"/>
  <c r="AA989" i="3"/>
  <c r="AE989" i="3"/>
  <c r="AG989" i="3"/>
  <c r="AI989" i="3"/>
  <c r="AK989" i="3"/>
  <c r="AL989" i="3"/>
  <c r="AN989" i="3"/>
  <c r="AP989" i="3"/>
  <c r="AR989" i="3"/>
  <c r="AS989" i="3"/>
  <c r="R990" i="3"/>
  <c r="T990" i="3"/>
  <c r="V990" i="3"/>
  <c r="X990" i="3"/>
  <c r="Z990" i="3"/>
  <c r="AA990" i="3"/>
  <c r="AE990" i="3"/>
  <c r="AG990" i="3"/>
  <c r="AI990" i="3"/>
  <c r="AK990" i="3"/>
  <c r="AL990" i="3"/>
  <c r="AN990" i="3"/>
  <c r="AP990" i="3"/>
  <c r="AR990" i="3"/>
  <c r="AS990" i="3"/>
  <c r="R991" i="3"/>
  <c r="T991" i="3"/>
  <c r="V991" i="3"/>
  <c r="X991" i="3"/>
  <c r="Z991" i="3"/>
  <c r="AA991" i="3"/>
  <c r="AE991" i="3"/>
  <c r="AG991" i="3"/>
  <c r="AI991" i="3"/>
  <c r="AK991" i="3"/>
  <c r="AL991" i="3"/>
  <c r="AN991" i="3"/>
  <c r="AP991" i="3"/>
  <c r="AR991" i="3"/>
  <c r="AS991" i="3"/>
  <c r="R992" i="3"/>
  <c r="T992" i="3"/>
  <c r="V992" i="3"/>
  <c r="X992" i="3"/>
  <c r="Z992" i="3"/>
  <c r="AA992" i="3"/>
  <c r="AE992" i="3"/>
  <c r="AG992" i="3"/>
  <c r="AI992" i="3"/>
  <c r="AK992" i="3"/>
  <c r="AL992" i="3"/>
  <c r="AN992" i="3"/>
  <c r="AP992" i="3"/>
  <c r="AR992" i="3"/>
  <c r="AS992" i="3"/>
  <c r="R993" i="3"/>
  <c r="T993" i="3"/>
  <c r="V993" i="3"/>
  <c r="X993" i="3"/>
  <c r="Z993" i="3"/>
  <c r="AA993" i="3"/>
  <c r="AE993" i="3"/>
  <c r="AG993" i="3"/>
  <c r="AI993" i="3"/>
  <c r="AK993" i="3"/>
  <c r="AL993" i="3"/>
  <c r="AN993" i="3"/>
  <c r="AP993" i="3"/>
  <c r="AR993" i="3"/>
  <c r="AS993" i="3"/>
  <c r="R994" i="3"/>
  <c r="T994" i="3"/>
  <c r="V994" i="3"/>
  <c r="X994" i="3"/>
  <c r="Z994" i="3"/>
  <c r="AA994" i="3"/>
  <c r="AE994" i="3"/>
  <c r="AG994" i="3"/>
  <c r="AI994" i="3"/>
  <c r="AK994" i="3"/>
  <c r="AL994" i="3"/>
  <c r="AN994" i="3"/>
  <c r="AP994" i="3"/>
  <c r="AR994" i="3"/>
  <c r="AS994" i="3"/>
  <c r="R995" i="3"/>
  <c r="T995" i="3"/>
  <c r="V995" i="3"/>
  <c r="X995" i="3"/>
  <c r="Z995" i="3"/>
  <c r="AA995" i="3"/>
  <c r="AE995" i="3"/>
  <c r="AG995" i="3"/>
  <c r="AI995" i="3"/>
  <c r="AK995" i="3"/>
  <c r="AL995" i="3"/>
  <c r="AN995" i="3"/>
  <c r="AP995" i="3"/>
  <c r="AR995" i="3"/>
  <c r="AS995" i="3"/>
  <c r="R996" i="3"/>
  <c r="T996" i="3"/>
  <c r="V996" i="3"/>
  <c r="X996" i="3"/>
  <c r="Z996" i="3"/>
  <c r="AA996" i="3"/>
  <c r="AE996" i="3"/>
  <c r="AG996" i="3"/>
  <c r="AI996" i="3"/>
  <c r="AK996" i="3"/>
  <c r="AL996" i="3"/>
  <c r="AN996" i="3"/>
  <c r="AP996" i="3"/>
  <c r="AR996" i="3"/>
  <c r="AS996" i="3"/>
  <c r="R997" i="3"/>
  <c r="T997" i="3"/>
  <c r="V997" i="3"/>
  <c r="X997" i="3"/>
  <c r="Z997" i="3"/>
  <c r="AA997" i="3"/>
  <c r="AE997" i="3"/>
  <c r="AG997" i="3"/>
  <c r="AI997" i="3"/>
  <c r="AK997" i="3"/>
  <c r="AL997" i="3"/>
  <c r="AN997" i="3"/>
  <c r="AP997" i="3"/>
  <c r="AR997" i="3"/>
  <c r="AS997" i="3"/>
  <c r="R998" i="3"/>
  <c r="T998" i="3"/>
  <c r="V998" i="3"/>
  <c r="X998" i="3"/>
  <c r="Z998" i="3"/>
  <c r="AA998" i="3"/>
  <c r="AE998" i="3"/>
  <c r="AG998" i="3"/>
  <c r="AI998" i="3"/>
  <c r="AK998" i="3"/>
  <c r="AL998" i="3"/>
  <c r="AN998" i="3"/>
  <c r="AP998" i="3"/>
  <c r="AR998" i="3"/>
  <c r="AS998" i="3"/>
  <c r="R999" i="3"/>
  <c r="T999" i="3"/>
  <c r="V999" i="3"/>
  <c r="X999" i="3"/>
  <c r="Z999" i="3"/>
  <c r="AA999" i="3"/>
  <c r="AE999" i="3"/>
  <c r="AG999" i="3"/>
  <c r="AI999" i="3"/>
  <c r="AK999" i="3"/>
  <c r="AL999" i="3"/>
  <c r="AN999" i="3"/>
  <c r="AP999" i="3"/>
  <c r="AR999" i="3"/>
  <c r="AS999" i="3"/>
  <c r="R1000" i="3"/>
  <c r="T1000" i="3"/>
  <c r="V1000" i="3"/>
  <c r="X1000" i="3"/>
  <c r="Z1000" i="3"/>
  <c r="AA1000" i="3"/>
  <c r="AE1000" i="3"/>
  <c r="AG1000" i="3"/>
  <c r="AI1000" i="3"/>
  <c r="AK1000" i="3"/>
  <c r="AL1000" i="3"/>
  <c r="AN1000" i="3"/>
  <c r="AP1000" i="3"/>
  <c r="AR1000" i="3"/>
  <c r="AS1000" i="3"/>
  <c r="R1001" i="3"/>
  <c r="T1001" i="3"/>
  <c r="V1001" i="3"/>
  <c r="X1001" i="3"/>
  <c r="Z1001" i="3"/>
  <c r="AA1001" i="3"/>
  <c r="AE1001" i="3"/>
  <c r="AG1001" i="3"/>
  <c r="AI1001" i="3"/>
  <c r="AK1001" i="3"/>
  <c r="AL1001" i="3"/>
  <c r="AN1001" i="3"/>
  <c r="AP1001" i="3"/>
  <c r="AR1001" i="3"/>
  <c r="AS1001" i="3"/>
  <c r="R1002" i="3"/>
  <c r="T1002" i="3"/>
  <c r="V1002" i="3"/>
  <c r="X1002" i="3"/>
  <c r="Z1002" i="3"/>
  <c r="AA1002" i="3"/>
  <c r="AE1002" i="3"/>
  <c r="AG1002" i="3"/>
  <c r="AI1002" i="3"/>
  <c r="AK1002" i="3"/>
  <c r="AL1002" i="3"/>
  <c r="AN1002" i="3"/>
  <c r="AP1002" i="3"/>
  <c r="AR1002" i="3"/>
  <c r="AS1002" i="3"/>
  <c r="R1003" i="3"/>
  <c r="T1003" i="3"/>
  <c r="V1003" i="3"/>
  <c r="X1003" i="3"/>
  <c r="Z1003" i="3"/>
  <c r="AA1003" i="3"/>
  <c r="AE1003" i="3"/>
  <c r="AG1003" i="3"/>
  <c r="AI1003" i="3"/>
  <c r="AK1003" i="3"/>
  <c r="AL1003" i="3"/>
  <c r="AN1003" i="3"/>
  <c r="AP1003" i="3"/>
  <c r="AR1003" i="3"/>
  <c r="AS1003" i="3"/>
  <c r="R1004" i="3"/>
  <c r="T1004" i="3"/>
  <c r="V1004" i="3"/>
  <c r="X1004" i="3"/>
  <c r="Z1004" i="3"/>
  <c r="AA1004" i="3"/>
  <c r="AE1004" i="3"/>
  <c r="AG1004" i="3"/>
  <c r="AI1004" i="3"/>
  <c r="AK1004" i="3"/>
  <c r="AL1004" i="3"/>
  <c r="AN1004" i="3"/>
  <c r="AP1004" i="3"/>
  <c r="AR1004" i="3"/>
  <c r="AS1004" i="3"/>
  <c r="R466" i="3"/>
  <c r="T466" i="3"/>
  <c r="V466" i="3"/>
  <c r="X466" i="3"/>
  <c r="Z466" i="3"/>
  <c r="AA466" i="3"/>
  <c r="AE466" i="3"/>
  <c r="AG466" i="3"/>
  <c r="AI466" i="3"/>
  <c r="AK466" i="3"/>
  <c r="AL466" i="3"/>
  <c r="AN466" i="3"/>
  <c r="AP466" i="3"/>
  <c r="AR466" i="3"/>
  <c r="AS466" i="3"/>
  <c r="R467" i="3"/>
  <c r="T467" i="3"/>
  <c r="V467" i="3"/>
  <c r="X467" i="3"/>
  <c r="Z467" i="3"/>
  <c r="AA467" i="3"/>
  <c r="AE467" i="3"/>
  <c r="AG467" i="3"/>
  <c r="AI467" i="3"/>
  <c r="AK467" i="3"/>
  <c r="AL467" i="3"/>
  <c r="AN467" i="3"/>
  <c r="AP467" i="3"/>
  <c r="AR467" i="3"/>
  <c r="AS467" i="3"/>
  <c r="R468" i="3"/>
  <c r="T468" i="3"/>
  <c r="V468" i="3"/>
  <c r="X468" i="3"/>
  <c r="Z468" i="3"/>
  <c r="AA468" i="3"/>
  <c r="AE468" i="3"/>
  <c r="AG468" i="3"/>
  <c r="AI468" i="3"/>
  <c r="AK468" i="3"/>
  <c r="AL468" i="3"/>
  <c r="AN468" i="3"/>
  <c r="AP468" i="3"/>
  <c r="AR468" i="3"/>
  <c r="AS468" i="3"/>
  <c r="R469" i="3"/>
  <c r="T469" i="3"/>
  <c r="V469" i="3"/>
  <c r="X469" i="3"/>
  <c r="Z469" i="3"/>
  <c r="AA469" i="3"/>
  <c r="AE469" i="3"/>
  <c r="AG469" i="3"/>
  <c r="AI469" i="3"/>
  <c r="AK469" i="3"/>
  <c r="AL469" i="3"/>
  <c r="AN469" i="3"/>
  <c r="AP469" i="3"/>
  <c r="AR469" i="3"/>
  <c r="AS469" i="3"/>
  <c r="R470" i="3"/>
  <c r="T470" i="3"/>
  <c r="V470" i="3"/>
  <c r="X470" i="3"/>
  <c r="Z470" i="3"/>
  <c r="AA470" i="3"/>
  <c r="AE470" i="3"/>
  <c r="AG470" i="3"/>
  <c r="AI470" i="3"/>
  <c r="AK470" i="3"/>
  <c r="AL470" i="3"/>
  <c r="AN470" i="3"/>
  <c r="AP470" i="3"/>
  <c r="AR470" i="3"/>
  <c r="AS470" i="3"/>
  <c r="R471" i="3"/>
  <c r="T471" i="3"/>
  <c r="V471" i="3"/>
  <c r="X471" i="3"/>
  <c r="Z471" i="3"/>
  <c r="AA471" i="3"/>
  <c r="AE471" i="3"/>
  <c r="AG471" i="3"/>
  <c r="AI471" i="3"/>
  <c r="AK471" i="3"/>
  <c r="AL471" i="3"/>
  <c r="AN471" i="3"/>
  <c r="AP471" i="3"/>
  <c r="AR471" i="3"/>
  <c r="AS471" i="3"/>
  <c r="R472" i="3"/>
  <c r="T472" i="3"/>
  <c r="V472" i="3"/>
  <c r="X472" i="3"/>
  <c r="Z472" i="3"/>
  <c r="AA472" i="3"/>
  <c r="AE472" i="3"/>
  <c r="AG472" i="3"/>
  <c r="AI472" i="3"/>
  <c r="AK472" i="3"/>
  <c r="AL472" i="3"/>
  <c r="AN472" i="3"/>
  <c r="AP472" i="3"/>
  <c r="AR472" i="3"/>
  <c r="AS472" i="3"/>
  <c r="R473" i="3"/>
  <c r="T473" i="3"/>
  <c r="V473" i="3"/>
  <c r="X473" i="3"/>
  <c r="Z473" i="3"/>
  <c r="AA473" i="3"/>
  <c r="AE473" i="3"/>
  <c r="AG473" i="3"/>
  <c r="AI473" i="3"/>
  <c r="AK473" i="3"/>
  <c r="AL473" i="3"/>
  <c r="AN473" i="3"/>
  <c r="AP473" i="3"/>
  <c r="AR473" i="3"/>
  <c r="AS473" i="3"/>
  <c r="R474" i="3"/>
  <c r="T474" i="3"/>
  <c r="V474" i="3"/>
  <c r="X474" i="3"/>
  <c r="Z474" i="3"/>
  <c r="AA474" i="3"/>
  <c r="AE474" i="3"/>
  <c r="AG474" i="3"/>
  <c r="AI474" i="3"/>
  <c r="AK474" i="3"/>
  <c r="AL474" i="3"/>
  <c r="AN474" i="3"/>
  <c r="AP474" i="3"/>
  <c r="AR474" i="3"/>
  <c r="AS474" i="3"/>
  <c r="R475" i="3"/>
  <c r="T475" i="3"/>
  <c r="V475" i="3"/>
  <c r="X475" i="3"/>
  <c r="Z475" i="3"/>
  <c r="AA475" i="3"/>
  <c r="AE475" i="3"/>
  <c r="AG475" i="3"/>
  <c r="AI475" i="3"/>
  <c r="AK475" i="3"/>
  <c r="AL475" i="3"/>
  <c r="AN475" i="3"/>
  <c r="AP475" i="3"/>
  <c r="AR475" i="3"/>
  <c r="AS475" i="3"/>
  <c r="R476" i="3"/>
  <c r="T476" i="3"/>
  <c r="V476" i="3"/>
  <c r="X476" i="3"/>
  <c r="Z476" i="3"/>
  <c r="AA476" i="3"/>
  <c r="AE476" i="3"/>
  <c r="AG476" i="3"/>
  <c r="AI476" i="3"/>
  <c r="AK476" i="3"/>
  <c r="AL476" i="3"/>
  <c r="AN476" i="3"/>
  <c r="AP476" i="3"/>
  <c r="AR476" i="3"/>
  <c r="AS476" i="3"/>
  <c r="R477" i="3"/>
  <c r="T477" i="3"/>
  <c r="V477" i="3"/>
  <c r="X477" i="3"/>
  <c r="Z477" i="3"/>
  <c r="AA477" i="3"/>
  <c r="AE477" i="3"/>
  <c r="AG477" i="3"/>
  <c r="AI477" i="3"/>
  <c r="AK477" i="3"/>
  <c r="AL477" i="3"/>
  <c r="AN477" i="3"/>
  <c r="AP477" i="3"/>
  <c r="AR477" i="3"/>
  <c r="AS477" i="3"/>
  <c r="R478" i="3"/>
  <c r="T478" i="3"/>
  <c r="V478" i="3"/>
  <c r="X478" i="3"/>
  <c r="Z478" i="3"/>
  <c r="AA478" i="3"/>
  <c r="AE478" i="3"/>
  <c r="AG478" i="3"/>
  <c r="AI478" i="3"/>
  <c r="AK478" i="3"/>
  <c r="AL478" i="3"/>
  <c r="AN478" i="3"/>
  <c r="AP478" i="3"/>
  <c r="AR478" i="3"/>
  <c r="AS478" i="3"/>
  <c r="R479" i="3"/>
  <c r="T479" i="3"/>
  <c r="V479" i="3"/>
  <c r="X479" i="3"/>
  <c r="Z479" i="3"/>
  <c r="AA479" i="3"/>
  <c r="AE479" i="3"/>
  <c r="AG479" i="3"/>
  <c r="AI479" i="3"/>
  <c r="AK479" i="3"/>
  <c r="AL479" i="3"/>
  <c r="AN479" i="3"/>
  <c r="AP479" i="3"/>
  <c r="AR479" i="3"/>
  <c r="AS479" i="3"/>
  <c r="R480" i="3"/>
  <c r="T480" i="3"/>
  <c r="V480" i="3"/>
  <c r="X480" i="3"/>
  <c r="Z480" i="3"/>
  <c r="AA480" i="3"/>
  <c r="AE480" i="3"/>
  <c r="AG480" i="3"/>
  <c r="AI480" i="3"/>
  <c r="AK480" i="3"/>
  <c r="AL480" i="3"/>
  <c r="AN480" i="3"/>
  <c r="AP480" i="3"/>
  <c r="AR480" i="3"/>
  <c r="AS480" i="3"/>
  <c r="R481" i="3"/>
  <c r="T481" i="3"/>
  <c r="V481" i="3"/>
  <c r="X481" i="3"/>
  <c r="Z481" i="3"/>
  <c r="AA481" i="3"/>
  <c r="AE481" i="3"/>
  <c r="AG481" i="3"/>
  <c r="AI481" i="3"/>
  <c r="AK481" i="3"/>
  <c r="AL481" i="3"/>
  <c r="AN481" i="3"/>
  <c r="AP481" i="3"/>
  <c r="AR481" i="3"/>
  <c r="AS481" i="3"/>
  <c r="L80" i="1" l="1"/>
  <c r="C4" i="12"/>
  <c r="B2" i="12"/>
  <c r="U18" i="1"/>
  <c r="A25" i="10"/>
  <c r="A3" i="10" s="1"/>
  <c r="D24" i="10"/>
  <c r="D23" i="10"/>
  <c r="D22" i="10"/>
  <c r="D21" i="10"/>
  <c r="D20" i="10"/>
  <c r="D19" i="10"/>
  <c r="D18" i="10"/>
  <c r="D17" i="10"/>
  <c r="D16" i="10"/>
  <c r="L79" i="1"/>
  <c r="U79" i="1"/>
  <c r="R79" i="1"/>
  <c r="B1" i="2"/>
  <c r="U82" i="1"/>
  <c r="R82" i="1"/>
  <c r="U78" i="1"/>
  <c r="R7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2" i="1"/>
  <c r="I53" i="1"/>
  <c r="I54" i="1"/>
  <c r="I59" i="1"/>
  <c r="I60" i="1"/>
  <c r="I61" i="1"/>
  <c r="I62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S11" i="1"/>
  <c r="T11" i="1" s="1"/>
  <c r="V12" i="1"/>
  <c r="V20" i="1"/>
  <c r="V21" i="1"/>
  <c r="V2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0" i="1"/>
  <c r="K31" i="1"/>
  <c r="K32" i="1"/>
  <c r="K33" i="1"/>
  <c r="K34" i="1"/>
  <c r="K35" i="1"/>
  <c r="K36" i="1"/>
  <c r="K37" i="1"/>
  <c r="K38" i="1"/>
  <c r="K39" i="1"/>
  <c r="K41" i="1"/>
  <c r="K43" i="1"/>
  <c r="K53" i="1"/>
  <c r="K54" i="1"/>
  <c r="K75" i="1"/>
  <c r="K76" i="1"/>
  <c r="K77" i="1"/>
  <c r="K78" i="1"/>
  <c r="K79" i="1"/>
  <c r="K80" i="1"/>
  <c r="U77" i="1"/>
  <c r="J53" i="1"/>
  <c r="J54" i="1"/>
  <c r="J75" i="1"/>
  <c r="J76" i="1"/>
  <c r="J77" i="1"/>
  <c r="J78" i="1"/>
  <c r="J79" i="1"/>
  <c r="J80" i="1"/>
  <c r="R77" i="1"/>
  <c r="H10" i="1"/>
  <c r="H34" i="1"/>
  <c r="H35" i="1"/>
  <c r="M1" i="1"/>
  <c r="G55" i="1"/>
  <c r="U19" i="1"/>
  <c r="V19" i="1" s="1"/>
  <c r="U20" i="1"/>
  <c r="U21" i="1"/>
  <c r="N11" i="1"/>
  <c r="Q11" i="1" s="1"/>
  <c r="O18" i="1"/>
  <c r="O19" i="1"/>
  <c r="O20" i="1"/>
  <c r="O21" i="1"/>
  <c r="Q19" i="1"/>
  <c r="Q20" i="1"/>
  <c r="Q21" i="1"/>
  <c r="M11" i="1"/>
  <c r="O11" i="1" s="1"/>
  <c r="O12" i="1"/>
  <c r="G81" i="1"/>
  <c r="AA20" i="3"/>
  <c r="AB20" i="3" s="1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M20" i="3"/>
  <c r="AE20" i="3"/>
  <c r="AF20" i="3" s="1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G20" i="3"/>
  <c r="AH20" i="3" s="1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B1" i="4"/>
  <c r="T20" i="3"/>
  <c r="U20" i="3" s="1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AS20" i="3"/>
  <c r="AT20" i="3" s="1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P20" i="3"/>
  <c r="AQ20" i="3" s="1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N20" i="3"/>
  <c r="AO20" i="3" s="1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L20" i="3"/>
  <c r="AM20" i="3" s="1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I20" i="3"/>
  <c r="AJ20" i="3" s="1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X20" i="3"/>
  <c r="Y20" i="3" s="1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V20" i="3"/>
  <c r="W20" i="3" s="1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R20" i="3"/>
  <c r="S20" i="3" s="1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O20" i="3"/>
  <c r="P20" i="3" s="1"/>
  <c r="AU20" i="3"/>
  <c r="AW20" i="3" s="1"/>
  <c r="K20" i="3"/>
  <c r="AV20" i="3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Q20" i="3"/>
  <c r="C1" i="3"/>
  <c r="R68" i="1" l="1"/>
  <c r="U68" i="1"/>
  <c r="U69" i="1"/>
  <c r="R69" i="1"/>
  <c r="L81" i="1"/>
  <c r="I42" i="16"/>
  <c r="N20" i="3"/>
  <c r="L20" i="3"/>
  <c r="AX20" i="3" s="1"/>
  <c r="Y21" i="3"/>
  <c r="I81" i="1"/>
  <c r="D25" i="10"/>
  <c r="B3" i="10" s="1"/>
  <c r="H46" i="1" s="1"/>
  <c r="U11" i="1"/>
  <c r="V11" i="1" s="1"/>
  <c r="U23" i="1"/>
  <c r="Q22" i="1"/>
  <c r="V18" i="1"/>
  <c r="V23" i="1" s="1"/>
  <c r="K81" i="1"/>
  <c r="K55" i="1"/>
  <c r="H81" i="1"/>
  <c r="AU21" i="3"/>
  <c r="AW21" i="3" s="1"/>
  <c r="B463" i="3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E47" i="4"/>
  <c r="E48" i="4"/>
  <c r="E49" i="4"/>
  <c r="E54" i="4"/>
  <c r="E53" i="4"/>
  <c r="E58" i="4"/>
  <c r="E56" i="4"/>
  <c r="U41" i="1" s="1"/>
  <c r="V41" i="1" s="1"/>
  <c r="E60" i="4"/>
  <c r="U38" i="1" s="1"/>
  <c r="V38" i="1" s="1"/>
  <c r="E52" i="4"/>
  <c r="E59" i="4"/>
  <c r="E51" i="4"/>
  <c r="U37" i="1" s="1"/>
  <c r="V37" i="1" s="1"/>
  <c r="E61" i="4"/>
  <c r="Q21" i="3"/>
  <c r="L21" i="3" s="1"/>
  <c r="AH21" i="3"/>
  <c r="AF21" i="3"/>
  <c r="AB21" i="3"/>
  <c r="E55" i="4"/>
  <c r="AT21" i="3"/>
  <c r="E57" i="4"/>
  <c r="E50" i="4"/>
  <c r="W21" i="3"/>
  <c r="AO21" i="3"/>
  <c r="AQ21" i="3"/>
  <c r="S21" i="3"/>
  <c r="U21" i="3"/>
  <c r="AM21" i="3"/>
  <c r="AJ21" i="3"/>
  <c r="O22" i="1"/>
  <c r="J81" i="1"/>
  <c r="R72" i="1" l="1"/>
  <c r="U72" i="1"/>
  <c r="I43" i="16"/>
  <c r="I47" i="16" s="1"/>
  <c r="AA43" i="1"/>
  <c r="AV21" i="3"/>
  <c r="AX21" i="3" s="1"/>
  <c r="B771" i="3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1" i="3" s="1"/>
  <c r="B972" i="3" s="1"/>
  <c r="O21" i="3"/>
  <c r="P21" i="3" s="1"/>
  <c r="M21" i="3"/>
  <c r="N21" i="3" s="1"/>
  <c r="AT22" i="3"/>
  <c r="Y22" i="3"/>
  <c r="AB22" i="3"/>
  <c r="AF22" i="3"/>
  <c r="AH22" i="3"/>
  <c r="W22" i="3"/>
  <c r="AO22" i="3"/>
  <c r="AQ22" i="3"/>
  <c r="S22" i="3"/>
  <c r="U22" i="3"/>
  <c r="AM22" i="3"/>
  <c r="AJ22" i="3"/>
  <c r="K22" i="3"/>
  <c r="Q22" i="3"/>
  <c r="B973" i="3" l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L22" i="3"/>
  <c r="M22" i="3"/>
  <c r="AU22" i="3"/>
  <c r="AW22" i="3" s="1"/>
  <c r="AV22" i="3"/>
  <c r="AX22" i="3" s="1"/>
  <c r="O22" i="3"/>
  <c r="AO23" i="3"/>
  <c r="AQ23" i="3"/>
  <c r="S23" i="3"/>
  <c r="U23" i="3"/>
  <c r="AM23" i="3"/>
  <c r="AJ23" i="3"/>
  <c r="K23" i="3"/>
  <c r="L23" i="3" s="1"/>
  <c r="AB23" i="3"/>
  <c r="AH23" i="3"/>
  <c r="AF23" i="3"/>
  <c r="Q23" i="3"/>
  <c r="AT23" i="3"/>
  <c r="Y23" i="3"/>
  <c r="W23" i="3"/>
  <c r="AT24" i="3" l="1"/>
  <c r="W24" i="3"/>
  <c r="AQ24" i="3"/>
  <c r="U24" i="3"/>
  <c r="AJ24" i="3"/>
  <c r="AF24" i="3"/>
  <c r="Q24" i="3"/>
  <c r="L24" i="3"/>
  <c r="Y24" i="3"/>
  <c r="AM24" i="3"/>
  <c r="AH24" i="3"/>
  <c r="S24" i="3"/>
  <c r="K24" i="3"/>
  <c r="AO24" i="3"/>
  <c r="AB24" i="3"/>
  <c r="N22" i="3"/>
  <c r="M23" i="3"/>
  <c r="N23" i="3" s="1"/>
  <c r="O23" i="3"/>
  <c r="P23" i="3" s="1"/>
  <c r="AU23" i="3"/>
  <c r="AW23" i="3" s="1"/>
  <c r="AV23" i="3"/>
  <c r="AX23" i="3" s="1"/>
  <c r="P22" i="3"/>
  <c r="AU24" i="3" l="1"/>
  <c r="AW24" i="3" s="1"/>
  <c r="O24" i="3"/>
  <c r="AV24" i="3"/>
  <c r="AX24" i="3" s="1"/>
  <c r="M24" i="3"/>
  <c r="N24" i="3" s="1"/>
  <c r="W25" i="3"/>
  <c r="AO25" i="3"/>
  <c r="S25" i="3"/>
  <c r="AM25" i="3"/>
  <c r="AF25" i="3"/>
  <c r="L25" i="3"/>
  <c r="AT25" i="3"/>
  <c r="AQ25" i="3"/>
  <c r="AJ25" i="3"/>
  <c r="AB25" i="3"/>
  <c r="Q25" i="3"/>
  <c r="U25" i="3"/>
  <c r="AH25" i="3"/>
  <c r="K25" i="3"/>
  <c r="Y25" i="3"/>
  <c r="M25" i="3" l="1"/>
  <c r="O25" i="3"/>
  <c r="P25" i="3" s="1"/>
  <c r="AU25" i="3"/>
  <c r="AW25" i="3" s="1"/>
  <c r="AV25" i="3"/>
  <c r="AX25" i="3" s="1"/>
  <c r="A27" i="3"/>
  <c r="AT26" i="3"/>
  <c r="S26" i="3"/>
  <c r="Y26" i="3"/>
  <c r="AQ26" i="3"/>
  <c r="AJ26" i="3"/>
  <c r="AB26" i="3"/>
  <c r="AH26" i="3"/>
  <c r="K26" i="3"/>
  <c r="U26" i="3"/>
  <c r="AM26" i="3"/>
  <c r="AF26" i="3"/>
  <c r="Q26" i="3"/>
  <c r="W26" i="3"/>
  <c r="AO26" i="3"/>
  <c r="P24" i="3"/>
  <c r="L26" i="3" l="1"/>
  <c r="M26" i="3"/>
  <c r="AV26" i="3"/>
  <c r="O26" i="3"/>
  <c r="AU26" i="3"/>
  <c r="AW26" i="3" s="1"/>
  <c r="E27" i="3"/>
  <c r="W27" i="3"/>
  <c r="AO27" i="3"/>
  <c r="S27" i="3"/>
  <c r="AM27" i="3"/>
  <c r="F27" i="3"/>
  <c r="K27" i="3"/>
  <c r="Q27" i="3"/>
  <c r="AF27" i="3"/>
  <c r="AW27" i="3"/>
  <c r="A28" i="3"/>
  <c r="Y27" i="3"/>
  <c r="U27" i="3"/>
  <c r="D27" i="3"/>
  <c r="AB27" i="3"/>
  <c r="AX27" i="3"/>
  <c r="AQ27" i="3"/>
  <c r="L27" i="3"/>
  <c r="AJ27" i="3"/>
  <c r="AH27" i="3"/>
  <c r="AT27" i="3"/>
  <c r="N25" i="3"/>
  <c r="AX26" i="3" l="1"/>
  <c r="A29" i="3"/>
  <c r="AT28" i="3"/>
  <c r="AO28" i="3"/>
  <c r="W28" i="3"/>
  <c r="U28" i="3"/>
  <c r="F28" i="3"/>
  <c r="AJ28" i="3"/>
  <c r="AF28" i="3"/>
  <c r="Q28" i="3"/>
  <c r="L28" i="3"/>
  <c r="AX28" i="3"/>
  <c r="Y28" i="3"/>
  <c r="S28" i="3"/>
  <c r="AM28" i="3"/>
  <c r="AH28" i="3"/>
  <c r="AW28" i="3"/>
  <c r="AQ28" i="3"/>
  <c r="AB28" i="3"/>
  <c r="D28" i="3"/>
  <c r="K28" i="3"/>
  <c r="E28" i="3"/>
  <c r="P26" i="3"/>
  <c r="N26" i="3"/>
  <c r="M27" i="3"/>
  <c r="O27" i="3"/>
  <c r="AU27" i="3"/>
  <c r="AV27" i="3"/>
  <c r="P27" i="3" l="1"/>
  <c r="N27" i="3"/>
  <c r="M28" i="3"/>
  <c r="N28" i="3" s="1"/>
  <c r="AU28" i="3"/>
  <c r="O28" i="3"/>
  <c r="P28" i="3" s="1"/>
  <c r="AV28" i="3"/>
  <c r="E29" i="3"/>
  <c r="W29" i="3"/>
  <c r="AO29" i="3"/>
  <c r="S29" i="3"/>
  <c r="AM29" i="3"/>
  <c r="F29" i="3"/>
  <c r="D29" i="3"/>
  <c r="AF29" i="3"/>
  <c r="L29" i="3"/>
  <c r="AW29" i="3"/>
  <c r="AT29" i="3"/>
  <c r="AQ29" i="3"/>
  <c r="AJ29" i="3"/>
  <c r="AB29" i="3"/>
  <c r="Q29" i="3"/>
  <c r="A30" i="3"/>
  <c r="U29" i="3"/>
  <c r="AH29" i="3"/>
  <c r="Y29" i="3"/>
  <c r="AX29" i="3"/>
  <c r="K29" i="3"/>
  <c r="W30" i="3" l="1"/>
  <c r="Y30" i="3"/>
  <c r="U30" i="3"/>
  <c r="AT30" i="3"/>
  <c r="AQ30" i="3"/>
  <c r="AJ30" i="3"/>
  <c r="F30" i="3"/>
  <c r="AF30" i="3"/>
  <c r="K30" i="3"/>
  <c r="L30" i="3"/>
  <c r="AX30" i="3"/>
  <c r="S30" i="3"/>
  <c r="AO30" i="3"/>
  <c r="D30" i="3"/>
  <c r="AH30" i="3"/>
  <c r="AW30" i="3"/>
  <c r="E30" i="3"/>
  <c r="AB30" i="3"/>
  <c r="AM30" i="3"/>
  <c r="A31" i="3"/>
  <c r="Q30" i="3"/>
  <c r="O29" i="3"/>
  <c r="P29" i="3" s="1"/>
  <c r="AU29" i="3"/>
  <c r="M29" i="3"/>
  <c r="N29" i="3" s="1"/>
  <c r="AV29" i="3"/>
  <c r="E31" i="3" l="1"/>
  <c r="W31" i="3"/>
  <c r="AO31" i="3"/>
  <c r="S31" i="3"/>
  <c r="AM31" i="3"/>
  <c r="F31" i="3"/>
  <c r="K31" i="3"/>
  <c r="Q31" i="3"/>
  <c r="AF31" i="3"/>
  <c r="AW31" i="3"/>
  <c r="A32" i="3"/>
  <c r="Y31" i="3"/>
  <c r="U31" i="3"/>
  <c r="D31" i="3"/>
  <c r="AB31" i="3"/>
  <c r="AX31" i="3"/>
  <c r="AQ31" i="3"/>
  <c r="L31" i="3"/>
  <c r="AJ31" i="3"/>
  <c r="AT31" i="3"/>
  <c r="AH31" i="3"/>
  <c r="M30" i="3"/>
  <c r="N30" i="3" s="1"/>
  <c r="AV30" i="3"/>
  <c r="AU30" i="3"/>
  <c r="O30" i="3"/>
  <c r="P30" i="3" s="1"/>
  <c r="M31" i="3" l="1"/>
  <c r="N31" i="3" s="1"/>
  <c r="AV31" i="3"/>
  <c r="O31" i="3"/>
  <c r="P31" i="3" s="1"/>
  <c r="AU31" i="3"/>
  <c r="E32" i="3"/>
  <c r="Y32" i="3"/>
  <c r="AO32" i="3"/>
  <c r="D32" i="3"/>
  <c r="S32" i="3"/>
  <c r="AM32" i="3"/>
  <c r="AB32" i="3"/>
  <c r="AH32" i="3"/>
  <c r="K32" i="3"/>
  <c r="AW32" i="3"/>
  <c r="A33" i="3"/>
  <c r="W32" i="3"/>
  <c r="F32" i="3"/>
  <c r="AJ32" i="3"/>
  <c r="Q32" i="3"/>
  <c r="AX32" i="3"/>
  <c r="AT32" i="3"/>
  <c r="U32" i="3"/>
  <c r="L32" i="3"/>
  <c r="AF32" i="3"/>
  <c r="AQ32" i="3"/>
  <c r="M32" i="3" l="1"/>
  <c r="N32" i="3" s="1"/>
  <c r="AU32" i="3"/>
  <c r="O32" i="3"/>
  <c r="P32" i="3" s="1"/>
  <c r="AV32" i="3"/>
  <c r="A34" i="3"/>
  <c r="AT33" i="3"/>
  <c r="Y33" i="3"/>
  <c r="AQ33" i="3"/>
  <c r="U33" i="3"/>
  <c r="AJ33" i="3"/>
  <c r="K33" i="3"/>
  <c r="AB33" i="3"/>
  <c r="AH33" i="3"/>
  <c r="Q33" i="3"/>
  <c r="AX33" i="3"/>
  <c r="W33" i="3"/>
  <c r="S33" i="3"/>
  <c r="F33" i="3"/>
  <c r="AF33" i="3"/>
  <c r="AW33" i="3"/>
  <c r="AO33" i="3"/>
  <c r="D33" i="3"/>
  <c r="AM33" i="3"/>
  <c r="L33" i="3"/>
  <c r="E33" i="3"/>
  <c r="M33" i="3" l="1"/>
  <c r="N33" i="3" s="1"/>
  <c r="O33" i="3"/>
  <c r="P33" i="3" s="1"/>
  <c r="AU33" i="3"/>
  <c r="AV33" i="3"/>
  <c r="A35" i="3"/>
  <c r="AT34" i="3"/>
  <c r="S34" i="3"/>
  <c r="Y34" i="3"/>
  <c r="AQ34" i="3"/>
  <c r="AJ34" i="3"/>
  <c r="AB34" i="3"/>
  <c r="AH34" i="3"/>
  <c r="K34" i="3"/>
  <c r="L34" i="3"/>
  <c r="AX34" i="3"/>
  <c r="E34" i="3"/>
  <c r="U34" i="3"/>
  <c r="AM34" i="3"/>
  <c r="AF34" i="3"/>
  <c r="Q34" i="3"/>
  <c r="W34" i="3"/>
  <c r="D34" i="3"/>
  <c r="AW34" i="3"/>
  <c r="AO34" i="3"/>
  <c r="F34" i="3"/>
  <c r="AV34" i="3" l="1"/>
  <c r="M34" i="3"/>
  <c r="N34" i="3" s="1"/>
  <c r="O34" i="3"/>
  <c r="P34" i="3" s="1"/>
  <c r="AU34" i="3"/>
  <c r="E35" i="3"/>
  <c r="W35" i="3"/>
  <c r="AO35" i="3"/>
  <c r="S35" i="3"/>
  <c r="AM35" i="3"/>
  <c r="F35" i="3"/>
  <c r="K35" i="3"/>
  <c r="Q35" i="3"/>
  <c r="AF35" i="3"/>
  <c r="AW35" i="3"/>
  <c r="AT35" i="3"/>
  <c r="AQ35" i="3"/>
  <c r="AJ35" i="3"/>
  <c r="L35" i="3"/>
  <c r="AH35" i="3"/>
  <c r="A36" i="3"/>
  <c r="U35" i="3"/>
  <c r="AB35" i="3"/>
  <c r="D35" i="3"/>
  <c r="AX35" i="3"/>
  <c r="Y35" i="3"/>
  <c r="A37" i="3" l="1"/>
  <c r="AT36" i="3"/>
  <c r="AO36" i="3"/>
  <c r="W36" i="3"/>
  <c r="U36" i="3"/>
  <c r="F36" i="3"/>
  <c r="AJ36" i="3"/>
  <c r="AF36" i="3"/>
  <c r="Q36" i="3"/>
  <c r="L36" i="3"/>
  <c r="AX36" i="3"/>
  <c r="Y36" i="3"/>
  <c r="S36" i="3"/>
  <c r="AM36" i="3"/>
  <c r="AH36" i="3"/>
  <c r="AW36" i="3"/>
  <c r="AQ36" i="3"/>
  <c r="AB36" i="3"/>
  <c r="E36" i="3"/>
  <c r="K36" i="3"/>
  <c r="D36" i="3"/>
  <c r="M35" i="3"/>
  <c r="N35" i="3" s="1"/>
  <c r="O35" i="3"/>
  <c r="P35" i="3" s="1"/>
  <c r="AU35" i="3"/>
  <c r="AV35" i="3"/>
  <c r="AV36" i="3" l="1"/>
  <c r="AU36" i="3"/>
  <c r="M36" i="3"/>
  <c r="N36" i="3" s="1"/>
  <c r="O36" i="3"/>
  <c r="P36" i="3" s="1"/>
  <c r="E37" i="3"/>
  <c r="W37" i="3"/>
  <c r="AO37" i="3"/>
  <c r="S37" i="3"/>
  <c r="AM37" i="3"/>
  <c r="F37" i="3"/>
  <c r="D37" i="3"/>
  <c r="AF37" i="3"/>
  <c r="L37" i="3"/>
  <c r="AW37" i="3"/>
  <c r="A38" i="3"/>
  <c r="Y37" i="3"/>
  <c r="U37" i="3"/>
  <c r="K37" i="3"/>
  <c r="AH37" i="3"/>
  <c r="AX37" i="3"/>
  <c r="AT37" i="3"/>
  <c r="AJ37" i="3"/>
  <c r="Q37" i="3"/>
  <c r="AQ37" i="3"/>
  <c r="AB37" i="3"/>
  <c r="A39" i="3" l="1"/>
  <c r="E38" i="3"/>
  <c r="Y38" i="3"/>
  <c r="U38" i="3"/>
  <c r="AQ38" i="3"/>
  <c r="AJ38" i="3"/>
  <c r="F38" i="3"/>
  <c r="AF38" i="3"/>
  <c r="K38" i="3"/>
  <c r="L38" i="3"/>
  <c r="AX38" i="3"/>
  <c r="W38" i="3"/>
  <c r="S38" i="3"/>
  <c r="AM38" i="3"/>
  <c r="AB38" i="3"/>
  <c r="Q38" i="3"/>
  <c r="AO38" i="3"/>
  <c r="AH38" i="3"/>
  <c r="D38" i="3"/>
  <c r="AT38" i="3"/>
  <c r="AW38" i="3"/>
  <c r="M37" i="3"/>
  <c r="N37" i="3" s="1"/>
  <c r="O37" i="3"/>
  <c r="P37" i="3" s="1"/>
  <c r="AU37" i="3"/>
  <c r="AV37" i="3"/>
  <c r="AV38" i="3" l="1"/>
  <c r="M38" i="3"/>
  <c r="N38" i="3" s="1"/>
  <c r="O38" i="3"/>
  <c r="P38" i="3" s="1"/>
  <c r="AU38" i="3"/>
  <c r="E39" i="3"/>
  <c r="W39" i="3"/>
  <c r="AO39" i="3"/>
  <c r="S39" i="3"/>
  <c r="AM39" i="3"/>
  <c r="F39" i="3"/>
  <c r="K39" i="3"/>
  <c r="Q39" i="3"/>
  <c r="AF39" i="3"/>
  <c r="AW39" i="3"/>
  <c r="AT39" i="3"/>
  <c r="AQ39" i="3"/>
  <c r="AJ39" i="3"/>
  <c r="L39" i="3"/>
  <c r="AH39" i="3"/>
  <c r="Y39" i="3"/>
  <c r="D39" i="3"/>
  <c r="AX39" i="3"/>
  <c r="A40" i="3"/>
  <c r="AB39" i="3"/>
  <c r="U39" i="3"/>
  <c r="A41" i="3" l="1"/>
  <c r="AT40" i="3"/>
  <c r="W40" i="3"/>
  <c r="AQ40" i="3"/>
  <c r="F40" i="3"/>
  <c r="U40" i="3"/>
  <c r="AJ40" i="3"/>
  <c r="AF40" i="3"/>
  <c r="Q40" i="3"/>
  <c r="L40" i="3"/>
  <c r="AX40" i="3"/>
  <c r="Y40" i="3"/>
  <c r="D40" i="3"/>
  <c r="AM40" i="3"/>
  <c r="AH40" i="3"/>
  <c r="AW40" i="3"/>
  <c r="E40" i="3"/>
  <c r="S40" i="3"/>
  <c r="K40" i="3"/>
  <c r="AO40" i="3"/>
  <c r="AB40" i="3"/>
  <c r="M39" i="3"/>
  <c r="N39" i="3" s="1"/>
  <c r="O39" i="3"/>
  <c r="P39" i="3" s="1"/>
  <c r="AU39" i="3"/>
  <c r="AV39" i="3"/>
  <c r="AV40" i="3" l="1"/>
  <c r="AU40" i="3"/>
  <c r="O40" i="3"/>
  <c r="P40" i="3" s="1"/>
  <c r="M40" i="3"/>
  <c r="N40" i="3" s="1"/>
  <c r="A42" i="3"/>
  <c r="AT41" i="3"/>
  <c r="Y41" i="3"/>
  <c r="AQ41" i="3"/>
  <c r="U41" i="3"/>
  <c r="AJ41" i="3"/>
  <c r="K41" i="3"/>
  <c r="AB41" i="3"/>
  <c r="AH41" i="3"/>
  <c r="Q41" i="3"/>
  <c r="AX41" i="3"/>
  <c r="W41" i="3"/>
  <c r="S41" i="3"/>
  <c r="F41" i="3"/>
  <c r="AF41" i="3"/>
  <c r="AW41" i="3"/>
  <c r="AO41" i="3"/>
  <c r="D41" i="3"/>
  <c r="AM41" i="3"/>
  <c r="L41" i="3"/>
  <c r="E41" i="3"/>
  <c r="AV41" i="3" l="1"/>
  <c r="O41" i="3"/>
  <c r="P41" i="3" s="1"/>
  <c r="M41" i="3"/>
  <c r="N41" i="3" s="1"/>
  <c r="AU41" i="3"/>
  <c r="E42" i="3"/>
  <c r="W42" i="3"/>
  <c r="U42" i="3"/>
  <c r="AO42" i="3"/>
  <c r="AM42" i="3"/>
  <c r="D42" i="3"/>
  <c r="AF42" i="3"/>
  <c r="F42" i="3"/>
  <c r="Q42" i="3"/>
  <c r="AW42" i="3"/>
  <c r="A43" i="3"/>
  <c r="S42" i="3"/>
  <c r="AQ42" i="3"/>
  <c r="AB42" i="3"/>
  <c r="K42" i="3"/>
  <c r="AX42" i="3"/>
  <c r="AT42" i="3"/>
  <c r="AJ42" i="3"/>
  <c r="L42" i="3"/>
  <c r="AH42" i="3"/>
  <c r="Y42" i="3"/>
  <c r="M42" i="3" l="1"/>
  <c r="N42" i="3" s="1"/>
  <c r="AU42" i="3"/>
  <c r="O42" i="3"/>
  <c r="P42" i="3" s="1"/>
  <c r="AV42" i="3"/>
  <c r="A44" i="3"/>
  <c r="AT43" i="3"/>
  <c r="Y43" i="3"/>
  <c r="AQ43" i="3"/>
  <c r="U43" i="3"/>
  <c r="AJ43" i="3"/>
  <c r="D43" i="3"/>
  <c r="L43" i="3"/>
  <c r="AB43" i="3"/>
  <c r="AH43" i="3"/>
  <c r="AX43" i="3"/>
  <c r="E43" i="3"/>
  <c r="AO43" i="3"/>
  <c r="AM43" i="3"/>
  <c r="K43" i="3"/>
  <c r="AF43" i="3"/>
  <c r="S43" i="3"/>
  <c r="Q43" i="3"/>
  <c r="W43" i="3"/>
  <c r="AW43" i="3"/>
  <c r="F43" i="3"/>
  <c r="AV43" i="3" l="1"/>
  <c r="M43" i="3"/>
  <c r="N43" i="3" s="1"/>
  <c r="AU43" i="3"/>
  <c r="O43" i="3"/>
  <c r="P43" i="3" s="1"/>
  <c r="E44" i="3"/>
  <c r="Y44" i="3"/>
  <c r="AQ44" i="3"/>
  <c r="S44" i="3"/>
  <c r="D44" i="3"/>
  <c r="AM44" i="3"/>
  <c r="AB44" i="3"/>
  <c r="AH44" i="3"/>
  <c r="K44" i="3"/>
  <c r="AW44" i="3"/>
  <c r="AT44" i="3"/>
  <c r="W44" i="3"/>
  <c r="F44" i="3"/>
  <c r="AF44" i="3"/>
  <c r="L44" i="3"/>
  <c r="AO44" i="3"/>
  <c r="AJ44" i="3"/>
  <c r="AX44" i="3"/>
  <c r="U44" i="3"/>
  <c r="A45" i="3"/>
  <c r="Q44" i="3"/>
  <c r="A46" i="3" l="1"/>
  <c r="AT45" i="3"/>
  <c r="Y45" i="3"/>
  <c r="AQ45" i="3"/>
  <c r="U45" i="3"/>
  <c r="AJ45" i="3"/>
  <c r="K45" i="3"/>
  <c r="AB45" i="3"/>
  <c r="AH45" i="3"/>
  <c r="Q45" i="3"/>
  <c r="AX45" i="3"/>
  <c r="W45" i="3"/>
  <c r="S45" i="3"/>
  <c r="F45" i="3"/>
  <c r="AF45" i="3"/>
  <c r="AW45" i="3"/>
  <c r="E45" i="3"/>
  <c r="AM45" i="3"/>
  <c r="L45" i="3"/>
  <c r="D45" i="3"/>
  <c r="AO45" i="3"/>
  <c r="M44" i="3"/>
  <c r="N44" i="3" s="1"/>
  <c r="AU44" i="3"/>
  <c r="O44" i="3"/>
  <c r="P44" i="3" s="1"/>
  <c r="AV44" i="3"/>
  <c r="AV45" i="3" l="1"/>
  <c r="O45" i="3"/>
  <c r="P45" i="3" s="1"/>
  <c r="AU45" i="3"/>
  <c r="M45" i="3"/>
  <c r="N45" i="3" s="1"/>
  <c r="Y46" i="3"/>
  <c r="U46" i="3"/>
  <c r="E46" i="3"/>
  <c r="AO46" i="3"/>
  <c r="AM46" i="3"/>
  <c r="D46" i="3"/>
  <c r="AB46" i="3"/>
  <c r="AH46" i="3"/>
  <c r="Q46" i="3"/>
  <c r="AW46" i="3"/>
  <c r="W46" i="3"/>
  <c r="A47" i="3"/>
  <c r="AQ46" i="3"/>
  <c r="F46" i="3"/>
  <c r="K46" i="3"/>
  <c r="AX46" i="3"/>
  <c r="AT46" i="3"/>
  <c r="AF46" i="3"/>
  <c r="S46" i="3"/>
  <c r="L46" i="3"/>
  <c r="AJ46" i="3"/>
  <c r="A48" i="3" l="1"/>
  <c r="AT47" i="3"/>
  <c r="Y47" i="3"/>
  <c r="AQ47" i="3"/>
  <c r="U47" i="3"/>
  <c r="AJ47" i="3"/>
  <c r="D47" i="3"/>
  <c r="L47" i="3"/>
  <c r="AB47" i="3"/>
  <c r="AH47" i="3"/>
  <c r="AX47" i="3"/>
  <c r="E47" i="3"/>
  <c r="AO47" i="3"/>
  <c r="AM47" i="3"/>
  <c r="K47" i="3"/>
  <c r="AF47" i="3"/>
  <c r="W47" i="3"/>
  <c r="F47" i="3"/>
  <c r="AW47" i="3"/>
  <c r="S47" i="3"/>
  <c r="Q47" i="3"/>
  <c r="M46" i="3"/>
  <c r="N46" i="3" s="1"/>
  <c r="AU46" i="3"/>
  <c r="O46" i="3"/>
  <c r="P46" i="3" s="1"/>
  <c r="AV46" i="3"/>
  <c r="AV47" i="3" l="1"/>
  <c r="M47" i="3"/>
  <c r="N47" i="3" s="1"/>
  <c r="AU47" i="3"/>
  <c r="O47" i="3"/>
  <c r="P47" i="3" s="1"/>
  <c r="E48" i="3"/>
  <c r="Y48" i="3"/>
  <c r="AO48" i="3"/>
  <c r="D48" i="3"/>
  <c r="S48" i="3"/>
  <c r="AM48" i="3"/>
  <c r="AB48" i="3"/>
  <c r="AH48" i="3"/>
  <c r="K48" i="3"/>
  <c r="AW48" i="3"/>
  <c r="AT48" i="3"/>
  <c r="AQ48" i="3"/>
  <c r="U48" i="3"/>
  <c r="AF48" i="3"/>
  <c r="L48" i="3"/>
  <c r="A49" i="3"/>
  <c r="F48" i="3"/>
  <c r="Q48" i="3"/>
  <c r="AJ48" i="3"/>
  <c r="AX48" i="3"/>
  <c r="W48" i="3"/>
  <c r="A50" i="3" l="1"/>
  <c r="AT49" i="3"/>
  <c r="Y49" i="3"/>
  <c r="AQ49" i="3"/>
  <c r="U49" i="3"/>
  <c r="AJ49" i="3"/>
  <c r="K49" i="3"/>
  <c r="AB49" i="3"/>
  <c r="AH49" i="3"/>
  <c r="Q49" i="3"/>
  <c r="AX49" i="3"/>
  <c r="W49" i="3"/>
  <c r="S49" i="3"/>
  <c r="F49" i="3"/>
  <c r="AF49" i="3"/>
  <c r="AW49" i="3"/>
  <c r="AO49" i="3"/>
  <c r="D49" i="3"/>
  <c r="E49" i="3"/>
  <c r="L49" i="3"/>
  <c r="AM49" i="3"/>
  <c r="M48" i="3"/>
  <c r="N48" i="3" s="1"/>
  <c r="AU48" i="3"/>
  <c r="O48" i="3"/>
  <c r="P48" i="3" s="1"/>
  <c r="AV48" i="3"/>
  <c r="AV49" i="3" l="1"/>
  <c r="O49" i="3"/>
  <c r="P49" i="3" s="1"/>
  <c r="M49" i="3"/>
  <c r="N49" i="3" s="1"/>
  <c r="AU49" i="3"/>
  <c r="E50" i="3"/>
  <c r="W50" i="3"/>
  <c r="U50" i="3"/>
  <c r="AO50" i="3"/>
  <c r="AM50" i="3"/>
  <c r="D50" i="3"/>
  <c r="AF50" i="3"/>
  <c r="F50" i="3"/>
  <c r="Q50" i="3"/>
  <c r="AW50" i="3"/>
  <c r="A51" i="3"/>
  <c r="S50" i="3"/>
  <c r="AQ50" i="3"/>
  <c r="AB50" i="3"/>
  <c r="K50" i="3"/>
  <c r="AX50" i="3"/>
  <c r="AT50" i="3"/>
  <c r="AJ50" i="3"/>
  <c r="L50" i="3"/>
  <c r="Y50" i="3"/>
  <c r="AH50" i="3"/>
  <c r="M50" i="3" l="1"/>
  <c r="N50" i="3" s="1"/>
  <c r="AU50" i="3"/>
  <c r="O50" i="3"/>
  <c r="P50" i="3" s="1"/>
  <c r="AV50" i="3"/>
  <c r="A52" i="3"/>
  <c r="AT51" i="3"/>
  <c r="Y51" i="3"/>
  <c r="AQ51" i="3"/>
  <c r="U51" i="3"/>
  <c r="AJ51" i="3"/>
  <c r="D51" i="3"/>
  <c r="L51" i="3"/>
  <c r="AB51" i="3"/>
  <c r="AH51" i="3"/>
  <c r="AX51" i="3"/>
  <c r="E51" i="3"/>
  <c r="AO51" i="3"/>
  <c r="AM51" i="3"/>
  <c r="K51" i="3"/>
  <c r="AF51" i="3"/>
  <c r="S51" i="3"/>
  <c r="Q51" i="3"/>
  <c r="F51" i="3"/>
  <c r="W51" i="3"/>
  <c r="AW51" i="3"/>
  <c r="AV51" i="3" l="1"/>
  <c r="M51" i="3"/>
  <c r="N51" i="3" s="1"/>
  <c r="AU51" i="3"/>
  <c r="O51" i="3"/>
  <c r="P51" i="3" s="1"/>
  <c r="E52" i="3"/>
  <c r="Y52" i="3"/>
  <c r="AQ52" i="3"/>
  <c r="S52" i="3"/>
  <c r="D52" i="3"/>
  <c r="AM52" i="3"/>
  <c r="AB52" i="3"/>
  <c r="AH52" i="3"/>
  <c r="K52" i="3"/>
  <c r="AW52" i="3"/>
  <c r="AT52" i="3"/>
  <c r="W52" i="3"/>
  <c r="F52" i="3"/>
  <c r="AF52" i="3"/>
  <c r="L52" i="3"/>
  <c r="AO52" i="3"/>
  <c r="AJ52" i="3"/>
  <c r="AX52" i="3"/>
  <c r="A53" i="3"/>
  <c r="Q52" i="3"/>
  <c r="U52" i="3"/>
  <c r="A54" i="3" l="1"/>
  <c r="AT53" i="3"/>
  <c r="Y53" i="3"/>
  <c r="AQ53" i="3"/>
  <c r="U53" i="3"/>
  <c r="AJ53" i="3"/>
  <c r="K53" i="3"/>
  <c r="AB53" i="3"/>
  <c r="AH53" i="3"/>
  <c r="Q53" i="3"/>
  <c r="AX53" i="3"/>
  <c r="W53" i="3"/>
  <c r="S53" i="3"/>
  <c r="E53" i="3"/>
  <c r="AM53" i="3"/>
  <c r="D53" i="3"/>
  <c r="L53" i="3"/>
  <c r="AO53" i="3"/>
  <c r="AF53" i="3"/>
  <c r="F53" i="3"/>
  <c r="AW53" i="3"/>
  <c r="M52" i="3"/>
  <c r="N52" i="3" s="1"/>
  <c r="AU52" i="3"/>
  <c r="O52" i="3"/>
  <c r="P52" i="3" s="1"/>
  <c r="AV52" i="3"/>
  <c r="AV53" i="3" l="1"/>
  <c r="M53" i="3"/>
  <c r="N53" i="3" s="1"/>
  <c r="AU53" i="3"/>
  <c r="O53" i="3"/>
  <c r="P53" i="3" s="1"/>
  <c r="W54" i="3"/>
  <c r="AT54" i="3"/>
  <c r="S54" i="3"/>
  <c r="AO54" i="3"/>
  <c r="AM54" i="3"/>
  <c r="D54" i="3"/>
  <c r="AB54" i="3"/>
  <c r="AH54" i="3"/>
  <c r="Q54" i="3"/>
  <c r="AW54" i="3"/>
  <c r="E54" i="3"/>
  <c r="U54" i="3"/>
  <c r="AJ54" i="3"/>
  <c r="AF54" i="3"/>
  <c r="L54" i="3"/>
  <c r="Y54" i="3"/>
  <c r="F54" i="3"/>
  <c r="AX54" i="3"/>
  <c r="A55" i="3"/>
  <c r="K54" i="3"/>
  <c r="AQ54" i="3"/>
  <c r="M54" i="3" l="1"/>
  <c r="N54" i="3" s="1"/>
  <c r="AU54" i="3"/>
  <c r="O54" i="3"/>
  <c r="P54" i="3" s="1"/>
  <c r="AV54" i="3"/>
  <c r="A56" i="3"/>
  <c r="AT55" i="3"/>
  <c r="Y55" i="3"/>
  <c r="AQ55" i="3"/>
  <c r="U55" i="3"/>
  <c r="AJ55" i="3"/>
  <c r="D55" i="3"/>
  <c r="L55" i="3"/>
  <c r="AB55" i="3"/>
  <c r="AH55" i="3"/>
  <c r="AX55" i="3"/>
  <c r="W55" i="3"/>
  <c r="S55" i="3"/>
  <c r="F55" i="3"/>
  <c r="Q55" i="3"/>
  <c r="AW55" i="3"/>
  <c r="E55" i="3"/>
  <c r="AM55" i="3"/>
  <c r="AF55" i="3"/>
  <c r="AO55" i="3"/>
  <c r="K55" i="3"/>
  <c r="AV55" i="3" l="1"/>
  <c r="O55" i="3"/>
  <c r="P55" i="3" s="1"/>
  <c r="AU55" i="3"/>
  <c r="M55" i="3"/>
  <c r="N55" i="3" s="1"/>
  <c r="E56" i="3"/>
  <c r="Y56" i="3"/>
  <c r="AO56" i="3"/>
  <c r="D56" i="3"/>
  <c r="S56" i="3"/>
  <c r="AM56" i="3"/>
  <c r="AB56" i="3"/>
  <c r="AH56" i="3"/>
  <c r="K56" i="3"/>
  <c r="AW56" i="3"/>
  <c r="A57" i="3"/>
  <c r="W56" i="3"/>
  <c r="F56" i="3"/>
  <c r="AJ56" i="3"/>
  <c r="Q56" i="3"/>
  <c r="AX56" i="3"/>
  <c r="AQ56" i="3"/>
  <c r="AF56" i="3"/>
  <c r="U56" i="3"/>
  <c r="AT56" i="3"/>
  <c r="L56" i="3"/>
  <c r="M56" i="3" l="1"/>
  <c r="N56" i="3" s="1"/>
  <c r="AU56" i="3"/>
  <c r="O56" i="3"/>
  <c r="P56" i="3" s="1"/>
  <c r="AV56" i="3"/>
  <c r="A58" i="3"/>
  <c r="AT57" i="3"/>
  <c r="Y57" i="3"/>
  <c r="AQ57" i="3"/>
  <c r="U57" i="3"/>
  <c r="AJ57" i="3"/>
  <c r="K57" i="3"/>
  <c r="AB57" i="3"/>
  <c r="AH57" i="3"/>
  <c r="Q57" i="3"/>
  <c r="AX57" i="3"/>
  <c r="E57" i="3"/>
  <c r="AO57" i="3"/>
  <c r="AM57" i="3"/>
  <c r="D57" i="3"/>
  <c r="L57" i="3"/>
  <c r="W57" i="3"/>
  <c r="F57" i="3"/>
  <c r="AW57" i="3"/>
  <c r="AF57" i="3"/>
  <c r="S57" i="3"/>
  <c r="AV57" i="3" l="1"/>
  <c r="M57" i="3"/>
  <c r="N57" i="3" s="1"/>
  <c r="AU57" i="3"/>
  <c r="O57" i="3"/>
  <c r="P57" i="3" s="1"/>
  <c r="E58" i="3"/>
  <c r="S58" i="3"/>
  <c r="AT58" i="3"/>
  <c r="AO58" i="3"/>
  <c r="AM58" i="3"/>
  <c r="D58" i="3"/>
  <c r="AF58" i="3"/>
  <c r="F58" i="3"/>
  <c r="Q58" i="3"/>
  <c r="AW58" i="3"/>
  <c r="W58" i="3"/>
  <c r="Y58" i="3"/>
  <c r="AJ58" i="3"/>
  <c r="AH58" i="3"/>
  <c r="L58" i="3"/>
  <c r="A59" i="3"/>
  <c r="AQ58" i="3"/>
  <c r="K58" i="3"/>
  <c r="U58" i="3"/>
  <c r="AX58" i="3"/>
  <c r="AB58" i="3"/>
  <c r="A60" i="3" l="1"/>
  <c r="AT59" i="3"/>
  <c r="Y59" i="3"/>
  <c r="AQ59" i="3"/>
  <c r="U59" i="3"/>
  <c r="AJ59" i="3"/>
  <c r="D59" i="3"/>
  <c r="L59" i="3"/>
  <c r="AB59" i="3"/>
  <c r="AH59" i="3"/>
  <c r="AX59" i="3"/>
  <c r="W59" i="3"/>
  <c r="S59" i="3"/>
  <c r="F59" i="3"/>
  <c r="Q59" i="3"/>
  <c r="AW59" i="3"/>
  <c r="AO59" i="3"/>
  <c r="K59" i="3"/>
  <c r="AM59" i="3"/>
  <c r="E59" i="3"/>
  <c r="AF59" i="3"/>
  <c r="M58" i="3"/>
  <c r="N58" i="3" s="1"/>
  <c r="AU58" i="3"/>
  <c r="O58" i="3"/>
  <c r="P58" i="3" s="1"/>
  <c r="AV58" i="3"/>
  <c r="AV59" i="3" l="1"/>
  <c r="O59" i="3"/>
  <c r="P59" i="3" s="1"/>
  <c r="M59" i="3"/>
  <c r="N59" i="3" s="1"/>
  <c r="AU59" i="3"/>
  <c r="E60" i="3"/>
  <c r="Y60" i="3"/>
  <c r="AQ60" i="3"/>
  <c r="S60" i="3"/>
  <c r="D60" i="3"/>
  <c r="AM60" i="3"/>
  <c r="AB60" i="3"/>
  <c r="AH60" i="3"/>
  <c r="K60" i="3"/>
  <c r="AW60" i="3"/>
  <c r="A61" i="3"/>
  <c r="AO60" i="3"/>
  <c r="U60" i="3"/>
  <c r="AJ60" i="3"/>
  <c r="Q60" i="3"/>
  <c r="AX60" i="3"/>
  <c r="AT60" i="3"/>
  <c r="F60" i="3"/>
  <c r="L60" i="3"/>
  <c r="AF60" i="3"/>
  <c r="W60" i="3"/>
  <c r="A62" i="3" l="1"/>
  <c r="AT61" i="3"/>
  <c r="Y61" i="3"/>
  <c r="AQ61" i="3"/>
  <c r="U61" i="3"/>
  <c r="AJ61" i="3"/>
  <c r="K61" i="3"/>
  <c r="AB61" i="3"/>
  <c r="AH61" i="3"/>
  <c r="Q61" i="3"/>
  <c r="AX61" i="3"/>
  <c r="E61" i="3"/>
  <c r="AO61" i="3"/>
  <c r="AM61" i="3"/>
  <c r="D61" i="3"/>
  <c r="L61" i="3"/>
  <c r="S61" i="3"/>
  <c r="AF61" i="3"/>
  <c r="W61" i="3"/>
  <c r="AW61" i="3"/>
  <c r="F61" i="3"/>
  <c r="M60" i="3"/>
  <c r="N60" i="3" s="1"/>
  <c r="AU60" i="3"/>
  <c r="O60" i="3"/>
  <c r="P60" i="3" s="1"/>
  <c r="AV60" i="3"/>
  <c r="AV61" i="3" l="1"/>
  <c r="M61" i="3"/>
  <c r="N61" i="3" s="1"/>
  <c r="AU61" i="3"/>
  <c r="O61" i="3"/>
  <c r="P61" i="3" s="1"/>
  <c r="A63" i="3"/>
  <c r="Y62" i="3"/>
  <c r="U62" i="3"/>
  <c r="AO62" i="3"/>
  <c r="AM62" i="3"/>
  <c r="D62" i="3"/>
  <c r="AB62" i="3"/>
  <c r="AH62" i="3"/>
  <c r="Q62" i="3"/>
  <c r="AW62" i="3"/>
  <c r="AT62" i="3"/>
  <c r="E62" i="3"/>
  <c r="AJ62" i="3"/>
  <c r="AF62" i="3"/>
  <c r="L62" i="3"/>
  <c r="S62" i="3"/>
  <c r="F62" i="3"/>
  <c r="AX62" i="3"/>
  <c r="AQ62" i="3"/>
  <c r="W62" i="3"/>
  <c r="K62" i="3"/>
  <c r="M62" i="3" l="1"/>
  <c r="N62" i="3" s="1"/>
  <c r="AU62" i="3"/>
  <c r="O62" i="3"/>
  <c r="P62" i="3" s="1"/>
  <c r="AV62" i="3"/>
  <c r="A64" i="3"/>
  <c r="AT63" i="3"/>
  <c r="Y63" i="3"/>
  <c r="AQ63" i="3"/>
  <c r="U63" i="3"/>
  <c r="AJ63" i="3"/>
  <c r="D63" i="3"/>
  <c r="L63" i="3"/>
  <c r="AF63" i="3"/>
  <c r="Q63" i="3"/>
  <c r="AX63" i="3"/>
  <c r="W63" i="3"/>
  <c r="S63" i="3"/>
  <c r="F63" i="3"/>
  <c r="AB63" i="3"/>
  <c r="AW63" i="3"/>
  <c r="E63" i="3"/>
  <c r="AM63" i="3"/>
  <c r="AH63" i="3"/>
  <c r="K63" i="3"/>
  <c r="AO63" i="3"/>
  <c r="AV63" i="3" l="1"/>
  <c r="O63" i="3"/>
  <c r="P63" i="3" s="1"/>
  <c r="AU63" i="3"/>
  <c r="M63" i="3"/>
  <c r="N63" i="3" s="1"/>
  <c r="E64" i="3"/>
  <c r="Y64" i="3"/>
  <c r="AO64" i="3"/>
  <c r="D64" i="3"/>
  <c r="S64" i="3"/>
  <c r="AM64" i="3"/>
  <c r="AB64" i="3"/>
  <c r="AH64" i="3"/>
  <c r="L64" i="3"/>
  <c r="AX64" i="3"/>
  <c r="A65" i="3"/>
  <c r="W64" i="3"/>
  <c r="F64" i="3"/>
  <c r="AJ64" i="3"/>
  <c r="K64" i="3"/>
  <c r="Q64" i="3"/>
  <c r="AQ64" i="3"/>
  <c r="AF64" i="3"/>
  <c r="AT64" i="3"/>
  <c r="AW64" i="3"/>
  <c r="U64" i="3"/>
  <c r="M64" i="3" l="1"/>
  <c r="N64" i="3" s="1"/>
  <c r="AU64" i="3"/>
  <c r="O64" i="3"/>
  <c r="P64" i="3" s="1"/>
  <c r="AV64" i="3"/>
  <c r="A66" i="3"/>
  <c r="AT65" i="3"/>
  <c r="Y65" i="3"/>
  <c r="AQ65" i="3"/>
  <c r="U65" i="3"/>
  <c r="AJ65" i="3"/>
  <c r="K65" i="3"/>
  <c r="AB65" i="3"/>
  <c r="AH65" i="3"/>
  <c r="Q65" i="3"/>
  <c r="AX65" i="3"/>
  <c r="E65" i="3"/>
  <c r="AO65" i="3"/>
  <c r="AM65" i="3"/>
  <c r="D65" i="3"/>
  <c r="L65" i="3"/>
  <c r="W65" i="3"/>
  <c r="F65" i="3"/>
  <c r="AW65" i="3"/>
  <c r="S65" i="3"/>
  <c r="AF65" i="3"/>
  <c r="AV65" i="3" l="1"/>
  <c r="M65" i="3"/>
  <c r="N65" i="3" s="1"/>
  <c r="AU65" i="3"/>
  <c r="O65" i="3"/>
  <c r="P65" i="3" s="1"/>
  <c r="E66" i="3"/>
  <c r="S66" i="3"/>
  <c r="AT66" i="3"/>
  <c r="AO66" i="3"/>
  <c r="AM66" i="3"/>
  <c r="D66" i="3"/>
  <c r="AF66" i="3"/>
  <c r="F66" i="3"/>
  <c r="L66" i="3"/>
  <c r="AX66" i="3"/>
  <c r="W66" i="3"/>
  <c r="Y66" i="3"/>
  <c r="AJ66" i="3"/>
  <c r="AH66" i="3"/>
  <c r="AW66" i="3"/>
  <c r="A67" i="3"/>
  <c r="AQ66" i="3"/>
  <c r="K66" i="3"/>
  <c r="AB66" i="3"/>
  <c r="U66" i="3"/>
  <c r="Q66" i="3"/>
  <c r="A68" i="3" l="1"/>
  <c r="AT67" i="3"/>
  <c r="Y67" i="3"/>
  <c r="AQ67" i="3"/>
  <c r="U67" i="3"/>
  <c r="AJ67" i="3"/>
  <c r="D67" i="3"/>
  <c r="L67" i="3"/>
  <c r="AF67" i="3"/>
  <c r="Q67" i="3"/>
  <c r="AX67" i="3"/>
  <c r="W67" i="3"/>
  <c r="S67" i="3"/>
  <c r="F67" i="3"/>
  <c r="AB67" i="3"/>
  <c r="AW67" i="3"/>
  <c r="AO67" i="3"/>
  <c r="K67" i="3"/>
  <c r="E67" i="3"/>
  <c r="AH67" i="3"/>
  <c r="AM67" i="3"/>
  <c r="M66" i="3"/>
  <c r="N66" i="3" s="1"/>
  <c r="AU66" i="3"/>
  <c r="O66" i="3"/>
  <c r="P66" i="3" s="1"/>
  <c r="AV66" i="3"/>
  <c r="AV67" i="3" l="1"/>
  <c r="O67" i="3"/>
  <c r="P67" i="3" s="1"/>
  <c r="M67" i="3"/>
  <c r="N67" i="3" s="1"/>
  <c r="AU67" i="3"/>
  <c r="E68" i="3"/>
  <c r="Y68" i="3"/>
  <c r="AQ68" i="3"/>
  <c r="S68" i="3"/>
  <c r="D68" i="3"/>
  <c r="AM68" i="3"/>
  <c r="AB68" i="3"/>
  <c r="AH68" i="3"/>
  <c r="L68" i="3"/>
  <c r="Q68" i="3"/>
  <c r="A69" i="3"/>
  <c r="AO68" i="3"/>
  <c r="U68" i="3"/>
  <c r="AJ68" i="3"/>
  <c r="K68" i="3"/>
  <c r="AX68" i="3"/>
  <c r="AT68" i="3"/>
  <c r="F68" i="3"/>
  <c r="AW68" i="3"/>
  <c r="W68" i="3"/>
  <c r="AF68" i="3"/>
  <c r="A70" i="3" l="1"/>
  <c r="AT69" i="3"/>
  <c r="Y69" i="3"/>
  <c r="AQ69" i="3"/>
  <c r="U69" i="3"/>
  <c r="AJ69" i="3"/>
  <c r="K69" i="3"/>
  <c r="AB69" i="3"/>
  <c r="AH69" i="3"/>
  <c r="AW69" i="3"/>
  <c r="Q69" i="3"/>
  <c r="E69" i="3"/>
  <c r="AO69" i="3"/>
  <c r="AM69" i="3"/>
  <c r="D69" i="3"/>
  <c r="L69" i="3"/>
  <c r="S69" i="3"/>
  <c r="AF69" i="3"/>
  <c r="F69" i="3"/>
  <c r="W69" i="3"/>
  <c r="AX69" i="3"/>
  <c r="M68" i="3"/>
  <c r="N68" i="3" s="1"/>
  <c r="AU68" i="3"/>
  <c r="O68" i="3"/>
  <c r="P68" i="3" s="1"/>
  <c r="AV68" i="3"/>
  <c r="AV69" i="3" l="1"/>
  <c r="M69" i="3"/>
  <c r="N69" i="3" s="1"/>
  <c r="AU69" i="3"/>
  <c r="O69" i="3"/>
  <c r="P69" i="3" s="1"/>
  <c r="W70" i="3"/>
  <c r="AT70" i="3"/>
  <c r="S70" i="3"/>
  <c r="AO70" i="3"/>
  <c r="AM70" i="3"/>
  <c r="D70" i="3"/>
  <c r="AB70" i="3"/>
  <c r="AH70" i="3"/>
  <c r="L70" i="3"/>
  <c r="Q70" i="3"/>
  <c r="E70" i="3"/>
  <c r="U70" i="3"/>
  <c r="AJ70" i="3"/>
  <c r="AF70" i="3"/>
  <c r="AW70" i="3"/>
  <c r="Y70" i="3"/>
  <c r="F70" i="3"/>
  <c r="AX70" i="3"/>
  <c r="A71" i="3"/>
  <c r="K70" i="3"/>
  <c r="AQ70" i="3"/>
  <c r="M70" i="3" l="1"/>
  <c r="N70" i="3" s="1"/>
  <c r="AU70" i="3"/>
  <c r="O70" i="3"/>
  <c r="P70" i="3" s="1"/>
  <c r="AV70" i="3"/>
  <c r="A72" i="3"/>
  <c r="AT71" i="3"/>
  <c r="Y71" i="3"/>
  <c r="AQ71" i="3"/>
  <c r="U71" i="3"/>
  <c r="AJ71" i="3"/>
  <c r="D71" i="3"/>
  <c r="L71" i="3"/>
  <c r="AF71" i="3"/>
  <c r="AW71" i="3"/>
  <c r="Q71" i="3"/>
  <c r="W71" i="3"/>
  <c r="S71" i="3"/>
  <c r="F71" i="3"/>
  <c r="AB71" i="3"/>
  <c r="AX71" i="3"/>
  <c r="E71" i="3"/>
  <c r="AM71" i="3"/>
  <c r="AH71" i="3"/>
  <c r="AO71" i="3"/>
  <c r="K71" i="3"/>
  <c r="AV71" i="3" l="1"/>
  <c r="O71" i="3"/>
  <c r="P71" i="3" s="1"/>
  <c r="AU71" i="3"/>
  <c r="M71" i="3"/>
  <c r="N71" i="3" s="1"/>
  <c r="E72" i="3"/>
  <c r="Y72" i="3"/>
  <c r="AO72" i="3"/>
  <c r="D72" i="3"/>
  <c r="S72" i="3"/>
  <c r="AM72" i="3"/>
  <c r="AB72" i="3"/>
  <c r="AH72" i="3"/>
  <c r="L72" i="3"/>
  <c r="AX72" i="3"/>
  <c r="A73" i="3"/>
  <c r="W72" i="3"/>
  <c r="F72" i="3"/>
  <c r="AJ72" i="3"/>
  <c r="K72" i="3"/>
  <c r="Q72" i="3"/>
  <c r="AQ72" i="3"/>
  <c r="AF72" i="3"/>
  <c r="U72" i="3"/>
  <c r="AT72" i="3"/>
  <c r="AW72" i="3"/>
  <c r="M72" i="3" l="1"/>
  <c r="N72" i="3" s="1"/>
  <c r="AU72" i="3"/>
  <c r="O72" i="3"/>
  <c r="P72" i="3" s="1"/>
  <c r="AV72" i="3"/>
  <c r="A74" i="3"/>
  <c r="AT73" i="3"/>
  <c r="Y73" i="3"/>
  <c r="AQ73" i="3"/>
  <c r="U73" i="3"/>
  <c r="AJ73" i="3"/>
  <c r="K73" i="3"/>
  <c r="AB73" i="3"/>
  <c r="AH73" i="3"/>
  <c r="Q73" i="3"/>
  <c r="AX73" i="3"/>
  <c r="E73" i="3"/>
  <c r="AO73" i="3"/>
  <c r="AM73" i="3"/>
  <c r="D73" i="3"/>
  <c r="L73" i="3"/>
  <c r="W73" i="3"/>
  <c r="F73" i="3"/>
  <c r="AW73" i="3"/>
  <c r="AF73" i="3"/>
  <c r="S73" i="3"/>
  <c r="AV73" i="3" l="1"/>
  <c r="M73" i="3"/>
  <c r="N73" i="3" s="1"/>
  <c r="AU73" i="3"/>
  <c r="O73" i="3"/>
  <c r="P73" i="3" s="1"/>
  <c r="E74" i="3"/>
  <c r="S74" i="3"/>
  <c r="AT74" i="3"/>
  <c r="AO74" i="3"/>
  <c r="AM74" i="3"/>
  <c r="D74" i="3"/>
  <c r="AF74" i="3"/>
  <c r="F74" i="3"/>
  <c r="L74" i="3"/>
  <c r="AX74" i="3"/>
  <c r="W74" i="3"/>
  <c r="Y74" i="3"/>
  <c r="AJ74" i="3"/>
  <c r="AH74" i="3"/>
  <c r="AW74" i="3"/>
  <c r="A75" i="3"/>
  <c r="AQ74" i="3"/>
  <c r="K74" i="3"/>
  <c r="U74" i="3"/>
  <c r="Q74" i="3"/>
  <c r="AB74" i="3"/>
  <c r="A76" i="3" l="1"/>
  <c r="AT75" i="3"/>
  <c r="Y75" i="3"/>
  <c r="AQ75" i="3"/>
  <c r="U75" i="3"/>
  <c r="AJ75" i="3"/>
  <c r="D75" i="3"/>
  <c r="L75" i="3"/>
  <c r="AF75" i="3"/>
  <c r="Q75" i="3"/>
  <c r="AX75" i="3"/>
  <c r="W75" i="3"/>
  <c r="S75" i="3"/>
  <c r="F75" i="3"/>
  <c r="AB75" i="3"/>
  <c r="AW75" i="3"/>
  <c r="AO75" i="3"/>
  <c r="K75" i="3"/>
  <c r="AM75" i="3"/>
  <c r="E75" i="3"/>
  <c r="AH75" i="3"/>
  <c r="M74" i="3"/>
  <c r="N74" i="3" s="1"/>
  <c r="AU74" i="3"/>
  <c r="O74" i="3"/>
  <c r="P74" i="3" s="1"/>
  <c r="AV74" i="3"/>
  <c r="AV75" i="3" l="1"/>
  <c r="O75" i="3"/>
  <c r="P75" i="3" s="1"/>
  <c r="M75" i="3"/>
  <c r="N75" i="3" s="1"/>
  <c r="AU75" i="3"/>
  <c r="E76" i="3"/>
  <c r="Y76" i="3"/>
  <c r="AQ76" i="3"/>
  <c r="S76" i="3"/>
  <c r="D76" i="3"/>
  <c r="AM76" i="3"/>
  <c r="AB76" i="3"/>
  <c r="AH76" i="3"/>
  <c r="L76" i="3"/>
  <c r="AX76" i="3"/>
  <c r="A77" i="3"/>
  <c r="AO76" i="3"/>
  <c r="U76" i="3"/>
  <c r="AJ76" i="3"/>
  <c r="K76" i="3"/>
  <c r="Q76" i="3"/>
  <c r="AT76" i="3"/>
  <c r="F76" i="3"/>
  <c r="AW76" i="3"/>
  <c r="AF76" i="3"/>
  <c r="W76" i="3"/>
  <c r="A78" i="3" l="1"/>
  <c r="AT77" i="3"/>
  <c r="Y77" i="3"/>
  <c r="AQ77" i="3"/>
  <c r="U77" i="3"/>
  <c r="AJ77" i="3"/>
  <c r="K77" i="3"/>
  <c r="AB77" i="3"/>
  <c r="AH77" i="3"/>
  <c r="Q77" i="3"/>
  <c r="AX77" i="3"/>
  <c r="E77" i="3"/>
  <c r="AO77" i="3"/>
  <c r="AM77" i="3"/>
  <c r="D77" i="3"/>
  <c r="L77" i="3"/>
  <c r="S77" i="3"/>
  <c r="AF77" i="3"/>
  <c r="W77" i="3"/>
  <c r="AW77" i="3"/>
  <c r="F77" i="3"/>
  <c r="M76" i="3"/>
  <c r="N76" i="3" s="1"/>
  <c r="AU76" i="3"/>
  <c r="O76" i="3"/>
  <c r="P76" i="3" s="1"/>
  <c r="AV76" i="3"/>
  <c r="AV77" i="3" l="1"/>
  <c r="M77" i="3"/>
  <c r="N77" i="3" s="1"/>
  <c r="AU77" i="3"/>
  <c r="O77" i="3"/>
  <c r="P77" i="3" s="1"/>
  <c r="AT78" i="3"/>
  <c r="S78" i="3"/>
  <c r="A79" i="3"/>
  <c r="AO78" i="3"/>
  <c r="AM78" i="3"/>
  <c r="D78" i="3"/>
  <c r="AB78" i="3"/>
  <c r="AH78" i="3"/>
  <c r="L78" i="3"/>
  <c r="AX78" i="3"/>
  <c r="Y78" i="3"/>
  <c r="E78" i="3"/>
  <c r="AJ78" i="3"/>
  <c r="AF78" i="3"/>
  <c r="AW78" i="3"/>
  <c r="U78" i="3"/>
  <c r="F78" i="3"/>
  <c r="Q78" i="3"/>
  <c r="AQ78" i="3"/>
  <c r="W78" i="3"/>
  <c r="K78" i="3"/>
  <c r="AV78" i="3" l="1"/>
  <c r="AU78" i="3"/>
  <c r="M78" i="3"/>
  <c r="N78" i="3" s="1"/>
  <c r="O78" i="3"/>
  <c r="P78" i="3" s="1"/>
  <c r="A80" i="3"/>
  <c r="AT79" i="3"/>
  <c r="Y79" i="3"/>
  <c r="AQ79" i="3"/>
  <c r="E79" i="3"/>
  <c r="AO79" i="3"/>
  <c r="U79" i="3"/>
  <c r="AJ79" i="3"/>
  <c r="D79" i="3"/>
  <c r="L79" i="3"/>
  <c r="AF79" i="3"/>
  <c r="Q79" i="3"/>
  <c r="AX79" i="3"/>
  <c r="S79" i="3"/>
  <c r="F79" i="3"/>
  <c r="AB79" i="3"/>
  <c r="AW79" i="3"/>
  <c r="W79" i="3"/>
  <c r="K79" i="3"/>
  <c r="AM79" i="3"/>
  <c r="AH79" i="3"/>
  <c r="AV79" i="3" l="1"/>
  <c r="M79" i="3"/>
  <c r="N79" i="3" s="1"/>
  <c r="AU79" i="3"/>
  <c r="O79" i="3"/>
  <c r="P79" i="3" s="1"/>
  <c r="E80" i="3"/>
  <c r="Y80" i="3"/>
  <c r="AO80" i="3"/>
  <c r="D80" i="3"/>
  <c r="S80" i="3"/>
  <c r="AM80" i="3"/>
  <c r="AB80" i="3"/>
  <c r="AH80" i="3"/>
  <c r="L80" i="3"/>
  <c r="AX80" i="3"/>
  <c r="AT80" i="3"/>
  <c r="AQ80" i="3"/>
  <c r="U80" i="3"/>
  <c r="AF80" i="3"/>
  <c r="AW80" i="3"/>
  <c r="W80" i="3"/>
  <c r="AJ80" i="3"/>
  <c r="Q80" i="3"/>
  <c r="A81" i="3"/>
  <c r="F80" i="3"/>
  <c r="K80" i="3"/>
  <c r="M80" i="3" l="1"/>
  <c r="N80" i="3" s="1"/>
  <c r="AU80" i="3"/>
  <c r="O80" i="3"/>
  <c r="P80" i="3" s="1"/>
  <c r="AV80" i="3"/>
  <c r="A82" i="3"/>
  <c r="AT81" i="3"/>
  <c r="Y81" i="3"/>
  <c r="AQ81" i="3"/>
  <c r="U81" i="3"/>
  <c r="AJ81" i="3"/>
  <c r="K81" i="3"/>
  <c r="AB81" i="3"/>
  <c r="AH81" i="3"/>
  <c r="Q81" i="3"/>
  <c r="AX81" i="3"/>
  <c r="W81" i="3"/>
  <c r="S81" i="3"/>
  <c r="F81" i="3"/>
  <c r="AF81" i="3"/>
  <c r="AW81" i="3"/>
  <c r="E81" i="3"/>
  <c r="AM81" i="3"/>
  <c r="L81" i="3"/>
  <c r="AO81" i="3"/>
  <c r="D81" i="3"/>
  <c r="AV81" i="3" l="1"/>
  <c r="O81" i="3"/>
  <c r="P81" i="3" s="1"/>
  <c r="AU81" i="3"/>
  <c r="M81" i="3"/>
  <c r="N81" i="3" s="1"/>
  <c r="E82" i="3"/>
  <c r="S82" i="3"/>
  <c r="AT82" i="3"/>
  <c r="AO82" i="3"/>
  <c r="AM82" i="3"/>
  <c r="D82" i="3"/>
  <c r="AF82" i="3"/>
  <c r="F82" i="3"/>
  <c r="L82" i="3"/>
  <c r="AX82" i="3"/>
  <c r="A83" i="3"/>
  <c r="U82" i="3"/>
  <c r="AQ82" i="3"/>
  <c r="AB82" i="3"/>
  <c r="K82" i="3"/>
  <c r="Q82" i="3"/>
  <c r="Y82" i="3"/>
  <c r="AH82" i="3"/>
  <c r="W82" i="3"/>
  <c r="AJ82" i="3"/>
  <c r="AW82" i="3"/>
  <c r="M82" i="3" l="1"/>
  <c r="N82" i="3" s="1"/>
  <c r="AU82" i="3"/>
  <c r="O82" i="3"/>
  <c r="P82" i="3" s="1"/>
  <c r="AV82" i="3"/>
  <c r="A84" i="3"/>
  <c r="AT83" i="3"/>
  <c r="Y83" i="3"/>
  <c r="AQ83" i="3"/>
  <c r="U83" i="3"/>
  <c r="AJ83" i="3"/>
  <c r="D83" i="3"/>
  <c r="L83" i="3"/>
  <c r="AF83" i="3"/>
  <c r="Q83" i="3"/>
  <c r="AX83" i="3"/>
  <c r="E83" i="3"/>
  <c r="AO83" i="3"/>
  <c r="AM83" i="3"/>
  <c r="K83" i="3"/>
  <c r="AH83" i="3"/>
  <c r="W83" i="3"/>
  <c r="F83" i="3"/>
  <c r="AW83" i="3"/>
  <c r="S83" i="3"/>
  <c r="AB83" i="3"/>
  <c r="AV83" i="3" l="1"/>
  <c r="M83" i="3"/>
  <c r="N83" i="3" s="1"/>
  <c r="AU83" i="3"/>
  <c r="O83" i="3"/>
  <c r="P83" i="3" s="1"/>
  <c r="E84" i="3"/>
  <c r="Y84" i="3"/>
  <c r="AQ84" i="3"/>
  <c r="S84" i="3"/>
  <c r="D84" i="3"/>
  <c r="AM84" i="3"/>
  <c r="AB84" i="3"/>
  <c r="AH84" i="3"/>
  <c r="L84" i="3"/>
  <c r="Q84" i="3"/>
  <c r="AT84" i="3"/>
  <c r="W84" i="3"/>
  <c r="F84" i="3"/>
  <c r="AF84" i="3"/>
  <c r="AW84" i="3"/>
  <c r="A85" i="3"/>
  <c r="U84" i="3"/>
  <c r="K84" i="3"/>
  <c r="AO84" i="3"/>
  <c r="AJ84" i="3"/>
  <c r="AX84" i="3"/>
  <c r="A86" i="3" l="1"/>
  <c r="AT85" i="3"/>
  <c r="Y85" i="3"/>
  <c r="AQ85" i="3"/>
  <c r="U85" i="3"/>
  <c r="AJ85" i="3"/>
  <c r="K85" i="3"/>
  <c r="AB85" i="3"/>
  <c r="AH85" i="3"/>
  <c r="Q85" i="3"/>
  <c r="AX85" i="3"/>
  <c r="W85" i="3"/>
  <c r="S85" i="3"/>
  <c r="F85" i="3"/>
  <c r="AF85" i="3"/>
  <c r="AW85" i="3"/>
  <c r="AO85" i="3"/>
  <c r="D85" i="3"/>
  <c r="E85" i="3"/>
  <c r="AM85" i="3"/>
  <c r="L85" i="3"/>
  <c r="M84" i="3"/>
  <c r="N84" i="3" s="1"/>
  <c r="AU84" i="3"/>
  <c r="O84" i="3"/>
  <c r="P84" i="3" s="1"/>
  <c r="AV84" i="3"/>
  <c r="AV85" i="3" l="1"/>
  <c r="O85" i="3"/>
  <c r="P85" i="3" s="1"/>
  <c r="M85" i="3"/>
  <c r="N85" i="3" s="1"/>
  <c r="AU85" i="3"/>
  <c r="W86" i="3"/>
  <c r="AT86" i="3"/>
  <c r="S86" i="3"/>
  <c r="AO86" i="3"/>
  <c r="AM86" i="3"/>
  <c r="D86" i="3"/>
  <c r="AB86" i="3"/>
  <c r="AH86" i="3"/>
  <c r="L86" i="3"/>
  <c r="AX86" i="3"/>
  <c r="A87" i="3"/>
  <c r="Y86" i="3"/>
  <c r="AQ86" i="3"/>
  <c r="F86" i="3"/>
  <c r="K86" i="3"/>
  <c r="Q86" i="3"/>
  <c r="E86" i="3"/>
  <c r="AJ86" i="3"/>
  <c r="AW86" i="3"/>
  <c r="U86" i="3"/>
  <c r="AF86" i="3"/>
  <c r="M86" i="3" l="1"/>
  <c r="N86" i="3" s="1"/>
  <c r="AU86" i="3"/>
  <c r="O86" i="3"/>
  <c r="P86" i="3" s="1"/>
  <c r="AV86" i="3"/>
  <c r="A88" i="3"/>
  <c r="AT87" i="3"/>
  <c r="Y87" i="3"/>
  <c r="AQ87" i="3"/>
  <c r="U87" i="3"/>
  <c r="AJ87" i="3"/>
  <c r="D87" i="3"/>
  <c r="L87" i="3"/>
  <c r="AF87" i="3"/>
  <c r="Q87" i="3"/>
  <c r="AX87" i="3"/>
  <c r="E87" i="3"/>
  <c r="AO87" i="3"/>
  <c r="AM87" i="3"/>
  <c r="K87" i="3"/>
  <c r="AH87" i="3"/>
  <c r="S87" i="3"/>
  <c r="AB87" i="3"/>
  <c r="W87" i="3"/>
  <c r="F87" i="3"/>
  <c r="AW87" i="3"/>
  <c r="AV87" i="3" l="1"/>
  <c r="M87" i="3"/>
  <c r="N87" i="3" s="1"/>
  <c r="AU87" i="3"/>
  <c r="O87" i="3"/>
  <c r="P87" i="3" s="1"/>
  <c r="E88" i="3"/>
  <c r="Y88" i="3"/>
  <c r="AO88" i="3"/>
  <c r="D88" i="3"/>
  <c r="S88" i="3"/>
  <c r="AM88" i="3"/>
  <c r="AB88" i="3"/>
  <c r="AH88" i="3"/>
  <c r="L88" i="3"/>
  <c r="Q88" i="3"/>
  <c r="AT88" i="3"/>
  <c r="AQ88" i="3"/>
  <c r="U88" i="3"/>
  <c r="AF88" i="3"/>
  <c r="AW88" i="3"/>
  <c r="W88" i="3"/>
  <c r="AJ88" i="3"/>
  <c r="AX88" i="3"/>
  <c r="A89" i="3"/>
  <c r="F88" i="3"/>
  <c r="K88" i="3"/>
  <c r="M88" i="3" l="1"/>
  <c r="N88" i="3" s="1"/>
  <c r="AU88" i="3"/>
  <c r="O88" i="3"/>
  <c r="P88" i="3" s="1"/>
  <c r="AV88" i="3"/>
  <c r="A90" i="3"/>
  <c r="AT89" i="3"/>
  <c r="Y89" i="3"/>
  <c r="AQ89" i="3"/>
  <c r="U89" i="3"/>
  <c r="AJ89" i="3"/>
  <c r="K89" i="3"/>
  <c r="AB89" i="3"/>
  <c r="AH89" i="3"/>
  <c r="Q89" i="3"/>
  <c r="AX89" i="3"/>
  <c r="W89" i="3"/>
  <c r="S89" i="3"/>
  <c r="F89" i="3"/>
  <c r="AF89" i="3"/>
  <c r="AW89" i="3"/>
  <c r="E89" i="3"/>
  <c r="AM89" i="3"/>
  <c r="L89" i="3"/>
  <c r="AO89" i="3"/>
  <c r="D89" i="3"/>
  <c r="AV89" i="3" l="1"/>
  <c r="O89" i="3"/>
  <c r="P89" i="3" s="1"/>
  <c r="AU89" i="3"/>
  <c r="M89" i="3"/>
  <c r="N89" i="3" s="1"/>
  <c r="E90" i="3"/>
  <c r="S90" i="3"/>
  <c r="AT90" i="3"/>
  <c r="AO90" i="3"/>
  <c r="AM90" i="3"/>
  <c r="D90" i="3"/>
  <c r="AF90" i="3"/>
  <c r="F90" i="3"/>
  <c r="L90" i="3"/>
  <c r="Q90" i="3"/>
  <c r="A91" i="3"/>
  <c r="U90" i="3"/>
  <c r="AQ90" i="3"/>
  <c r="AB90" i="3"/>
  <c r="K90" i="3"/>
  <c r="AX90" i="3"/>
  <c r="Y90" i="3"/>
  <c r="AH90" i="3"/>
  <c r="W90" i="3"/>
  <c r="AJ90" i="3"/>
  <c r="AW90" i="3"/>
  <c r="M90" i="3" l="1"/>
  <c r="N90" i="3" s="1"/>
  <c r="AU90" i="3"/>
  <c r="O90" i="3"/>
  <c r="P90" i="3" s="1"/>
  <c r="AV90" i="3"/>
  <c r="A92" i="3"/>
  <c r="AT91" i="3"/>
  <c r="Y91" i="3"/>
  <c r="AQ91" i="3"/>
  <c r="U91" i="3"/>
  <c r="AJ91" i="3"/>
  <c r="D91" i="3"/>
  <c r="L91" i="3"/>
  <c r="AF91" i="3"/>
  <c r="Q91" i="3"/>
  <c r="AX91" i="3"/>
  <c r="E91" i="3"/>
  <c r="AO91" i="3"/>
  <c r="AM91" i="3"/>
  <c r="K91" i="3"/>
  <c r="AH91" i="3"/>
  <c r="W91" i="3"/>
  <c r="F91" i="3"/>
  <c r="AW91" i="3"/>
  <c r="S91" i="3"/>
  <c r="AB91" i="3"/>
  <c r="AV91" i="3" l="1"/>
  <c r="M91" i="3"/>
  <c r="N91" i="3" s="1"/>
  <c r="AU91" i="3"/>
  <c r="O91" i="3"/>
  <c r="P91" i="3" s="1"/>
  <c r="E92" i="3"/>
  <c r="Y92" i="3"/>
  <c r="AQ92" i="3"/>
  <c r="S92" i="3"/>
  <c r="D92" i="3"/>
  <c r="AM92" i="3"/>
  <c r="AB92" i="3"/>
  <c r="AH92" i="3"/>
  <c r="L92" i="3"/>
  <c r="Q92" i="3"/>
  <c r="AT92" i="3"/>
  <c r="W92" i="3"/>
  <c r="F92" i="3"/>
  <c r="AF92" i="3"/>
  <c r="AW92" i="3"/>
  <c r="A93" i="3"/>
  <c r="U92" i="3"/>
  <c r="K92" i="3"/>
  <c r="AO92" i="3"/>
  <c r="AJ92" i="3"/>
  <c r="AX92" i="3"/>
  <c r="A94" i="3" l="1"/>
  <c r="AT93" i="3"/>
  <c r="Y93" i="3"/>
  <c r="AQ93" i="3"/>
  <c r="U93" i="3"/>
  <c r="AJ93" i="3"/>
  <c r="K93" i="3"/>
  <c r="AB93" i="3"/>
  <c r="AH93" i="3"/>
  <c r="Q93" i="3"/>
  <c r="AX93" i="3"/>
  <c r="W93" i="3"/>
  <c r="S93" i="3"/>
  <c r="F93" i="3"/>
  <c r="AF93" i="3"/>
  <c r="AW93" i="3"/>
  <c r="AO93" i="3"/>
  <c r="D93" i="3"/>
  <c r="E93" i="3"/>
  <c r="AM93" i="3"/>
  <c r="L93" i="3"/>
  <c r="M92" i="3"/>
  <c r="N92" i="3" s="1"/>
  <c r="AU92" i="3"/>
  <c r="O92" i="3"/>
  <c r="P92" i="3" s="1"/>
  <c r="AV92" i="3"/>
  <c r="AV93" i="3" l="1"/>
  <c r="O93" i="3"/>
  <c r="P93" i="3" s="1"/>
  <c r="M93" i="3"/>
  <c r="N93" i="3" s="1"/>
  <c r="AU93" i="3"/>
  <c r="A95" i="3"/>
  <c r="Y94" i="3"/>
  <c r="U94" i="3"/>
  <c r="AO94" i="3"/>
  <c r="AM94" i="3"/>
  <c r="D94" i="3"/>
  <c r="AB94" i="3"/>
  <c r="AH94" i="3"/>
  <c r="L94" i="3"/>
  <c r="Q94" i="3"/>
  <c r="W94" i="3"/>
  <c r="S94" i="3"/>
  <c r="AQ94" i="3"/>
  <c r="F94" i="3"/>
  <c r="K94" i="3"/>
  <c r="AX94" i="3"/>
  <c r="AT94" i="3"/>
  <c r="AJ94" i="3"/>
  <c r="AW94" i="3"/>
  <c r="E94" i="3"/>
  <c r="AF94" i="3"/>
  <c r="M94" i="3" l="1"/>
  <c r="N94" i="3" s="1"/>
  <c r="AU94" i="3"/>
  <c r="O94" i="3"/>
  <c r="P94" i="3" s="1"/>
  <c r="AV94" i="3"/>
  <c r="A96" i="3"/>
  <c r="AT95" i="3"/>
  <c r="Y95" i="3"/>
  <c r="AQ95" i="3"/>
  <c r="U95" i="3"/>
  <c r="AJ95" i="3"/>
  <c r="D95" i="3"/>
  <c r="L95" i="3"/>
  <c r="AF95" i="3"/>
  <c r="Q95" i="3"/>
  <c r="AX95" i="3"/>
  <c r="E95" i="3"/>
  <c r="AO95" i="3"/>
  <c r="AM95" i="3"/>
  <c r="K95" i="3"/>
  <c r="AH95" i="3"/>
  <c r="S95" i="3"/>
  <c r="AB95" i="3"/>
  <c r="W95" i="3"/>
  <c r="F95" i="3"/>
  <c r="AW95" i="3"/>
  <c r="AV95" i="3" l="1"/>
  <c r="M95" i="3"/>
  <c r="N95" i="3" s="1"/>
  <c r="AU95" i="3"/>
  <c r="O95" i="3"/>
  <c r="P95" i="3" s="1"/>
  <c r="E96" i="3"/>
  <c r="Y96" i="3"/>
  <c r="AO96" i="3"/>
  <c r="D96" i="3"/>
  <c r="S96" i="3"/>
  <c r="AM96" i="3"/>
  <c r="AB96" i="3"/>
  <c r="AH96" i="3"/>
  <c r="L96" i="3"/>
  <c r="Q96" i="3"/>
  <c r="AT96" i="3"/>
  <c r="AQ96" i="3"/>
  <c r="U96" i="3"/>
  <c r="AF96" i="3"/>
  <c r="AW96" i="3"/>
  <c r="W96" i="3"/>
  <c r="AJ96" i="3"/>
  <c r="AX96" i="3"/>
  <c r="A97" i="3"/>
  <c r="F96" i="3"/>
  <c r="K96" i="3"/>
  <c r="M96" i="3" l="1"/>
  <c r="N96" i="3" s="1"/>
  <c r="AU96" i="3"/>
  <c r="O96" i="3"/>
  <c r="P96" i="3" s="1"/>
  <c r="AV96" i="3"/>
  <c r="A98" i="3"/>
  <c r="AT97" i="3"/>
  <c r="Y97" i="3"/>
  <c r="AQ97" i="3"/>
  <c r="U97" i="3"/>
  <c r="AJ97" i="3"/>
  <c r="K97" i="3"/>
  <c r="AB97" i="3"/>
  <c r="AH97" i="3"/>
  <c r="Q97" i="3"/>
  <c r="AX97" i="3"/>
  <c r="W97" i="3"/>
  <c r="S97" i="3"/>
  <c r="F97" i="3"/>
  <c r="AF97" i="3"/>
  <c r="AW97" i="3"/>
  <c r="E97" i="3"/>
  <c r="AM97" i="3"/>
  <c r="L97" i="3"/>
  <c r="AO97" i="3"/>
  <c r="D97" i="3"/>
  <c r="AV97" i="3" l="1"/>
  <c r="O97" i="3"/>
  <c r="P97" i="3" s="1"/>
  <c r="AU97" i="3"/>
  <c r="M97" i="3"/>
  <c r="N97" i="3" s="1"/>
  <c r="E98" i="3"/>
  <c r="S98" i="3"/>
  <c r="AT98" i="3"/>
  <c r="AO98" i="3"/>
  <c r="AM98" i="3"/>
  <c r="D98" i="3"/>
  <c r="AF98" i="3"/>
  <c r="F98" i="3"/>
  <c r="L98" i="3"/>
  <c r="Q98" i="3"/>
  <c r="A99" i="3"/>
  <c r="U98" i="3"/>
  <c r="AQ98" i="3"/>
  <c r="AB98" i="3"/>
  <c r="K98" i="3"/>
  <c r="AX98" i="3"/>
  <c r="Y98" i="3"/>
  <c r="AH98" i="3"/>
  <c r="W98" i="3"/>
  <c r="AJ98" i="3"/>
  <c r="AW98" i="3"/>
  <c r="M98" i="3" l="1"/>
  <c r="N98" i="3" s="1"/>
  <c r="AU98" i="3"/>
  <c r="O98" i="3"/>
  <c r="P98" i="3" s="1"/>
  <c r="AV98" i="3"/>
  <c r="A100" i="3"/>
  <c r="AT99" i="3"/>
  <c r="Y99" i="3"/>
  <c r="AQ99" i="3"/>
  <c r="U99" i="3"/>
  <c r="AJ99" i="3"/>
  <c r="D99" i="3"/>
  <c r="L99" i="3"/>
  <c r="AF99" i="3"/>
  <c r="Q99" i="3"/>
  <c r="AX99" i="3"/>
  <c r="E99" i="3"/>
  <c r="AO99" i="3"/>
  <c r="AM99" i="3"/>
  <c r="K99" i="3"/>
  <c r="AH99" i="3"/>
  <c r="W99" i="3"/>
  <c r="F99" i="3"/>
  <c r="AW99" i="3"/>
  <c r="S99" i="3"/>
  <c r="AB99" i="3"/>
  <c r="AV99" i="3" l="1"/>
  <c r="M99" i="3"/>
  <c r="N99" i="3" s="1"/>
  <c r="AU99" i="3"/>
  <c r="O99" i="3"/>
  <c r="P99" i="3" s="1"/>
  <c r="E100" i="3"/>
  <c r="Y100" i="3"/>
  <c r="AQ100" i="3"/>
  <c r="S100" i="3"/>
  <c r="D100" i="3"/>
  <c r="AM100" i="3"/>
  <c r="AB100" i="3"/>
  <c r="AH100" i="3"/>
  <c r="L100" i="3"/>
  <c r="AX100" i="3"/>
  <c r="AT100" i="3"/>
  <c r="W100" i="3"/>
  <c r="F100" i="3"/>
  <c r="AF100" i="3"/>
  <c r="AW100" i="3"/>
  <c r="A101" i="3"/>
  <c r="U100" i="3"/>
  <c r="K100" i="3"/>
  <c r="AO100" i="3"/>
  <c r="AJ100" i="3"/>
  <c r="Q100" i="3"/>
  <c r="A102" i="3" l="1"/>
  <c r="AT101" i="3"/>
  <c r="Y101" i="3"/>
  <c r="AQ101" i="3"/>
  <c r="U101" i="3"/>
  <c r="AJ101" i="3"/>
  <c r="K101" i="3"/>
  <c r="AB101" i="3"/>
  <c r="AH101" i="3"/>
  <c r="AX101" i="3"/>
  <c r="Q101" i="3"/>
  <c r="W101" i="3"/>
  <c r="S101" i="3"/>
  <c r="F101" i="3"/>
  <c r="AF101" i="3"/>
  <c r="AW101" i="3"/>
  <c r="AO101" i="3"/>
  <c r="D101" i="3"/>
  <c r="E101" i="3"/>
  <c r="AM101" i="3"/>
  <c r="L101" i="3"/>
  <c r="M100" i="3"/>
  <c r="N100" i="3" s="1"/>
  <c r="AU100" i="3"/>
  <c r="O100" i="3"/>
  <c r="P100" i="3" s="1"/>
  <c r="AV100" i="3"/>
  <c r="AV101" i="3" l="1"/>
  <c r="O101" i="3"/>
  <c r="P101" i="3" s="1"/>
  <c r="M101" i="3"/>
  <c r="N101" i="3" s="1"/>
  <c r="AU101" i="3"/>
  <c r="W102" i="3"/>
  <c r="AT102" i="3"/>
  <c r="S102" i="3"/>
  <c r="AO102" i="3"/>
  <c r="AM102" i="3"/>
  <c r="D102" i="3"/>
  <c r="AB102" i="3"/>
  <c r="AH102" i="3"/>
  <c r="L102" i="3"/>
  <c r="Q102" i="3"/>
  <c r="A103" i="3"/>
  <c r="Y102" i="3"/>
  <c r="AQ102" i="3"/>
  <c r="F102" i="3"/>
  <c r="K102" i="3"/>
  <c r="AX102" i="3"/>
  <c r="E102" i="3"/>
  <c r="AJ102" i="3"/>
  <c r="AW102" i="3"/>
  <c r="U102" i="3"/>
  <c r="AF102" i="3"/>
  <c r="M102" i="3" l="1"/>
  <c r="N102" i="3" s="1"/>
  <c r="AU102" i="3"/>
  <c r="O102" i="3"/>
  <c r="P102" i="3" s="1"/>
  <c r="AV102" i="3"/>
  <c r="A104" i="3"/>
  <c r="AT103" i="3"/>
  <c r="Y103" i="3"/>
  <c r="AQ103" i="3"/>
  <c r="U103" i="3"/>
  <c r="AJ103" i="3"/>
  <c r="D103" i="3"/>
  <c r="L103" i="3"/>
  <c r="AF103" i="3"/>
  <c r="AX103" i="3"/>
  <c r="Q103" i="3"/>
  <c r="E103" i="3"/>
  <c r="AO103" i="3"/>
  <c r="AM103" i="3"/>
  <c r="K103" i="3"/>
  <c r="AH103" i="3"/>
  <c r="S103" i="3"/>
  <c r="AB103" i="3"/>
  <c r="W103" i="3"/>
  <c r="F103" i="3"/>
  <c r="AW103" i="3"/>
  <c r="AV103" i="3" l="1"/>
  <c r="M103" i="3"/>
  <c r="N103" i="3" s="1"/>
  <c r="AU103" i="3"/>
  <c r="O103" i="3"/>
  <c r="P103" i="3" s="1"/>
  <c r="E104" i="3"/>
  <c r="Y104" i="3"/>
  <c r="AO104" i="3"/>
  <c r="D104" i="3"/>
  <c r="S104" i="3"/>
  <c r="AM104" i="3"/>
  <c r="AB104" i="3"/>
  <c r="AH104" i="3"/>
  <c r="L104" i="3"/>
  <c r="AX104" i="3"/>
  <c r="AT104" i="3"/>
  <c r="AQ104" i="3"/>
  <c r="U104" i="3"/>
  <c r="AF104" i="3"/>
  <c r="AW104" i="3"/>
  <c r="W104" i="3"/>
  <c r="AJ104" i="3"/>
  <c r="Q104" i="3"/>
  <c r="A105" i="3"/>
  <c r="F104" i="3"/>
  <c r="K104" i="3"/>
  <c r="M104" i="3" l="1"/>
  <c r="N104" i="3" s="1"/>
  <c r="AU104" i="3"/>
  <c r="O104" i="3"/>
  <c r="P104" i="3" s="1"/>
  <c r="AV104" i="3"/>
  <c r="A106" i="3"/>
  <c r="AT105" i="3"/>
  <c r="Y105" i="3"/>
  <c r="AQ105" i="3"/>
  <c r="U105" i="3"/>
  <c r="AJ105" i="3"/>
  <c r="K105" i="3"/>
  <c r="AB105" i="3"/>
  <c r="AH105" i="3"/>
  <c r="AX105" i="3"/>
  <c r="Q105" i="3"/>
  <c r="W105" i="3"/>
  <c r="S105" i="3"/>
  <c r="F105" i="3"/>
  <c r="AF105" i="3"/>
  <c r="AW105" i="3"/>
  <c r="E105" i="3"/>
  <c r="AM105" i="3"/>
  <c r="L105" i="3"/>
  <c r="AO105" i="3"/>
  <c r="D105" i="3"/>
  <c r="AV105" i="3" l="1"/>
  <c r="O105" i="3"/>
  <c r="P105" i="3" s="1"/>
  <c r="AU105" i="3"/>
  <c r="M105" i="3"/>
  <c r="N105" i="3" s="1"/>
  <c r="E106" i="3"/>
  <c r="S106" i="3"/>
  <c r="AT106" i="3"/>
  <c r="AO106" i="3"/>
  <c r="AM106" i="3"/>
  <c r="D106" i="3"/>
  <c r="AF106" i="3"/>
  <c r="F106" i="3"/>
  <c r="L106" i="3"/>
  <c r="AX106" i="3"/>
  <c r="A107" i="3"/>
  <c r="U106" i="3"/>
  <c r="AQ106" i="3"/>
  <c r="AB106" i="3"/>
  <c r="K106" i="3"/>
  <c r="Q106" i="3"/>
  <c r="Y106" i="3"/>
  <c r="AH106" i="3"/>
  <c r="W106" i="3"/>
  <c r="AJ106" i="3"/>
  <c r="AW106" i="3"/>
  <c r="M106" i="3" l="1"/>
  <c r="N106" i="3" s="1"/>
  <c r="AU106" i="3"/>
  <c r="O106" i="3"/>
  <c r="P106" i="3" s="1"/>
  <c r="AV106" i="3"/>
  <c r="A108" i="3"/>
  <c r="AT107" i="3"/>
  <c r="Y107" i="3"/>
  <c r="AQ107" i="3"/>
  <c r="U107" i="3"/>
  <c r="AJ107" i="3"/>
  <c r="D107" i="3"/>
  <c r="L107" i="3"/>
  <c r="AF107" i="3"/>
  <c r="AX107" i="3"/>
  <c r="Q107" i="3"/>
  <c r="E107" i="3"/>
  <c r="AO107" i="3"/>
  <c r="AM107" i="3"/>
  <c r="K107" i="3"/>
  <c r="AH107" i="3"/>
  <c r="W107" i="3"/>
  <c r="F107" i="3"/>
  <c r="AW107" i="3"/>
  <c r="S107" i="3"/>
  <c r="AB107" i="3"/>
  <c r="AV107" i="3" l="1"/>
  <c r="M107" i="3"/>
  <c r="N107" i="3" s="1"/>
  <c r="AU107" i="3"/>
  <c r="O107" i="3"/>
  <c r="P107" i="3" s="1"/>
  <c r="E108" i="3"/>
  <c r="Y108" i="3"/>
  <c r="AQ108" i="3"/>
  <c r="S108" i="3"/>
  <c r="D108" i="3"/>
  <c r="AM108" i="3"/>
  <c r="AB108" i="3"/>
  <c r="AH108" i="3"/>
  <c r="L108" i="3"/>
  <c r="Q108" i="3"/>
  <c r="AT108" i="3"/>
  <c r="W108" i="3"/>
  <c r="F108" i="3"/>
  <c r="AF108" i="3"/>
  <c r="AW108" i="3"/>
  <c r="A109" i="3"/>
  <c r="U108" i="3"/>
  <c r="K108" i="3"/>
  <c r="AO108" i="3"/>
  <c r="AJ108" i="3"/>
  <c r="AX108" i="3"/>
  <c r="A110" i="3" l="1"/>
  <c r="AT109" i="3"/>
  <c r="Y109" i="3"/>
  <c r="AQ109" i="3"/>
  <c r="U109" i="3"/>
  <c r="AJ109" i="3"/>
  <c r="K109" i="3"/>
  <c r="AB109" i="3"/>
  <c r="AH109" i="3"/>
  <c r="AX109" i="3"/>
  <c r="Q109" i="3"/>
  <c r="W109" i="3"/>
  <c r="S109" i="3"/>
  <c r="F109" i="3"/>
  <c r="AF109" i="3"/>
  <c r="AW109" i="3"/>
  <c r="AO109" i="3"/>
  <c r="D109" i="3"/>
  <c r="E109" i="3"/>
  <c r="AM109" i="3"/>
  <c r="L109" i="3"/>
  <c r="M108" i="3"/>
  <c r="N108" i="3" s="1"/>
  <c r="AU108" i="3"/>
  <c r="O108" i="3"/>
  <c r="P108" i="3" s="1"/>
  <c r="AV108" i="3"/>
  <c r="AV109" i="3" l="1"/>
  <c r="O109" i="3"/>
  <c r="P109" i="3" s="1"/>
  <c r="M109" i="3"/>
  <c r="N109" i="3" s="1"/>
  <c r="AU109" i="3"/>
  <c r="AT110" i="3"/>
  <c r="S110" i="3"/>
  <c r="A111" i="3"/>
  <c r="AO110" i="3"/>
  <c r="AM110" i="3"/>
  <c r="D110" i="3"/>
  <c r="AB110" i="3"/>
  <c r="AH110" i="3"/>
  <c r="L110" i="3"/>
  <c r="AX110" i="3"/>
  <c r="W110" i="3"/>
  <c r="U110" i="3"/>
  <c r="AQ110" i="3"/>
  <c r="F110" i="3"/>
  <c r="K110" i="3"/>
  <c r="Q110" i="3"/>
  <c r="Y110" i="3"/>
  <c r="AJ110" i="3"/>
  <c r="AW110" i="3"/>
  <c r="E110" i="3"/>
  <c r="AF110" i="3"/>
  <c r="M110" i="3" l="1"/>
  <c r="N110" i="3" s="1"/>
  <c r="AU110" i="3"/>
  <c r="O110" i="3"/>
  <c r="P110" i="3" s="1"/>
  <c r="AV110" i="3"/>
  <c r="A112" i="3"/>
  <c r="AT111" i="3"/>
  <c r="Y111" i="3"/>
  <c r="AQ111" i="3"/>
  <c r="U111" i="3"/>
  <c r="AJ111" i="3"/>
  <c r="D111" i="3"/>
  <c r="L111" i="3"/>
  <c r="AF111" i="3"/>
  <c r="AX111" i="3"/>
  <c r="Q111" i="3"/>
  <c r="E111" i="3"/>
  <c r="AO111" i="3"/>
  <c r="AM111" i="3"/>
  <c r="K111" i="3"/>
  <c r="AH111" i="3"/>
  <c r="S111" i="3"/>
  <c r="AB111" i="3"/>
  <c r="W111" i="3"/>
  <c r="F111" i="3"/>
  <c r="AW111" i="3"/>
  <c r="AV111" i="3" l="1"/>
  <c r="M111" i="3"/>
  <c r="N111" i="3" s="1"/>
  <c r="AU111" i="3"/>
  <c r="O111" i="3"/>
  <c r="P111" i="3" s="1"/>
  <c r="E112" i="3"/>
  <c r="Y112" i="3"/>
  <c r="AO112" i="3"/>
  <c r="D112" i="3"/>
  <c r="S112" i="3"/>
  <c r="AM112" i="3"/>
  <c r="AB112" i="3"/>
  <c r="AH112" i="3"/>
  <c r="L112" i="3"/>
  <c r="Q112" i="3"/>
  <c r="AT112" i="3"/>
  <c r="AQ112" i="3"/>
  <c r="U112" i="3"/>
  <c r="AF112" i="3"/>
  <c r="AW112" i="3"/>
  <c r="W112" i="3"/>
  <c r="AJ112" i="3"/>
  <c r="AX112" i="3"/>
  <c r="A113" i="3"/>
  <c r="F112" i="3"/>
  <c r="K112" i="3"/>
  <c r="M112" i="3" l="1"/>
  <c r="N112" i="3" s="1"/>
  <c r="AU112" i="3"/>
  <c r="O112" i="3"/>
  <c r="P112" i="3" s="1"/>
  <c r="AV112" i="3"/>
  <c r="A114" i="3"/>
  <c r="AT113" i="3"/>
  <c r="Y113" i="3"/>
  <c r="AQ113" i="3"/>
  <c r="U113" i="3"/>
  <c r="AJ113" i="3"/>
  <c r="K113" i="3"/>
  <c r="AB113" i="3"/>
  <c r="AH113" i="3"/>
  <c r="AX113" i="3"/>
  <c r="Q113" i="3"/>
  <c r="W113" i="3"/>
  <c r="S113" i="3"/>
  <c r="F113" i="3"/>
  <c r="AF113" i="3"/>
  <c r="AW113" i="3"/>
  <c r="E113" i="3"/>
  <c r="AM113" i="3"/>
  <c r="L113" i="3"/>
  <c r="AO113" i="3"/>
  <c r="D113" i="3"/>
  <c r="AV113" i="3" l="1"/>
  <c r="O113" i="3"/>
  <c r="P113" i="3" s="1"/>
  <c r="AU113" i="3"/>
  <c r="M113" i="3"/>
  <c r="N113" i="3" s="1"/>
  <c r="E114" i="3"/>
  <c r="S114" i="3"/>
  <c r="AT114" i="3"/>
  <c r="AO114" i="3"/>
  <c r="AM114" i="3"/>
  <c r="D114" i="3"/>
  <c r="AF114" i="3"/>
  <c r="F114" i="3"/>
  <c r="L114" i="3"/>
  <c r="AX114" i="3"/>
  <c r="A115" i="3"/>
  <c r="U114" i="3"/>
  <c r="AQ114" i="3"/>
  <c r="AB114" i="3"/>
  <c r="K114" i="3"/>
  <c r="Q114" i="3"/>
  <c r="Y114" i="3"/>
  <c r="AH114" i="3"/>
  <c r="W114" i="3"/>
  <c r="AJ114" i="3"/>
  <c r="AW114" i="3"/>
  <c r="M114" i="3" l="1"/>
  <c r="N114" i="3" s="1"/>
  <c r="AU114" i="3"/>
  <c r="O114" i="3"/>
  <c r="P114" i="3" s="1"/>
  <c r="AV114" i="3"/>
  <c r="A116" i="3"/>
  <c r="AT115" i="3"/>
  <c r="Y115" i="3"/>
  <c r="AQ115" i="3"/>
  <c r="U115" i="3"/>
  <c r="AJ115" i="3"/>
  <c r="D115" i="3"/>
  <c r="L115" i="3"/>
  <c r="AF115" i="3"/>
  <c r="AX115" i="3"/>
  <c r="Q115" i="3"/>
  <c r="E115" i="3"/>
  <c r="AO115" i="3"/>
  <c r="AM115" i="3"/>
  <c r="K115" i="3"/>
  <c r="AH115" i="3"/>
  <c r="W115" i="3"/>
  <c r="F115" i="3"/>
  <c r="AW115" i="3"/>
  <c r="S115" i="3"/>
  <c r="AB115" i="3"/>
  <c r="AV115" i="3" l="1"/>
  <c r="M115" i="3"/>
  <c r="N115" i="3" s="1"/>
  <c r="AU115" i="3"/>
  <c r="O115" i="3"/>
  <c r="P115" i="3" s="1"/>
  <c r="E116" i="3"/>
  <c r="Y116" i="3"/>
  <c r="AQ116" i="3"/>
  <c r="S116" i="3"/>
  <c r="D116" i="3"/>
  <c r="AM116" i="3"/>
  <c r="AB116" i="3"/>
  <c r="AH116" i="3"/>
  <c r="L116" i="3"/>
  <c r="Q116" i="3"/>
  <c r="AT116" i="3"/>
  <c r="W116" i="3"/>
  <c r="F116" i="3"/>
  <c r="AF116" i="3"/>
  <c r="AW116" i="3"/>
  <c r="A117" i="3"/>
  <c r="U116" i="3"/>
  <c r="K116" i="3"/>
  <c r="AO116" i="3"/>
  <c r="AJ116" i="3"/>
  <c r="AX116" i="3"/>
  <c r="A118" i="3" l="1"/>
  <c r="AT117" i="3"/>
  <c r="Y117" i="3"/>
  <c r="AQ117" i="3"/>
  <c r="U117" i="3"/>
  <c r="AJ117" i="3"/>
  <c r="K117" i="3"/>
  <c r="AB117" i="3"/>
  <c r="AH117" i="3"/>
  <c r="AX117" i="3"/>
  <c r="Q117" i="3"/>
  <c r="W117" i="3"/>
  <c r="S117" i="3"/>
  <c r="F117" i="3"/>
  <c r="AF117" i="3"/>
  <c r="AW117" i="3"/>
  <c r="AO117" i="3"/>
  <c r="D117" i="3"/>
  <c r="E117" i="3"/>
  <c r="AM117" i="3"/>
  <c r="L117" i="3"/>
  <c r="M116" i="3"/>
  <c r="N116" i="3" s="1"/>
  <c r="AU116" i="3"/>
  <c r="O116" i="3"/>
  <c r="P116" i="3" s="1"/>
  <c r="AV116" i="3"/>
  <c r="AV117" i="3" l="1"/>
  <c r="O117" i="3"/>
  <c r="P117" i="3" s="1"/>
  <c r="M117" i="3"/>
  <c r="N117" i="3" s="1"/>
  <c r="AU117" i="3"/>
  <c r="W118" i="3"/>
  <c r="AT118" i="3"/>
  <c r="S118" i="3"/>
  <c r="AO118" i="3"/>
  <c r="AM118" i="3"/>
  <c r="D118" i="3"/>
  <c r="AB118" i="3"/>
  <c r="AH118" i="3"/>
  <c r="L118" i="3"/>
  <c r="AX118" i="3"/>
  <c r="A119" i="3"/>
  <c r="Y118" i="3"/>
  <c r="AQ118" i="3"/>
  <c r="F118" i="3"/>
  <c r="K118" i="3"/>
  <c r="Q118" i="3"/>
  <c r="E118" i="3"/>
  <c r="AJ118" i="3"/>
  <c r="AW118" i="3"/>
  <c r="U118" i="3"/>
  <c r="AF118" i="3"/>
  <c r="M118" i="3" l="1"/>
  <c r="N118" i="3" s="1"/>
  <c r="AU118" i="3"/>
  <c r="O118" i="3"/>
  <c r="P118" i="3" s="1"/>
  <c r="AV118" i="3"/>
  <c r="A120" i="3"/>
  <c r="AT119" i="3"/>
  <c r="Y119" i="3"/>
  <c r="AQ119" i="3"/>
  <c r="U119" i="3"/>
  <c r="AJ119" i="3"/>
  <c r="D119" i="3"/>
  <c r="L119" i="3"/>
  <c r="AF119" i="3"/>
  <c r="AX119" i="3"/>
  <c r="Q119" i="3"/>
  <c r="E119" i="3"/>
  <c r="AO119" i="3"/>
  <c r="AM119" i="3"/>
  <c r="K119" i="3"/>
  <c r="AH119" i="3"/>
  <c r="S119" i="3"/>
  <c r="AB119" i="3"/>
  <c r="W119" i="3"/>
  <c r="F119" i="3"/>
  <c r="AW119" i="3"/>
  <c r="AV119" i="3" l="1"/>
  <c r="M119" i="3"/>
  <c r="N119" i="3" s="1"/>
  <c r="AU119" i="3"/>
  <c r="O119" i="3"/>
  <c r="P119" i="3" s="1"/>
  <c r="E120" i="3"/>
  <c r="Y120" i="3"/>
  <c r="AO120" i="3"/>
  <c r="D120" i="3"/>
  <c r="S120" i="3"/>
  <c r="AM120" i="3"/>
  <c r="AB120" i="3"/>
  <c r="AH120" i="3"/>
  <c r="L120" i="3"/>
  <c r="Q120" i="3"/>
  <c r="AT120" i="3"/>
  <c r="AQ120" i="3"/>
  <c r="U120" i="3"/>
  <c r="AF120" i="3"/>
  <c r="AW120" i="3"/>
  <c r="W120" i="3"/>
  <c r="AJ120" i="3"/>
  <c r="AX120" i="3"/>
  <c r="A121" i="3"/>
  <c r="F120" i="3"/>
  <c r="K120" i="3"/>
  <c r="M120" i="3" l="1"/>
  <c r="N120" i="3" s="1"/>
  <c r="AU120" i="3"/>
  <c r="O120" i="3"/>
  <c r="P120" i="3" s="1"/>
  <c r="AV120" i="3"/>
  <c r="A122" i="3"/>
  <c r="AT121" i="3"/>
  <c r="Y121" i="3"/>
  <c r="AQ121" i="3"/>
  <c r="U121" i="3"/>
  <c r="AJ121" i="3"/>
  <c r="K121" i="3"/>
  <c r="AB121" i="3"/>
  <c r="AH121" i="3"/>
  <c r="AX121" i="3"/>
  <c r="Q121" i="3"/>
  <c r="W121" i="3"/>
  <c r="S121" i="3"/>
  <c r="F121" i="3"/>
  <c r="AF121" i="3"/>
  <c r="AW121" i="3"/>
  <c r="E121" i="3"/>
  <c r="AM121" i="3"/>
  <c r="L121" i="3"/>
  <c r="AO121" i="3"/>
  <c r="D121" i="3"/>
  <c r="AV121" i="3" l="1"/>
  <c r="O121" i="3"/>
  <c r="P121" i="3" s="1"/>
  <c r="AU121" i="3"/>
  <c r="M121" i="3"/>
  <c r="N121" i="3" s="1"/>
  <c r="E122" i="3"/>
  <c r="S122" i="3"/>
  <c r="AT122" i="3"/>
  <c r="AO122" i="3"/>
  <c r="AM122" i="3"/>
  <c r="D122" i="3"/>
  <c r="AF122" i="3"/>
  <c r="F122" i="3"/>
  <c r="L122" i="3"/>
  <c r="AX122" i="3"/>
  <c r="A123" i="3"/>
  <c r="U122" i="3"/>
  <c r="AQ122" i="3"/>
  <c r="AB122" i="3"/>
  <c r="K122" i="3"/>
  <c r="Q122" i="3"/>
  <c r="Y122" i="3"/>
  <c r="AH122" i="3"/>
  <c r="W122" i="3"/>
  <c r="AJ122" i="3"/>
  <c r="AW122" i="3"/>
  <c r="M122" i="3" l="1"/>
  <c r="N122" i="3" s="1"/>
  <c r="AU122" i="3"/>
  <c r="O122" i="3"/>
  <c r="P122" i="3" s="1"/>
  <c r="AV122" i="3"/>
  <c r="A124" i="3"/>
  <c r="AT123" i="3"/>
  <c r="Y123" i="3"/>
  <c r="AQ123" i="3"/>
  <c r="U123" i="3"/>
  <c r="AJ123" i="3"/>
  <c r="D123" i="3"/>
  <c r="L123" i="3"/>
  <c r="AF123" i="3"/>
  <c r="AX123" i="3"/>
  <c r="Q123" i="3"/>
  <c r="E123" i="3"/>
  <c r="AO123" i="3"/>
  <c r="AM123" i="3"/>
  <c r="K123" i="3"/>
  <c r="AH123" i="3"/>
  <c r="W123" i="3"/>
  <c r="F123" i="3"/>
  <c r="AW123" i="3"/>
  <c r="S123" i="3"/>
  <c r="AB123" i="3"/>
  <c r="AV123" i="3" l="1"/>
  <c r="M123" i="3"/>
  <c r="N123" i="3" s="1"/>
  <c r="AU123" i="3"/>
  <c r="O123" i="3"/>
  <c r="P123" i="3" s="1"/>
  <c r="E124" i="3"/>
  <c r="Y124" i="3"/>
  <c r="AQ124" i="3"/>
  <c r="S124" i="3"/>
  <c r="D124" i="3"/>
  <c r="AM124" i="3"/>
  <c r="AB124" i="3"/>
  <c r="AH124" i="3"/>
  <c r="L124" i="3"/>
  <c r="Q124" i="3"/>
  <c r="AT124" i="3"/>
  <c r="W124" i="3"/>
  <c r="F124" i="3"/>
  <c r="AF124" i="3"/>
  <c r="AW124" i="3"/>
  <c r="A125" i="3"/>
  <c r="U124" i="3"/>
  <c r="K124" i="3"/>
  <c r="AO124" i="3"/>
  <c r="AJ124" i="3"/>
  <c r="AX124" i="3"/>
  <c r="A126" i="3" l="1"/>
  <c r="AT125" i="3"/>
  <c r="Y125" i="3"/>
  <c r="AQ125" i="3"/>
  <c r="U125" i="3"/>
  <c r="AJ125" i="3"/>
  <c r="K125" i="3"/>
  <c r="AB125" i="3"/>
  <c r="AH125" i="3"/>
  <c r="AX125" i="3"/>
  <c r="Q125" i="3"/>
  <c r="W125" i="3"/>
  <c r="S125" i="3"/>
  <c r="F125" i="3"/>
  <c r="AF125" i="3"/>
  <c r="AW125" i="3"/>
  <c r="AO125" i="3"/>
  <c r="D125" i="3"/>
  <c r="E125" i="3"/>
  <c r="AM125" i="3"/>
  <c r="L125" i="3"/>
  <c r="M124" i="3"/>
  <c r="N124" i="3" s="1"/>
  <c r="AU124" i="3"/>
  <c r="O124" i="3"/>
  <c r="P124" i="3" s="1"/>
  <c r="AV124" i="3"/>
  <c r="AV125" i="3" l="1"/>
  <c r="O125" i="3"/>
  <c r="P125" i="3" s="1"/>
  <c r="M125" i="3"/>
  <c r="N125" i="3" s="1"/>
  <c r="AU125" i="3"/>
  <c r="A127" i="3"/>
  <c r="Y126" i="3"/>
  <c r="U126" i="3"/>
  <c r="AO126" i="3"/>
  <c r="AM126" i="3"/>
  <c r="D126" i="3"/>
  <c r="AB126" i="3"/>
  <c r="AH126" i="3"/>
  <c r="L126" i="3"/>
  <c r="AX126" i="3"/>
  <c r="W126" i="3"/>
  <c r="S126" i="3"/>
  <c r="AQ126" i="3"/>
  <c r="F126" i="3"/>
  <c r="K126" i="3"/>
  <c r="Q126" i="3"/>
  <c r="AT126" i="3"/>
  <c r="AJ126" i="3"/>
  <c r="AW126" i="3"/>
  <c r="E126" i="3"/>
  <c r="AF126" i="3"/>
  <c r="M126" i="3" l="1"/>
  <c r="N126" i="3" s="1"/>
  <c r="AU126" i="3"/>
  <c r="O126" i="3"/>
  <c r="P126" i="3" s="1"/>
  <c r="AV126" i="3"/>
  <c r="A128" i="3"/>
  <c r="AT127" i="3"/>
  <c r="Y127" i="3"/>
  <c r="AQ127" i="3"/>
  <c r="U127" i="3"/>
  <c r="AJ127" i="3"/>
  <c r="D127" i="3"/>
  <c r="L127" i="3"/>
  <c r="AF127" i="3"/>
  <c r="AX127" i="3"/>
  <c r="Q127" i="3"/>
  <c r="E127" i="3"/>
  <c r="AO127" i="3"/>
  <c r="AM127" i="3"/>
  <c r="K127" i="3"/>
  <c r="AH127" i="3"/>
  <c r="S127" i="3"/>
  <c r="AB127" i="3"/>
  <c r="W127" i="3"/>
  <c r="F127" i="3"/>
  <c r="AW127" i="3"/>
  <c r="AV127" i="3" l="1"/>
  <c r="M127" i="3"/>
  <c r="N127" i="3" s="1"/>
  <c r="AU127" i="3"/>
  <c r="O127" i="3"/>
  <c r="P127" i="3" s="1"/>
  <c r="E128" i="3"/>
  <c r="Y128" i="3"/>
  <c r="AO128" i="3"/>
  <c r="D128" i="3"/>
  <c r="S128" i="3"/>
  <c r="AM128" i="3"/>
  <c r="AB128" i="3"/>
  <c r="AH128" i="3"/>
  <c r="L128" i="3"/>
  <c r="Q128" i="3"/>
  <c r="AT128" i="3"/>
  <c r="AQ128" i="3"/>
  <c r="U128" i="3"/>
  <c r="AF128" i="3"/>
  <c r="AW128" i="3"/>
  <c r="W128" i="3"/>
  <c r="AJ128" i="3"/>
  <c r="AX128" i="3"/>
  <c r="A129" i="3"/>
  <c r="F128" i="3"/>
  <c r="K128" i="3"/>
  <c r="M128" i="3" l="1"/>
  <c r="N128" i="3" s="1"/>
  <c r="AU128" i="3"/>
  <c r="O128" i="3"/>
  <c r="P128" i="3" s="1"/>
  <c r="AV128" i="3"/>
  <c r="A130" i="3"/>
  <c r="AT129" i="3"/>
  <c r="Y129" i="3"/>
  <c r="AQ129" i="3"/>
  <c r="U129" i="3"/>
  <c r="AJ129" i="3"/>
  <c r="K129" i="3"/>
  <c r="AB129" i="3"/>
  <c r="AH129" i="3"/>
  <c r="AX129" i="3"/>
  <c r="Q129" i="3"/>
  <c r="W129" i="3"/>
  <c r="S129" i="3"/>
  <c r="F129" i="3"/>
  <c r="AF129" i="3"/>
  <c r="AW129" i="3"/>
  <c r="E129" i="3"/>
  <c r="AM129" i="3"/>
  <c r="L129" i="3"/>
  <c r="AO129" i="3"/>
  <c r="D129" i="3"/>
  <c r="AV129" i="3" l="1"/>
  <c r="O129" i="3"/>
  <c r="P129" i="3" s="1"/>
  <c r="AU129" i="3"/>
  <c r="M129" i="3"/>
  <c r="N129" i="3" s="1"/>
  <c r="E130" i="3"/>
  <c r="S130" i="3"/>
  <c r="AT130" i="3"/>
  <c r="AO130" i="3"/>
  <c r="AM130" i="3"/>
  <c r="D130" i="3"/>
  <c r="AF130" i="3"/>
  <c r="F130" i="3"/>
  <c r="L130" i="3"/>
  <c r="AX130" i="3"/>
  <c r="A131" i="3"/>
  <c r="U130" i="3"/>
  <c r="AQ130" i="3"/>
  <c r="AB130" i="3"/>
  <c r="K130" i="3"/>
  <c r="Q130" i="3"/>
  <c r="Y130" i="3"/>
  <c r="AH130" i="3"/>
  <c r="W130" i="3"/>
  <c r="AJ130" i="3"/>
  <c r="AW130" i="3"/>
  <c r="M130" i="3" l="1"/>
  <c r="N130" i="3" s="1"/>
  <c r="AU130" i="3"/>
  <c r="O130" i="3"/>
  <c r="P130" i="3" s="1"/>
  <c r="AV130" i="3"/>
  <c r="A132" i="3"/>
  <c r="AT131" i="3"/>
  <c r="Y131" i="3"/>
  <c r="AQ131" i="3"/>
  <c r="U131" i="3"/>
  <c r="AJ131" i="3"/>
  <c r="D131" i="3"/>
  <c r="L131" i="3"/>
  <c r="AF131" i="3"/>
  <c r="AX131" i="3"/>
  <c r="Q131" i="3"/>
  <c r="E131" i="3"/>
  <c r="AO131" i="3"/>
  <c r="AM131" i="3"/>
  <c r="K131" i="3"/>
  <c r="AH131" i="3"/>
  <c r="W131" i="3"/>
  <c r="F131" i="3"/>
  <c r="AW131" i="3"/>
  <c r="S131" i="3"/>
  <c r="AB131" i="3"/>
  <c r="AV131" i="3" l="1"/>
  <c r="M131" i="3"/>
  <c r="N131" i="3" s="1"/>
  <c r="AU131" i="3"/>
  <c r="O131" i="3"/>
  <c r="P131" i="3" s="1"/>
  <c r="E132" i="3"/>
  <c r="Y132" i="3"/>
  <c r="AQ132" i="3"/>
  <c r="S132" i="3"/>
  <c r="D132" i="3"/>
  <c r="AM132" i="3"/>
  <c r="AB132" i="3"/>
  <c r="AH132" i="3"/>
  <c r="L132" i="3"/>
  <c r="AX132" i="3"/>
  <c r="AT132" i="3"/>
  <c r="W132" i="3"/>
  <c r="F132" i="3"/>
  <c r="AF132" i="3"/>
  <c r="AW132" i="3"/>
  <c r="A133" i="3"/>
  <c r="U132" i="3"/>
  <c r="K132" i="3"/>
  <c r="AO132" i="3"/>
  <c r="AJ132" i="3"/>
  <c r="Q132" i="3"/>
  <c r="A134" i="3" l="1"/>
  <c r="AT133" i="3"/>
  <c r="Y133" i="3"/>
  <c r="AQ133" i="3"/>
  <c r="U133" i="3"/>
  <c r="AJ133" i="3"/>
  <c r="K133" i="3"/>
  <c r="AB133" i="3"/>
  <c r="AH133" i="3"/>
  <c r="AX133" i="3"/>
  <c r="Q133" i="3"/>
  <c r="W133" i="3"/>
  <c r="S133" i="3"/>
  <c r="F133" i="3"/>
  <c r="AF133" i="3"/>
  <c r="AW133" i="3"/>
  <c r="AO133" i="3"/>
  <c r="D133" i="3"/>
  <c r="E133" i="3"/>
  <c r="AM133" i="3"/>
  <c r="L133" i="3"/>
  <c r="M132" i="3"/>
  <c r="N132" i="3" s="1"/>
  <c r="AU132" i="3"/>
  <c r="O132" i="3"/>
  <c r="P132" i="3" s="1"/>
  <c r="AV132" i="3"/>
  <c r="AV133" i="3" l="1"/>
  <c r="O133" i="3"/>
  <c r="P133" i="3" s="1"/>
  <c r="M133" i="3"/>
  <c r="N133" i="3" s="1"/>
  <c r="AU133" i="3"/>
  <c r="W134" i="3"/>
  <c r="AT134" i="3"/>
  <c r="S134" i="3"/>
  <c r="AO134" i="3"/>
  <c r="AM134" i="3"/>
  <c r="D134" i="3"/>
  <c r="AB134" i="3"/>
  <c r="AH134" i="3"/>
  <c r="L134" i="3"/>
  <c r="Q134" i="3"/>
  <c r="A135" i="3"/>
  <c r="Y134" i="3"/>
  <c r="AQ134" i="3"/>
  <c r="F134" i="3"/>
  <c r="K134" i="3"/>
  <c r="AX134" i="3"/>
  <c r="E134" i="3"/>
  <c r="AJ134" i="3"/>
  <c r="AW134" i="3"/>
  <c r="U134" i="3"/>
  <c r="AF134" i="3"/>
  <c r="M134" i="3" l="1"/>
  <c r="N134" i="3" s="1"/>
  <c r="AU134" i="3"/>
  <c r="O134" i="3"/>
  <c r="P134" i="3" s="1"/>
  <c r="AV134" i="3"/>
  <c r="A136" i="3"/>
  <c r="AT135" i="3"/>
  <c r="Y135" i="3"/>
  <c r="AQ135" i="3"/>
  <c r="U135" i="3"/>
  <c r="AJ135" i="3"/>
  <c r="D135" i="3"/>
  <c r="L135" i="3"/>
  <c r="AF135" i="3"/>
  <c r="AX135" i="3"/>
  <c r="Q135" i="3"/>
  <c r="E135" i="3"/>
  <c r="AO135" i="3"/>
  <c r="AM135" i="3"/>
  <c r="K135" i="3"/>
  <c r="AH135" i="3"/>
  <c r="S135" i="3"/>
  <c r="AB135" i="3"/>
  <c r="W135" i="3"/>
  <c r="F135" i="3"/>
  <c r="AW135" i="3"/>
  <c r="AV135" i="3" l="1"/>
  <c r="M135" i="3"/>
  <c r="N135" i="3" s="1"/>
  <c r="AU135" i="3"/>
  <c r="O135" i="3"/>
  <c r="P135" i="3" s="1"/>
  <c r="E136" i="3"/>
  <c r="Y136" i="3"/>
  <c r="AO136" i="3"/>
  <c r="D136" i="3"/>
  <c r="S136" i="3"/>
  <c r="AM136" i="3"/>
  <c r="AB136" i="3"/>
  <c r="AH136" i="3"/>
  <c r="L136" i="3"/>
  <c r="AX136" i="3"/>
  <c r="AT136" i="3"/>
  <c r="AQ136" i="3"/>
  <c r="U136" i="3"/>
  <c r="AF136" i="3"/>
  <c r="AW136" i="3"/>
  <c r="W136" i="3"/>
  <c r="AJ136" i="3"/>
  <c r="Q136" i="3"/>
  <c r="A137" i="3"/>
  <c r="F136" i="3"/>
  <c r="K136" i="3"/>
  <c r="M136" i="3" l="1"/>
  <c r="N136" i="3" s="1"/>
  <c r="AU136" i="3"/>
  <c r="O136" i="3"/>
  <c r="P136" i="3" s="1"/>
  <c r="AV136" i="3"/>
  <c r="A138" i="3"/>
  <c r="AT137" i="3"/>
  <c r="Y137" i="3"/>
  <c r="AQ137" i="3"/>
  <c r="U137" i="3"/>
  <c r="AJ137" i="3"/>
  <c r="K137" i="3"/>
  <c r="AB137" i="3"/>
  <c r="AH137" i="3"/>
  <c r="AX137" i="3"/>
  <c r="Q137" i="3"/>
  <c r="W137" i="3"/>
  <c r="S137" i="3"/>
  <c r="F137" i="3"/>
  <c r="AF137" i="3"/>
  <c r="AW137" i="3"/>
  <c r="E137" i="3"/>
  <c r="AM137" i="3"/>
  <c r="L137" i="3"/>
  <c r="AO137" i="3"/>
  <c r="D137" i="3"/>
  <c r="AV137" i="3" l="1"/>
  <c r="O137" i="3"/>
  <c r="P137" i="3" s="1"/>
  <c r="AU137" i="3"/>
  <c r="M137" i="3"/>
  <c r="N137" i="3" s="1"/>
  <c r="E138" i="3"/>
  <c r="S138" i="3"/>
  <c r="AT138" i="3"/>
  <c r="AO138" i="3"/>
  <c r="AM138" i="3"/>
  <c r="D138" i="3"/>
  <c r="AF138" i="3"/>
  <c r="F138" i="3"/>
  <c r="L138" i="3"/>
  <c r="Q138" i="3"/>
  <c r="A139" i="3"/>
  <c r="U138" i="3"/>
  <c r="AQ138" i="3"/>
  <c r="AB138" i="3"/>
  <c r="K138" i="3"/>
  <c r="AX138" i="3"/>
  <c r="Y138" i="3"/>
  <c r="AH138" i="3"/>
  <c r="W138" i="3"/>
  <c r="AJ138" i="3"/>
  <c r="AW138" i="3"/>
  <c r="M138" i="3" l="1"/>
  <c r="N138" i="3" s="1"/>
  <c r="AU138" i="3"/>
  <c r="O138" i="3"/>
  <c r="P138" i="3" s="1"/>
  <c r="AV138" i="3"/>
  <c r="A140" i="3"/>
  <c r="AT139" i="3"/>
  <c r="Y139" i="3"/>
  <c r="AQ139" i="3"/>
  <c r="U139" i="3"/>
  <c r="AJ139" i="3"/>
  <c r="D139" i="3"/>
  <c r="L139" i="3"/>
  <c r="AF139" i="3"/>
  <c r="AX139" i="3"/>
  <c r="Q139" i="3"/>
  <c r="E139" i="3"/>
  <c r="AO139" i="3"/>
  <c r="AM139" i="3"/>
  <c r="K139" i="3"/>
  <c r="AH139" i="3"/>
  <c r="W139" i="3"/>
  <c r="F139" i="3"/>
  <c r="AW139" i="3"/>
  <c r="S139" i="3"/>
  <c r="AB139" i="3"/>
  <c r="AV139" i="3" l="1"/>
  <c r="M139" i="3"/>
  <c r="N139" i="3" s="1"/>
  <c r="AU139" i="3"/>
  <c r="O139" i="3"/>
  <c r="P139" i="3" s="1"/>
  <c r="E140" i="3"/>
  <c r="Y140" i="3"/>
  <c r="AQ140" i="3"/>
  <c r="S140" i="3"/>
  <c r="D140" i="3"/>
  <c r="AM140" i="3"/>
  <c r="AB140" i="3"/>
  <c r="AH140" i="3"/>
  <c r="L140" i="3"/>
  <c r="AX140" i="3"/>
  <c r="AT140" i="3"/>
  <c r="W140" i="3"/>
  <c r="F140" i="3"/>
  <c r="AF140" i="3"/>
  <c r="AW140" i="3"/>
  <c r="A141" i="3"/>
  <c r="U140" i="3"/>
  <c r="K140" i="3"/>
  <c r="AO140" i="3"/>
  <c r="AJ140" i="3"/>
  <c r="Q140" i="3"/>
  <c r="A142" i="3" l="1"/>
  <c r="AT141" i="3"/>
  <c r="Y141" i="3"/>
  <c r="AQ141" i="3"/>
  <c r="U141" i="3"/>
  <c r="AJ141" i="3"/>
  <c r="K141" i="3"/>
  <c r="AB141" i="3"/>
  <c r="AH141" i="3"/>
  <c r="AX141" i="3"/>
  <c r="Q141" i="3"/>
  <c r="W141" i="3"/>
  <c r="S141" i="3"/>
  <c r="F141" i="3"/>
  <c r="AF141" i="3"/>
  <c r="AW141" i="3"/>
  <c r="AO141" i="3"/>
  <c r="D141" i="3"/>
  <c r="E141" i="3"/>
  <c r="AM141" i="3"/>
  <c r="L141" i="3"/>
  <c r="M140" i="3"/>
  <c r="N140" i="3" s="1"/>
  <c r="AU140" i="3"/>
  <c r="O140" i="3"/>
  <c r="P140" i="3" s="1"/>
  <c r="AV140" i="3"/>
  <c r="AV141" i="3" l="1"/>
  <c r="O141" i="3"/>
  <c r="P141" i="3" s="1"/>
  <c r="M141" i="3"/>
  <c r="N141" i="3" s="1"/>
  <c r="AU141" i="3"/>
  <c r="AT142" i="3"/>
  <c r="U142" i="3"/>
  <c r="E142" i="3"/>
  <c r="AO142" i="3"/>
  <c r="AM142" i="3"/>
  <c r="D142" i="3"/>
  <c r="AB142" i="3"/>
  <c r="AH142" i="3"/>
  <c r="L142" i="3"/>
  <c r="Q142" i="3"/>
  <c r="W142" i="3"/>
  <c r="A143" i="3"/>
  <c r="AQ142" i="3"/>
  <c r="F142" i="3"/>
  <c r="K142" i="3"/>
  <c r="AX142" i="3"/>
  <c r="S142" i="3"/>
  <c r="AJ142" i="3"/>
  <c r="AW142" i="3"/>
  <c r="Y142" i="3"/>
  <c r="AF142" i="3"/>
  <c r="A144" i="3" l="1"/>
  <c r="AT143" i="3"/>
  <c r="Y143" i="3"/>
  <c r="AQ143" i="3"/>
  <c r="U143" i="3"/>
  <c r="AJ143" i="3"/>
  <c r="D143" i="3"/>
  <c r="L143" i="3"/>
  <c r="AF143" i="3"/>
  <c r="AX143" i="3"/>
  <c r="Q143" i="3"/>
  <c r="E143" i="3"/>
  <c r="AO143" i="3"/>
  <c r="AM143" i="3"/>
  <c r="K143" i="3"/>
  <c r="AH143" i="3"/>
  <c r="S143" i="3"/>
  <c r="AB143" i="3"/>
  <c r="W143" i="3"/>
  <c r="F143" i="3"/>
  <c r="AW143" i="3"/>
  <c r="M142" i="3"/>
  <c r="N142" i="3" s="1"/>
  <c r="AU142" i="3"/>
  <c r="O142" i="3"/>
  <c r="P142" i="3" s="1"/>
  <c r="AV142" i="3"/>
  <c r="AV143" i="3" l="1"/>
  <c r="M143" i="3"/>
  <c r="N143" i="3" s="1"/>
  <c r="AU143" i="3"/>
  <c r="O143" i="3"/>
  <c r="P143" i="3" s="1"/>
  <c r="AT144" i="3"/>
  <c r="Y144" i="3"/>
  <c r="AQ144" i="3"/>
  <c r="F144" i="3"/>
  <c r="U144" i="3"/>
  <c r="AJ144" i="3"/>
  <c r="AF144" i="3"/>
  <c r="K144" i="3"/>
  <c r="AW144" i="3"/>
  <c r="Q144" i="3"/>
  <c r="W144" i="3"/>
  <c r="D144" i="3"/>
  <c r="AM144" i="3"/>
  <c r="AH144" i="3"/>
  <c r="AX144" i="3"/>
  <c r="AO144" i="3"/>
  <c r="AB144" i="3"/>
  <c r="E144" i="3"/>
  <c r="A145" i="3"/>
  <c r="S144" i="3"/>
  <c r="L144" i="3"/>
  <c r="M144" i="3" l="1"/>
  <c r="N144" i="3" s="1"/>
  <c r="AU144" i="3"/>
  <c r="O144" i="3"/>
  <c r="P144" i="3" s="1"/>
  <c r="AV144" i="3"/>
  <c r="A146" i="3"/>
  <c r="AT145" i="3"/>
  <c r="Y145" i="3"/>
  <c r="AQ145" i="3"/>
  <c r="U145" i="3"/>
  <c r="AJ145" i="3"/>
  <c r="K145" i="3"/>
  <c r="AB145" i="3"/>
  <c r="AH145" i="3"/>
  <c r="AX145" i="3"/>
  <c r="Q145" i="3"/>
  <c r="W145" i="3"/>
  <c r="S145" i="3"/>
  <c r="F145" i="3"/>
  <c r="AF145" i="3"/>
  <c r="AW145" i="3"/>
  <c r="E145" i="3"/>
  <c r="AM145" i="3"/>
  <c r="L145" i="3"/>
  <c r="AO145" i="3"/>
  <c r="D145" i="3"/>
  <c r="AV145" i="3" l="1"/>
  <c r="O145" i="3"/>
  <c r="P145" i="3" s="1"/>
  <c r="AU145" i="3"/>
  <c r="M145" i="3"/>
  <c r="N145" i="3" s="1"/>
  <c r="W146" i="3"/>
  <c r="U146" i="3"/>
  <c r="Y146" i="3"/>
  <c r="AQ146" i="3"/>
  <c r="AJ146" i="3"/>
  <c r="AB146" i="3"/>
  <c r="AH146" i="3"/>
  <c r="K146" i="3"/>
  <c r="AW146" i="3"/>
  <c r="AX146" i="3"/>
  <c r="A147" i="3"/>
  <c r="AT146" i="3"/>
  <c r="AM146" i="3"/>
  <c r="AF146" i="3"/>
  <c r="L146" i="3"/>
  <c r="E146" i="3"/>
  <c r="AO146" i="3"/>
  <c r="F146" i="3"/>
  <c r="S146" i="3"/>
  <c r="D146" i="3"/>
  <c r="Q146" i="3"/>
  <c r="M146" i="3" l="1"/>
  <c r="N146" i="3" s="1"/>
  <c r="AU146" i="3"/>
  <c r="O146" i="3"/>
  <c r="P146" i="3" s="1"/>
  <c r="AV146" i="3"/>
  <c r="A148" i="3"/>
  <c r="AT147" i="3"/>
  <c r="Y147" i="3"/>
  <c r="AQ147" i="3"/>
  <c r="U147" i="3"/>
  <c r="AJ147" i="3"/>
  <c r="D147" i="3"/>
  <c r="L147" i="3"/>
  <c r="AF147" i="3"/>
  <c r="AX147" i="3"/>
  <c r="Q147" i="3"/>
  <c r="E147" i="3"/>
  <c r="AO147" i="3"/>
  <c r="AM147" i="3"/>
  <c r="K147" i="3"/>
  <c r="AH147" i="3"/>
  <c r="W147" i="3"/>
  <c r="F147" i="3"/>
  <c r="AW147" i="3"/>
  <c r="S147" i="3"/>
  <c r="AB147" i="3"/>
  <c r="AV147" i="3" l="1"/>
  <c r="M147" i="3"/>
  <c r="N147" i="3" s="1"/>
  <c r="AU147" i="3"/>
  <c r="O147" i="3"/>
  <c r="P147" i="3" s="1"/>
  <c r="AT148" i="3"/>
  <c r="AO148" i="3"/>
  <c r="W148" i="3"/>
  <c r="U148" i="3"/>
  <c r="F148" i="3"/>
  <c r="AJ148" i="3"/>
  <c r="AF148" i="3"/>
  <c r="K148" i="3"/>
  <c r="AW148" i="3"/>
  <c r="Q148" i="3"/>
  <c r="Y148" i="3"/>
  <c r="S148" i="3"/>
  <c r="AM148" i="3"/>
  <c r="AH148" i="3"/>
  <c r="AX148" i="3"/>
  <c r="A149" i="3"/>
  <c r="D148" i="3"/>
  <c r="L148" i="3"/>
  <c r="AQ148" i="3"/>
  <c r="AB148" i="3"/>
  <c r="E148" i="3"/>
  <c r="A150" i="3" l="1"/>
  <c r="W149" i="3"/>
  <c r="Y149" i="3"/>
  <c r="AQ149" i="3"/>
  <c r="U149" i="3"/>
  <c r="AJ149" i="3"/>
  <c r="K149" i="3"/>
  <c r="AB149" i="3"/>
  <c r="AH149" i="3"/>
  <c r="AX149" i="3"/>
  <c r="Q149" i="3"/>
  <c r="E149" i="3"/>
  <c r="S149" i="3"/>
  <c r="F149" i="3"/>
  <c r="AF149" i="3"/>
  <c r="AW149" i="3"/>
  <c r="AO149" i="3"/>
  <c r="D149" i="3"/>
  <c r="AT149" i="3"/>
  <c r="AM149" i="3"/>
  <c r="L149" i="3"/>
  <c r="M148" i="3"/>
  <c r="N148" i="3" s="1"/>
  <c r="AU148" i="3"/>
  <c r="O148" i="3"/>
  <c r="P148" i="3" s="1"/>
  <c r="AV148" i="3"/>
  <c r="AV149" i="3" l="1"/>
  <c r="O149" i="3"/>
  <c r="P149" i="3" s="1"/>
  <c r="M149" i="3"/>
  <c r="N149" i="3" s="1"/>
  <c r="AU149" i="3"/>
  <c r="W150" i="3"/>
  <c r="S150" i="3"/>
  <c r="Y150" i="3"/>
  <c r="AQ150" i="3"/>
  <c r="AJ150" i="3"/>
  <c r="F150" i="3"/>
  <c r="AF150" i="3"/>
  <c r="K150" i="3"/>
  <c r="AW150" i="3"/>
  <c r="AX150" i="3"/>
  <c r="A151" i="3"/>
  <c r="U150" i="3"/>
  <c r="AM150" i="3"/>
  <c r="AB150" i="3"/>
  <c r="L150" i="3"/>
  <c r="E150" i="3"/>
  <c r="AT150" i="3"/>
  <c r="D150" i="3"/>
  <c r="Q150" i="3"/>
  <c r="AO150" i="3"/>
  <c r="AH150" i="3"/>
  <c r="M150" i="3" l="1"/>
  <c r="N150" i="3" s="1"/>
  <c r="AU150" i="3"/>
  <c r="O150" i="3"/>
  <c r="P150" i="3" s="1"/>
  <c r="AV150" i="3"/>
  <c r="A152" i="3"/>
  <c r="AT151" i="3"/>
  <c r="Y151" i="3"/>
  <c r="AQ151" i="3"/>
  <c r="U151" i="3"/>
  <c r="AJ151" i="3"/>
  <c r="D151" i="3"/>
  <c r="L151" i="3"/>
  <c r="AF151" i="3"/>
  <c r="AX151" i="3"/>
  <c r="Q151" i="3"/>
  <c r="E151" i="3"/>
  <c r="AO151" i="3"/>
  <c r="AM151" i="3"/>
  <c r="K151" i="3"/>
  <c r="AH151" i="3"/>
  <c r="S151" i="3"/>
  <c r="AB151" i="3"/>
  <c r="W151" i="3"/>
  <c r="F151" i="3"/>
  <c r="AW151" i="3"/>
  <c r="AV151" i="3" l="1"/>
  <c r="M151" i="3"/>
  <c r="N151" i="3" s="1"/>
  <c r="AU151" i="3"/>
  <c r="O151" i="3"/>
  <c r="P151" i="3" s="1"/>
  <c r="AT152" i="3"/>
  <c r="Y152" i="3"/>
  <c r="AQ152" i="3"/>
  <c r="F152" i="3"/>
  <c r="U152" i="3"/>
  <c r="AJ152" i="3"/>
  <c r="AF152" i="3"/>
  <c r="K152" i="3"/>
  <c r="AW152" i="3"/>
  <c r="Q152" i="3"/>
  <c r="W152" i="3"/>
  <c r="D152" i="3"/>
  <c r="AM152" i="3"/>
  <c r="AH152" i="3"/>
  <c r="AX152" i="3"/>
  <c r="AO152" i="3"/>
  <c r="AB152" i="3"/>
  <c r="E152" i="3"/>
  <c r="A153" i="3"/>
  <c r="S152" i="3"/>
  <c r="L152" i="3"/>
  <c r="M152" i="3" l="1"/>
  <c r="N152" i="3" s="1"/>
  <c r="AU152" i="3"/>
  <c r="O152" i="3"/>
  <c r="P152" i="3" s="1"/>
  <c r="AV152" i="3"/>
  <c r="A154" i="3"/>
  <c r="AT153" i="3"/>
  <c r="Y153" i="3"/>
  <c r="AQ153" i="3"/>
  <c r="U153" i="3"/>
  <c r="AJ153" i="3"/>
  <c r="K153" i="3"/>
  <c r="AB153" i="3"/>
  <c r="AH153" i="3"/>
  <c r="AX153" i="3"/>
  <c r="Q153" i="3"/>
  <c r="W153" i="3"/>
  <c r="S153" i="3"/>
  <c r="F153" i="3"/>
  <c r="AF153" i="3"/>
  <c r="AW153" i="3"/>
  <c r="E153" i="3"/>
  <c r="AM153" i="3"/>
  <c r="L153" i="3"/>
  <c r="AO153" i="3"/>
  <c r="D153" i="3"/>
  <c r="AV153" i="3" l="1"/>
  <c r="O153" i="3"/>
  <c r="P153" i="3" s="1"/>
  <c r="AU153" i="3"/>
  <c r="M153" i="3"/>
  <c r="N153" i="3" s="1"/>
  <c r="W154" i="3"/>
  <c r="U154" i="3"/>
  <c r="Y154" i="3"/>
  <c r="AQ154" i="3"/>
  <c r="AJ154" i="3"/>
  <c r="AB154" i="3"/>
  <c r="AH154" i="3"/>
  <c r="K154" i="3"/>
  <c r="AW154" i="3"/>
  <c r="AX154" i="3"/>
  <c r="A155" i="3"/>
  <c r="AT154" i="3"/>
  <c r="AM154" i="3"/>
  <c r="AF154" i="3"/>
  <c r="L154" i="3"/>
  <c r="E154" i="3"/>
  <c r="AO154" i="3"/>
  <c r="F154" i="3"/>
  <c r="S154" i="3"/>
  <c r="D154" i="3"/>
  <c r="Q154" i="3"/>
  <c r="M154" i="3" l="1"/>
  <c r="N154" i="3" s="1"/>
  <c r="AU154" i="3"/>
  <c r="O154" i="3"/>
  <c r="P154" i="3" s="1"/>
  <c r="AV154" i="3"/>
  <c r="A156" i="3"/>
  <c r="AT155" i="3"/>
  <c r="Y155" i="3"/>
  <c r="AQ155" i="3"/>
  <c r="U155" i="3"/>
  <c r="AJ155" i="3"/>
  <c r="D155" i="3"/>
  <c r="L155" i="3"/>
  <c r="AF155" i="3"/>
  <c r="AX155" i="3"/>
  <c r="Q155" i="3"/>
  <c r="E155" i="3"/>
  <c r="AO155" i="3"/>
  <c r="AM155" i="3"/>
  <c r="K155" i="3"/>
  <c r="AH155" i="3"/>
  <c r="W155" i="3"/>
  <c r="F155" i="3"/>
  <c r="AW155" i="3"/>
  <c r="S155" i="3"/>
  <c r="AB155" i="3"/>
  <c r="AV155" i="3" l="1"/>
  <c r="M155" i="3"/>
  <c r="N155" i="3" s="1"/>
  <c r="AU155" i="3"/>
  <c r="O155" i="3"/>
  <c r="P155" i="3" s="1"/>
  <c r="AT156" i="3"/>
  <c r="AO156" i="3"/>
  <c r="W156" i="3"/>
  <c r="U156" i="3"/>
  <c r="F156" i="3"/>
  <c r="AJ156" i="3"/>
  <c r="AF156" i="3"/>
  <c r="K156" i="3"/>
  <c r="AW156" i="3"/>
  <c r="Q156" i="3"/>
  <c r="Y156" i="3"/>
  <c r="S156" i="3"/>
  <c r="AM156" i="3"/>
  <c r="AH156" i="3"/>
  <c r="AX156" i="3"/>
  <c r="A157" i="3"/>
  <c r="D156" i="3"/>
  <c r="L156" i="3"/>
  <c r="AQ156" i="3"/>
  <c r="AB156" i="3"/>
  <c r="E156" i="3"/>
  <c r="A158" i="3" l="1"/>
  <c r="W157" i="3"/>
  <c r="AO157" i="3"/>
  <c r="S157" i="3"/>
  <c r="E157" i="3"/>
  <c r="AJ157" i="3"/>
  <c r="K157" i="3"/>
  <c r="AB157" i="3"/>
  <c r="AH157" i="3"/>
  <c r="AW157" i="3"/>
  <c r="AX157" i="3"/>
  <c r="Y157" i="3"/>
  <c r="U157" i="3"/>
  <c r="F157" i="3"/>
  <c r="AF157" i="3"/>
  <c r="Q157" i="3"/>
  <c r="AQ157" i="3"/>
  <c r="D157" i="3"/>
  <c r="AT157" i="3"/>
  <c r="AM157" i="3"/>
  <c r="L157" i="3"/>
  <c r="M156" i="3"/>
  <c r="N156" i="3" s="1"/>
  <c r="AU156" i="3"/>
  <c r="O156" i="3"/>
  <c r="P156" i="3" s="1"/>
  <c r="AV156" i="3"/>
  <c r="AV157" i="3" l="1"/>
  <c r="O157" i="3"/>
  <c r="P157" i="3" s="1"/>
  <c r="M157" i="3"/>
  <c r="N157" i="3" s="1"/>
  <c r="AU157" i="3"/>
  <c r="A159" i="3"/>
  <c r="S158" i="3"/>
  <c r="Y158" i="3"/>
  <c r="AQ158" i="3"/>
  <c r="AJ158" i="3"/>
  <c r="F158" i="3"/>
  <c r="AF158" i="3"/>
  <c r="K158" i="3"/>
  <c r="AW158" i="3"/>
  <c r="AX158" i="3"/>
  <c r="W158" i="3"/>
  <c r="U158" i="3"/>
  <c r="AM158" i="3"/>
  <c r="AB158" i="3"/>
  <c r="L158" i="3"/>
  <c r="E158" i="3"/>
  <c r="AT158" i="3"/>
  <c r="D158" i="3"/>
  <c r="Q158" i="3"/>
  <c r="AO158" i="3"/>
  <c r="AH158" i="3"/>
  <c r="AV158" i="3" l="1"/>
  <c r="AU158" i="3"/>
  <c r="M158" i="3"/>
  <c r="N158" i="3" s="1"/>
  <c r="O158" i="3"/>
  <c r="P158" i="3" s="1"/>
  <c r="A160" i="3"/>
  <c r="AT159" i="3"/>
  <c r="Y159" i="3"/>
  <c r="AQ159" i="3"/>
  <c r="U159" i="3"/>
  <c r="AJ159" i="3"/>
  <c r="D159" i="3"/>
  <c r="L159" i="3"/>
  <c r="AF159" i="3"/>
  <c r="AX159" i="3"/>
  <c r="Q159" i="3"/>
  <c r="W159" i="3"/>
  <c r="S159" i="3"/>
  <c r="F159" i="3"/>
  <c r="AB159" i="3"/>
  <c r="AW159" i="3"/>
  <c r="AO159" i="3"/>
  <c r="K159" i="3"/>
  <c r="E159" i="3"/>
  <c r="AM159" i="3"/>
  <c r="AH159" i="3"/>
  <c r="AV159" i="3" l="1"/>
  <c r="M159" i="3"/>
  <c r="N159" i="3" s="1"/>
  <c r="AU159" i="3"/>
  <c r="O159" i="3"/>
  <c r="P159" i="3" s="1"/>
  <c r="AT160" i="3"/>
  <c r="Y160" i="3"/>
  <c r="AQ160" i="3"/>
  <c r="F160" i="3"/>
  <c r="U160" i="3"/>
  <c r="AJ160" i="3"/>
  <c r="AF160" i="3"/>
  <c r="K160" i="3"/>
  <c r="AW160" i="3"/>
  <c r="Q160" i="3"/>
  <c r="W160" i="3"/>
  <c r="D160" i="3"/>
  <c r="AM160" i="3"/>
  <c r="AH160" i="3"/>
  <c r="AX160" i="3"/>
  <c r="AO160" i="3"/>
  <c r="AB160" i="3"/>
  <c r="E160" i="3"/>
  <c r="A161" i="3"/>
  <c r="S160" i="3"/>
  <c r="L160" i="3"/>
  <c r="M160" i="3" l="1"/>
  <c r="N160" i="3" s="1"/>
  <c r="AU160" i="3"/>
  <c r="O160" i="3"/>
  <c r="P160" i="3" s="1"/>
  <c r="AV160" i="3"/>
  <c r="A162" i="3"/>
  <c r="AT161" i="3"/>
  <c r="W161" i="3"/>
  <c r="AO161" i="3"/>
  <c r="S161" i="3"/>
  <c r="AM161" i="3"/>
  <c r="F161" i="3"/>
  <c r="D161" i="3"/>
  <c r="AF161" i="3"/>
  <c r="L161" i="3"/>
  <c r="AW161" i="3"/>
  <c r="E161" i="3"/>
  <c r="AQ161" i="3"/>
  <c r="AJ161" i="3"/>
  <c r="AB161" i="3"/>
  <c r="AX161" i="3"/>
  <c r="Y161" i="3"/>
  <c r="U161" i="3"/>
  <c r="K161" i="3"/>
  <c r="AH161" i="3"/>
  <c r="Q161" i="3"/>
  <c r="M161" i="3" l="1"/>
  <c r="N161" i="3" s="1"/>
  <c r="O161" i="3"/>
  <c r="P161" i="3" s="1"/>
  <c r="AU161" i="3"/>
  <c r="AV161" i="3"/>
  <c r="A163" i="3"/>
  <c r="S162" i="3"/>
  <c r="AT162" i="3"/>
  <c r="AO162" i="3"/>
  <c r="AM162" i="3"/>
  <c r="D162" i="3"/>
  <c r="AF162" i="3"/>
  <c r="F162" i="3"/>
  <c r="L162" i="3"/>
  <c r="Q162" i="3"/>
  <c r="E162" i="3"/>
  <c r="U162" i="3"/>
  <c r="AQ162" i="3"/>
  <c r="AB162" i="3"/>
  <c r="K162" i="3"/>
  <c r="AX162" i="3"/>
  <c r="W162" i="3"/>
  <c r="Y162" i="3"/>
  <c r="AJ162" i="3"/>
  <c r="AH162" i="3"/>
  <c r="AW162" i="3"/>
  <c r="AV162" i="3" l="1"/>
  <c r="AU162" i="3"/>
  <c r="M162" i="3"/>
  <c r="N162" i="3" s="1"/>
  <c r="O162" i="3"/>
  <c r="P162" i="3" s="1"/>
  <c r="E163" i="3"/>
  <c r="W163" i="3"/>
  <c r="AO163" i="3"/>
  <c r="S163" i="3"/>
  <c r="AM163" i="3"/>
  <c r="F163" i="3"/>
  <c r="K163" i="3"/>
  <c r="AB163" i="3"/>
  <c r="AH163" i="3"/>
  <c r="AW163" i="3"/>
  <c r="A164" i="3"/>
  <c r="Y163" i="3"/>
  <c r="U163" i="3"/>
  <c r="D163" i="3"/>
  <c r="AF163" i="3"/>
  <c r="Q163" i="3"/>
  <c r="AT163" i="3"/>
  <c r="AQ163" i="3"/>
  <c r="AJ163" i="3"/>
  <c r="L163" i="3"/>
  <c r="AX163" i="3"/>
  <c r="M163" i="3" l="1"/>
  <c r="N163" i="3" s="1"/>
  <c r="O163" i="3"/>
  <c r="P163" i="3" s="1"/>
  <c r="AU163" i="3"/>
  <c r="AV163" i="3"/>
  <c r="A165" i="3"/>
  <c r="Y164" i="3"/>
  <c r="AQ164" i="3"/>
  <c r="S164" i="3"/>
  <c r="D164" i="3"/>
  <c r="AM164" i="3"/>
  <c r="AB164" i="3"/>
  <c r="AH164" i="3"/>
  <c r="L164" i="3"/>
  <c r="Q164" i="3"/>
  <c r="E164" i="3"/>
  <c r="AT164" i="3"/>
  <c r="W164" i="3"/>
  <c r="F164" i="3"/>
  <c r="AF164" i="3"/>
  <c r="AW164" i="3"/>
  <c r="AO164" i="3"/>
  <c r="U164" i="3"/>
  <c r="AJ164" i="3"/>
  <c r="K164" i="3"/>
  <c r="AX164" i="3"/>
  <c r="AV164" i="3" l="1"/>
  <c r="M164" i="3"/>
  <c r="N164" i="3" s="1"/>
  <c r="O164" i="3"/>
  <c r="P164" i="3" s="1"/>
  <c r="AU164" i="3"/>
  <c r="AT165" i="3"/>
  <c r="E165" i="3"/>
  <c r="AO165" i="3"/>
  <c r="S165" i="3"/>
  <c r="AM165" i="3"/>
  <c r="F165" i="3"/>
  <c r="D165" i="3"/>
  <c r="AF165" i="3"/>
  <c r="L165" i="3"/>
  <c r="AW165" i="3"/>
  <c r="W165" i="3"/>
  <c r="AQ165" i="3"/>
  <c r="AJ165" i="3"/>
  <c r="AB165" i="3"/>
  <c r="AX165" i="3"/>
  <c r="A166" i="3"/>
  <c r="Y165" i="3"/>
  <c r="U165" i="3"/>
  <c r="K165" i="3"/>
  <c r="AH165" i="3"/>
  <c r="Q165" i="3"/>
  <c r="A167" i="3" l="1"/>
  <c r="AT166" i="3"/>
  <c r="U166" i="3"/>
  <c r="AO166" i="3"/>
  <c r="AM166" i="3"/>
  <c r="D166" i="3"/>
  <c r="AB166" i="3"/>
  <c r="AH166" i="3"/>
  <c r="L166" i="3"/>
  <c r="Q166" i="3"/>
  <c r="E166" i="3"/>
  <c r="S166" i="3"/>
  <c r="AQ166" i="3"/>
  <c r="F166" i="3"/>
  <c r="K166" i="3"/>
  <c r="AX166" i="3"/>
  <c r="W166" i="3"/>
  <c r="Y166" i="3"/>
  <c r="AJ166" i="3"/>
  <c r="AF166" i="3"/>
  <c r="AW166" i="3"/>
  <c r="M165" i="3"/>
  <c r="N165" i="3" s="1"/>
  <c r="O165" i="3"/>
  <c r="P165" i="3" s="1"/>
  <c r="AU165" i="3"/>
  <c r="AV165" i="3"/>
  <c r="AV166" i="3" l="1"/>
  <c r="AU166" i="3"/>
  <c r="M166" i="3"/>
  <c r="N166" i="3" s="1"/>
  <c r="O166" i="3"/>
  <c r="P166" i="3" s="1"/>
  <c r="E167" i="3"/>
  <c r="W167" i="3"/>
  <c r="AO167" i="3"/>
  <c r="S167" i="3"/>
  <c r="AM167" i="3"/>
  <c r="F167" i="3"/>
  <c r="K167" i="3"/>
  <c r="AB167" i="3"/>
  <c r="AH167" i="3"/>
  <c r="Q167" i="3"/>
  <c r="A168" i="3"/>
  <c r="Y167" i="3"/>
  <c r="U167" i="3"/>
  <c r="D167" i="3"/>
  <c r="AF167" i="3"/>
  <c r="AW167" i="3"/>
  <c r="AT167" i="3"/>
  <c r="AQ167" i="3"/>
  <c r="AJ167" i="3"/>
  <c r="L167" i="3"/>
  <c r="AX167" i="3"/>
  <c r="M167" i="3" l="1"/>
  <c r="N167" i="3" s="1"/>
  <c r="O167" i="3"/>
  <c r="P167" i="3" s="1"/>
  <c r="AU167" i="3"/>
  <c r="AV167" i="3"/>
  <c r="A169" i="3"/>
  <c r="W168" i="3"/>
  <c r="AO168" i="3"/>
  <c r="D168" i="3"/>
  <c r="S168" i="3"/>
  <c r="AM168" i="3"/>
  <c r="AB168" i="3"/>
  <c r="AH168" i="3"/>
  <c r="L168" i="3"/>
  <c r="AX168" i="3"/>
  <c r="E168" i="3"/>
  <c r="AT168" i="3"/>
  <c r="AQ168" i="3"/>
  <c r="U168" i="3"/>
  <c r="AF168" i="3"/>
  <c r="AW168" i="3"/>
  <c r="Y168" i="3"/>
  <c r="F168" i="3"/>
  <c r="AJ168" i="3"/>
  <c r="K168" i="3"/>
  <c r="Q168" i="3"/>
  <c r="AV168" i="3" l="1"/>
  <c r="M168" i="3"/>
  <c r="N168" i="3" s="1"/>
  <c r="O168" i="3"/>
  <c r="P168" i="3" s="1"/>
  <c r="AU168" i="3"/>
  <c r="E169" i="3"/>
  <c r="W169" i="3"/>
  <c r="AO169" i="3"/>
  <c r="S169" i="3"/>
  <c r="AM169" i="3"/>
  <c r="F169" i="3"/>
  <c r="D169" i="3"/>
  <c r="AF169" i="3"/>
  <c r="L169" i="3"/>
  <c r="Q169" i="3"/>
  <c r="AT169" i="3"/>
  <c r="AQ169" i="3"/>
  <c r="AJ169" i="3"/>
  <c r="AB169" i="3"/>
  <c r="AX169" i="3"/>
  <c r="A170" i="3"/>
  <c r="Y169" i="3"/>
  <c r="U169" i="3"/>
  <c r="K169" i="3"/>
  <c r="AH169" i="3"/>
  <c r="AW169" i="3"/>
  <c r="A171" i="3" l="1"/>
  <c r="S170" i="3"/>
  <c r="AT170" i="3"/>
  <c r="AO170" i="3"/>
  <c r="AM170" i="3"/>
  <c r="D170" i="3"/>
  <c r="AF170" i="3"/>
  <c r="F170" i="3"/>
  <c r="L170" i="3"/>
  <c r="AX170" i="3"/>
  <c r="E170" i="3"/>
  <c r="U170" i="3"/>
  <c r="AQ170" i="3"/>
  <c r="AB170" i="3"/>
  <c r="K170" i="3"/>
  <c r="Q170" i="3"/>
  <c r="W170" i="3"/>
  <c r="Y170" i="3"/>
  <c r="AJ170" i="3"/>
  <c r="AH170" i="3"/>
  <c r="AW170" i="3"/>
  <c r="M169" i="3"/>
  <c r="N169" i="3" s="1"/>
  <c r="O169" i="3"/>
  <c r="P169" i="3" s="1"/>
  <c r="AU169" i="3"/>
  <c r="AV169" i="3"/>
  <c r="AV170" i="3" l="1"/>
  <c r="AU170" i="3"/>
  <c r="M170" i="3"/>
  <c r="N170" i="3" s="1"/>
  <c r="O170" i="3"/>
  <c r="P170" i="3" s="1"/>
  <c r="E171" i="3"/>
  <c r="W171" i="3"/>
  <c r="AO171" i="3"/>
  <c r="S171" i="3"/>
  <c r="AM171" i="3"/>
  <c r="F171" i="3"/>
  <c r="K171" i="3"/>
  <c r="AB171" i="3"/>
  <c r="AH171" i="3"/>
  <c r="Q171" i="3"/>
  <c r="A172" i="3"/>
  <c r="Y171" i="3"/>
  <c r="U171" i="3"/>
  <c r="D171" i="3"/>
  <c r="AF171" i="3"/>
  <c r="AW171" i="3"/>
  <c r="AT171" i="3"/>
  <c r="AQ171" i="3"/>
  <c r="AJ171" i="3"/>
  <c r="L171" i="3"/>
  <c r="AX171" i="3"/>
  <c r="M171" i="3" l="1"/>
  <c r="N171" i="3" s="1"/>
  <c r="O171" i="3"/>
  <c r="P171" i="3" s="1"/>
  <c r="AU171" i="3"/>
  <c r="AV171" i="3"/>
  <c r="A173" i="3"/>
  <c r="Y172" i="3"/>
  <c r="AQ172" i="3"/>
  <c r="S172" i="3"/>
  <c r="D172" i="3"/>
  <c r="AM172" i="3"/>
  <c r="AB172" i="3"/>
  <c r="AH172" i="3"/>
  <c r="L172" i="3"/>
  <c r="AX172" i="3"/>
  <c r="E172" i="3"/>
  <c r="AT172" i="3"/>
  <c r="W172" i="3"/>
  <c r="F172" i="3"/>
  <c r="AF172" i="3"/>
  <c r="AW172" i="3"/>
  <c r="AO172" i="3"/>
  <c r="U172" i="3"/>
  <c r="AJ172" i="3"/>
  <c r="K172" i="3"/>
  <c r="Q172" i="3"/>
  <c r="AV172" i="3" l="1"/>
  <c r="M172" i="3"/>
  <c r="N172" i="3" s="1"/>
  <c r="O172" i="3"/>
  <c r="P172" i="3" s="1"/>
  <c r="AU172" i="3"/>
  <c r="AT173" i="3"/>
  <c r="Y173" i="3"/>
  <c r="AQ173" i="3"/>
  <c r="U173" i="3"/>
  <c r="AJ173" i="3"/>
  <c r="E173" i="3"/>
  <c r="D173" i="3"/>
  <c r="AF173" i="3"/>
  <c r="L173" i="3"/>
  <c r="Q173" i="3"/>
  <c r="W173" i="3"/>
  <c r="S173" i="3"/>
  <c r="F173" i="3"/>
  <c r="AB173" i="3"/>
  <c r="AX173" i="3"/>
  <c r="A174" i="3"/>
  <c r="AO173" i="3"/>
  <c r="AM173" i="3"/>
  <c r="K173" i="3"/>
  <c r="AH173" i="3"/>
  <c r="AW173" i="3"/>
  <c r="W174" i="3" l="1"/>
  <c r="S174" i="3"/>
  <c r="A175" i="3"/>
  <c r="AO174" i="3"/>
  <c r="AM174" i="3"/>
  <c r="D174" i="3"/>
  <c r="AB174" i="3"/>
  <c r="AH174" i="3"/>
  <c r="L174" i="3"/>
  <c r="AX174" i="3"/>
  <c r="E174" i="3"/>
  <c r="U174" i="3"/>
  <c r="AQ174" i="3"/>
  <c r="F174" i="3"/>
  <c r="K174" i="3"/>
  <c r="Q174" i="3"/>
  <c r="AT174" i="3"/>
  <c r="Y174" i="3"/>
  <c r="AJ174" i="3"/>
  <c r="AF174" i="3"/>
  <c r="AW174" i="3"/>
  <c r="M173" i="3"/>
  <c r="N173" i="3" s="1"/>
  <c r="O173" i="3"/>
  <c r="P173" i="3" s="1"/>
  <c r="AU173" i="3"/>
  <c r="AV173" i="3"/>
  <c r="AV174" i="3" l="1"/>
  <c r="AU174" i="3"/>
  <c r="M174" i="3"/>
  <c r="N174" i="3" s="1"/>
  <c r="O174" i="3"/>
  <c r="P174" i="3" s="1"/>
  <c r="E175" i="3"/>
  <c r="W175" i="3"/>
  <c r="AO175" i="3"/>
  <c r="S175" i="3"/>
  <c r="AM175" i="3"/>
  <c r="F175" i="3"/>
  <c r="K175" i="3"/>
  <c r="AB175" i="3"/>
  <c r="AH175" i="3"/>
  <c r="Q175" i="3"/>
  <c r="A176" i="3"/>
  <c r="Y175" i="3"/>
  <c r="U175" i="3"/>
  <c r="D175" i="3"/>
  <c r="AF175" i="3"/>
  <c r="AW175" i="3"/>
  <c r="AT175" i="3"/>
  <c r="AQ175" i="3"/>
  <c r="AJ175" i="3"/>
  <c r="L175" i="3"/>
  <c r="AX175" i="3"/>
  <c r="M175" i="3" l="1"/>
  <c r="N175" i="3" s="1"/>
  <c r="O175" i="3"/>
  <c r="P175" i="3" s="1"/>
  <c r="AU175" i="3"/>
  <c r="AV175" i="3"/>
  <c r="A177" i="3"/>
  <c r="W176" i="3"/>
  <c r="AO176" i="3"/>
  <c r="D176" i="3"/>
  <c r="S176" i="3"/>
  <c r="AM176" i="3"/>
  <c r="AB176" i="3"/>
  <c r="AH176" i="3"/>
  <c r="L176" i="3"/>
  <c r="AX176" i="3"/>
  <c r="E176" i="3"/>
  <c r="AT176" i="3"/>
  <c r="AQ176" i="3"/>
  <c r="U176" i="3"/>
  <c r="AF176" i="3"/>
  <c r="AW176" i="3"/>
  <c r="Y176" i="3"/>
  <c r="F176" i="3"/>
  <c r="AJ176" i="3"/>
  <c r="K176" i="3"/>
  <c r="Q176" i="3"/>
  <c r="AV176" i="3" l="1"/>
  <c r="M176" i="3"/>
  <c r="N176" i="3" s="1"/>
  <c r="O176" i="3"/>
  <c r="P176" i="3" s="1"/>
  <c r="AU176" i="3"/>
  <c r="E177" i="3"/>
  <c r="W177" i="3"/>
  <c r="AO177" i="3"/>
  <c r="S177" i="3"/>
  <c r="AM177" i="3"/>
  <c r="F177" i="3"/>
  <c r="D177" i="3"/>
  <c r="AF177" i="3"/>
  <c r="L177" i="3"/>
  <c r="Q177" i="3"/>
  <c r="AT177" i="3"/>
  <c r="AQ177" i="3"/>
  <c r="AJ177" i="3"/>
  <c r="AB177" i="3"/>
  <c r="AX177" i="3"/>
  <c r="A178" i="3"/>
  <c r="Y177" i="3"/>
  <c r="U177" i="3"/>
  <c r="K177" i="3"/>
  <c r="AH177" i="3"/>
  <c r="AW177" i="3"/>
  <c r="A179" i="3" l="1"/>
  <c r="S178" i="3"/>
  <c r="AT178" i="3"/>
  <c r="AO178" i="3"/>
  <c r="AM178" i="3"/>
  <c r="D178" i="3"/>
  <c r="AF178" i="3"/>
  <c r="F178" i="3"/>
  <c r="L178" i="3"/>
  <c r="AX178" i="3"/>
  <c r="E178" i="3"/>
  <c r="U178" i="3"/>
  <c r="AQ178" i="3"/>
  <c r="AB178" i="3"/>
  <c r="K178" i="3"/>
  <c r="Q178" i="3"/>
  <c r="W178" i="3"/>
  <c r="Y178" i="3"/>
  <c r="AJ178" i="3"/>
  <c r="AH178" i="3"/>
  <c r="AW178" i="3"/>
  <c r="M177" i="3"/>
  <c r="N177" i="3" s="1"/>
  <c r="O177" i="3"/>
  <c r="P177" i="3" s="1"/>
  <c r="AU177" i="3"/>
  <c r="AV177" i="3"/>
  <c r="AV178" i="3" l="1"/>
  <c r="AU178" i="3"/>
  <c r="M178" i="3"/>
  <c r="N178" i="3" s="1"/>
  <c r="O178" i="3"/>
  <c r="P178" i="3" s="1"/>
  <c r="E179" i="3"/>
  <c r="W179" i="3"/>
  <c r="AO179" i="3"/>
  <c r="S179" i="3"/>
  <c r="AM179" i="3"/>
  <c r="F179" i="3"/>
  <c r="K179" i="3"/>
  <c r="AB179" i="3"/>
  <c r="AH179" i="3"/>
  <c r="Q179" i="3"/>
  <c r="A180" i="3"/>
  <c r="Y179" i="3"/>
  <c r="U179" i="3"/>
  <c r="D179" i="3"/>
  <c r="AF179" i="3"/>
  <c r="AW179" i="3"/>
  <c r="AT179" i="3"/>
  <c r="AQ179" i="3"/>
  <c r="AJ179" i="3"/>
  <c r="L179" i="3"/>
  <c r="AX179" i="3"/>
  <c r="M179" i="3" l="1"/>
  <c r="N179" i="3" s="1"/>
  <c r="O179" i="3"/>
  <c r="P179" i="3" s="1"/>
  <c r="AU179" i="3"/>
  <c r="AV179" i="3"/>
  <c r="A181" i="3"/>
  <c r="Y180" i="3"/>
  <c r="AQ180" i="3"/>
  <c r="S180" i="3"/>
  <c r="D180" i="3"/>
  <c r="AM180" i="3"/>
  <c r="AB180" i="3"/>
  <c r="AH180" i="3"/>
  <c r="L180" i="3"/>
  <c r="AX180" i="3"/>
  <c r="E180" i="3"/>
  <c r="AT180" i="3"/>
  <c r="W180" i="3"/>
  <c r="F180" i="3"/>
  <c r="AF180" i="3"/>
  <c r="AW180" i="3"/>
  <c r="AO180" i="3"/>
  <c r="U180" i="3"/>
  <c r="AJ180" i="3"/>
  <c r="K180" i="3"/>
  <c r="Q180" i="3"/>
  <c r="AV180" i="3" l="1"/>
  <c r="M180" i="3"/>
  <c r="N180" i="3" s="1"/>
  <c r="O180" i="3"/>
  <c r="P180" i="3" s="1"/>
  <c r="AU180" i="3"/>
  <c r="AT181" i="3"/>
  <c r="E181" i="3"/>
  <c r="AO181" i="3"/>
  <c r="S181" i="3"/>
  <c r="AM181" i="3"/>
  <c r="F181" i="3"/>
  <c r="D181" i="3"/>
  <c r="AF181" i="3"/>
  <c r="L181" i="3"/>
  <c r="Q181" i="3"/>
  <c r="W181" i="3"/>
  <c r="AQ181" i="3"/>
  <c r="AJ181" i="3"/>
  <c r="AB181" i="3"/>
  <c r="AX181" i="3"/>
  <c r="A182" i="3"/>
  <c r="Y181" i="3"/>
  <c r="U181" i="3"/>
  <c r="K181" i="3"/>
  <c r="AH181" i="3"/>
  <c r="AW181" i="3"/>
  <c r="A183" i="3" l="1"/>
  <c r="AT182" i="3"/>
  <c r="U182" i="3"/>
  <c r="AO182" i="3"/>
  <c r="AM182" i="3"/>
  <c r="D182" i="3"/>
  <c r="AB182" i="3"/>
  <c r="AH182" i="3"/>
  <c r="L182" i="3"/>
  <c r="AX182" i="3"/>
  <c r="E182" i="3"/>
  <c r="S182" i="3"/>
  <c r="AQ182" i="3"/>
  <c r="F182" i="3"/>
  <c r="K182" i="3"/>
  <c r="Q182" i="3"/>
  <c r="W182" i="3"/>
  <c r="Y182" i="3"/>
  <c r="AJ182" i="3"/>
  <c r="AF182" i="3"/>
  <c r="AW182" i="3"/>
  <c r="M181" i="3"/>
  <c r="N181" i="3" s="1"/>
  <c r="O181" i="3"/>
  <c r="P181" i="3" s="1"/>
  <c r="AU181" i="3"/>
  <c r="AV181" i="3"/>
  <c r="AV182" i="3" l="1"/>
  <c r="AU182" i="3"/>
  <c r="M182" i="3"/>
  <c r="N182" i="3" s="1"/>
  <c r="O182" i="3"/>
  <c r="P182" i="3" s="1"/>
  <c r="E183" i="3"/>
  <c r="W183" i="3"/>
  <c r="AO183" i="3"/>
  <c r="S183" i="3"/>
  <c r="AM183" i="3"/>
  <c r="F183" i="3"/>
  <c r="K183" i="3"/>
  <c r="AB183" i="3"/>
  <c r="AH183" i="3"/>
  <c r="Q183" i="3"/>
  <c r="A184" i="3"/>
  <c r="Y183" i="3"/>
  <c r="U183" i="3"/>
  <c r="D183" i="3"/>
  <c r="AF183" i="3"/>
  <c r="AW183" i="3"/>
  <c r="AT183" i="3"/>
  <c r="AQ183" i="3"/>
  <c r="AJ183" i="3"/>
  <c r="L183" i="3"/>
  <c r="AX183" i="3"/>
  <c r="M183" i="3" l="1"/>
  <c r="N183" i="3" s="1"/>
  <c r="O183" i="3"/>
  <c r="P183" i="3" s="1"/>
  <c r="AU183" i="3"/>
  <c r="AV183" i="3"/>
  <c r="A185" i="3"/>
  <c r="W184" i="3"/>
  <c r="AO184" i="3"/>
  <c r="D184" i="3"/>
  <c r="S184" i="3"/>
  <c r="AM184" i="3"/>
  <c r="AB184" i="3"/>
  <c r="AH184" i="3"/>
  <c r="L184" i="3"/>
  <c r="AX184" i="3"/>
  <c r="E184" i="3"/>
  <c r="AT184" i="3"/>
  <c r="AQ184" i="3"/>
  <c r="U184" i="3"/>
  <c r="AF184" i="3"/>
  <c r="AW184" i="3"/>
  <c r="Y184" i="3"/>
  <c r="F184" i="3"/>
  <c r="AJ184" i="3"/>
  <c r="K184" i="3"/>
  <c r="Q184" i="3"/>
  <c r="AV184" i="3" l="1"/>
  <c r="M184" i="3"/>
  <c r="N184" i="3" s="1"/>
  <c r="O184" i="3"/>
  <c r="P184" i="3" s="1"/>
  <c r="AU184" i="3"/>
  <c r="E185" i="3"/>
  <c r="W185" i="3"/>
  <c r="AO185" i="3"/>
  <c r="S185" i="3"/>
  <c r="AM185" i="3"/>
  <c r="F185" i="3"/>
  <c r="D185" i="3"/>
  <c r="AF185" i="3"/>
  <c r="L185" i="3"/>
  <c r="Q185" i="3"/>
  <c r="AT185" i="3"/>
  <c r="AQ185" i="3"/>
  <c r="AJ185" i="3"/>
  <c r="AB185" i="3"/>
  <c r="AX185" i="3"/>
  <c r="A186" i="3"/>
  <c r="Y185" i="3"/>
  <c r="U185" i="3"/>
  <c r="K185" i="3"/>
  <c r="AH185" i="3"/>
  <c r="AW185" i="3"/>
  <c r="A187" i="3" l="1"/>
  <c r="S186" i="3"/>
  <c r="AT186" i="3"/>
  <c r="AO186" i="3"/>
  <c r="AM186" i="3"/>
  <c r="D186" i="3"/>
  <c r="AF186" i="3"/>
  <c r="F186" i="3"/>
  <c r="L186" i="3"/>
  <c r="AX186" i="3"/>
  <c r="E186" i="3"/>
  <c r="U186" i="3"/>
  <c r="AQ186" i="3"/>
  <c r="AB186" i="3"/>
  <c r="K186" i="3"/>
  <c r="Q186" i="3"/>
  <c r="W186" i="3"/>
  <c r="Y186" i="3"/>
  <c r="AJ186" i="3"/>
  <c r="AH186" i="3"/>
  <c r="AW186" i="3"/>
  <c r="M185" i="3"/>
  <c r="N185" i="3" s="1"/>
  <c r="O185" i="3"/>
  <c r="P185" i="3" s="1"/>
  <c r="AU185" i="3"/>
  <c r="AV185" i="3"/>
  <c r="AV186" i="3" l="1"/>
  <c r="AU186" i="3"/>
  <c r="M186" i="3"/>
  <c r="N186" i="3" s="1"/>
  <c r="O186" i="3"/>
  <c r="P186" i="3" s="1"/>
  <c r="E187" i="3"/>
  <c r="W187" i="3"/>
  <c r="AO187" i="3"/>
  <c r="S187" i="3"/>
  <c r="AM187" i="3"/>
  <c r="F187" i="3"/>
  <c r="K187" i="3"/>
  <c r="AB187" i="3"/>
  <c r="AH187" i="3"/>
  <c r="Q187" i="3"/>
  <c r="A188" i="3"/>
  <c r="Y187" i="3"/>
  <c r="U187" i="3"/>
  <c r="D187" i="3"/>
  <c r="AF187" i="3"/>
  <c r="AW187" i="3"/>
  <c r="AT187" i="3"/>
  <c r="AQ187" i="3"/>
  <c r="AJ187" i="3"/>
  <c r="L187" i="3"/>
  <c r="AX187" i="3"/>
  <c r="M187" i="3" l="1"/>
  <c r="N187" i="3" s="1"/>
  <c r="O187" i="3"/>
  <c r="P187" i="3" s="1"/>
  <c r="AU187" i="3"/>
  <c r="AV187" i="3"/>
  <c r="A189" i="3"/>
  <c r="Y188" i="3"/>
  <c r="AQ188" i="3"/>
  <c r="S188" i="3"/>
  <c r="D188" i="3"/>
  <c r="AM188" i="3"/>
  <c r="AB188" i="3"/>
  <c r="AH188" i="3"/>
  <c r="L188" i="3"/>
  <c r="AX188" i="3"/>
  <c r="E188" i="3"/>
  <c r="AT188" i="3"/>
  <c r="W188" i="3"/>
  <c r="F188" i="3"/>
  <c r="AF188" i="3"/>
  <c r="AW188" i="3"/>
  <c r="AO188" i="3"/>
  <c r="U188" i="3"/>
  <c r="AJ188" i="3"/>
  <c r="K188" i="3"/>
  <c r="Q188" i="3"/>
  <c r="AV188" i="3" l="1"/>
  <c r="M188" i="3"/>
  <c r="N188" i="3" s="1"/>
  <c r="O188" i="3"/>
  <c r="P188" i="3" s="1"/>
  <c r="AU188" i="3"/>
  <c r="AT189" i="3"/>
  <c r="Y189" i="3"/>
  <c r="AQ189" i="3"/>
  <c r="U189" i="3"/>
  <c r="AM189" i="3"/>
  <c r="F189" i="3"/>
  <c r="D189" i="3"/>
  <c r="AF189" i="3"/>
  <c r="L189" i="3"/>
  <c r="Q189" i="3"/>
  <c r="W189" i="3"/>
  <c r="S189" i="3"/>
  <c r="AJ189" i="3"/>
  <c r="AB189" i="3"/>
  <c r="AX189" i="3"/>
  <c r="A190" i="3"/>
  <c r="AO189" i="3"/>
  <c r="E189" i="3"/>
  <c r="K189" i="3"/>
  <c r="AH189" i="3"/>
  <c r="AW189" i="3"/>
  <c r="W190" i="3" l="1"/>
  <c r="AT190" i="3"/>
  <c r="U190" i="3"/>
  <c r="AO190" i="3"/>
  <c r="AM190" i="3"/>
  <c r="D190" i="3"/>
  <c r="AB190" i="3"/>
  <c r="AH190" i="3"/>
  <c r="L190" i="3"/>
  <c r="AX190" i="3"/>
  <c r="E190" i="3"/>
  <c r="S190" i="3"/>
  <c r="AQ190" i="3"/>
  <c r="F190" i="3"/>
  <c r="K190" i="3"/>
  <c r="Q190" i="3"/>
  <c r="A191" i="3"/>
  <c r="Y190" i="3"/>
  <c r="AJ190" i="3"/>
  <c r="AF190" i="3"/>
  <c r="AW190" i="3"/>
  <c r="M189" i="3"/>
  <c r="N189" i="3" s="1"/>
  <c r="O189" i="3"/>
  <c r="P189" i="3" s="1"/>
  <c r="AU189" i="3"/>
  <c r="AV189" i="3"/>
  <c r="M190" i="3" l="1"/>
  <c r="N190" i="3" s="1"/>
  <c r="AU190" i="3"/>
  <c r="O190" i="3"/>
  <c r="P190" i="3" s="1"/>
  <c r="AV190" i="3"/>
  <c r="E191" i="3"/>
  <c r="W191" i="3"/>
  <c r="AO191" i="3"/>
  <c r="S191" i="3"/>
  <c r="AM191" i="3"/>
  <c r="F191" i="3"/>
  <c r="K191" i="3"/>
  <c r="AB191" i="3"/>
  <c r="AH191" i="3"/>
  <c r="Q191" i="3"/>
  <c r="AT191" i="3"/>
  <c r="AQ191" i="3"/>
  <c r="AJ191" i="3"/>
  <c r="L191" i="3"/>
  <c r="AX191" i="3"/>
  <c r="A192" i="3"/>
  <c r="Y191" i="3"/>
  <c r="U191" i="3"/>
  <c r="D191" i="3"/>
  <c r="AF191" i="3"/>
  <c r="AW191" i="3"/>
  <c r="A193" i="3" l="1"/>
  <c r="W192" i="3"/>
  <c r="AO192" i="3"/>
  <c r="D192" i="3"/>
  <c r="S192" i="3"/>
  <c r="AM192" i="3"/>
  <c r="AB192" i="3"/>
  <c r="AH192" i="3"/>
  <c r="L192" i="3"/>
  <c r="AX192" i="3"/>
  <c r="E192" i="3"/>
  <c r="AT192" i="3"/>
  <c r="AQ192" i="3"/>
  <c r="U192" i="3"/>
  <c r="AF192" i="3"/>
  <c r="AW192" i="3"/>
  <c r="Y192" i="3"/>
  <c r="F192" i="3"/>
  <c r="AJ192" i="3"/>
  <c r="K192" i="3"/>
  <c r="Q192" i="3"/>
  <c r="M191" i="3"/>
  <c r="N191" i="3" s="1"/>
  <c r="O191" i="3"/>
  <c r="P191" i="3" s="1"/>
  <c r="AU191" i="3"/>
  <c r="AV191" i="3"/>
  <c r="AV192" i="3" l="1"/>
  <c r="M192" i="3"/>
  <c r="N192" i="3" s="1"/>
  <c r="O192" i="3"/>
  <c r="P192" i="3" s="1"/>
  <c r="AU192" i="3"/>
  <c r="E193" i="3"/>
  <c r="W193" i="3"/>
  <c r="AO193" i="3"/>
  <c r="S193" i="3"/>
  <c r="AM193" i="3"/>
  <c r="F193" i="3"/>
  <c r="D193" i="3"/>
  <c r="AF193" i="3"/>
  <c r="L193" i="3"/>
  <c r="Q193" i="3"/>
  <c r="AT193" i="3"/>
  <c r="AQ193" i="3"/>
  <c r="AJ193" i="3"/>
  <c r="AB193" i="3"/>
  <c r="AX193" i="3"/>
  <c r="A194" i="3"/>
  <c r="Y193" i="3"/>
  <c r="U193" i="3"/>
  <c r="K193" i="3"/>
  <c r="AH193" i="3"/>
  <c r="AW193" i="3"/>
  <c r="A195" i="3" l="1"/>
  <c r="S194" i="3"/>
  <c r="AT194" i="3"/>
  <c r="AO194" i="3"/>
  <c r="AM194" i="3"/>
  <c r="D194" i="3"/>
  <c r="AF194" i="3"/>
  <c r="F194" i="3"/>
  <c r="L194" i="3"/>
  <c r="AX194" i="3"/>
  <c r="E194" i="3"/>
  <c r="U194" i="3"/>
  <c r="AQ194" i="3"/>
  <c r="AB194" i="3"/>
  <c r="K194" i="3"/>
  <c r="Q194" i="3"/>
  <c r="W194" i="3"/>
  <c r="Y194" i="3"/>
  <c r="AJ194" i="3"/>
  <c r="AH194" i="3"/>
  <c r="AW194" i="3"/>
  <c r="M193" i="3"/>
  <c r="N193" i="3" s="1"/>
  <c r="O193" i="3"/>
  <c r="P193" i="3" s="1"/>
  <c r="AU193" i="3"/>
  <c r="AV193" i="3"/>
  <c r="AV194" i="3" l="1"/>
  <c r="AU194" i="3"/>
  <c r="M194" i="3"/>
  <c r="N194" i="3" s="1"/>
  <c r="O194" i="3"/>
  <c r="P194" i="3" s="1"/>
  <c r="E195" i="3"/>
  <c r="W195" i="3"/>
  <c r="AO195" i="3"/>
  <c r="S195" i="3"/>
  <c r="AM195" i="3"/>
  <c r="F195" i="3"/>
  <c r="K195" i="3"/>
  <c r="AB195" i="3"/>
  <c r="AH195" i="3"/>
  <c r="Q195" i="3"/>
  <c r="A196" i="3"/>
  <c r="Y195" i="3"/>
  <c r="U195" i="3"/>
  <c r="D195" i="3"/>
  <c r="AF195" i="3"/>
  <c r="AW195" i="3"/>
  <c r="AT195" i="3"/>
  <c r="AQ195" i="3"/>
  <c r="AJ195" i="3"/>
  <c r="L195" i="3"/>
  <c r="AX195" i="3"/>
  <c r="M195" i="3" l="1"/>
  <c r="N195" i="3" s="1"/>
  <c r="O195" i="3"/>
  <c r="P195" i="3" s="1"/>
  <c r="AU195" i="3"/>
  <c r="AV195" i="3"/>
  <c r="A197" i="3"/>
  <c r="Y196" i="3"/>
  <c r="AQ196" i="3"/>
  <c r="S196" i="3"/>
  <c r="D196" i="3"/>
  <c r="AM196" i="3"/>
  <c r="AF196" i="3"/>
  <c r="AJ196" i="3"/>
  <c r="L196" i="3"/>
  <c r="AX196" i="3"/>
  <c r="E196" i="3"/>
  <c r="AT196" i="3"/>
  <c r="W196" i="3"/>
  <c r="F196" i="3"/>
  <c r="AH196" i="3"/>
  <c r="AW196" i="3"/>
  <c r="AO196" i="3"/>
  <c r="U196" i="3"/>
  <c r="AB196" i="3"/>
  <c r="K196" i="3"/>
  <c r="Q196" i="3"/>
  <c r="AV196" i="3" l="1"/>
  <c r="M196" i="3"/>
  <c r="N196" i="3" s="1"/>
  <c r="O196" i="3"/>
  <c r="P196" i="3" s="1"/>
  <c r="AU196" i="3"/>
  <c r="AT197" i="3"/>
  <c r="E197" i="3"/>
  <c r="AO197" i="3"/>
  <c r="S197" i="3"/>
  <c r="AM197" i="3"/>
  <c r="F197" i="3"/>
  <c r="D197" i="3"/>
  <c r="AF197" i="3"/>
  <c r="L197" i="3"/>
  <c r="Q197" i="3"/>
  <c r="W197" i="3"/>
  <c r="AQ197" i="3"/>
  <c r="AJ197" i="3"/>
  <c r="AB197" i="3"/>
  <c r="AX197" i="3"/>
  <c r="A198" i="3"/>
  <c r="Y197" i="3"/>
  <c r="U197" i="3"/>
  <c r="K197" i="3"/>
  <c r="AH197" i="3"/>
  <c r="AW197" i="3"/>
  <c r="A199" i="3" l="1"/>
  <c r="AT198" i="3"/>
  <c r="U198" i="3"/>
  <c r="AO198" i="3"/>
  <c r="AM198" i="3"/>
  <c r="D198" i="3"/>
  <c r="AB198" i="3"/>
  <c r="AH198" i="3"/>
  <c r="L198" i="3"/>
  <c r="AX198" i="3"/>
  <c r="E198" i="3"/>
  <c r="S198" i="3"/>
  <c r="AQ198" i="3"/>
  <c r="F198" i="3"/>
  <c r="K198" i="3"/>
  <c r="Q198" i="3"/>
  <c r="W198" i="3"/>
  <c r="Y198" i="3"/>
  <c r="AJ198" i="3"/>
  <c r="AF198" i="3"/>
  <c r="AW198" i="3"/>
  <c r="M197" i="3"/>
  <c r="N197" i="3" s="1"/>
  <c r="O197" i="3"/>
  <c r="P197" i="3" s="1"/>
  <c r="AU197" i="3"/>
  <c r="AV197" i="3"/>
  <c r="AV198" i="3" l="1"/>
  <c r="AU198" i="3"/>
  <c r="M198" i="3"/>
  <c r="N198" i="3" s="1"/>
  <c r="O198" i="3"/>
  <c r="P198" i="3" s="1"/>
  <c r="E199" i="3"/>
  <c r="W199" i="3"/>
  <c r="AO199" i="3"/>
  <c r="S199" i="3"/>
  <c r="AM199" i="3"/>
  <c r="F199" i="3"/>
  <c r="K199" i="3"/>
  <c r="AB199" i="3"/>
  <c r="AH199" i="3"/>
  <c r="Q199" i="3"/>
  <c r="A200" i="3"/>
  <c r="Y199" i="3"/>
  <c r="U199" i="3"/>
  <c r="D199" i="3"/>
  <c r="AF199" i="3"/>
  <c r="AW199" i="3"/>
  <c r="AT199" i="3"/>
  <c r="AQ199" i="3"/>
  <c r="AJ199" i="3"/>
  <c r="L199" i="3"/>
  <c r="AX199" i="3"/>
  <c r="M199" i="3" l="1"/>
  <c r="N199" i="3" s="1"/>
  <c r="O199" i="3"/>
  <c r="P199" i="3" s="1"/>
  <c r="AU199" i="3"/>
  <c r="AV199" i="3"/>
  <c r="A201" i="3"/>
  <c r="W200" i="3"/>
  <c r="AO200" i="3"/>
  <c r="D200" i="3"/>
  <c r="S200" i="3"/>
  <c r="AM200" i="3"/>
  <c r="AB200" i="3"/>
  <c r="AH200" i="3"/>
  <c r="L200" i="3"/>
  <c r="AX200" i="3"/>
  <c r="E200" i="3"/>
  <c r="AT200" i="3"/>
  <c r="AQ200" i="3"/>
  <c r="U200" i="3"/>
  <c r="AF200" i="3"/>
  <c r="AW200" i="3"/>
  <c r="Y200" i="3"/>
  <c r="F200" i="3"/>
  <c r="AJ200" i="3"/>
  <c r="K200" i="3"/>
  <c r="Q200" i="3"/>
  <c r="AV200" i="3" l="1"/>
  <c r="M200" i="3"/>
  <c r="N200" i="3" s="1"/>
  <c r="O200" i="3"/>
  <c r="P200" i="3" s="1"/>
  <c r="AU200" i="3"/>
  <c r="E201" i="3"/>
  <c r="W201" i="3"/>
  <c r="AO201" i="3"/>
  <c r="S201" i="3"/>
  <c r="AM201" i="3"/>
  <c r="F201" i="3"/>
  <c r="D201" i="3"/>
  <c r="AF201" i="3"/>
  <c r="L201" i="3"/>
  <c r="Q201" i="3"/>
  <c r="AT201" i="3"/>
  <c r="AQ201" i="3"/>
  <c r="AJ201" i="3"/>
  <c r="AB201" i="3"/>
  <c r="AX201" i="3"/>
  <c r="A202" i="3"/>
  <c r="Y201" i="3"/>
  <c r="U201" i="3"/>
  <c r="K201" i="3"/>
  <c r="AH201" i="3"/>
  <c r="AW201" i="3"/>
  <c r="A203" i="3" l="1"/>
  <c r="S202" i="3"/>
  <c r="AT202" i="3"/>
  <c r="AO202" i="3"/>
  <c r="AM202" i="3"/>
  <c r="D202" i="3"/>
  <c r="AF202" i="3"/>
  <c r="F202" i="3"/>
  <c r="L202" i="3"/>
  <c r="AX202" i="3"/>
  <c r="E202" i="3"/>
  <c r="U202" i="3"/>
  <c r="AQ202" i="3"/>
  <c r="AB202" i="3"/>
  <c r="K202" i="3"/>
  <c r="Q202" i="3"/>
  <c r="W202" i="3"/>
  <c r="Y202" i="3"/>
  <c r="AJ202" i="3"/>
  <c r="AH202" i="3"/>
  <c r="AW202" i="3"/>
  <c r="M201" i="3"/>
  <c r="N201" i="3" s="1"/>
  <c r="O201" i="3"/>
  <c r="P201" i="3" s="1"/>
  <c r="AU201" i="3"/>
  <c r="AV201" i="3"/>
  <c r="AV202" i="3" l="1"/>
  <c r="AU202" i="3"/>
  <c r="M202" i="3"/>
  <c r="N202" i="3" s="1"/>
  <c r="O202" i="3"/>
  <c r="P202" i="3" s="1"/>
  <c r="E203" i="3"/>
  <c r="W203" i="3"/>
  <c r="AO203" i="3"/>
  <c r="S203" i="3"/>
  <c r="AM203" i="3"/>
  <c r="F203" i="3"/>
  <c r="K203" i="3"/>
  <c r="AB203" i="3"/>
  <c r="AH203" i="3"/>
  <c r="Q203" i="3"/>
  <c r="A204" i="3"/>
  <c r="Y203" i="3"/>
  <c r="U203" i="3"/>
  <c r="D203" i="3"/>
  <c r="AF203" i="3"/>
  <c r="AW203" i="3"/>
  <c r="AT203" i="3"/>
  <c r="AQ203" i="3"/>
  <c r="AJ203" i="3"/>
  <c r="L203" i="3"/>
  <c r="AX203" i="3"/>
  <c r="M203" i="3" l="1"/>
  <c r="N203" i="3" s="1"/>
  <c r="O203" i="3"/>
  <c r="P203" i="3" s="1"/>
  <c r="AU203" i="3"/>
  <c r="AV203" i="3"/>
  <c r="A205" i="3"/>
  <c r="Y204" i="3"/>
  <c r="AQ204" i="3"/>
  <c r="S204" i="3"/>
  <c r="D204" i="3"/>
  <c r="AM204" i="3"/>
  <c r="AF204" i="3"/>
  <c r="AJ204" i="3"/>
  <c r="L204" i="3"/>
  <c r="AX204" i="3"/>
  <c r="E204" i="3"/>
  <c r="AT204" i="3"/>
  <c r="W204" i="3"/>
  <c r="F204" i="3"/>
  <c r="AH204" i="3"/>
  <c r="AW204" i="3"/>
  <c r="AO204" i="3"/>
  <c r="U204" i="3"/>
  <c r="AB204" i="3"/>
  <c r="K204" i="3"/>
  <c r="Q204" i="3"/>
  <c r="AV204" i="3" l="1"/>
  <c r="M204" i="3"/>
  <c r="N204" i="3" s="1"/>
  <c r="O204" i="3"/>
  <c r="P204" i="3" s="1"/>
  <c r="AU204" i="3"/>
  <c r="AT205" i="3"/>
  <c r="Y205" i="3"/>
  <c r="AQ205" i="3"/>
  <c r="U205" i="3"/>
  <c r="AJ205" i="3"/>
  <c r="E205" i="3"/>
  <c r="D205" i="3"/>
  <c r="AF205" i="3"/>
  <c r="L205" i="3"/>
  <c r="Q205" i="3"/>
  <c r="W205" i="3"/>
  <c r="S205" i="3"/>
  <c r="F205" i="3"/>
  <c r="AB205" i="3"/>
  <c r="AX205" i="3"/>
  <c r="A206" i="3"/>
  <c r="AO205" i="3"/>
  <c r="AM205" i="3"/>
  <c r="K205" i="3"/>
  <c r="AH205" i="3"/>
  <c r="AW205" i="3"/>
  <c r="W206" i="3" l="1"/>
  <c r="S206" i="3"/>
  <c r="A207" i="3"/>
  <c r="AO206" i="3"/>
  <c r="AM206" i="3"/>
  <c r="D206" i="3"/>
  <c r="AB206" i="3"/>
  <c r="AH206" i="3"/>
  <c r="L206" i="3"/>
  <c r="AX206" i="3"/>
  <c r="E206" i="3"/>
  <c r="U206" i="3"/>
  <c r="AQ206" i="3"/>
  <c r="F206" i="3"/>
  <c r="K206" i="3"/>
  <c r="Q206" i="3"/>
  <c r="AT206" i="3"/>
  <c r="Y206" i="3"/>
  <c r="AJ206" i="3"/>
  <c r="AF206" i="3"/>
  <c r="AW206" i="3"/>
  <c r="M205" i="3"/>
  <c r="N205" i="3" s="1"/>
  <c r="O205" i="3"/>
  <c r="P205" i="3" s="1"/>
  <c r="AU205" i="3"/>
  <c r="AV205" i="3"/>
  <c r="AV206" i="3" l="1"/>
  <c r="AU206" i="3"/>
  <c r="M206" i="3"/>
  <c r="N206" i="3" s="1"/>
  <c r="O206" i="3"/>
  <c r="P206" i="3" s="1"/>
  <c r="E207" i="3"/>
  <c r="W207" i="3"/>
  <c r="AO207" i="3"/>
  <c r="S207" i="3"/>
  <c r="AM207" i="3"/>
  <c r="F207" i="3"/>
  <c r="K207" i="3"/>
  <c r="AB207" i="3"/>
  <c r="AH207" i="3"/>
  <c r="Q207" i="3"/>
  <c r="A208" i="3"/>
  <c r="Y207" i="3"/>
  <c r="U207" i="3"/>
  <c r="D207" i="3"/>
  <c r="AF207" i="3"/>
  <c r="AW207" i="3"/>
  <c r="AT207" i="3"/>
  <c r="AQ207" i="3"/>
  <c r="AJ207" i="3"/>
  <c r="L207" i="3"/>
  <c r="AX207" i="3"/>
  <c r="M207" i="3" l="1"/>
  <c r="N207" i="3" s="1"/>
  <c r="O207" i="3"/>
  <c r="P207" i="3" s="1"/>
  <c r="AU207" i="3"/>
  <c r="AV207" i="3"/>
  <c r="A209" i="3"/>
  <c r="W208" i="3"/>
  <c r="AO208" i="3"/>
  <c r="D208" i="3"/>
  <c r="S208" i="3"/>
  <c r="AM208" i="3"/>
  <c r="AB208" i="3"/>
  <c r="AH208" i="3"/>
  <c r="L208" i="3"/>
  <c r="AX208" i="3"/>
  <c r="E208" i="3"/>
  <c r="AT208" i="3"/>
  <c r="AQ208" i="3"/>
  <c r="U208" i="3"/>
  <c r="AF208" i="3"/>
  <c r="AW208" i="3"/>
  <c r="Y208" i="3"/>
  <c r="F208" i="3"/>
  <c r="AJ208" i="3"/>
  <c r="K208" i="3"/>
  <c r="Q208" i="3"/>
  <c r="AV208" i="3" l="1"/>
  <c r="M208" i="3"/>
  <c r="N208" i="3" s="1"/>
  <c r="O208" i="3"/>
  <c r="P208" i="3" s="1"/>
  <c r="AU208" i="3"/>
  <c r="E209" i="3"/>
  <c r="W209" i="3"/>
  <c r="AO209" i="3"/>
  <c r="S209" i="3"/>
  <c r="AM209" i="3"/>
  <c r="F209" i="3"/>
  <c r="D209" i="3"/>
  <c r="AF209" i="3"/>
  <c r="L209" i="3"/>
  <c r="Q209" i="3"/>
  <c r="AT209" i="3"/>
  <c r="AQ209" i="3"/>
  <c r="AJ209" i="3"/>
  <c r="AB209" i="3"/>
  <c r="AX209" i="3"/>
  <c r="A210" i="3"/>
  <c r="Y209" i="3"/>
  <c r="U209" i="3"/>
  <c r="K209" i="3"/>
  <c r="AH209" i="3"/>
  <c r="AW209" i="3"/>
  <c r="A211" i="3" l="1"/>
  <c r="S210" i="3"/>
  <c r="AT210" i="3"/>
  <c r="AO210" i="3"/>
  <c r="AJ210" i="3"/>
  <c r="AQ210" i="3"/>
  <c r="AF210" i="3"/>
  <c r="F210" i="3"/>
  <c r="L210" i="3"/>
  <c r="AX210" i="3"/>
  <c r="E210" i="3"/>
  <c r="U210" i="3"/>
  <c r="AM210" i="3"/>
  <c r="AB210" i="3"/>
  <c r="K210" i="3"/>
  <c r="Q210" i="3"/>
  <c r="W210" i="3"/>
  <c r="Y210" i="3"/>
  <c r="D210" i="3"/>
  <c r="AH210" i="3"/>
  <c r="AW210" i="3"/>
  <c r="M209" i="3"/>
  <c r="N209" i="3" s="1"/>
  <c r="O209" i="3"/>
  <c r="P209" i="3" s="1"/>
  <c r="AU209" i="3"/>
  <c r="AV209" i="3"/>
  <c r="AV210" i="3" l="1"/>
  <c r="AU210" i="3"/>
  <c r="M210" i="3"/>
  <c r="N210" i="3" s="1"/>
  <c r="O210" i="3"/>
  <c r="P210" i="3" s="1"/>
  <c r="E211" i="3"/>
  <c r="W211" i="3"/>
  <c r="AO211" i="3"/>
  <c r="S211" i="3"/>
  <c r="AM211" i="3"/>
  <c r="F211" i="3"/>
  <c r="K211" i="3"/>
  <c r="AB211" i="3"/>
  <c r="AH211" i="3"/>
  <c r="Q211" i="3"/>
  <c r="A212" i="3"/>
  <c r="Y211" i="3"/>
  <c r="U211" i="3"/>
  <c r="D211" i="3"/>
  <c r="AF211" i="3"/>
  <c r="AW211" i="3"/>
  <c r="AT211" i="3"/>
  <c r="AQ211" i="3"/>
  <c r="AJ211" i="3"/>
  <c r="L211" i="3"/>
  <c r="AX211" i="3"/>
  <c r="M211" i="3" l="1"/>
  <c r="N211" i="3" s="1"/>
  <c r="O211" i="3"/>
  <c r="P211" i="3" s="1"/>
  <c r="AU211" i="3"/>
  <c r="AV211" i="3"/>
  <c r="A213" i="3"/>
  <c r="Y212" i="3"/>
  <c r="AQ212" i="3"/>
  <c r="S212" i="3"/>
  <c r="D212" i="3"/>
  <c r="AM212" i="3"/>
  <c r="AF212" i="3"/>
  <c r="AJ212" i="3"/>
  <c r="L212" i="3"/>
  <c r="AX212" i="3"/>
  <c r="E212" i="3"/>
  <c r="AT212" i="3"/>
  <c r="W212" i="3"/>
  <c r="F212" i="3"/>
  <c r="AH212" i="3"/>
  <c r="AW212" i="3"/>
  <c r="AO212" i="3"/>
  <c r="U212" i="3"/>
  <c r="AB212" i="3"/>
  <c r="K212" i="3"/>
  <c r="Q212" i="3"/>
  <c r="AV212" i="3" l="1"/>
  <c r="M212" i="3"/>
  <c r="N212" i="3" s="1"/>
  <c r="O212" i="3"/>
  <c r="P212" i="3" s="1"/>
  <c r="AU212" i="3"/>
  <c r="AT213" i="3"/>
  <c r="E213" i="3"/>
  <c r="AO213" i="3"/>
  <c r="S213" i="3"/>
  <c r="AM213" i="3"/>
  <c r="F213" i="3"/>
  <c r="D213" i="3"/>
  <c r="AF213" i="3"/>
  <c r="L213" i="3"/>
  <c r="Q213" i="3"/>
  <c r="W213" i="3"/>
  <c r="AQ213" i="3"/>
  <c r="AJ213" i="3"/>
  <c r="AB213" i="3"/>
  <c r="AX213" i="3"/>
  <c r="A214" i="3"/>
  <c r="Y213" i="3"/>
  <c r="U213" i="3"/>
  <c r="K213" i="3"/>
  <c r="AH213" i="3"/>
  <c r="AW213" i="3"/>
  <c r="A215" i="3" l="1"/>
  <c r="AT214" i="3"/>
  <c r="U214" i="3"/>
  <c r="AO214" i="3"/>
  <c r="AM214" i="3"/>
  <c r="D214" i="3"/>
  <c r="AB214" i="3"/>
  <c r="AH214" i="3"/>
  <c r="L214" i="3"/>
  <c r="AX214" i="3"/>
  <c r="E214" i="3"/>
  <c r="S214" i="3"/>
  <c r="AQ214" i="3"/>
  <c r="F214" i="3"/>
  <c r="K214" i="3"/>
  <c r="Q214" i="3"/>
  <c r="W214" i="3"/>
  <c r="Y214" i="3"/>
  <c r="AJ214" i="3"/>
  <c r="AF214" i="3"/>
  <c r="AW214" i="3"/>
  <c r="M213" i="3"/>
  <c r="N213" i="3" s="1"/>
  <c r="O213" i="3"/>
  <c r="P213" i="3" s="1"/>
  <c r="AU213" i="3"/>
  <c r="AV213" i="3"/>
  <c r="AV214" i="3" l="1"/>
  <c r="AU214" i="3"/>
  <c r="M214" i="3"/>
  <c r="N214" i="3" s="1"/>
  <c r="O214" i="3"/>
  <c r="P214" i="3" s="1"/>
  <c r="E215" i="3"/>
  <c r="W215" i="3"/>
  <c r="AO215" i="3"/>
  <c r="S215" i="3"/>
  <c r="AM215" i="3"/>
  <c r="F215" i="3"/>
  <c r="K215" i="3"/>
  <c r="AB215" i="3"/>
  <c r="AH215" i="3"/>
  <c r="Q215" i="3"/>
  <c r="A216" i="3"/>
  <c r="Y215" i="3"/>
  <c r="U215" i="3"/>
  <c r="D215" i="3"/>
  <c r="AF215" i="3"/>
  <c r="AW215" i="3"/>
  <c r="AT215" i="3"/>
  <c r="AQ215" i="3"/>
  <c r="AJ215" i="3"/>
  <c r="L215" i="3"/>
  <c r="AX215" i="3"/>
  <c r="M215" i="3" l="1"/>
  <c r="N215" i="3" s="1"/>
  <c r="O215" i="3"/>
  <c r="P215" i="3" s="1"/>
  <c r="AU215" i="3"/>
  <c r="AV215" i="3"/>
  <c r="A217" i="3"/>
  <c r="W216" i="3"/>
  <c r="AO216" i="3"/>
  <c r="D216" i="3"/>
  <c r="S216" i="3"/>
  <c r="AM216" i="3"/>
  <c r="AB216" i="3"/>
  <c r="AH216" i="3"/>
  <c r="L216" i="3"/>
  <c r="AX216" i="3"/>
  <c r="E216" i="3"/>
  <c r="AT216" i="3"/>
  <c r="AQ216" i="3"/>
  <c r="U216" i="3"/>
  <c r="AF216" i="3"/>
  <c r="AW216" i="3"/>
  <c r="Y216" i="3"/>
  <c r="F216" i="3"/>
  <c r="AJ216" i="3"/>
  <c r="K216" i="3"/>
  <c r="Q216" i="3"/>
  <c r="AV216" i="3" l="1"/>
  <c r="M216" i="3"/>
  <c r="N216" i="3" s="1"/>
  <c r="O216" i="3"/>
  <c r="P216" i="3" s="1"/>
  <c r="AU216" i="3"/>
  <c r="E217" i="3"/>
  <c r="W217" i="3"/>
  <c r="AO217" i="3"/>
  <c r="S217" i="3"/>
  <c r="AM217" i="3"/>
  <c r="F217" i="3"/>
  <c r="D217" i="3"/>
  <c r="AF217" i="3"/>
  <c r="L217" i="3"/>
  <c r="Q217" i="3"/>
  <c r="AT217" i="3"/>
  <c r="AQ217" i="3"/>
  <c r="AJ217" i="3"/>
  <c r="AB217" i="3"/>
  <c r="AX217" i="3"/>
  <c r="A218" i="3"/>
  <c r="Y217" i="3"/>
  <c r="U217" i="3"/>
  <c r="K217" i="3"/>
  <c r="AH217" i="3"/>
  <c r="AW217" i="3"/>
  <c r="A219" i="3" l="1"/>
  <c r="S218" i="3"/>
  <c r="AT218" i="3"/>
  <c r="AO218" i="3"/>
  <c r="AM218" i="3"/>
  <c r="D218" i="3"/>
  <c r="AF218" i="3"/>
  <c r="F218" i="3"/>
  <c r="L218" i="3"/>
  <c r="AX218" i="3"/>
  <c r="E218" i="3"/>
  <c r="U218" i="3"/>
  <c r="AQ218" i="3"/>
  <c r="AB218" i="3"/>
  <c r="K218" i="3"/>
  <c r="Q218" i="3"/>
  <c r="W218" i="3"/>
  <c r="Y218" i="3"/>
  <c r="AJ218" i="3"/>
  <c r="AH218" i="3"/>
  <c r="AW218" i="3"/>
  <c r="M217" i="3"/>
  <c r="N217" i="3" s="1"/>
  <c r="O217" i="3"/>
  <c r="P217" i="3" s="1"/>
  <c r="AU217" i="3"/>
  <c r="AV217" i="3"/>
  <c r="AV218" i="3" l="1"/>
  <c r="AU218" i="3"/>
  <c r="M218" i="3"/>
  <c r="N218" i="3" s="1"/>
  <c r="O218" i="3"/>
  <c r="P218" i="3" s="1"/>
  <c r="E219" i="3"/>
  <c r="W219" i="3"/>
  <c r="AO219" i="3"/>
  <c r="S219" i="3"/>
  <c r="AM219" i="3"/>
  <c r="F219" i="3"/>
  <c r="K219" i="3"/>
  <c r="AB219" i="3"/>
  <c r="AH219" i="3"/>
  <c r="Q219" i="3"/>
  <c r="A220" i="3"/>
  <c r="Y219" i="3"/>
  <c r="U219" i="3"/>
  <c r="D219" i="3"/>
  <c r="AF219" i="3"/>
  <c r="AW219" i="3"/>
  <c r="AT219" i="3"/>
  <c r="AQ219" i="3"/>
  <c r="AJ219" i="3"/>
  <c r="L219" i="3"/>
  <c r="AX219" i="3"/>
  <c r="M219" i="3" l="1"/>
  <c r="N219" i="3" s="1"/>
  <c r="O219" i="3"/>
  <c r="P219" i="3" s="1"/>
  <c r="AU219" i="3"/>
  <c r="AV219" i="3"/>
  <c r="A221" i="3"/>
  <c r="Y220" i="3"/>
  <c r="AQ220" i="3"/>
  <c r="S220" i="3"/>
  <c r="D220" i="3"/>
  <c r="AM220" i="3"/>
  <c r="AF220" i="3"/>
  <c r="AJ220" i="3"/>
  <c r="L220" i="3"/>
  <c r="AX220" i="3"/>
  <c r="E220" i="3"/>
  <c r="AT220" i="3"/>
  <c r="W220" i="3"/>
  <c r="F220" i="3"/>
  <c r="AH220" i="3"/>
  <c r="AW220" i="3"/>
  <c r="AO220" i="3"/>
  <c r="U220" i="3"/>
  <c r="AB220" i="3"/>
  <c r="K220" i="3"/>
  <c r="Q220" i="3"/>
  <c r="AV220" i="3" l="1"/>
  <c r="M220" i="3"/>
  <c r="N220" i="3" s="1"/>
  <c r="O220" i="3"/>
  <c r="P220" i="3" s="1"/>
  <c r="AU220" i="3"/>
  <c r="AT221" i="3"/>
  <c r="Y221" i="3"/>
  <c r="AQ221" i="3"/>
  <c r="U221" i="3"/>
  <c r="AM221" i="3"/>
  <c r="F221" i="3"/>
  <c r="D221" i="3"/>
  <c r="AF221" i="3"/>
  <c r="L221" i="3"/>
  <c r="Q221" i="3"/>
  <c r="W221" i="3"/>
  <c r="S221" i="3"/>
  <c r="AJ221" i="3"/>
  <c r="AB221" i="3"/>
  <c r="AX221" i="3"/>
  <c r="A222" i="3"/>
  <c r="AO221" i="3"/>
  <c r="E221" i="3"/>
  <c r="K221" i="3"/>
  <c r="AH221" i="3"/>
  <c r="AW221" i="3"/>
  <c r="W222" i="3" l="1"/>
  <c r="AT222" i="3"/>
  <c r="U222" i="3"/>
  <c r="AO222" i="3"/>
  <c r="AM222" i="3"/>
  <c r="D222" i="3"/>
  <c r="AB222" i="3"/>
  <c r="AH222" i="3"/>
  <c r="L222" i="3"/>
  <c r="AX222" i="3"/>
  <c r="E222" i="3"/>
  <c r="S222" i="3"/>
  <c r="AQ222" i="3"/>
  <c r="F222" i="3"/>
  <c r="K222" i="3"/>
  <c r="Q222" i="3"/>
  <c r="A223" i="3"/>
  <c r="Y222" i="3"/>
  <c r="AJ222" i="3"/>
  <c r="AF222" i="3"/>
  <c r="AW222" i="3"/>
  <c r="M221" i="3"/>
  <c r="N221" i="3" s="1"/>
  <c r="O221" i="3"/>
  <c r="P221" i="3" s="1"/>
  <c r="AU221" i="3"/>
  <c r="AV221" i="3"/>
  <c r="M222" i="3" l="1"/>
  <c r="N222" i="3" s="1"/>
  <c r="AU222" i="3"/>
  <c r="O222" i="3"/>
  <c r="P222" i="3" s="1"/>
  <c r="AV222" i="3"/>
  <c r="E223" i="3"/>
  <c r="W223" i="3"/>
  <c r="AO223" i="3"/>
  <c r="S223" i="3"/>
  <c r="AM223" i="3"/>
  <c r="F223" i="3"/>
  <c r="K223" i="3"/>
  <c r="AB223" i="3"/>
  <c r="AH223" i="3"/>
  <c r="Q223" i="3"/>
  <c r="AT223" i="3"/>
  <c r="AQ223" i="3"/>
  <c r="AJ223" i="3"/>
  <c r="L223" i="3"/>
  <c r="AX223" i="3"/>
  <c r="A224" i="3"/>
  <c r="Y223" i="3"/>
  <c r="U223" i="3"/>
  <c r="D223" i="3"/>
  <c r="AF223" i="3"/>
  <c r="AW223" i="3"/>
  <c r="A225" i="3" l="1"/>
  <c r="W224" i="3"/>
  <c r="AO224" i="3"/>
  <c r="D224" i="3"/>
  <c r="S224" i="3"/>
  <c r="AM224" i="3"/>
  <c r="AB224" i="3"/>
  <c r="AH224" i="3"/>
  <c r="K224" i="3"/>
  <c r="AW224" i="3"/>
  <c r="E224" i="3"/>
  <c r="AT224" i="3"/>
  <c r="AQ224" i="3"/>
  <c r="U224" i="3"/>
  <c r="AF224" i="3"/>
  <c r="L224" i="3"/>
  <c r="Y224" i="3"/>
  <c r="F224" i="3"/>
  <c r="AJ224" i="3"/>
  <c r="AX224" i="3"/>
  <c r="Q224" i="3"/>
  <c r="M223" i="3"/>
  <c r="N223" i="3" s="1"/>
  <c r="O223" i="3"/>
  <c r="P223" i="3" s="1"/>
  <c r="AU223" i="3"/>
  <c r="AV223" i="3"/>
  <c r="AV224" i="3" l="1"/>
  <c r="M224" i="3"/>
  <c r="N224" i="3" s="1"/>
  <c r="O224" i="3"/>
  <c r="P224" i="3" s="1"/>
  <c r="AU224" i="3"/>
  <c r="E225" i="3"/>
  <c r="W225" i="3"/>
  <c r="AO225" i="3"/>
  <c r="S225" i="3"/>
  <c r="AM225" i="3"/>
  <c r="F225" i="3"/>
  <c r="D225" i="3"/>
  <c r="AF225" i="3"/>
  <c r="L225" i="3"/>
  <c r="Q225" i="3"/>
  <c r="AT225" i="3"/>
  <c r="AQ225" i="3"/>
  <c r="AJ225" i="3"/>
  <c r="AB225" i="3"/>
  <c r="AW225" i="3"/>
  <c r="A226" i="3"/>
  <c r="Y225" i="3"/>
  <c r="U225" i="3"/>
  <c r="K225" i="3"/>
  <c r="AH225" i="3"/>
  <c r="AX225" i="3"/>
  <c r="A227" i="3" l="1"/>
  <c r="S226" i="3"/>
  <c r="AT226" i="3"/>
  <c r="AO226" i="3"/>
  <c r="AJ226" i="3"/>
  <c r="AQ226" i="3"/>
  <c r="AF226" i="3"/>
  <c r="F226" i="3"/>
  <c r="AX226" i="3"/>
  <c r="L226" i="3"/>
  <c r="E226" i="3"/>
  <c r="U226" i="3"/>
  <c r="AM226" i="3"/>
  <c r="AB226" i="3"/>
  <c r="K226" i="3"/>
  <c r="AW226" i="3"/>
  <c r="W226" i="3"/>
  <c r="Y226" i="3"/>
  <c r="D226" i="3"/>
  <c r="AH226" i="3"/>
  <c r="Q226" i="3"/>
  <c r="M225" i="3"/>
  <c r="N225" i="3" s="1"/>
  <c r="O225" i="3"/>
  <c r="P225" i="3" s="1"/>
  <c r="AU225" i="3"/>
  <c r="AV225" i="3"/>
  <c r="AV226" i="3" l="1"/>
  <c r="AU226" i="3"/>
  <c r="M226" i="3"/>
  <c r="N226" i="3" s="1"/>
  <c r="O226" i="3"/>
  <c r="P226" i="3" s="1"/>
  <c r="E227" i="3"/>
  <c r="W227" i="3"/>
  <c r="AO227" i="3"/>
  <c r="S227" i="3"/>
  <c r="AM227" i="3"/>
  <c r="F227" i="3"/>
  <c r="K227" i="3"/>
  <c r="AW227" i="3"/>
  <c r="AF227" i="3"/>
  <c r="AX227" i="3"/>
  <c r="A228" i="3"/>
  <c r="Y227" i="3"/>
  <c r="U227" i="3"/>
  <c r="D227" i="3"/>
  <c r="AB227" i="3"/>
  <c r="Q227" i="3"/>
  <c r="AT227" i="3"/>
  <c r="AQ227" i="3"/>
  <c r="AJ227" i="3"/>
  <c r="L227" i="3"/>
  <c r="AH227" i="3"/>
  <c r="M227" i="3" l="1"/>
  <c r="N227" i="3" s="1"/>
  <c r="O227" i="3"/>
  <c r="P227" i="3" s="1"/>
  <c r="AU227" i="3"/>
  <c r="AV227" i="3"/>
  <c r="A229" i="3"/>
  <c r="Y228" i="3"/>
  <c r="AQ228" i="3"/>
  <c r="S228" i="3"/>
  <c r="D228" i="3"/>
  <c r="AM228" i="3"/>
  <c r="AF228" i="3"/>
  <c r="AJ228" i="3"/>
  <c r="Q228" i="3"/>
  <c r="L228" i="3"/>
  <c r="E228" i="3"/>
  <c r="AT228" i="3"/>
  <c r="W228" i="3"/>
  <c r="F228" i="3"/>
  <c r="AH228" i="3"/>
  <c r="K228" i="3"/>
  <c r="AO228" i="3"/>
  <c r="U228" i="3"/>
  <c r="AB228" i="3"/>
  <c r="AX228" i="3"/>
  <c r="AW228" i="3"/>
  <c r="AV228" i="3" l="1"/>
  <c r="M228" i="3"/>
  <c r="N228" i="3" s="1"/>
  <c r="O228" i="3"/>
  <c r="P228" i="3" s="1"/>
  <c r="AU228" i="3"/>
  <c r="AT229" i="3"/>
  <c r="E229" i="3"/>
  <c r="AO229" i="3"/>
  <c r="S229" i="3"/>
  <c r="AM229" i="3"/>
  <c r="F229" i="3"/>
  <c r="D229" i="3"/>
  <c r="AF229" i="3"/>
  <c r="L229" i="3"/>
  <c r="Q229" i="3"/>
  <c r="W229" i="3"/>
  <c r="AQ229" i="3"/>
  <c r="AJ229" i="3"/>
  <c r="AB229" i="3"/>
  <c r="AW229" i="3"/>
  <c r="A230" i="3"/>
  <c r="Y229" i="3"/>
  <c r="U229" i="3"/>
  <c r="K229" i="3"/>
  <c r="AH229" i="3"/>
  <c r="AX229" i="3"/>
  <c r="A231" i="3" l="1"/>
  <c r="AT230" i="3"/>
  <c r="U230" i="3"/>
  <c r="AO230" i="3"/>
  <c r="AM230" i="3"/>
  <c r="D230" i="3"/>
  <c r="AB230" i="3"/>
  <c r="AH230" i="3"/>
  <c r="AX230" i="3"/>
  <c r="L230" i="3"/>
  <c r="E230" i="3"/>
  <c r="S230" i="3"/>
  <c r="AQ230" i="3"/>
  <c r="F230" i="3"/>
  <c r="K230" i="3"/>
  <c r="AW230" i="3"/>
  <c r="W230" i="3"/>
  <c r="Y230" i="3"/>
  <c r="AJ230" i="3"/>
  <c r="AF230" i="3"/>
  <c r="Q230" i="3"/>
  <c r="M229" i="3"/>
  <c r="N229" i="3" s="1"/>
  <c r="O229" i="3"/>
  <c r="P229" i="3" s="1"/>
  <c r="AU229" i="3"/>
  <c r="AV229" i="3"/>
  <c r="AV230" i="3" l="1"/>
  <c r="AU230" i="3"/>
  <c r="M230" i="3"/>
  <c r="N230" i="3" s="1"/>
  <c r="O230" i="3"/>
  <c r="P230" i="3" s="1"/>
  <c r="E231" i="3"/>
  <c r="W231" i="3"/>
  <c r="AO231" i="3"/>
  <c r="S231" i="3"/>
  <c r="AM231" i="3"/>
  <c r="F231" i="3"/>
  <c r="K231" i="3"/>
  <c r="AW231" i="3"/>
  <c r="AF231" i="3"/>
  <c r="AX231" i="3"/>
  <c r="A232" i="3"/>
  <c r="Y231" i="3"/>
  <c r="U231" i="3"/>
  <c r="D231" i="3"/>
  <c r="AB231" i="3"/>
  <c r="Q231" i="3"/>
  <c r="AT231" i="3"/>
  <c r="AQ231" i="3"/>
  <c r="AJ231" i="3"/>
  <c r="L231" i="3"/>
  <c r="AH231" i="3"/>
  <c r="M231" i="3" l="1"/>
  <c r="N231" i="3" s="1"/>
  <c r="O231" i="3"/>
  <c r="P231" i="3" s="1"/>
  <c r="AU231" i="3"/>
  <c r="AV231" i="3"/>
  <c r="A233" i="3"/>
  <c r="W232" i="3"/>
  <c r="AO232" i="3"/>
  <c r="D232" i="3"/>
  <c r="S232" i="3"/>
  <c r="AM232" i="3"/>
  <c r="AB232" i="3"/>
  <c r="AH232" i="3"/>
  <c r="Q232" i="3"/>
  <c r="L232" i="3"/>
  <c r="E232" i="3"/>
  <c r="AT232" i="3"/>
  <c r="AQ232" i="3"/>
  <c r="U232" i="3"/>
  <c r="AF232" i="3"/>
  <c r="K232" i="3"/>
  <c r="Y232" i="3"/>
  <c r="F232" i="3"/>
  <c r="AJ232" i="3"/>
  <c r="AX232" i="3"/>
  <c r="AW232" i="3"/>
  <c r="AV232" i="3" l="1"/>
  <c r="M232" i="3"/>
  <c r="N232" i="3" s="1"/>
  <c r="O232" i="3"/>
  <c r="P232" i="3" s="1"/>
  <c r="AU232" i="3"/>
  <c r="E233" i="3"/>
  <c r="W233" i="3"/>
  <c r="AO233" i="3"/>
  <c r="S233" i="3"/>
  <c r="AM233" i="3"/>
  <c r="F233" i="3"/>
  <c r="D233" i="3"/>
  <c r="AF233" i="3"/>
  <c r="L233" i="3"/>
  <c r="Q233" i="3"/>
  <c r="AT233" i="3"/>
  <c r="AQ233" i="3"/>
  <c r="AJ233" i="3"/>
  <c r="AB233" i="3"/>
  <c r="AW233" i="3"/>
  <c r="A234" i="3"/>
  <c r="Y233" i="3"/>
  <c r="U233" i="3"/>
  <c r="K233" i="3"/>
  <c r="AH233" i="3"/>
  <c r="AX233" i="3"/>
  <c r="A235" i="3" l="1"/>
  <c r="S234" i="3"/>
  <c r="AT234" i="3"/>
  <c r="AO234" i="3"/>
  <c r="AJ234" i="3"/>
  <c r="AQ234" i="3"/>
  <c r="AF234" i="3"/>
  <c r="F234" i="3"/>
  <c r="AX234" i="3"/>
  <c r="L234" i="3"/>
  <c r="E234" i="3"/>
  <c r="U234" i="3"/>
  <c r="AM234" i="3"/>
  <c r="AB234" i="3"/>
  <c r="K234" i="3"/>
  <c r="AW234" i="3"/>
  <c r="W234" i="3"/>
  <c r="Y234" i="3"/>
  <c r="D234" i="3"/>
  <c r="AH234" i="3"/>
  <c r="Q234" i="3"/>
  <c r="M233" i="3"/>
  <c r="N233" i="3" s="1"/>
  <c r="O233" i="3"/>
  <c r="P233" i="3" s="1"/>
  <c r="AU233" i="3"/>
  <c r="AV233" i="3"/>
  <c r="AV234" i="3" l="1"/>
  <c r="AU234" i="3"/>
  <c r="M234" i="3"/>
  <c r="N234" i="3" s="1"/>
  <c r="O234" i="3"/>
  <c r="P234" i="3" s="1"/>
  <c r="E235" i="3"/>
  <c r="W235" i="3"/>
  <c r="AO235" i="3"/>
  <c r="S235" i="3"/>
  <c r="AM235" i="3"/>
  <c r="F235" i="3"/>
  <c r="K235" i="3"/>
  <c r="AW235" i="3"/>
  <c r="AF235" i="3"/>
  <c r="AX235" i="3"/>
  <c r="A236" i="3"/>
  <c r="Y235" i="3"/>
  <c r="U235" i="3"/>
  <c r="D235" i="3"/>
  <c r="AB235" i="3"/>
  <c r="Q235" i="3"/>
  <c r="AT235" i="3"/>
  <c r="AQ235" i="3"/>
  <c r="AJ235" i="3"/>
  <c r="L235" i="3"/>
  <c r="AH235" i="3"/>
  <c r="M235" i="3" l="1"/>
  <c r="N235" i="3" s="1"/>
  <c r="O235" i="3"/>
  <c r="P235" i="3" s="1"/>
  <c r="AU235" i="3"/>
  <c r="AV235" i="3"/>
  <c r="A237" i="3"/>
  <c r="Y236" i="3"/>
  <c r="AQ236" i="3"/>
  <c r="S236" i="3"/>
  <c r="D236" i="3"/>
  <c r="AM236" i="3"/>
  <c r="AF236" i="3"/>
  <c r="AJ236" i="3"/>
  <c r="Q236" i="3"/>
  <c r="L236" i="3"/>
  <c r="E236" i="3"/>
  <c r="AT236" i="3"/>
  <c r="W236" i="3"/>
  <c r="F236" i="3"/>
  <c r="AH236" i="3"/>
  <c r="K236" i="3"/>
  <c r="AO236" i="3"/>
  <c r="U236" i="3"/>
  <c r="AB236" i="3"/>
  <c r="AX236" i="3"/>
  <c r="AW236" i="3"/>
  <c r="AV236" i="3" l="1"/>
  <c r="M236" i="3"/>
  <c r="N236" i="3" s="1"/>
  <c r="O236" i="3"/>
  <c r="P236" i="3" s="1"/>
  <c r="AU236" i="3"/>
  <c r="AT237" i="3"/>
  <c r="Y237" i="3"/>
  <c r="AQ237" i="3"/>
  <c r="U237" i="3"/>
  <c r="AJ237" i="3"/>
  <c r="E237" i="3"/>
  <c r="D237" i="3"/>
  <c r="AF237" i="3"/>
  <c r="L237" i="3"/>
  <c r="Q237" i="3"/>
  <c r="W237" i="3"/>
  <c r="S237" i="3"/>
  <c r="F237" i="3"/>
  <c r="AB237" i="3"/>
  <c r="AW237" i="3"/>
  <c r="A238" i="3"/>
  <c r="AO237" i="3"/>
  <c r="AM237" i="3"/>
  <c r="K237" i="3"/>
  <c r="AH237" i="3"/>
  <c r="AX237" i="3"/>
  <c r="W238" i="3" l="1"/>
  <c r="S238" i="3"/>
  <c r="A239" i="3"/>
  <c r="AO238" i="3"/>
  <c r="AM238" i="3"/>
  <c r="D238" i="3"/>
  <c r="AB238" i="3"/>
  <c r="AH238" i="3"/>
  <c r="AX238" i="3"/>
  <c r="L238" i="3"/>
  <c r="E238" i="3"/>
  <c r="U238" i="3"/>
  <c r="AQ238" i="3"/>
  <c r="F238" i="3"/>
  <c r="K238" i="3"/>
  <c r="AW238" i="3"/>
  <c r="AT238" i="3"/>
  <c r="Y238" i="3"/>
  <c r="AJ238" i="3"/>
  <c r="AF238" i="3"/>
  <c r="Q238" i="3"/>
  <c r="M237" i="3"/>
  <c r="N237" i="3" s="1"/>
  <c r="O237" i="3"/>
  <c r="P237" i="3" s="1"/>
  <c r="AU237" i="3"/>
  <c r="AV237" i="3"/>
  <c r="E239" i="3" l="1"/>
  <c r="W239" i="3"/>
  <c r="AO239" i="3"/>
  <c r="S239" i="3"/>
  <c r="AM239" i="3"/>
  <c r="F239" i="3"/>
  <c r="K239" i="3"/>
  <c r="AW239" i="3"/>
  <c r="AF239" i="3"/>
  <c r="AX239" i="3"/>
  <c r="A240" i="3"/>
  <c r="Y239" i="3"/>
  <c r="U239" i="3"/>
  <c r="D239" i="3"/>
  <c r="AB239" i="3"/>
  <c r="Q239" i="3"/>
  <c r="AT239" i="3"/>
  <c r="AQ239" i="3"/>
  <c r="AJ239" i="3"/>
  <c r="L239" i="3"/>
  <c r="AH239" i="3"/>
  <c r="AV238" i="3"/>
  <c r="AU238" i="3"/>
  <c r="M238" i="3"/>
  <c r="N238" i="3" s="1"/>
  <c r="O238" i="3"/>
  <c r="P238" i="3" s="1"/>
  <c r="A241" i="3" l="1"/>
  <c r="W240" i="3"/>
  <c r="AO240" i="3"/>
  <c r="D240" i="3"/>
  <c r="S240" i="3"/>
  <c r="AM240" i="3"/>
  <c r="AB240" i="3"/>
  <c r="AH240" i="3"/>
  <c r="Q240" i="3"/>
  <c r="L240" i="3"/>
  <c r="E240" i="3"/>
  <c r="AT240" i="3"/>
  <c r="AQ240" i="3"/>
  <c r="U240" i="3"/>
  <c r="AF240" i="3"/>
  <c r="K240" i="3"/>
  <c r="Y240" i="3"/>
  <c r="F240" i="3"/>
  <c r="AJ240" i="3"/>
  <c r="AX240" i="3"/>
  <c r="AW240" i="3"/>
  <c r="M239" i="3"/>
  <c r="N239" i="3" s="1"/>
  <c r="O239" i="3"/>
  <c r="P239" i="3" s="1"/>
  <c r="AU239" i="3"/>
  <c r="AV239" i="3"/>
  <c r="E241" i="3" l="1"/>
  <c r="W241" i="3"/>
  <c r="AO241" i="3"/>
  <c r="S241" i="3"/>
  <c r="AM241" i="3"/>
  <c r="F241" i="3"/>
  <c r="D241" i="3"/>
  <c r="AF241" i="3"/>
  <c r="L241" i="3"/>
  <c r="Q241" i="3"/>
  <c r="AT241" i="3"/>
  <c r="AQ241" i="3"/>
  <c r="AJ241" i="3"/>
  <c r="AB241" i="3"/>
  <c r="AW241" i="3"/>
  <c r="A242" i="3"/>
  <c r="Y241" i="3"/>
  <c r="U241" i="3"/>
  <c r="K241" i="3"/>
  <c r="AH241" i="3"/>
  <c r="AX241" i="3"/>
  <c r="AV240" i="3"/>
  <c r="M240" i="3"/>
  <c r="N240" i="3" s="1"/>
  <c r="O240" i="3"/>
  <c r="P240" i="3" s="1"/>
  <c r="AU240" i="3"/>
  <c r="M241" i="3" l="1"/>
  <c r="N241" i="3" s="1"/>
  <c r="O241" i="3"/>
  <c r="P241" i="3" s="1"/>
  <c r="AU241" i="3"/>
  <c r="AV241" i="3"/>
  <c r="A243" i="3"/>
  <c r="S242" i="3"/>
  <c r="AT242" i="3"/>
  <c r="AO242" i="3"/>
  <c r="AJ242" i="3"/>
  <c r="AQ242" i="3"/>
  <c r="AF242" i="3"/>
  <c r="F242" i="3"/>
  <c r="AX242" i="3"/>
  <c r="L242" i="3"/>
  <c r="E242" i="3"/>
  <c r="U242" i="3"/>
  <c r="AM242" i="3"/>
  <c r="AB242" i="3"/>
  <c r="K242" i="3"/>
  <c r="AW242" i="3"/>
  <c r="W242" i="3"/>
  <c r="Y242" i="3"/>
  <c r="D242" i="3"/>
  <c r="AH242" i="3"/>
  <c r="Q242" i="3"/>
  <c r="AV242" i="3" l="1"/>
  <c r="AU242" i="3"/>
  <c r="M242" i="3"/>
  <c r="N242" i="3" s="1"/>
  <c r="O242" i="3"/>
  <c r="P242" i="3" s="1"/>
  <c r="E243" i="3"/>
  <c r="W243" i="3"/>
  <c r="AO243" i="3"/>
  <c r="S243" i="3"/>
  <c r="AM243" i="3"/>
  <c r="F243" i="3"/>
  <c r="K243" i="3"/>
  <c r="AW243" i="3"/>
  <c r="AF243" i="3"/>
  <c r="AX243" i="3"/>
  <c r="A244" i="3"/>
  <c r="Y243" i="3"/>
  <c r="U243" i="3"/>
  <c r="D243" i="3"/>
  <c r="AB243" i="3"/>
  <c r="Q243" i="3"/>
  <c r="AT243" i="3"/>
  <c r="AQ243" i="3"/>
  <c r="AJ243" i="3"/>
  <c r="L243" i="3"/>
  <c r="AH243" i="3"/>
  <c r="A245" i="3" l="1"/>
  <c r="Y244" i="3"/>
  <c r="AQ244" i="3"/>
  <c r="S244" i="3"/>
  <c r="D244" i="3"/>
  <c r="AM244" i="3"/>
  <c r="AF244" i="3"/>
  <c r="AJ244" i="3"/>
  <c r="Q244" i="3"/>
  <c r="L244" i="3"/>
  <c r="E244" i="3"/>
  <c r="AT244" i="3"/>
  <c r="W244" i="3"/>
  <c r="F244" i="3"/>
  <c r="AH244" i="3"/>
  <c r="K244" i="3"/>
  <c r="AO244" i="3"/>
  <c r="U244" i="3"/>
  <c r="AB244" i="3"/>
  <c r="AX244" i="3"/>
  <c r="AW244" i="3"/>
  <c r="M243" i="3"/>
  <c r="N243" i="3" s="1"/>
  <c r="O243" i="3"/>
  <c r="P243" i="3" s="1"/>
  <c r="AU243" i="3"/>
  <c r="AV243" i="3"/>
  <c r="AV244" i="3" l="1"/>
  <c r="M244" i="3"/>
  <c r="N244" i="3" s="1"/>
  <c r="O244" i="3"/>
  <c r="P244" i="3" s="1"/>
  <c r="AU244" i="3"/>
  <c r="AT245" i="3"/>
  <c r="E245" i="3"/>
  <c r="AO245" i="3"/>
  <c r="S245" i="3"/>
  <c r="AM245" i="3"/>
  <c r="F245" i="3"/>
  <c r="D245" i="3"/>
  <c r="AF245" i="3"/>
  <c r="L245" i="3"/>
  <c r="Q245" i="3"/>
  <c r="W245" i="3"/>
  <c r="AQ245" i="3"/>
  <c r="AJ245" i="3"/>
  <c r="AB245" i="3"/>
  <c r="AW245" i="3"/>
  <c r="A246" i="3"/>
  <c r="Y245" i="3"/>
  <c r="U245" i="3"/>
  <c r="K245" i="3"/>
  <c r="AH245" i="3"/>
  <c r="AX245" i="3"/>
  <c r="M245" i="3" l="1"/>
  <c r="N245" i="3" s="1"/>
  <c r="O245" i="3"/>
  <c r="P245" i="3" s="1"/>
  <c r="AU245" i="3"/>
  <c r="AV245" i="3"/>
  <c r="A247" i="3"/>
  <c r="AT246" i="3"/>
  <c r="U246" i="3"/>
  <c r="AO246" i="3"/>
  <c r="AM246" i="3"/>
  <c r="D246" i="3"/>
  <c r="AB246" i="3"/>
  <c r="AH246" i="3"/>
  <c r="AX246" i="3"/>
  <c r="L246" i="3"/>
  <c r="E246" i="3"/>
  <c r="S246" i="3"/>
  <c r="AQ246" i="3"/>
  <c r="F246" i="3"/>
  <c r="K246" i="3"/>
  <c r="AW246" i="3"/>
  <c r="W246" i="3"/>
  <c r="Y246" i="3"/>
  <c r="AJ246" i="3"/>
  <c r="AF246" i="3"/>
  <c r="Q246" i="3"/>
  <c r="E247" i="3" l="1"/>
  <c r="W247" i="3"/>
  <c r="AO247" i="3"/>
  <c r="S247" i="3"/>
  <c r="AM247" i="3"/>
  <c r="F247" i="3"/>
  <c r="K247" i="3"/>
  <c r="AW247" i="3"/>
  <c r="AF247" i="3"/>
  <c r="AX247" i="3"/>
  <c r="A248" i="3"/>
  <c r="Y247" i="3"/>
  <c r="U247" i="3"/>
  <c r="D247" i="3"/>
  <c r="AB247" i="3"/>
  <c r="Q247" i="3"/>
  <c r="AT247" i="3"/>
  <c r="AQ247" i="3"/>
  <c r="AJ247" i="3"/>
  <c r="L247" i="3"/>
  <c r="AH247" i="3"/>
  <c r="AV246" i="3"/>
  <c r="AU246" i="3"/>
  <c r="M246" i="3"/>
  <c r="N246" i="3" s="1"/>
  <c r="O246" i="3"/>
  <c r="P246" i="3" s="1"/>
  <c r="A249" i="3" l="1"/>
  <c r="W248" i="3"/>
  <c r="AO248" i="3"/>
  <c r="D248" i="3"/>
  <c r="S248" i="3"/>
  <c r="AM248" i="3"/>
  <c r="AB248" i="3"/>
  <c r="AH248" i="3"/>
  <c r="Q248" i="3"/>
  <c r="L248" i="3"/>
  <c r="E248" i="3"/>
  <c r="AT248" i="3"/>
  <c r="AQ248" i="3"/>
  <c r="U248" i="3"/>
  <c r="AF248" i="3"/>
  <c r="K248" i="3"/>
  <c r="Y248" i="3"/>
  <c r="F248" i="3"/>
  <c r="AJ248" i="3"/>
  <c r="AX248" i="3"/>
  <c r="AW248" i="3"/>
  <c r="M247" i="3"/>
  <c r="N247" i="3" s="1"/>
  <c r="O247" i="3"/>
  <c r="P247" i="3" s="1"/>
  <c r="AU247" i="3"/>
  <c r="AV247" i="3"/>
  <c r="E249" i="3" l="1"/>
  <c r="W249" i="3"/>
  <c r="AO249" i="3"/>
  <c r="S249" i="3"/>
  <c r="AM249" i="3"/>
  <c r="F249" i="3"/>
  <c r="D249" i="3"/>
  <c r="AF249" i="3"/>
  <c r="L249" i="3"/>
  <c r="Q249" i="3"/>
  <c r="AT249" i="3"/>
  <c r="AQ249" i="3"/>
  <c r="AJ249" i="3"/>
  <c r="AB249" i="3"/>
  <c r="AW249" i="3"/>
  <c r="A250" i="3"/>
  <c r="Y249" i="3"/>
  <c r="U249" i="3"/>
  <c r="K249" i="3"/>
  <c r="AH249" i="3"/>
  <c r="AX249" i="3"/>
  <c r="AV248" i="3"/>
  <c r="M248" i="3"/>
  <c r="N248" i="3" s="1"/>
  <c r="O248" i="3"/>
  <c r="P248" i="3" s="1"/>
  <c r="AU248" i="3"/>
  <c r="M249" i="3" l="1"/>
  <c r="N249" i="3" s="1"/>
  <c r="O249" i="3"/>
  <c r="P249" i="3" s="1"/>
  <c r="AU249" i="3"/>
  <c r="AV249" i="3"/>
  <c r="A251" i="3"/>
  <c r="S250" i="3"/>
  <c r="AT250" i="3"/>
  <c r="AO250" i="3"/>
  <c r="AJ250" i="3"/>
  <c r="AQ250" i="3"/>
  <c r="AF250" i="3"/>
  <c r="F250" i="3"/>
  <c r="AX250" i="3"/>
  <c r="L250" i="3"/>
  <c r="E250" i="3"/>
  <c r="U250" i="3"/>
  <c r="AM250" i="3"/>
  <c r="AB250" i="3"/>
  <c r="K250" i="3"/>
  <c r="AW250" i="3"/>
  <c r="W250" i="3"/>
  <c r="Y250" i="3"/>
  <c r="D250" i="3"/>
  <c r="AH250" i="3"/>
  <c r="Q250" i="3"/>
  <c r="AV250" i="3" l="1"/>
  <c r="AU250" i="3"/>
  <c r="M250" i="3"/>
  <c r="N250" i="3" s="1"/>
  <c r="O250" i="3"/>
  <c r="P250" i="3" s="1"/>
  <c r="E251" i="3"/>
  <c r="W251" i="3"/>
  <c r="AO251" i="3"/>
  <c r="S251" i="3"/>
  <c r="AM251" i="3"/>
  <c r="F251" i="3"/>
  <c r="K251" i="3"/>
  <c r="AW251" i="3"/>
  <c r="AF251" i="3"/>
  <c r="AX251" i="3"/>
  <c r="A252" i="3"/>
  <c r="Y251" i="3"/>
  <c r="U251" i="3"/>
  <c r="D251" i="3"/>
  <c r="AB251" i="3"/>
  <c r="Q251" i="3"/>
  <c r="AT251" i="3"/>
  <c r="AQ251" i="3"/>
  <c r="AJ251" i="3"/>
  <c r="L251" i="3"/>
  <c r="AH251" i="3"/>
  <c r="A253" i="3" l="1"/>
  <c r="Y252" i="3"/>
  <c r="AQ252" i="3"/>
  <c r="S252" i="3"/>
  <c r="D252" i="3"/>
  <c r="AM252" i="3"/>
  <c r="AF252" i="3"/>
  <c r="AJ252" i="3"/>
  <c r="Q252" i="3"/>
  <c r="L252" i="3"/>
  <c r="E252" i="3"/>
  <c r="AT252" i="3"/>
  <c r="W252" i="3"/>
  <c r="F252" i="3"/>
  <c r="AH252" i="3"/>
  <c r="K252" i="3"/>
  <c r="AO252" i="3"/>
  <c r="U252" i="3"/>
  <c r="AB252" i="3"/>
  <c r="AX252" i="3"/>
  <c r="AW252" i="3"/>
  <c r="M251" i="3"/>
  <c r="N251" i="3" s="1"/>
  <c r="O251" i="3"/>
  <c r="P251" i="3" s="1"/>
  <c r="AU251" i="3"/>
  <c r="AV251" i="3"/>
  <c r="AV252" i="3" l="1"/>
  <c r="M252" i="3"/>
  <c r="N252" i="3" s="1"/>
  <c r="O252" i="3"/>
  <c r="P252" i="3" s="1"/>
  <c r="AU252" i="3"/>
  <c r="AT253" i="3"/>
  <c r="Y253" i="3"/>
  <c r="AQ253" i="3"/>
  <c r="U253" i="3"/>
  <c r="AM253" i="3"/>
  <c r="F253" i="3"/>
  <c r="D253" i="3"/>
  <c r="AF253" i="3"/>
  <c r="L253" i="3"/>
  <c r="Q253" i="3"/>
  <c r="W253" i="3"/>
  <c r="S253" i="3"/>
  <c r="AJ253" i="3"/>
  <c r="AB253" i="3"/>
  <c r="AW253" i="3"/>
  <c r="A254" i="3"/>
  <c r="AO253" i="3"/>
  <c r="E253" i="3"/>
  <c r="K253" i="3"/>
  <c r="AH253" i="3"/>
  <c r="AX253" i="3"/>
  <c r="M253" i="3" l="1"/>
  <c r="N253" i="3" s="1"/>
  <c r="O253" i="3"/>
  <c r="P253" i="3" s="1"/>
  <c r="AU253" i="3"/>
  <c r="AV253" i="3"/>
  <c r="W254" i="3"/>
  <c r="AT254" i="3"/>
  <c r="U254" i="3"/>
  <c r="AO254" i="3"/>
  <c r="AM254" i="3"/>
  <c r="D254" i="3"/>
  <c r="AB254" i="3"/>
  <c r="AH254" i="3"/>
  <c r="AX254" i="3"/>
  <c r="L254" i="3"/>
  <c r="E254" i="3"/>
  <c r="S254" i="3"/>
  <c r="AQ254" i="3"/>
  <c r="F254" i="3"/>
  <c r="K254" i="3"/>
  <c r="AW254" i="3"/>
  <c r="A255" i="3"/>
  <c r="Y254" i="3"/>
  <c r="AJ254" i="3"/>
  <c r="AF254" i="3"/>
  <c r="Q254" i="3"/>
  <c r="E255" i="3" l="1"/>
  <c r="W255" i="3"/>
  <c r="AO255" i="3"/>
  <c r="S255" i="3"/>
  <c r="AM255" i="3"/>
  <c r="F255" i="3"/>
  <c r="K255" i="3"/>
  <c r="AW255" i="3"/>
  <c r="AF255" i="3"/>
  <c r="AX255" i="3"/>
  <c r="AT255" i="3"/>
  <c r="AQ255" i="3"/>
  <c r="AJ255" i="3"/>
  <c r="L255" i="3"/>
  <c r="AH255" i="3"/>
  <c r="A256" i="3"/>
  <c r="Y255" i="3"/>
  <c r="U255" i="3"/>
  <c r="D255" i="3"/>
  <c r="AB255" i="3"/>
  <c r="Q255" i="3"/>
  <c r="M254" i="3"/>
  <c r="N254" i="3" s="1"/>
  <c r="AU254" i="3"/>
  <c r="O254" i="3"/>
  <c r="P254" i="3" s="1"/>
  <c r="AV254" i="3"/>
  <c r="M255" i="3" l="1"/>
  <c r="N255" i="3" s="1"/>
  <c r="O255" i="3"/>
  <c r="P255" i="3" s="1"/>
  <c r="AU255" i="3"/>
  <c r="AV255" i="3"/>
  <c r="A257" i="3"/>
  <c r="W256" i="3"/>
  <c r="AO256" i="3"/>
  <c r="D256" i="3"/>
  <c r="S256" i="3"/>
  <c r="AM256" i="3"/>
  <c r="AB256" i="3"/>
  <c r="AH256" i="3"/>
  <c r="Q256" i="3"/>
  <c r="L256" i="3"/>
  <c r="E256" i="3"/>
  <c r="AT256" i="3"/>
  <c r="AQ256" i="3"/>
  <c r="U256" i="3"/>
  <c r="AF256" i="3"/>
  <c r="K256" i="3"/>
  <c r="Y256" i="3"/>
  <c r="F256" i="3"/>
  <c r="AJ256" i="3"/>
  <c r="AX256" i="3"/>
  <c r="AW256" i="3"/>
  <c r="E257" i="3" l="1"/>
  <c r="W257" i="3"/>
  <c r="AO257" i="3"/>
  <c r="S257" i="3"/>
  <c r="AM257" i="3"/>
  <c r="F257" i="3"/>
  <c r="D257" i="3"/>
  <c r="AF257" i="3"/>
  <c r="L257" i="3"/>
  <c r="Q257" i="3"/>
  <c r="AT257" i="3"/>
  <c r="AQ257" i="3"/>
  <c r="AJ257" i="3"/>
  <c r="AB257" i="3"/>
  <c r="AW257" i="3"/>
  <c r="A258" i="3"/>
  <c r="Y257" i="3"/>
  <c r="U257" i="3"/>
  <c r="K257" i="3"/>
  <c r="AH257" i="3"/>
  <c r="AX257" i="3"/>
  <c r="AV256" i="3"/>
  <c r="M256" i="3"/>
  <c r="N256" i="3" s="1"/>
  <c r="O256" i="3"/>
  <c r="P256" i="3" s="1"/>
  <c r="AU256" i="3"/>
  <c r="M257" i="3" l="1"/>
  <c r="N257" i="3" s="1"/>
  <c r="O257" i="3"/>
  <c r="P257" i="3" s="1"/>
  <c r="AU257" i="3"/>
  <c r="AV257" i="3"/>
  <c r="A259" i="3"/>
  <c r="S258" i="3"/>
  <c r="AT258" i="3"/>
  <c r="AO258" i="3"/>
  <c r="AJ258" i="3"/>
  <c r="AQ258" i="3"/>
  <c r="AF258" i="3"/>
  <c r="F258" i="3"/>
  <c r="AX258" i="3"/>
  <c r="L258" i="3"/>
  <c r="E258" i="3"/>
  <c r="U258" i="3"/>
  <c r="AM258" i="3"/>
  <c r="AB258" i="3"/>
  <c r="K258" i="3"/>
  <c r="AW258" i="3"/>
  <c r="W258" i="3"/>
  <c r="Y258" i="3"/>
  <c r="D258" i="3"/>
  <c r="AH258" i="3"/>
  <c r="Q258" i="3"/>
  <c r="AV258" i="3" l="1"/>
  <c r="AU258" i="3"/>
  <c r="M258" i="3"/>
  <c r="N258" i="3" s="1"/>
  <c r="O258" i="3"/>
  <c r="P258" i="3" s="1"/>
  <c r="E259" i="3"/>
  <c r="W259" i="3"/>
  <c r="AO259" i="3"/>
  <c r="S259" i="3"/>
  <c r="AM259" i="3"/>
  <c r="F259" i="3"/>
  <c r="K259" i="3"/>
  <c r="AW259" i="3"/>
  <c r="AF259" i="3"/>
  <c r="AX259" i="3"/>
  <c r="A260" i="3"/>
  <c r="Y259" i="3"/>
  <c r="U259" i="3"/>
  <c r="D259" i="3"/>
  <c r="AB259" i="3"/>
  <c r="Q259" i="3"/>
  <c r="AT259" i="3"/>
  <c r="AQ259" i="3"/>
  <c r="AJ259" i="3"/>
  <c r="L259" i="3"/>
  <c r="AH259" i="3"/>
  <c r="A261" i="3" l="1"/>
  <c r="Y260" i="3"/>
  <c r="AQ260" i="3"/>
  <c r="S260" i="3"/>
  <c r="D260" i="3"/>
  <c r="AM260" i="3"/>
  <c r="AF260" i="3"/>
  <c r="AJ260" i="3"/>
  <c r="Q260" i="3"/>
  <c r="L260" i="3"/>
  <c r="E260" i="3"/>
  <c r="AT260" i="3"/>
  <c r="W260" i="3"/>
  <c r="F260" i="3"/>
  <c r="AH260" i="3"/>
  <c r="K260" i="3"/>
  <c r="AO260" i="3"/>
  <c r="U260" i="3"/>
  <c r="AB260" i="3"/>
  <c r="AX260" i="3"/>
  <c r="AW260" i="3"/>
  <c r="M259" i="3"/>
  <c r="N259" i="3" s="1"/>
  <c r="O259" i="3"/>
  <c r="P259" i="3" s="1"/>
  <c r="AU259" i="3"/>
  <c r="AV259" i="3"/>
  <c r="AV260" i="3" l="1"/>
  <c r="M260" i="3"/>
  <c r="N260" i="3" s="1"/>
  <c r="O260" i="3"/>
  <c r="P260" i="3" s="1"/>
  <c r="AU260" i="3"/>
  <c r="AT261" i="3"/>
  <c r="E261" i="3"/>
  <c r="AO261" i="3"/>
  <c r="S261" i="3"/>
  <c r="AM261" i="3"/>
  <c r="F261" i="3"/>
  <c r="D261" i="3"/>
  <c r="AF261" i="3"/>
  <c r="L261" i="3"/>
  <c r="Q261" i="3"/>
  <c r="W261" i="3"/>
  <c r="AQ261" i="3"/>
  <c r="AJ261" i="3"/>
  <c r="AB261" i="3"/>
  <c r="AW261" i="3"/>
  <c r="A262" i="3"/>
  <c r="Y261" i="3"/>
  <c r="U261" i="3"/>
  <c r="K261" i="3"/>
  <c r="AH261" i="3"/>
  <c r="AX261" i="3"/>
  <c r="M261" i="3" l="1"/>
  <c r="N261" i="3" s="1"/>
  <c r="O261" i="3"/>
  <c r="P261" i="3" s="1"/>
  <c r="AU261" i="3"/>
  <c r="AV261" i="3"/>
  <c r="A263" i="3"/>
  <c r="AT262" i="3"/>
  <c r="U262" i="3"/>
  <c r="AO262" i="3"/>
  <c r="AM262" i="3"/>
  <c r="D262" i="3"/>
  <c r="AB262" i="3"/>
  <c r="AH262" i="3"/>
  <c r="AX262" i="3"/>
  <c r="L262" i="3"/>
  <c r="E262" i="3"/>
  <c r="S262" i="3"/>
  <c r="AQ262" i="3"/>
  <c r="F262" i="3"/>
  <c r="K262" i="3"/>
  <c r="AW262" i="3"/>
  <c r="W262" i="3"/>
  <c r="Y262" i="3"/>
  <c r="AJ262" i="3"/>
  <c r="AF262" i="3"/>
  <c r="Q262" i="3"/>
  <c r="E263" i="3" l="1"/>
  <c r="W263" i="3"/>
  <c r="AO263" i="3"/>
  <c r="S263" i="3"/>
  <c r="AM263" i="3"/>
  <c r="F263" i="3"/>
  <c r="K263" i="3"/>
  <c r="AW263" i="3"/>
  <c r="AF263" i="3"/>
  <c r="AX263" i="3"/>
  <c r="A264" i="3"/>
  <c r="Y263" i="3"/>
  <c r="U263" i="3"/>
  <c r="D263" i="3"/>
  <c r="AB263" i="3"/>
  <c r="Q263" i="3"/>
  <c r="AT263" i="3"/>
  <c r="AQ263" i="3"/>
  <c r="AJ263" i="3"/>
  <c r="L263" i="3"/>
  <c r="AH263" i="3"/>
  <c r="AV262" i="3"/>
  <c r="AU262" i="3"/>
  <c r="M262" i="3"/>
  <c r="N262" i="3" s="1"/>
  <c r="O262" i="3"/>
  <c r="P262" i="3" s="1"/>
  <c r="A265" i="3" l="1"/>
  <c r="W264" i="3"/>
  <c r="AO264" i="3"/>
  <c r="D264" i="3"/>
  <c r="S264" i="3"/>
  <c r="AM264" i="3"/>
  <c r="AB264" i="3"/>
  <c r="AH264" i="3"/>
  <c r="Q264" i="3"/>
  <c r="L264" i="3"/>
  <c r="E264" i="3"/>
  <c r="AT264" i="3"/>
  <c r="AQ264" i="3"/>
  <c r="U264" i="3"/>
  <c r="AF264" i="3"/>
  <c r="K264" i="3"/>
  <c r="Y264" i="3"/>
  <c r="F264" i="3"/>
  <c r="AJ264" i="3"/>
  <c r="AX264" i="3"/>
  <c r="AW264" i="3"/>
  <c r="M263" i="3"/>
  <c r="N263" i="3" s="1"/>
  <c r="O263" i="3"/>
  <c r="P263" i="3" s="1"/>
  <c r="AU263" i="3"/>
  <c r="AV263" i="3"/>
  <c r="E265" i="3" l="1"/>
  <c r="W265" i="3"/>
  <c r="AO265" i="3"/>
  <c r="S265" i="3"/>
  <c r="AM265" i="3"/>
  <c r="F265" i="3"/>
  <c r="D265" i="3"/>
  <c r="AF265" i="3"/>
  <c r="L265" i="3"/>
  <c r="Q265" i="3"/>
  <c r="AT265" i="3"/>
  <c r="AQ265" i="3"/>
  <c r="AJ265" i="3"/>
  <c r="AB265" i="3"/>
  <c r="AW265" i="3"/>
  <c r="A266" i="3"/>
  <c r="Y265" i="3"/>
  <c r="U265" i="3"/>
  <c r="K265" i="3"/>
  <c r="AH265" i="3"/>
  <c r="AX265" i="3"/>
  <c r="AV264" i="3"/>
  <c r="M264" i="3"/>
  <c r="N264" i="3" s="1"/>
  <c r="O264" i="3"/>
  <c r="P264" i="3" s="1"/>
  <c r="AU264" i="3"/>
  <c r="M265" i="3" l="1"/>
  <c r="N265" i="3" s="1"/>
  <c r="O265" i="3"/>
  <c r="P265" i="3" s="1"/>
  <c r="AU265" i="3"/>
  <c r="AV265" i="3"/>
  <c r="A267" i="3"/>
  <c r="S266" i="3"/>
  <c r="AT266" i="3"/>
  <c r="AO266" i="3"/>
  <c r="AJ266" i="3"/>
  <c r="AQ266" i="3"/>
  <c r="AF266" i="3"/>
  <c r="F266" i="3"/>
  <c r="AX266" i="3"/>
  <c r="L266" i="3"/>
  <c r="E266" i="3"/>
  <c r="U266" i="3"/>
  <c r="AM266" i="3"/>
  <c r="AB266" i="3"/>
  <c r="K266" i="3"/>
  <c r="AW266" i="3"/>
  <c r="W266" i="3"/>
  <c r="Y266" i="3"/>
  <c r="D266" i="3"/>
  <c r="AH266" i="3"/>
  <c r="Q266" i="3"/>
  <c r="AV266" i="3" l="1"/>
  <c r="AU266" i="3"/>
  <c r="M266" i="3"/>
  <c r="N266" i="3" s="1"/>
  <c r="O266" i="3"/>
  <c r="P266" i="3" s="1"/>
  <c r="E267" i="3"/>
  <c r="W267" i="3"/>
  <c r="AO267" i="3"/>
  <c r="S267" i="3"/>
  <c r="AM267" i="3"/>
  <c r="F267" i="3"/>
  <c r="K267" i="3"/>
  <c r="AW267" i="3"/>
  <c r="AF267" i="3"/>
  <c r="AX267" i="3"/>
  <c r="A268" i="3"/>
  <c r="Y267" i="3"/>
  <c r="U267" i="3"/>
  <c r="D267" i="3"/>
  <c r="AB267" i="3"/>
  <c r="Q267" i="3"/>
  <c r="AT267" i="3"/>
  <c r="AQ267" i="3"/>
  <c r="AJ267" i="3"/>
  <c r="L267" i="3"/>
  <c r="AH267" i="3"/>
  <c r="A269" i="3" l="1"/>
  <c r="Y268" i="3"/>
  <c r="AQ268" i="3"/>
  <c r="S268" i="3"/>
  <c r="D268" i="3"/>
  <c r="AM268" i="3"/>
  <c r="AF268" i="3"/>
  <c r="AJ268" i="3"/>
  <c r="Q268" i="3"/>
  <c r="L268" i="3"/>
  <c r="E268" i="3"/>
  <c r="AT268" i="3"/>
  <c r="W268" i="3"/>
  <c r="F268" i="3"/>
  <c r="AH268" i="3"/>
  <c r="K268" i="3"/>
  <c r="AO268" i="3"/>
  <c r="U268" i="3"/>
  <c r="AB268" i="3"/>
  <c r="AX268" i="3"/>
  <c r="AW268" i="3"/>
  <c r="M267" i="3"/>
  <c r="N267" i="3" s="1"/>
  <c r="O267" i="3"/>
  <c r="P267" i="3" s="1"/>
  <c r="AU267" i="3"/>
  <c r="AV267" i="3"/>
  <c r="AV268" i="3" l="1"/>
  <c r="M268" i="3"/>
  <c r="N268" i="3" s="1"/>
  <c r="O268" i="3"/>
  <c r="P268" i="3" s="1"/>
  <c r="AU268" i="3"/>
  <c r="AT269" i="3"/>
  <c r="Y269" i="3"/>
  <c r="AQ269" i="3"/>
  <c r="U269" i="3"/>
  <c r="AJ269" i="3"/>
  <c r="E269" i="3"/>
  <c r="D269" i="3"/>
  <c r="AF269" i="3"/>
  <c r="L269" i="3"/>
  <c r="Q269" i="3"/>
  <c r="W269" i="3"/>
  <c r="S269" i="3"/>
  <c r="F269" i="3"/>
  <c r="AB269" i="3"/>
  <c r="AW269" i="3"/>
  <c r="A270" i="3"/>
  <c r="AO269" i="3"/>
  <c r="AM269" i="3"/>
  <c r="K269" i="3"/>
  <c r="AH269" i="3"/>
  <c r="AX269" i="3"/>
  <c r="M269" i="3" l="1"/>
  <c r="N269" i="3" s="1"/>
  <c r="O269" i="3"/>
  <c r="P269" i="3" s="1"/>
  <c r="AU269" i="3"/>
  <c r="AV269" i="3"/>
  <c r="W270" i="3"/>
  <c r="S270" i="3"/>
  <c r="A271" i="3"/>
  <c r="AO270" i="3"/>
  <c r="AM270" i="3"/>
  <c r="D270" i="3"/>
  <c r="AB270" i="3"/>
  <c r="AH270" i="3"/>
  <c r="AX270" i="3"/>
  <c r="L270" i="3"/>
  <c r="E270" i="3"/>
  <c r="U270" i="3"/>
  <c r="AQ270" i="3"/>
  <c r="F270" i="3"/>
  <c r="K270" i="3"/>
  <c r="AW270" i="3"/>
  <c r="AT270" i="3"/>
  <c r="Y270" i="3"/>
  <c r="AJ270" i="3"/>
  <c r="AF270" i="3"/>
  <c r="Q270" i="3"/>
  <c r="E271" i="3" l="1"/>
  <c r="W271" i="3"/>
  <c r="AO271" i="3"/>
  <c r="S271" i="3"/>
  <c r="AM271" i="3"/>
  <c r="F271" i="3"/>
  <c r="K271" i="3"/>
  <c r="AW271" i="3"/>
  <c r="AF271" i="3"/>
  <c r="AX271" i="3"/>
  <c r="A272" i="3"/>
  <c r="Y271" i="3"/>
  <c r="U271" i="3"/>
  <c r="D271" i="3"/>
  <c r="AB271" i="3"/>
  <c r="Q271" i="3"/>
  <c r="AT271" i="3"/>
  <c r="AQ271" i="3"/>
  <c r="AJ271" i="3"/>
  <c r="L271" i="3"/>
  <c r="AH271" i="3"/>
  <c r="AV270" i="3"/>
  <c r="AU270" i="3"/>
  <c r="M270" i="3"/>
  <c r="N270" i="3" s="1"/>
  <c r="O270" i="3"/>
  <c r="P270" i="3" s="1"/>
  <c r="A273" i="3" l="1"/>
  <c r="W272" i="3"/>
  <c r="AO272" i="3"/>
  <c r="D272" i="3"/>
  <c r="S272" i="3"/>
  <c r="AM272" i="3"/>
  <c r="AB272" i="3"/>
  <c r="AH272" i="3"/>
  <c r="Q272" i="3"/>
  <c r="L272" i="3"/>
  <c r="E272" i="3"/>
  <c r="AT272" i="3"/>
  <c r="AQ272" i="3"/>
  <c r="U272" i="3"/>
  <c r="AF272" i="3"/>
  <c r="K272" i="3"/>
  <c r="Y272" i="3"/>
  <c r="F272" i="3"/>
  <c r="AJ272" i="3"/>
  <c r="AX272" i="3"/>
  <c r="AW272" i="3"/>
  <c r="M271" i="3"/>
  <c r="N271" i="3" s="1"/>
  <c r="O271" i="3"/>
  <c r="P271" i="3" s="1"/>
  <c r="AU271" i="3"/>
  <c r="AV271" i="3"/>
  <c r="E273" i="3" l="1"/>
  <c r="W273" i="3"/>
  <c r="AO273" i="3"/>
  <c r="S273" i="3"/>
  <c r="AM273" i="3"/>
  <c r="F273" i="3"/>
  <c r="D273" i="3"/>
  <c r="AF273" i="3"/>
  <c r="L273" i="3"/>
  <c r="Q273" i="3"/>
  <c r="AT273" i="3"/>
  <c r="AQ273" i="3"/>
  <c r="AJ273" i="3"/>
  <c r="AB273" i="3"/>
  <c r="AW273" i="3"/>
  <c r="A274" i="3"/>
  <c r="Y273" i="3"/>
  <c r="U273" i="3"/>
  <c r="K273" i="3"/>
  <c r="AH273" i="3"/>
  <c r="AX273" i="3"/>
  <c r="AV272" i="3"/>
  <c r="M272" i="3"/>
  <c r="N272" i="3" s="1"/>
  <c r="O272" i="3"/>
  <c r="P272" i="3" s="1"/>
  <c r="AU272" i="3"/>
  <c r="M273" i="3" l="1"/>
  <c r="N273" i="3" s="1"/>
  <c r="O273" i="3"/>
  <c r="P273" i="3" s="1"/>
  <c r="AU273" i="3"/>
  <c r="AV273" i="3"/>
  <c r="A275" i="3"/>
  <c r="S274" i="3"/>
  <c r="AT274" i="3"/>
  <c r="AO274" i="3"/>
  <c r="AJ274" i="3"/>
  <c r="AQ274" i="3"/>
  <c r="AF274" i="3"/>
  <c r="F274" i="3"/>
  <c r="AX274" i="3"/>
  <c r="L274" i="3"/>
  <c r="E274" i="3"/>
  <c r="U274" i="3"/>
  <c r="AM274" i="3"/>
  <c r="AB274" i="3"/>
  <c r="K274" i="3"/>
  <c r="AW274" i="3"/>
  <c r="W274" i="3"/>
  <c r="Y274" i="3"/>
  <c r="D274" i="3"/>
  <c r="AH274" i="3"/>
  <c r="Q274" i="3"/>
  <c r="AV274" i="3" l="1"/>
  <c r="AU274" i="3"/>
  <c r="M274" i="3"/>
  <c r="N274" i="3" s="1"/>
  <c r="O274" i="3"/>
  <c r="P274" i="3" s="1"/>
  <c r="E275" i="3"/>
  <c r="W275" i="3"/>
  <c r="AO275" i="3"/>
  <c r="S275" i="3"/>
  <c r="AM275" i="3"/>
  <c r="F275" i="3"/>
  <c r="K275" i="3"/>
  <c r="AW275" i="3"/>
  <c r="AF275" i="3"/>
  <c r="AX275" i="3"/>
  <c r="A276" i="3"/>
  <c r="Y275" i="3"/>
  <c r="U275" i="3"/>
  <c r="D275" i="3"/>
  <c r="AB275" i="3"/>
  <c r="Q275" i="3"/>
  <c r="AT275" i="3"/>
  <c r="AQ275" i="3"/>
  <c r="AJ275" i="3"/>
  <c r="L275" i="3"/>
  <c r="AH275" i="3"/>
  <c r="A277" i="3" l="1"/>
  <c r="Y276" i="3"/>
  <c r="AQ276" i="3"/>
  <c r="S276" i="3"/>
  <c r="D276" i="3"/>
  <c r="AM276" i="3"/>
  <c r="AF276" i="3"/>
  <c r="AJ276" i="3"/>
  <c r="Q276" i="3"/>
  <c r="L276" i="3"/>
  <c r="E276" i="3"/>
  <c r="AT276" i="3"/>
  <c r="W276" i="3"/>
  <c r="F276" i="3"/>
  <c r="AH276" i="3"/>
  <c r="K276" i="3"/>
  <c r="AO276" i="3"/>
  <c r="U276" i="3"/>
  <c r="AB276" i="3"/>
  <c r="AX276" i="3"/>
  <c r="AW276" i="3"/>
  <c r="M275" i="3"/>
  <c r="N275" i="3" s="1"/>
  <c r="O275" i="3"/>
  <c r="P275" i="3" s="1"/>
  <c r="AU275" i="3"/>
  <c r="AV275" i="3"/>
  <c r="AV276" i="3" l="1"/>
  <c r="M276" i="3"/>
  <c r="N276" i="3" s="1"/>
  <c r="O276" i="3"/>
  <c r="P276" i="3" s="1"/>
  <c r="AU276" i="3"/>
  <c r="AT277" i="3"/>
  <c r="E277" i="3"/>
  <c r="AO277" i="3"/>
  <c r="S277" i="3"/>
  <c r="AM277" i="3"/>
  <c r="F277" i="3"/>
  <c r="D277" i="3"/>
  <c r="AF277" i="3"/>
  <c r="L277" i="3"/>
  <c r="Q277" i="3"/>
  <c r="W277" i="3"/>
  <c r="AQ277" i="3"/>
  <c r="AJ277" i="3"/>
  <c r="AB277" i="3"/>
  <c r="AW277" i="3"/>
  <c r="A278" i="3"/>
  <c r="Y277" i="3"/>
  <c r="U277" i="3"/>
  <c r="K277" i="3"/>
  <c r="AH277" i="3"/>
  <c r="AX277" i="3"/>
  <c r="M277" i="3" l="1"/>
  <c r="N277" i="3" s="1"/>
  <c r="O277" i="3"/>
  <c r="P277" i="3" s="1"/>
  <c r="AU277" i="3"/>
  <c r="AV277" i="3"/>
  <c r="A279" i="3"/>
  <c r="AT278" i="3"/>
  <c r="U278" i="3"/>
  <c r="AO278" i="3"/>
  <c r="AM278" i="3"/>
  <c r="D278" i="3"/>
  <c r="AB278" i="3"/>
  <c r="AH278" i="3"/>
  <c r="AX278" i="3"/>
  <c r="L278" i="3"/>
  <c r="E278" i="3"/>
  <c r="S278" i="3"/>
  <c r="AQ278" i="3"/>
  <c r="F278" i="3"/>
  <c r="K278" i="3"/>
  <c r="AW278" i="3"/>
  <c r="W278" i="3"/>
  <c r="Y278" i="3"/>
  <c r="AJ278" i="3"/>
  <c r="AF278" i="3"/>
  <c r="Q278" i="3"/>
  <c r="E279" i="3" l="1"/>
  <c r="W279" i="3"/>
  <c r="AO279" i="3"/>
  <c r="S279" i="3"/>
  <c r="AM279" i="3"/>
  <c r="F279" i="3"/>
  <c r="K279" i="3"/>
  <c r="AW279" i="3"/>
  <c r="AF279" i="3"/>
  <c r="AX279" i="3"/>
  <c r="A280" i="3"/>
  <c r="Y279" i="3"/>
  <c r="U279" i="3"/>
  <c r="D279" i="3"/>
  <c r="AB279" i="3"/>
  <c r="Q279" i="3"/>
  <c r="AT279" i="3"/>
  <c r="AQ279" i="3"/>
  <c r="AJ279" i="3"/>
  <c r="L279" i="3"/>
  <c r="AH279" i="3"/>
  <c r="AV278" i="3"/>
  <c r="AU278" i="3"/>
  <c r="M278" i="3"/>
  <c r="N278" i="3" s="1"/>
  <c r="O278" i="3"/>
  <c r="P278" i="3" s="1"/>
  <c r="A281" i="3" l="1"/>
  <c r="W280" i="3"/>
  <c r="AO280" i="3"/>
  <c r="D280" i="3"/>
  <c r="S280" i="3"/>
  <c r="AM280" i="3"/>
  <c r="AB280" i="3"/>
  <c r="AH280" i="3"/>
  <c r="Q280" i="3"/>
  <c r="L280" i="3"/>
  <c r="E280" i="3"/>
  <c r="AT280" i="3"/>
  <c r="AQ280" i="3"/>
  <c r="U280" i="3"/>
  <c r="AF280" i="3"/>
  <c r="K280" i="3"/>
  <c r="Y280" i="3"/>
  <c r="F280" i="3"/>
  <c r="AJ280" i="3"/>
  <c r="AX280" i="3"/>
  <c r="AW280" i="3"/>
  <c r="M279" i="3"/>
  <c r="N279" i="3" s="1"/>
  <c r="O279" i="3"/>
  <c r="P279" i="3" s="1"/>
  <c r="AU279" i="3"/>
  <c r="AV279" i="3"/>
  <c r="E281" i="3" l="1"/>
  <c r="W281" i="3"/>
  <c r="AO281" i="3"/>
  <c r="S281" i="3"/>
  <c r="AM281" i="3"/>
  <c r="F281" i="3"/>
  <c r="D281" i="3"/>
  <c r="AF281" i="3"/>
  <c r="L281" i="3"/>
  <c r="Q281" i="3"/>
  <c r="AT281" i="3"/>
  <c r="AQ281" i="3"/>
  <c r="AJ281" i="3"/>
  <c r="AB281" i="3"/>
  <c r="AW281" i="3"/>
  <c r="A282" i="3"/>
  <c r="Y281" i="3"/>
  <c r="U281" i="3"/>
  <c r="K281" i="3"/>
  <c r="AH281" i="3"/>
  <c r="AX281" i="3"/>
  <c r="AV280" i="3"/>
  <c r="M280" i="3"/>
  <c r="N280" i="3" s="1"/>
  <c r="O280" i="3"/>
  <c r="P280" i="3" s="1"/>
  <c r="AU280" i="3"/>
  <c r="M281" i="3" l="1"/>
  <c r="N281" i="3" s="1"/>
  <c r="O281" i="3"/>
  <c r="P281" i="3" s="1"/>
  <c r="AU281" i="3"/>
  <c r="AV281" i="3"/>
  <c r="A283" i="3"/>
  <c r="S282" i="3"/>
  <c r="AT282" i="3"/>
  <c r="AO282" i="3"/>
  <c r="AJ282" i="3"/>
  <c r="AQ282" i="3"/>
  <c r="AF282" i="3"/>
  <c r="F282" i="3"/>
  <c r="AX282" i="3"/>
  <c r="L282" i="3"/>
  <c r="E282" i="3"/>
  <c r="U282" i="3"/>
  <c r="AM282" i="3"/>
  <c r="AB282" i="3"/>
  <c r="K282" i="3"/>
  <c r="AW282" i="3"/>
  <c r="W282" i="3"/>
  <c r="Y282" i="3"/>
  <c r="D282" i="3"/>
  <c r="AH282" i="3"/>
  <c r="Q282" i="3"/>
  <c r="AV282" i="3" l="1"/>
  <c r="AU282" i="3"/>
  <c r="M282" i="3"/>
  <c r="N282" i="3" s="1"/>
  <c r="O282" i="3"/>
  <c r="P282" i="3" s="1"/>
  <c r="E283" i="3"/>
  <c r="W283" i="3"/>
  <c r="AO283" i="3"/>
  <c r="S283" i="3"/>
  <c r="AM283" i="3"/>
  <c r="F283" i="3"/>
  <c r="K283" i="3"/>
  <c r="AW283" i="3"/>
  <c r="AF283" i="3"/>
  <c r="AX283" i="3"/>
  <c r="A284" i="3"/>
  <c r="Y283" i="3"/>
  <c r="U283" i="3"/>
  <c r="D283" i="3"/>
  <c r="AB283" i="3"/>
  <c r="Q283" i="3"/>
  <c r="AT283" i="3"/>
  <c r="AQ283" i="3"/>
  <c r="AJ283" i="3"/>
  <c r="L283" i="3"/>
  <c r="AH283" i="3"/>
  <c r="A285" i="3" l="1"/>
  <c r="Y284" i="3"/>
  <c r="AQ284" i="3"/>
  <c r="S284" i="3"/>
  <c r="D284" i="3"/>
  <c r="AM284" i="3"/>
  <c r="AF284" i="3"/>
  <c r="AJ284" i="3"/>
  <c r="Q284" i="3"/>
  <c r="L284" i="3"/>
  <c r="E284" i="3"/>
  <c r="AT284" i="3"/>
  <c r="W284" i="3"/>
  <c r="F284" i="3"/>
  <c r="AH284" i="3"/>
  <c r="K284" i="3"/>
  <c r="AO284" i="3"/>
  <c r="U284" i="3"/>
  <c r="AB284" i="3"/>
  <c r="AX284" i="3"/>
  <c r="AW284" i="3"/>
  <c r="M283" i="3"/>
  <c r="N283" i="3" s="1"/>
  <c r="O283" i="3"/>
  <c r="P283" i="3" s="1"/>
  <c r="AU283" i="3"/>
  <c r="AV283" i="3"/>
  <c r="AV284" i="3" l="1"/>
  <c r="M284" i="3"/>
  <c r="N284" i="3" s="1"/>
  <c r="O284" i="3"/>
  <c r="P284" i="3" s="1"/>
  <c r="AU284" i="3"/>
  <c r="AT285" i="3"/>
  <c r="Y285" i="3"/>
  <c r="AQ285" i="3"/>
  <c r="U285" i="3"/>
  <c r="AM285" i="3"/>
  <c r="F285" i="3"/>
  <c r="D285" i="3"/>
  <c r="AF285" i="3"/>
  <c r="L285" i="3"/>
  <c r="Q285" i="3"/>
  <c r="W285" i="3"/>
  <c r="S285" i="3"/>
  <c r="AJ285" i="3"/>
  <c r="AB285" i="3"/>
  <c r="AW285" i="3"/>
  <c r="A286" i="3"/>
  <c r="AO285" i="3"/>
  <c r="E285" i="3"/>
  <c r="K285" i="3"/>
  <c r="AH285" i="3"/>
  <c r="AX285" i="3"/>
  <c r="M285" i="3" l="1"/>
  <c r="N285" i="3" s="1"/>
  <c r="O285" i="3"/>
  <c r="P285" i="3" s="1"/>
  <c r="AU285" i="3"/>
  <c r="AV285" i="3"/>
  <c r="W286" i="3"/>
  <c r="AT286" i="3"/>
  <c r="U286" i="3"/>
  <c r="AO286" i="3"/>
  <c r="AM286" i="3"/>
  <c r="D286" i="3"/>
  <c r="AB286" i="3"/>
  <c r="AH286" i="3"/>
  <c r="AX286" i="3"/>
  <c r="L286" i="3"/>
  <c r="E286" i="3"/>
  <c r="S286" i="3"/>
  <c r="AQ286" i="3"/>
  <c r="F286" i="3"/>
  <c r="K286" i="3"/>
  <c r="AW286" i="3"/>
  <c r="A287" i="3"/>
  <c r="Y286" i="3"/>
  <c r="AJ286" i="3"/>
  <c r="AF286" i="3"/>
  <c r="Q286" i="3"/>
  <c r="E287" i="3" l="1"/>
  <c r="W287" i="3"/>
  <c r="AO287" i="3"/>
  <c r="S287" i="3"/>
  <c r="AM287" i="3"/>
  <c r="F287" i="3"/>
  <c r="K287" i="3"/>
  <c r="AW287" i="3"/>
  <c r="AF287" i="3"/>
  <c r="AX287" i="3"/>
  <c r="AT287" i="3"/>
  <c r="AQ287" i="3"/>
  <c r="AJ287" i="3"/>
  <c r="L287" i="3"/>
  <c r="AH287" i="3"/>
  <c r="A288" i="3"/>
  <c r="Y287" i="3"/>
  <c r="U287" i="3"/>
  <c r="D287" i="3"/>
  <c r="AB287" i="3"/>
  <c r="Q287" i="3"/>
  <c r="M286" i="3"/>
  <c r="N286" i="3" s="1"/>
  <c r="AU286" i="3"/>
  <c r="O286" i="3"/>
  <c r="P286" i="3" s="1"/>
  <c r="AV286" i="3"/>
  <c r="M287" i="3" l="1"/>
  <c r="N287" i="3" s="1"/>
  <c r="O287" i="3"/>
  <c r="P287" i="3" s="1"/>
  <c r="AU287" i="3"/>
  <c r="AV287" i="3"/>
  <c r="A289" i="3"/>
  <c r="W288" i="3"/>
  <c r="AO288" i="3"/>
  <c r="D288" i="3"/>
  <c r="S288" i="3"/>
  <c r="AM288" i="3"/>
  <c r="AB288" i="3"/>
  <c r="AH288" i="3"/>
  <c r="Q288" i="3"/>
  <c r="L288" i="3"/>
  <c r="E288" i="3"/>
  <c r="AT288" i="3"/>
  <c r="AQ288" i="3"/>
  <c r="U288" i="3"/>
  <c r="AF288" i="3"/>
  <c r="K288" i="3"/>
  <c r="Y288" i="3"/>
  <c r="F288" i="3"/>
  <c r="AJ288" i="3"/>
  <c r="AX288" i="3"/>
  <c r="AW288" i="3"/>
  <c r="E289" i="3" l="1"/>
  <c r="W289" i="3"/>
  <c r="AO289" i="3"/>
  <c r="S289" i="3"/>
  <c r="AM289" i="3"/>
  <c r="F289" i="3"/>
  <c r="D289" i="3"/>
  <c r="AF289" i="3"/>
  <c r="L289" i="3"/>
  <c r="Q289" i="3"/>
  <c r="AT289" i="3"/>
  <c r="AQ289" i="3"/>
  <c r="AJ289" i="3"/>
  <c r="AB289" i="3"/>
  <c r="AW289" i="3"/>
  <c r="A290" i="3"/>
  <c r="Y289" i="3"/>
  <c r="U289" i="3"/>
  <c r="K289" i="3"/>
  <c r="AH289" i="3"/>
  <c r="AX289" i="3"/>
  <c r="AV288" i="3"/>
  <c r="M288" i="3"/>
  <c r="N288" i="3" s="1"/>
  <c r="O288" i="3"/>
  <c r="P288" i="3" s="1"/>
  <c r="AU288" i="3"/>
  <c r="M289" i="3" l="1"/>
  <c r="N289" i="3" s="1"/>
  <c r="O289" i="3"/>
  <c r="P289" i="3" s="1"/>
  <c r="AU289" i="3"/>
  <c r="AV289" i="3"/>
  <c r="A291" i="3"/>
  <c r="S290" i="3"/>
  <c r="AT290" i="3"/>
  <c r="AO290" i="3"/>
  <c r="AJ290" i="3"/>
  <c r="AQ290" i="3"/>
  <c r="AF290" i="3"/>
  <c r="F290" i="3"/>
  <c r="AX290" i="3"/>
  <c r="L290" i="3"/>
  <c r="E290" i="3"/>
  <c r="U290" i="3"/>
  <c r="AM290" i="3"/>
  <c r="AB290" i="3"/>
  <c r="K290" i="3"/>
  <c r="AW290" i="3"/>
  <c r="W290" i="3"/>
  <c r="Y290" i="3"/>
  <c r="D290" i="3"/>
  <c r="AH290" i="3"/>
  <c r="Q290" i="3"/>
  <c r="AV290" i="3" l="1"/>
  <c r="AU290" i="3"/>
  <c r="M290" i="3"/>
  <c r="N290" i="3" s="1"/>
  <c r="O290" i="3"/>
  <c r="P290" i="3" s="1"/>
  <c r="E291" i="3"/>
  <c r="W291" i="3"/>
  <c r="AO291" i="3"/>
  <c r="S291" i="3"/>
  <c r="AM291" i="3"/>
  <c r="F291" i="3"/>
  <c r="K291" i="3"/>
  <c r="AW291" i="3"/>
  <c r="AF291" i="3"/>
  <c r="AX291" i="3"/>
  <c r="A292" i="3"/>
  <c r="Y291" i="3"/>
  <c r="U291" i="3"/>
  <c r="D291" i="3"/>
  <c r="AB291" i="3"/>
  <c r="Q291" i="3"/>
  <c r="AT291" i="3"/>
  <c r="AQ291" i="3"/>
  <c r="AJ291" i="3"/>
  <c r="L291" i="3"/>
  <c r="AH291" i="3"/>
  <c r="A293" i="3" l="1"/>
  <c r="Y292" i="3"/>
  <c r="AQ292" i="3"/>
  <c r="S292" i="3"/>
  <c r="D292" i="3"/>
  <c r="AM292" i="3"/>
  <c r="AF292" i="3"/>
  <c r="AJ292" i="3"/>
  <c r="Q292" i="3"/>
  <c r="L292" i="3"/>
  <c r="E292" i="3"/>
  <c r="AT292" i="3"/>
  <c r="W292" i="3"/>
  <c r="F292" i="3"/>
  <c r="AH292" i="3"/>
  <c r="K292" i="3"/>
  <c r="AO292" i="3"/>
  <c r="U292" i="3"/>
  <c r="AB292" i="3"/>
  <c r="AX292" i="3"/>
  <c r="AW292" i="3"/>
  <c r="M291" i="3"/>
  <c r="N291" i="3" s="1"/>
  <c r="O291" i="3"/>
  <c r="P291" i="3" s="1"/>
  <c r="AU291" i="3"/>
  <c r="AV291" i="3"/>
  <c r="AV292" i="3" l="1"/>
  <c r="M292" i="3"/>
  <c r="N292" i="3" s="1"/>
  <c r="O292" i="3"/>
  <c r="P292" i="3" s="1"/>
  <c r="AU292" i="3"/>
  <c r="AT293" i="3"/>
  <c r="E293" i="3"/>
  <c r="AO293" i="3"/>
  <c r="S293" i="3"/>
  <c r="AM293" i="3"/>
  <c r="F293" i="3"/>
  <c r="D293" i="3"/>
  <c r="AF293" i="3"/>
  <c r="L293" i="3"/>
  <c r="Q293" i="3"/>
  <c r="W293" i="3"/>
  <c r="AQ293" i="3"/>
  <c r="AJ293" i="3"/>
  <c r="AB293" i="3"/>
  <c r="AW293" i="3"/>
  <c r="A294" i="3"/>
  <c r="Y293" i="3"/>
  <c r="U293" i="3"/>
  <c r="K293" i="3"/>
  <c r="AH293" i="3"/>
  <c r="AX293" i="3"/>
  <c r="M293" i="3" l="1"/>
  <c r="N293" i="3" s="1"/>
  <c r="O293" i="3"/>
  <c r="P293" i="3" s="1"/>
  <c r="AU293" i="3"/>
  <c r="AV293" i="3"/>
  <c r="A295" i="3"/>
  <c r="AT294" i="3"/>
  <c r="U294" i="3"/>
  <c r="AO294" i="3"/>
  <c r="AM294" i="3"/>
  <c r="D294" i="3"/>
  <c r="AB294" i="3"/>
  <c r="AH294" i="3"/>
  <c r="AX294" i="3"/>
  <c r="L294" i="3"/>
  <c r="E294" i="3"/>
  <c r="S294" i="3"/>
  <c r="AQ294" i="3"/>
  <c r="F294" i="3"/>
  <c r="K294" i="3"/>
  <c r="AW294" i="3"/>
  <c r="W294" i="3"/>
  <c r="Y294" i="3"/>
  <c r="AJ294" i="3"/>
  <c r="AF294" i="3"/>
  <c r="Q294" i="3"/>
  <c r="E295" i="3" l="1"/>
  <c r="W295" i="3"/>
  <c r="AO295" i="3"/>
  <c r="S295" i="3"/>
  <c r="AJ295" i="3"/>
  <c r="U295" i="3"/>
  <c r="K295" i="3"/>
  <c r="AW295" i="3"/>
  <c r="AF295" i="3"/>
  <c r="AX295" i="3"/>
  <c r="A296" i="3"/>
  <c r="Y295" i="3"/>
  <c r="AM295" i="3"/>
  <c r="D295" i="3"/>
  <c r="AB295" i="3"/>
  <c r="Q295" i="3"/>
  <c r="AT295" i="3"/>
  <c r="AQ295" i="3"/>
  <c r="F295" i="3"/>
  <c r="L295" i="3"/>
  <c r="AH295" i="3"/>
  <c r="AV294" i="3"/>
  <c r="AU294" i="3"/>
  <c r="M294" i="3"/>
  <c r="N294" i="3" s="1"/>
  <c r="O294" i="3"/>
  <c r="P294" i="3" s="1"/>
  <c r="A297" i="3" l="1"/>
  <c r="W296" i="3"/>
  <c r="AO296" i="3"/>
  <c r="U296" i="3"/>
  <c r="F296" i="3"/>
  <c r="AM296" i="3"/>
  <c r="AB296" i="3"/>
  <c r="AH296" i="3"/>
  <c r="Q296" i="3"/>
  <c r="L296" i="3"/>
  <c r="E296" i="3"/>
  <c r="AT296" i="3"/>
  <c r="AQ296" i="3"/>
  <c r="S296" i="3"/>
  <c r="AF296" i="3"/>
  <c r="K296" i="3"/>
  <c r="Y296" i="3"/>
  <c r="D296" i="3"/>
  <c r="AJ296" i="3"/>
  <c r="AX296" i="3"/>
  <c r="AW296" i="3"/>
  <c r="M295" i="3"/>
  <c r="N295" i="3" s="1"/>
  <c r="O295" i="3"/>
  <c r="P295" i="3" s="1"/>
  <c r="AU295" i="3"/>
  <c r="AV295" i="3"/>
  <c r="E297" i="3" l="1"/>
  <c r="W297" i="3"/>
  <c r="AO297" i="3"/>
  <c r="S297" i="3"/>
  <c r="AJ297" i="3"/>
  <c r="U297" i="3"/>
  <c r="D297" i="3"/>
  <c r="AF297" i="3"/>
  <c r="L297" i="3"/>
  <c r="Q297" i="3"/>
  <c r="AT297" i="3"/>
  <c r="AQ297" i="3"/>
  <c r="F297" i="3"/>
  <c r="AB297" i="3"/>
  <c r="AW297" i="3"/>
  <c r="A298" i="3"/>
  <c r="Y297" i="3"/>
  <c r="AM297" i="3"/>
  <c r="K297" i="3"/>
  <c r="AH297" i="3"/>
  <c r="AX297" i="3"/>
  <c r="AV296" i="3"/>
  <c r="M296" i="3"/>
  <c r="N296" i="3" s="1"/>
  <c r="O296" i="3"/>
  <c r="P296" i="3" s="1"/>
  <c r="AU296" i="3"/>
  <c r="M297" i="3" l="1"/>
  <c r="N297" i="3" s="1"/>
  <c r="O297" i="3"/>
  <c r="P297" i="3" s="1"/>
  <c r="AU297" i="3"/>
  <c r="AV297" i="3"/>
  <c r="A299" i="3"/>
  <c r="S298" i="3"/>
  <c r="AT298" i="3"/>
  <c r="AO298" i="3"/>
  <c r="AJ298" i="3"/>
  <c r="AQ298" i="3"/>
  <c r="AF298" i="3"/>
  <c r="F298" i="3"/>
  <c r="AX298" i="3"/>
  <c r="L298" i="3"/>
  <c r="E298" i="3"/>
  <c r="U298" i="3"/>
  <c r="AM298" i="3"/>
  <c r="AB298" i="3"/>
  <c r="K298" i="3"/>
  <c r="AW298" i="3"/>
  <c r="W298" i="3"/>
  <c r="Y298" i="3"/>
  <c r="D298" i="3"/>
  <c r="AH298" i="3"/>
  <c r="Q298" i="3"/>
  <c r="AV298" i="3" l="1"/>
  <c r="AU298" i="3"/>
  <c r="M298" i="3"/>
  <c r="N298" i="3" s="1"/>
  <c r="O298" i="3"/>
  <c r="P298" i="3" s="1"/>
  <c r="E299" i="3"/>
  <c r="W299" i="3"/>
  <c r="AO299" i="3"/>
  <c r="S299" i="3"/>
  <c r="AJ299" i="3"/>
  <c r="U299" i="3"/>
  <c r="K299" i="3"/>
  <c r="AW299" i="3"/>
  <c r="AF299" i="3"/>
  <c r="AX299" i="3"/>
  <c r="A300" i="3"/>
  <c r="Y299" i="3"/>
  <c r="AM299" i="3"/>
  <c r="D299" i="3"/>
  <c r="AB299" i="3"/>
  <c r="Q299" i="3"/>
  <c r="AT299" i="3"/>
  <c r="AQ299" i="3"/>
  <c r="F299" i="3"/>
  <c r="L299" i="3"/>
  <c r="AH299" i="3"/>
  <c r="A301" i="3" l="1"/>
  <c r="Y300" i="3"/>
  <c r="AQ300" i="3"/>
  <c r="W300" i="3"/>
  <c r="D300" i="3"/>
  <c r="AM300" i="3"/>
  <c r="AF300" i="3"/>
  <c r="AJ300" i="3"/>
  <c r="Q300" i="3"/>
  <c r="L300" i="3"/>
  <c r="E300" i="3"/>
  <c r="AT300" i="3"/>
  <c r="U300" i="3"/>
  <c r="F300" i="3"/>
  <c r="AH300" i="3"/>
  <c r="K300" i="3"/>
  <c r="AO300" i="3"/>
  <c r="S300" i="3"/>
  <c r="AB300" i="3"/>
  <c r="AX300" i="3"/>
  <c r="AW300" i="3"/>
  <c r="M299" i="3"/>
  <c r="N299" i="3" s="1"/>
  <c r="O299" i="3"/>
  <c r="P299" i="3" s="1"/>
  <c r="AU299" i="3"/>
  <c r="AV299" i="3"/>
  <c r="AV300" i="3" l="1"/>
  <c r="M300" i="3"/>
  <c r="N300" i="3" s="1"/>
  <c r="O300" i="3"/>
  <c r="P300" i="3" s="1"/>
  <c r="AU300" i="3"/>
  <c r="AT301" i="3"/>
  <c r="Y301" i="3"/>
  <c r="AQ301" i="3"/>
  <c r="AM301" i="3"/>
  <c r="F301" i="3"/>
  <c r="U301" i="3"/>
  <c r="D301" i="3"/>
  <c r="AF301" i="3"/>
  <c r="L301" i="3"/>
  <c r="Q301" i="3"/>
  <c r="W301" i="3"/>
  <c r="S301" i="3"/>
  <c r="E301" i="3"/>
  <c r="AB301" i="3"/>
  <c r="AW301" i="3"/>
  <c r="A302" i="3"/>
  <c r="AO301" i="3"/>
  <c r="AJ301" i="3"/>
  <c r="K301" i="3"/>
  <c r="AH301" i="3"/>
  <c r="AX301" i="3"/>
  <c r="M301" i="3" l="1"/>
  <c r="N301" i="3" s="1"/>
  <c r="O301" i="3"/>
  <c r="P301" i="3" s="1"/>
  <c r="AU301" i="3"/>
  <c r="AV301" i="3"/>
  <c r="W302" i="3"/>
  <c r="S302" i="3"/>
  <c r="A303" i="3"/>
  <c r="AO302" i="3"/>
  <c r="AM302" i="3"/>
  <c r="D302" i="3"/>
  <c r="AB302" i="3"/>
  <c r="AH302" i="3"/>
  <c r="AX302" i="3"/>
  <c r="L302" i="3"/>
  <c r="E302" i="3"/>
  <c r="U302" i="3"/>
  <c r="AQ302" i="3"/>
  <c r="F302" i="3"/>
  <c r="K302" i="3"/>
  <c r="AW302" i="3"/>
  <c r="AT302" i="3"/>
  <c r="Y302" i="3"/>
  <c r="AJ302" i="3"/>
  <c r="AF302" i="3"/>
  <c r="Q302" i="3"/>
  <c r="E303" i="3" l="1"/>
  <c r="W303" i="3"/>
  <c r="AO303" i="3"/>
  <c r="S303" i="3"/>
  <c r="AJ303" i="3"/>
  <c r="U303" i="3"/>
  <c r="K303" i="3"/>
  <c r="AW303" i="3"/>
  <c r="AF303" i="3"/>
  <c r="AX303" i="3"/>
  <c r="A304" i="3"/>
  <c r="Y303" i="3"/>
  <c r="AM303" i="3"/>
  <c r="D303" i="3"/>
  <c r="AB303" i="3"/>
  <c r="Q303" i="3"/>
  <c r="AT303" i="3"/>
  <c r="AQ303" i="3"/>
  <c r="F303" i="3"/>
  <c r="L303" i="3"/>
  <c r="AH303" i="3"/>
  <c r="AV302" i="3"/>
  <c r="AU302" i="3"/>
  <c r="M302" i="3"/>
  <c r="N302" i="3" s="1"/>
  <c r="O302" i="3"/>
  <c r="P302" i="3" s="1"/>
  <c r="A305" i="3" l="1"/>
  <c r="W304" i="3"/>
  <c r="AO304" i="3"/>
  <c r="U304" i="3"/>
  <c r="F304" i="3"/>
  <c r="AM304" i="3"/>
  <c r="AB304" i="3"/>
  <c r="AH304" i="3"/>
  <c r="Q304" i="3"/>
  <c r="L304" i="3"/>
  <c r="E304" i="3"/>
  <c r="AT304" i="3"/>
  <c r="AQ304" i="3"/>
  <c r="S304" i="3"/>
  <c r="AF304" i="3"/>
  <c r="K304" i="3"/>
  <c r="Y304" i="3"/>
  <c r="D304" i="3"/>
  <c r="AJ304" i="3"/>
  <c r="AX304" i="3"/>
  <c r="AW304" i="3"/>
  <c r="M303" i="3"/>
  <c r="N303" i="3" s="1"/>
  <c r="O303" i="3"/>
  <c r="P303" i="3" s="1"/>
  <c r="AU303" i="3"/>
  <c r="AV303" i="3"/>
  <c r="E305" i="3" l="1"/>
  <c r="W305" i="3"/>
  <c r="AO305" i="3"/>
  <c r="S305" i="3"/>
  <c r="AJ305" i="3"/>
  <c r="U305" i="3"/>
  <c r="D305" i="3"/>
  <c r="AF305" i="3"/>
  <c r="L305" i="3"/>
  <c r="Q305" i="3"/>
  <c r="AT305" i="3"/>
  <c r="AQ305" i="3"/>
  <c r="F305" i="3"/>
  <c r="AB305" i="3"/>
  <c r="AW305" i="3"/>
  <c r="A306" i="3"/>
  <c r="Y305" i="3"/>
  <c r="AM305" i="3"/>
  <c r="K305" i="3"/>
  <c r="AH305" i="3"/>
  <c r="AX305" i="3"/>
  <c r="AV304" i="3"/>
  <c r="M304" i="3"/>
  <c r="N304" i="3" s="1"/>
  <c r="O304" i="3"/>
  <c r="P304" i="3" s="1"/>
  <c r="AU304" i="3"/>
  <c r="M305" i="3" l="1"/>
  <c r="N305" i="3" s="1"/>
  <c r="O305" i="3"/>
  <c r="P305" i="3" s="1"/>
  <c r="AU305" i="3"/>
  <c r="AV305" i="3"/>
  <c r="A307" i="3"/>
  <c r="S306" i="3"/>
  <c r="AT306" i="3"/>
  <c r="AO306" i="3"/>
  <c r="AJ306" i="3"/>
  <c r="AQ306" i="3"/>
  <c r="AF306" i="3"/>
  <c r="F306" i="3"/>
  <c r="AX306" i="3"/>
  <c r="L306" i="3"/>
  <c r="E306" i="3"/>
  <c r="U306" i="3"/>
  <c r="AM306" i="3"/>
  <c r="AB306" i="3"/>
  <c r="K306" i="3"/>
  <c r="AW306" i="3"/>
  <c r="W306" i="3"/>
  <c r="Y306" i="3"/>
  <c r="D306" i="3"/>
  <c r="AH306" i="3"/>
  <c r="Q306" i="3"/>
  <c r="AV306" i="3" l="1"/>
  <c r="AU306" i="3"/>
  <c r="M306" i="3"/>
  <c r="N306" i="3" s="1"/>
  <c r="O306" i="3"/>
  <c r="P306" i="3" s="1"/>
  <c r="AT307" i="3"/>
  <c r="A308" i="3"/>
  <c r="AO307" i="3"/>
  <c r="S307" i="3"/>
  <c r="AJ307" i="3"/>
  <c r="U307" i="3"/>
  <c r="K307" i="3"/>
  <c r="AW307" i="3"/>
  <c r="AF307" i="3"/>
  <c r="AX307" i="3"/>
  <c r="E307" i="3"/>
  <c r="Y307" i="3"/>
  <c r="AM307" i="3"/>
  <c r="D307" i="3"/>
  <c r="AB307" i="3"/>
  <c r="Q307" i="3"/>
  <c r="W307" i="3"/>
  <c r="AQ307" i="3"/>
  <c r="F307" i="3"/>
  <c r="L307" i="3"/>
  <c r="AH307" i="3"/>
  <c r="AV307" i="3" l="1"/>
  <c r="O307" i="3"/>
  <c r="P307" i="3" s="1"/>
  <c r="M307" i="3"/>
  <c r="N307" i="3" s="1"/>
  <c r="AU307" i="3"/>
  <c r="A309" i="3"/>
  <c r="Y308" i="3"/>
  <c r="AQ308" i="3"/>
  <c r="W308" i="3"/>
  <c r="D308" i="3"/>
  <c r="AM308" i="3"/>
  <c r="AF308" i="3"/>
  <c r="AJ308" i="3"/>
  <c r="Q308" i="3"/>
  <c r="L308" i="3"/>
  <c r="E308" i="3"/>
  <c r="AO308" i="3"/>
  <c r="S308" i="3"/>
  <c r="AB308" i="3"/>
  <c r="AX308" i="3"/>
  <c r="AW308" i="3"/>
  <c r="AT308" i="3"/>
  <c r="U308" i="3"/>
  <c r="F308" i="3"/>
  <c r="AH308" i="3"/>
  <c r="K308" i="3"/>
  <c r="AV308" i="3" l="1"/>
  <c r="M308" i="3"/>
  <c r="N308" i="3" s="1"/>
  <c r="O308" i="3"/>
  <c r="P308" i="3" s="1"/>
  <c r="AU308" i="3"/>
  <c r="AT309" i="3"/>
  <c r="E309" i="3"/>
  <c r="AO309" i="3"/>
  <c r="S309" i="3"/>
  <c r="AJ309" i="3"/>
  <c r="U309" i="3"/>
  <c r="D309" i="3"/>
  <c r="AF309" i="3"/>
  <c r="L309" i="3"/>
  <c r="Q309" i="3"/>
  <c r="W309" i="3"/>
  <c r="AQ309" i="3"/>
  <c r="F309" i="3"/>
  <c r="AB309" i="3"/>
  <c r="AW309" i="3"/>
  <c r="A310" i="3"/>
  <c r="Y309" i="3"/>
  <c r="AM309" i="3"/>
  <c r="K309" i="3"/>
  <c r="AH309" i="3"/>
  <c r="AX309" i="3"/>
  <c r="M309" i="3" l="1"/>
  <c r="N309" i="3" s="1"/>
  <c r="O309" i="3"/>
  <c r="P309" i="3" s="1"/>
  <c r="AU309" i="3"/>
  <c r="AV309" i="3"/>
  <c r="A311" i="3"/>
  <c r="AT310" i="3"/>
  <c r="U310" i="3"/>
  <c r="AO310" i="3"/>
  <c r="AM310" i="3"/>
  <c r="D310" i="3"/>
  <c r="AB310" i="3"/>
  <c r="AH310" i="3"/>
  <c r="AX310" i="3"/>
  <c r="L310" i="3"/>
  <c r="E310" i="3"/>
  <c r="S310" i="3"/>
  <c r="AQ310" i="3"/>
  <c r="F310" i="3"/>
  <c r="K310" i="3"/>
  <c r="AW310" i="3"/>
  <c r="W310" i="3"/>
  <c r="Y310" i="3"/>
  <c r="AJ310" i="3"/>
  <c r="AF310" i="3"/>
  <c r="Q310" i="3"/>
  <c r="AT311" i="3" l="1"/>
  <c r="Y311" i="3"/>
  <c r="AQ311" i="3"/>
  <c r="A312" i="3"/>
  <c r="AJ311" i="3"/>
  <c r="U311" i="3"/>
  <c r="K311" i="3"/>
  <c r="AW311" i="3"/>
  <c r="AF311" i="3"/>
  <c r="AX311" i="3"/>
  <c r="E311" i="3"/>
  <c r="AO311" i="3"/>
  <c r="AM311" i="3"/>
  <c r="D311" i="3"/>
  <c r="AB311" i="3"/>
  <c r="Q311" i="3"/>
  <c r="W311" i="3"/>
  <c r="S311" i="3"/>
  <c r="F311" i="3"/>
  <c r="L311" i="3"/>
  <c r="AH311" i="3"/>
  <c r="AV310" i="3"/>
  <c r="AU310" i="3"/>
  <c r="M310" i="3"/>
  <c r="N310" i="3" s="1"/>
  <c r="O310" i="3"/>
  <c r="P310" i="3" s="1"/>
  <c r="AV311" i="3" l="1"/>
  <c r="O311" i="3"/>
  <c r="P311" i="3" s="1"/>
  <c r="M311" i="3"/>
  <c r="N311" i="3" s="1"/>
  <c r="AU311" i="3"/>
  <c r="A313" i="3"/>
  <c r="W312" i="3"/>
  <c r="AO312" i="3"/>
  <c r="U312" i="3"/>
  <c r="F312" i="3"/>
  <c r="AM312" i="3"/>
  <c r="AB312" i="3"/>
  <c r="AH312" i="3"/>
  <c r="Q312" i="3"/>
  <c r="L312" i="3"/>
  <c r="E312" i="3"/>
  <c r="Y312" i="3"/>
  <c r="D312" i="3"/>
  <c r="AJ312" i="3"/>
  <c r="AX312" i="3"/>
  <c r="AW312" i="3"/>
  <c r="AT312" i="3"/>
  <c r="AQ312" i="3"/>
  <c r="S312" i="3"/>
  <c r="AF312" i="3"/>
  <c r="K312" i="3"/>
  <c r="M312" i="3" l="1"/>
  <c r="N312" i="3" s="1"/>
  <c r="AV312" i="3"/>
  <c r="AU312" i="3"/>
  <c r="O312" i="3"/>
  <c r="P312" i="3" s="1"/>
  <c r="E313" i="3"/>
  <c r="W313" i="3"/>
  <c r="AO313" i="3"/>
  <c r="S313" i="3"/>
  <c r="AJ313" i="3"/>
  <c r="U313" i="3"/>
  <c r="D313" i="3"/>
  <c r="AF313" i="3"/>
  <c r="L313" i="3"/>
  <c r="Q313" i="3"/>
  <c r="A314" i="3"/>
  <c r="AT313" i="3"/>
  <c r="Y313" i="3"/>
  <c r="AQ313" i="3"/>
  <c r="AM313" i="3"/>
  <c r="F313" i="3"/>
  <c r="K313" i="3"/>
  <c r="AB313" i="3"/>
  <c r="AH313" i="3"/>
  <c r="AW313" i="3"/>
  <c r="AX313" i="3"/>
  <c r="A315" i="3" l="1"/>
  <c r="S314" i="3"/>
  <c r="AT314" i="3"/>
  <c r="AO314" i="3"/>
  <c r="AJ314" i="3"/>
  <c r="AQ314" i="3"/>
  <c r="AF314" i="3"/>
  <c r="F314" i="3"/>
  <c r="AX314" i="3"/>
  <c r="L314" i="3"/>
  <c r="E314" i="3"/>
  <c r="W314" i="3"/>
  <c r="U314" i="3"/>
  <c r="Y314" i="3"/>
  <c r="AM314" i="3"/>
  <c r="D314" i="3"/>
  <c r="AB314" i="3"/>
  <c r="AH314" i="3"/>
  <c r="K314" i="3"/>
  <c r="Q314" i="3"/>
  <c r="AW314" i="3"/>
  <c r="M313" i="3"/>
  <c r="N313" i="3" s="1"/>
  <c r="O313" i="3"/>
  <c r="P313" i="3" s="1"/>
  <c r="AU313" i="3"/>
  <c r="AV313" i="3"/>
  <c r="AT315" i="3" l="1"/>
  <c r="A316" i="3"/>
  <c r="AO315" i="3"/>
  <c r="S315" i="3"/>
  <c r="AJ315" i="3"/>
  <c r="U315" i="3"/>
  <c r="K315" i="3"/>
  <c r="AW315" i="3"/>
  <c r="AF315" i="3"/>
  <c r="AX315" i="3"/>
  <c r="E315" i="3"/>
  <c r="W315" i="3"/>
  <c r="Y315" i="3"/>
  <c r="AQ315" i="3"/>
  <c r="AM315" i="3"/>
  <c r="F315" i="3"/>
  <c r="D315" i="3"/>
  <c r="L315" i="3"/>
  <c r="AB315" i="3"/>
  <c r="AH315" i="3"/>
  <c r="Q315" i="3"/>
  <c r="AV314" i="3"/>
  <c r="M314" i="3"/>
  <c r="N314" i="3" s="1"/>
  <c r="AU314" i="3"/>
  <c r="O314" i="3"/>
  <c r="P314" i="3" s="1"/>
  <c r="AV315" i="3" l="1"/>
  <c r="M315" i="3"/>
  <c r="N315" i="3" s="1"/>
  <c r="O315" i="3"/>
  <c r="P315" i="3" s="1"/>
  <c r="AU315" i="3"/>
  <c r="A317" i="3"/>
  <c r="Y316" i="3"/>
  <c r="AQ316" i="3"/>
  <c r="W316" i="3"/>
  <c r="D316" i="3"/>
  <c r="AM316" i="3"/>
  <c r="AF316" i="3"/>
  <c r="AJ316" i="3"/>
  <c r="Q316" i="3"/>
  <c r="L316" i="3"/>
  <c r="E316" i="3"/>
  <c r="AT316" i="3"/>
  <c r="AO316" i="3"/>
  <c r="U316" i="3"/>
  <c r="S316" i="3"/>
  <c r="F316" i="3"/>
  <c r="AB316" i="3"/>
  <c r="AH316" i="3"/>
  <c r="AX316" i="3"/>
  <c r="K316" i="3"/>
  <c r="AW316" i="3"/>
  <c r="AV316" i="3" l="1"/>
  <c r="M316" i="3"/>
  <c r="N316" i="3" s="1"/>
  <c r="AU316" i="3"/>
  <c r="O316" i="3"/>
  <c r="P316" i="3" s="1"/>
  <c r="AT317" i="3"/>
  <c r="Y317" i="3"/>
  <c r="AQ317" i="3"/>
  <c r="E317" i="3"/>
  <c r="AJ317" i="3"/>
  <c r="U317" i="3"/>
  <c r="D317" i="3"/>
  <c r="AF317" i="3"/>
  <c r="L317" i="3"/>
  <c r="Q317" i="3"/>
  <c r="A318" i="3"/>
  <c r="W317" i="3"/>
  <c r="AO317" i="3"/>
  <c r="S317" i="3"/>
  <c r="AM317" i="3"/>
  <c r="F317" i="3"/>
  <c r="K317" i="3"/>
  <c r="AB317" i="3"/>
  <c r="AH317" i="3"/>
  <c r="AW317" i="3"/>
  <c r="AX317" i="3"/>
  <c r="A319" i="3" l="1"/>
  <c r="AT318" i="3"/>
  <c r="U318" i="3"/>
  <c r="AO318" i="3"/>
  <c r="AM318" i="3"/>
  <c r="D318" i="3"/>
  <c r="AB318" i="3"/>
  <c r="AH318" i="3"/>
  <c r="AX318" i="3"/>
  <c r="L318" i="3"/>
  <c r="E318" i="3"/>
  <c r="W318" i="3"/>
  <c r="S318" i="3"/>
  <c r="Y318" i="3"/>
  <c r="AQ318" i="3"/>
  <c r="AJ318" i="3"/>
  <c r="F318" i="3"/>
  <c r="AF318" i="3"/>
  <c r="K318" i="3"/>
  <c r="Q318" i="3"/>
  <c r="AW318" i="3"/>
  <c r="M317" i="3"/>
  <c r="N317" i="3" s="1"/>
  <c r="O317" i="3"/>
  <c r="P317" i="3" s="1"/>
  <c r="AU317" i="3"/>
  <c r="AV317" i="3"/>
  <c r="AT319" i="3" l="1"/>
  <c r="Y319" i="3"/>
  <c r="AQ319" i="3"/>
  <c r="AM319" i="3"/>
  <c r="F319" i="3"/>
  <c r="U319" i="3"/>
  <c r="K319" i="3"/>
  <c r="AW319" i="3"/>
  <c r="AF319" i="3"/>
  <c r="AX319" i="3"/>
  <c r="E319" i="3"/>
  <c r="W319" i="3"/>
  <c r="AO319" i="3"/>
  <c r="S319" i="3"/>
  <c r="AJ319" i="3"/>
  <c r="A320" i="3"/>
  <c r="D319" i="3"/>
  <c r="L319" i="3"/>
  <c r="AB319" i="3"/>
  <c r="AH319" i="3"/>
  <c r="Q319" i="3"/>
  <c r="AV318" i="3"/>
  <c r="M318" i="3"/>
  <c r="N318" i="3" s="1"/>
  <c r="AU318" i="3"/>
  <c r="O318" i="3"/>
  <c r="P318" i="3" s="1"/>
  <c r="M319" i="3" l="1"/>
  <c r="N319" i="3" s="1"/>
  <c r="O319" i="3"/>
  <c r="P319" i="3" s="1"/>
  <c r="AU319" i="3"/>
  <c r="AV319" i="3"/>
  <c r="A321" i="3"/>
  <c r="W320" i="3"/>
  <c r="AO320" i="3"/>
  <c r="U320" i="3"/>
  <c r="F320" i="3"/>
  <c r="AM320" i="3"/>
  <c r="AB320" i="3"/>
  <c r="AH320" i="3"/>
  <c r="Q320" i="3"/>
  <c r="L320" i="3"/>
  <c r="E320" i="3"/>
  <c r="AT320" i="3"/>
  <c r="Y320" i="3"/>
  <c r="AQ320" i="3"/>
  <c r="D320" i="3"/>
  <c r="S320" i="3"/>
  <c r="AJ320" i="3"/>
  <c r="AF320" i="3"/>
  <c r="K320" i="3"/>
  <c r="AX320" i="3"/>
  <c r="AW320" i="3"/>
  <c r="AV320" i="3" l="1"/>
  <c r="M320" i="3"/>
  <c r="N320" i="3" s="1"/>
  <c r="O320" i="3"/>
  <c r="P320" i="3" s="1"/>
  <c r="AU320" i="3"/>
  <c r="E321" i="3"/>
  <c r="W321" i="3"/>
  <c r="AO321" i="3"/>
  <c r="S321" i="3"/>
  <c r="AJ321" i="3"/>
  <c r="U321" i="3"/>
  <c r="D321" i="3"/>
  <c r="AF321" i="3"/>
  <c r="L321" i="3"/>
  <c r="Q321" i="3"/>
  <c r="AT321" i="3"/>
  <c r="AQ321" i="3"/>
  <c r="F321" i="3"/>
  <c r="AB321" i="3"/>
  <c r="AW321" i="3"/>
  <c r="A322" i="3"/>
  <c r="Y321" i="3"/>
  <c r="AM321" i="3"/>
  <c r="K321" i="3"/>
  <c r="AH321" i="3"/>
  <c r="AX321" i="3"/>
  <c r="A323" i="3" l="1"/>
  <c r="S322" i="3"/>
  <c r="AT322" i="3"/>
  <c r="AO322" i="3"/>
  <c r="AJ322" i="3"/>
  <c r="AQ322" i="3"/>
  <c r="AF322" i="3"/>
  <c r="F322" i="3"/>
  <c r="AX322" i="3"/>
  <c r="L322" i="3"/>
  <c r="E322" i="3"/>
  <c r="U322" i="3"/>
  <c r="AM322" i="3"/>
  <c r="AB322" i="3"/>
  <c r="K322" i="3"/>
  <c r="AW322" i="3"/>
  <c r="W322" i="3"/>
  <c r="Y322" i="3"/>
  <c r="D322" i="3"/>
  <c r="AH322" i="3"/>
  <c r="Q322" i="3"/>
  <c r="M321" i="3"/>
  <c r="N321" i="3" s="1"/>
  <c r="O321" i="3"/>
  <c r="P321" i="3" s="1"/>
  <c r="AU321" i="3"/>
  <c r="AV321" i="3"/>
  <c r="AV322" i="3" l="1"/>
  <c r="AU322" i="3"/>
  <c r="M322" i="3"/>
  <c r="N322" i="3" s="1"/>
  <c r="O322" i="3"/>
  <c r="P322" i="3" s="1"/>
  <c r="AT323" i="3"/>
  <c r="A324" i="3"/>
  <c r="AO323" i="3"/>
  <c r="S323" i="3"/>
  <c r="AJ323" i="3"/>
  <c r="U323" i="3"/>
  <c r="K323" i="3"/>
  <c r="AW323" i="3"/>
  <c r="AF323" i="3"/>
  <c r="AX323" i="3"/>
  <c r="E323" i="3"/>
  <c r="Y323" i="3"/>
  <c r="AM323" i="3"/>
  <c r="D323" i="3"/>
  <c r="AB323" i="3"/>
  <c r="Q323" i="3"/>
  <c r="W323" i="3"/>
  <c r="AQ323" i="3"/>
  <c r="F323" i="3"/>
  <c r="L323" i="3"/>
  <c r="AH323" i="3"/>
  <c r="AV323" i="3" l="1"/>
  <c r="O323" i="3"/>
  <c r="P323" i="3" s="1"/>
  <c r="M323" i="3"/>
  <c r="N323" i="3" s="1"/>
  <c r="AU323" i="3"/>
  <c r="A325" i="3"/>
  <c r="Y324" i="3"/>
  <c r="AQ324" i="3"/>
  <c r="W324" i="3"/>
  <c r="D324" i="3"/>
  <c r="AM324" i="3"/>
  <c r="AF324" i="3"/>
  <c r="AJ324" i="3"/>
  <c r="Q324" i="3"/>
  <c r="L324" i="3"/>
  <c r="E324" i="3"/>
  <c r="AO324" i="3"/>
  <c r="S324" i="3"/>
  <c r="AB324" i="3"/>
  <c r="AX324" i="3"/>
  <c r="AW324" i="3"/>
  <c r="AT324" i="3"/>
  <c r="U324" i="3"/>
  <c r="F324" i="3"/>
  <c r="AH324" i="3"/>
  <c r="K324" i="3"/>
  <c r="AV324" i="3" l="1"/>
  <c r="M324" i="3"/>
  <c r="N324" i="3" s="1"/>
  <c r="O324" i="3"/>
  <c r="P324" i="3" s="1"/>
  <c r="AU324" i="3"/>
  <c r="AT325" i="3"/>
  <c r="E325" i="3"/>
  <c r="AO325" i="3"/>
  <c r="S325" i="3"/>
  <c r="AJ325" i="3"/>
  <c r="U325" i="3"/>
  <c r="D325" i="3"/>
  <c r="AF325" i="3"/>
  <c r="L325" i="3"/>
  <c r="Q325" i="3"/>
  <c r="W325" i="3"/>
  <c r="AQ325" i="3"/>
  <c r="F325" i="3"/>
  <c r="AB325" i="3"/>
  <c r="AW325" i="3"/>
  <c r="A326" i="3"/>
  <c r="Y325" i="3"/>
  <c r="AM325" i="3"/>
  <c r="K325" i="3"/>
  <c r="AH325" i="3"/>
  <c r="AX325" i="3"/>
  <c r="A327" i="3" l="1"/>
  <c r="AT326" i="3"/>
  <c r="U326" i="3"/>
  <c r="AO326" i="3"/>
  <c r="AM326" i="3"/>
  <c r="D326" i="3"/>
  <c r="AB326" i="3"/>
  <c r="AH326" i="3"/>
  <c r="AX326" i="3"/>
  <c r="L326" i="3"/>
  <c r="E326" i="3"/>
  <c r="S326" i="3"/>
  <c r="AQ326" i="3"/>
  <c r="F326" i="3"/>
  <c r="K326" i="3"/>
  <c r="AW326" i="3"/>
  <c r="W326" i="3"/>
  <c r="Y326" i="3"/>
  <c r="AJ326" i="3"/>
  <c r="AF326" i="3"/>
  <c r="Q326" i="3"/>
  <c r="M325" i="3"/>
  <c r="N325" i="3" s="1"/>
  <c r="O325" i="3"/>
  <c r="P325" i="3" s="1"/>
  <c r="AU325" i="3"/>
  <c r="AV325" i="3"/>
  <c r="AV789" i="3" l="1"/>
  <c r="M789" i="3"/>
  <c r="N789" i="3" s="1"/>
  <c r="O789" i="3"/>
  <c r="P789" i="3" s="1"/>
  <c r="AU789" i="3"/>
  <c r="AV326" i="3"/>
  <c r="AU326" i="3"/>
  <c r="M326" i="3"/>
  <c r="N326" i="3" s="1"/>
  <c r="O326" i="3"/>
  <c r="P326" i="3" s="1"/>
  <c r="AT327" i="3"/>
  <c r="Y327" i="3"/>
  <c r="AQ327" i="3"/>
  <c r="A328" i="3"/>
  <c r="AJ327" i="3"/>
  <c r="U327" i="3"/>
  <c r="K327" i="3"/>
  <c r="AW327" i="3"/>
  <c r="AF327" i="3"/>
  <c r="AX327" i="3"/>
  <c r="E327" i="3"/>
  <c r="AO327" i="3"/>
  <c r="AM327" i="3"/>
  <c r="D327" i="3"/>
  <c r="AB327" i="3"/>
  <c r="Q327" i="3"/>
  <c r="W327" i="3"/>
  <c r="S327" i="3"/>
  <c r="F327" i="3"/>
  <c r="L327" i="3"/>
  <c r="AH327" i="3"/>
  <c r="M790" i="3" l="1"/>
  <c r="N790" i="3" s="1"/>
  <c r="O790" i="3"/>
  <c r="P790" i="3" s="1"/>
  <c r="AU790" i="3"/>
  <c r="AV790" i="3"/>
  <c r="AV327" i="3"/>
  <c r="O327" i="3"/>
  <c r="P327" i="3" s="1"/>
  <c r="M327" i="3"/>
  <c r="N327" i="3" s="1"/>
  <c r="AU327" i="3"/>
  <c r="A329" i="3"/>
  <c r="W328" i="3"/>
  <c r="AO328" i="3"/>
  <c r="U328" i="3"/>
  <c r="F328" i="3"/>
  <c r="AM328" i="3"/>
  <c r="AB328" i="3"/>
  <c r="AH328" i="3"/>
  <c r="Q328" i="3"/>
  <c r="L328" i="3"/>
  <c r="E328" i="3"/>
  <c r="Y328" i="3"/>
  <c r="D328" i="3"/>
  <c r="AJ328" i="3"/>
  <c r="AX328" i="3"/>
  <c r="AW328" i="3"/>
  <c r="AT328" i="3"/>
  <c r="AQ328" i="3"/>
  <c r="S328" i="3"/>
  <c r="AF328" i="3"/>
  <c r="K328" i="3"/>
  <c r="AV328" i="3" l="1"/>
  <c r="M328" i="3"/>
  <c r="N328" i="3" s="1"/>
  <c r="O328" i="3"/>
  <c r="P328" i="3" s="1"/>
  <c r="AU328" i="3"/>
  <c r="E329" i="3"/>
  <c r="W329" i="3"/>
  <c r="AO329" i="3"/>
  <c r="S329" i="3"/>
  <c r="AJ329" i="3"/>
  <c r="U329" i="3"/>
  <c r="D329" i="3"/>
  <c r="AF329" i="3"/>
  <c r="L329" i="3"/>
  <c r="Q329" i="3"/>
  <c r="AT329" i="3"/>
  <c r="AQ329" i="3"/>
  <c r="F329" i="3"/>
  <c r="AB329" i="3"/>
  <c r="AW329" i="3"/>
  <c r="A330" i="3"/>
  <c r="Y329" i="3"/>
  <c r="AM329" i="3"/>
  <c r="K329" i="3"/>
  <c r="AH329" i="3"/>
  <c r="AX329" i="3"/>
  <c r="A331" i="3" l="1"/>
  <c r="S330" i="3"/>
  <c r="AT330" i="3"/>
  <c r="AO330" i="3"/>
  <c r="AJ330" i="3"/>
  <c r="AQ330" i="3"/>
  <c r="AF330" i="3"/>
  <c r="F330" i="3"/>
  <c r="AX330" i="3"/>
  <c r="L330" i="3"/>
  <c r="E330" i="3"/>
  <c r="U330" i="3"/>
  <c r="AM330" i="3"/>
  <c r="AB330" i="3"/>
  <c r="K330" i="3"/>
  <c r="AW330" i="3"/>
  <c r="W330" i="3"/>
  <c r="Y330" i="3"/>
  <c r="D330" i="3"/>
  <c r="AH330" i="3"/>
  <c r="Q330" i="3"/>
  <c r="M329" i="3"/>
  <c r="N329" i="3" s="1"/>
  <c r="O329" i="3"/>
  <c r="P329" i="3" s="1"/>
  <c r="AU329" i="3"/>
  <c r="AV329" i="3"/>
  <c r="AV330" i="3" l="1"/>
  <c r="AU330" i="3"/>
  <c r="M330" i="3"/>
  <c r="N330" i="3" s="1"/>
  <c r="O330" i="3"/>
  <c r="P330" i="3" s="1"/>
  <c r="AT331" i="3"/>
  <c r="A332" i="3"/>
  <c r="AO331" i="3"/>
  <c r="S331" i="3"/>
  <c r="AJ331" i="3"/>
  <c r="U331" i="3"/>
  <c r="K331" i="3"/>
  <c r="AW331" i="3"/>
  <c r="AF331" i="3"/>
  <c r="AX331" i="3"/>
  <c r="E331" i="3"/>
  <c r="Y331" i="3"/>
  <c r="AM331" i="3"/>
  <c r="D331" i="3"/>
  <c r="AB331" i="3"/>
  <c r="Q331" i="3"/>
  <c r="W331" i="3"/>
  <c r="AQ331" i="3"/>
  <c r="F331" i="3"/>
  <c r="L331" i="3"/>
  <c r="AH331" i="3"/>
  <c r="AV331" i="3" l="1"/>
  <c r="O331" i="3"/>
  <c r="P331" i="3" s="1"/>
  <c r="M331" i="3"/>
  <c r="N331" i="3" s="1"/>
  <c r="AU331" i="3"/>
  <c r="A333" i="3"/>
  <c r="Y332" i="3"/>
  <c r="AQ332" i="3"/>
  <c r="W332" i="3"/>
  <c r="D332" i="3"/>
  <c r="AM332" i="3"/>
  <c r="AF332" i="3"/>
  <c r="AJ332" i="3"/>
  <c r="Q332" i="3"/>
  <c r="L332" i="3"/>
  <c r="E332" i="3"/>
  <c r="AO332" i="3"/>
  <c r="S332" i="3"/>
  <c r="AB332" i="3"/>
  <c r="AX332" i="3"/>
  <c r="AW332" i="3"/>
  <c r="AT332" i="3"/>
  <c r="U332" i="3"/>
  <c r="F332" i="3"/>
  <c r="AH332" i="3"/>
  <c r="K332" i="3"/>
  <c r="AV332" i="3" l="1"/>
  <c r="M332" i="3"/>
  <c r="N332" i="3" s="1"/>
  <c r="O332" i="3"/>
  <c r="P332" i="3" s="1"/>
  <c r="AU332" i="3"/>
  <c r="AT333" i="3"/>
  <c r="Y333" i="3"/>
  <c r="AQ333" i="3"/>
  <c r="AM333" i="3"/>
  <c r="F333" i="3"/>
  <c r="U333" i="3"/>
  <c r="D333" i="3"/>
  <c r="AF333" i="3"/>
  <c r="L333" i="3"/>
  <c r="Q333" i="3"/>
  <c r="W333" i="3"/>
  <c r="S333" i="3"/>
  <c r="E333" i="3"/>
  <c r="AB333" i="3"/>
  <c r="AW333" i="3"/>
  <c r="A334" i="3"/>
  <c r="AO333" i="3"/>
  <c r="AJ333" i="3"/>
  <c r="K333" i="3"/>
  <c r="AH333" i="3"/>
  <c r="AX333" i="3"/>
  <c r="A335" i="3" l="1"/>
  <c r="AT334" i="3"/>
  <c r="U334" i="3"/>
  <c r="AO334" i="3"/>
  <c r="AM334" i="3"/>
  <c r="D334" i="3"/>
  <c r="AB334" i="3"/>
  <c r="AH334" i="3"/>
  <c r="AX334" i="3"/>
  <c r="L334" i="3"/>
  <c r="E334" i="3"/>
  <c r="S334" i="3"/>
  <c r="AQ334" i="3"/>
  <c r="F334" i="3"/>
  <c r="K334" i="3"/>
  <c r="AW334" i="3"/>
  <c r="W334" i="3"/>
  <c r="Y334" i="3"/>
  <c r="AJ334" i="3"/>
  <c r="AF334" i="3"/>
  <c r="Q334" i="3"/>
  <c r="M333" i="3"/>
  <c r="N333" i="3" s="1"/>
  <c r="O333" i="3"/>
  <c r="P333" i="3" s="1"/>
  <c r="AU333" i="3"/>
  <c r="AV333" i="3"/>
  <c r="AV334" i="3" l="1"/>
  <c r="AU334" i="3"/>
  <c r="M334" i="3"/>
  <c r="N334" i="3" s="1"/>
  <c r="O334" i="3"/>
  <c r="P334" i="3" s="1"/>
  <c r="AT335" i="3"/>
  <c r="Y335" i="3"/>
  <c r="AQ335" i="3"/>
  <c r="AM335" i="3"/>
  <c r="F335" i="3"/>
  <c r="U335" i="3"/>
  <c r="K335" i="3"/>
  <c r="AW335" i="3"/>
  <c r="AF335" i="3"/>
  <c r="AX335" i="3"/>
  <c r="E335" i="3"/>
  <c r="AO335" i="3"/>
  <c r="AJ335" i="3"/>
  <c r="D335" i="3"/>
  <c r="AB335" i="3"/>
  <c r="Q335" i="3"/>
  <c r="W335" i="3"/>
  <c r="S335" i="3"/>
  <c r="A336" i="3"/>
  <c r="L335" i="3"/>
  <c r="AH335" i="3"/>
  <c r="M335" i="3" l="1"/>
  <c r="N335" i="3" s="1"/>
  <c r="O335" i="3"/>
  <c r="P335" i="3" s="1"/>
  <c r="AU335" i="3"/>
  <c r="AV335" i="3"/>
  <c r="A337" i="3"/>
  <c r="W336" i="3"/>
  <c r="AO336" i="3"/>
  <c r="U336" i="3"/>
  <c r="F336" i="3"/>
  <c r="AM336" i="3"/>
  <c r="AB336" i="3"/>
  <c r="AH336" i="3"/>
  <c r="Q336" i="3"/>
  <c r="L336" i="3"/>
  <c r="E336" i="3"/>
  <c r="AT336" i="3"/>
  <c r="AQ336" i="3"/>
  <c r="S336" i="3"/>
  <c r="AF336" i="3"/>
  <c r="K336" i="3"/>
  <c r="Y336" i="3"/>
  <c r="D336" i="3"/>
  <c r="AJ336" i="3"/>
  <c r="AX336" i="3"/>
  <c r="AW336" i="3"/>
  <c r="AV336" i="3" l="1"/>
  <c r="M336" i="3"/>
  <c r="N336" i="3" s="1"/>
  <c r="O336" i="3"/>
  <c r="P336" i="3" s="1"/>
  <c r="AU336" i="3"/>
  <c r="E337" i="3"/>
  <c r="W337" i="3"/>
  <c r="AO337" i="3"/>
  <c r="S337" i="3"/>
  <c r="AJ337" i="3"/>
  <c r="U337" i="3"/>
  <c r="D337" i="3"/>
  <c r="AF337" i="3"/>
  <c r="L337" i="3"/>
  <c r="Q337" i="3"/>
  <c r="AT337" i="3"/>
  <c r="AQ337" i="3"/>
  <c r="F337" i="3"/>
  <c r="AB337" i="3"/>
  <c r="AW337" i="3"/>
  <c r="A338" i="3"/>
  <c r="Y337" i="3"/>
  <c r="AM337" i="3"/>
  <c r="K337" i="3"/>
  <c r="AH337" i="3"/>
  <c r="AX337" i="3"/>
  <c r="A339" i="3" l="1"/>
  <c r="S338" i="3"/>
  <c r="AT338" i="3"/>
  <c r="AO338" i="3"/>
  <c r="AJ338" i="3"/>
  <c r="AQ338" i="3"/>
  <c r="AF338" i="3"/>
  <c r="L338" i="3"/>
  <c r="K338" i="3"/>
  <c r="Q338" i="3"/>
  <c r="E338" i="3"/>
  <c r="U338" i="3"/>
  <c r="AM338" i="3"/>
  <c r="AB338" i="3"/>
  <c r="F338" i="3"/>
  <c r="AW338" i="3"/>
  <c r="W338" i="3"/>
  <c r="Y338" i="3"/>
  <c r="D338" i="3"/>
  <c r="AH338" i="3"/>
  <c r="AX338" i="3"/>
  <c r="M337" i="3"/>
  <c r="N337" i="3" s="1"/>
  <c r="O337" i="3"/>
  <c r="P337" i="3" s="1"/>
  <c r="AU337" i="3"/>
  <c r="AV337" i="3"/>
  <c r="AV338" i="3" l="1"/>
  <c r="AU338" i="3"/>
  <c r="M338" i="3"/>
  <c r="N338" i="3" s="1"/>
  <c r="O338" i="3"/>
  <c r="P338" i="3" s="1"/>
  <c r="AT339" i="3"/>
  <c r="A340" i="3"/>
  <c r="AO339" i="3"/>
  <c r="S339" i="3"/>
  <c r="AJ339" i="3"/>
  <c r="U339" i="3"/>
  <c r="K339" i="3"/>
  <c r="AB339" i="3"/>
  <c r="AH339" i="3"/>
  <c r="AX339" i="3"/>
  <c r="E339" i="3"/>
  <c r="Y339" i="3"/>
  <c r="AM339" i="3"/>
  <c r="D339" i="3"/>
  <c r="AF339" i="3"/>
  <c r="Q339" i="3"/>
  <c r="W339" i="3"/>
  <c r="AQ339" i="3"/>
  <c r="F339" i="3"/>
  <c r="AW339" i="3"/>
  <c r="L339" i="3"/>
  <c r="AV339" i="3" l="1"/>
  <c r="O339" i="3"/>
  <c r="P339" i="3" s="1"/>
  <c r="M339" i="3"/>
  <c r="N339" i="3" s="1"/>
  <c r="AU339" i="3"/>
  <c r="A341" i="3"/>
  <c r="Y340" i="3"/>
  <c r="AQ340" i="3"/>
  <c r="W340" i="3"/>
  <c r="D340" i="3"/>
  <c r="AM340" i="3"/>
  <c r="AF340" i="3"/>
  <c r="L340" i="3"/>
  <c r="AX340" i="3"/>
  <c r="K340" i="3"/>
  <c r="E340" i="3"/>
  <c r="AO340" i="3"/>
  <c r="S340" i="3"/>
  <c r="AB340" i="3"/>
  <c r="AJ340" i="3"/>
  <c r="AW340" i="3"/>
  <c r="AT340" i="3"/>
  <c r="U340" i="3"/>
  <c r="F340" i="3"/>
  <c r="AH340" i="3"/>
  <c r="Q340" i="3"/>
  <c r="AV340" i="3" l="1"/>
  <c r="M340" i="3"/>
  <c r="N340" i="3" s="1"/>
  <c r="O340" i="3"/>
  <c r="P340" i="3" s="1"/>
  <c r="AU340" i="3"/>
  <c r="AT341" i="3"/>
  <c r="E341" i="3"/>
  <c r="AO341" i="3"/>
  <c r="S341" i="3"/>
  <c r="AJ341" i="3"/>
  <c r="U341" i="3"/>
  <c r="D341" i="3"/>
  <c r="AF341" i="3"/>
  <c r="L341" i="3"/>
  <c r="Q341" i="3"/>
  <c r="W341" i="3"/>
  <c r="AQ341" i="3"/>
  <c r="F341" i="3"/>
  <c r="AB341" i="3"/>
  <c r="AW341" i="3"/>
  <c r="A342" i="3"/>
  <c r="Y341" i="3"/>
  <c r="AM341" i="3"/>
  <c r="K341" i="3"/>
  <c r="AH341" i="3"/>
  <c r="AX341" i="3"/>
  <c r="A343" i="3" l="1"/>
  <c r="AT342" i="3"/>
  <c r="U342" i="3"/>
  <c r="AO342" i="3"/>
  <c r="AM342" i="3"/>
  <c r="D342" i="3"/>
  <c r="AB342" i="3"/>
  <c r="AH342" i="3"/>
  <c r="K342" i="3"/>
  <c r="Q342" i="3"/>
  <c r="E342" i="3"/>
  <c r="S342" i="3"/>
  <c r="AQ342" i="3"/>
  <c r="F342" i="3"/>
  <c r="L342" i="3"/>
  <c r="AW342" i="3"/>
  <c r="W342" i="3"/>
  <c r="Y342" i="3"/>
  <c r="AJ342" i="3"/>
  <c r="AF342" i="3"/>
  <c r="AX342" i="3"/>
  <c r="M341" i="3"/>
  <c r="N341" i="3" s="1"/>
  <c r="O341" i="3"/>
  <c r="P341" i="3" s="1"/>
  <c r="AU341" i="3"/>
  <c r="AV341" i="3"/>
  <c r="AV342" i="3" l="1"/>
  <c r="AU342" i="3"/>
  <c r="M342" i="3"/>
  <c r="N342" i="3" s="1"/>
  <c r="O342" i="3"/>
  <c r="P342" i="3" s="1"/>
  <c r="AT343" i="3"/>
  <c r="Y343" i="3"/>
  <c r="AQ343" i="3"/>
  <c r="A344" i="3"/>
  <c r="AJ343" i="3"/>
  <c r="U343" i="3"/>
  <c r="K343" i="3"/>
  <c r="AB343" i="3"/>
  <c r="AH343" i="3"/>
  <c r="AX343" i="3"/>
  <c r="E343" i="3"/>
  <c r="AO343" i="3"/>
  <c r="AM343" i="3"/>
  <c r="D343" i="3"/>
  <c r="AF343" i="3"/>
  <c r="Q343" i="3"/>
  <c r="W343" i="3"/>
  <c r="S343" i="3"/>
  <c r="F343" i="3"/>
  <c r="AW343" i="3"/>
  <c r="L343" i="3"/>
  <c r="AV343" i="3" l="1"/>
  <c r="O343" i="3"/>
  <c r="P343" i="3" s="1"/>
  <c r="M343" i="3"/>
  <c r="N343" i="3" s="1"/>
  <c r="AU343" i="3"/>
  <c r="A345" i="3"/>
  <c r="W344" i="3"/>
  <c r="AO344" i="3"/>
  <c r="U344" i="3"/>
  <c r="F344" i="3"/>
  <c r="AM344" i="3"/>
  <c r="AB344" i="3"/>
  <c r="AH344" i="3"/>
  <c r="AX344" i="3"/>
  <c r="K344" i="3"/>
  <c r="E344" i="3"/>
  <c r="Y344" i="3"/>
  <c r="D344" i="3"/>
  <c r="AJ344" i="3"/>
  <c r="L344" i="3"/>
  <c r="AW344" i="3"/>
  <c r="AT344" i="3"/>
  <c r="AQ344" i="3"/>
  <c r="S344" i="3"/>
  <c r="AF344" i="3"/>
  <c r="Q344" i="3"/>
  <c r="AV344" i="3" l="1"/>
  <c r="M344" i="3"/>
  <c r="N344" i="3" s="1"/>
  <c r="O344" i="3"/>
  <c r="P344" i="3" s="1"/>
  <c r="AU344" i="3"/>
  <c r="E345" i="3"/>
  <c r="W345" i="3"/>
  <c r="AO345" i="3"/>
  <c r="S345" i="3"/>
  <c r="AJ345" i="3"/>
  <c r="U345" i="3"/>
  <c r="D345" i="3"/>
  <c r="AF345" i="3"/>
  <c r="L345" i="3"/>
  <c r="Q345" i="3"/>
  <c r="AT345" i="3"/>
  <c r="AQ345" i="3"/>
  <c r="F345" i="3"/>
  <c r="AB345" i="3"/>
  <c r="AW345" i="3"/>
  <c r="A346" i="3"/>
  <c r="Y345" i="3"/>
  <c r="AM345" i="3"/>
  <c r="K345" i="3"/>
  <c r="AH345" i="3"/>
  <c r="AX345" i="3"/>
  <c r="A347" i="3" l="1"/>
  <c r="S346" i="3"/>
  <c r="AT346" i="3"/>
  <c r="AO346" i="3"/>
  <c r="AJ346" i="3"/>
  <c r="AQ346" i="3"/>
  <c r="AF346" i="3"/>
  <c r="L346" i="3"/>
  <c r="K346" i="3"/>
  <c r="Q346" i="3"/>
  <c r="E346" i="3"/>
  <c r="U346" i="3"/>
  <c r="AM346" i="3"/>
  <c r="AB346" i="3"/>
  <c r="F346" i="3"/>
  <c r="AW346" i="3"/>
  <c r="W346" i="3"/>
  <c r="Y346" i="3"/>
  <c r="D346" i="3"/>
  <c r="AH346" i="3"/>
  <c r="AX346" i="3"/>
  <c r="M345" i="3"/>
  <c r="N345" i="3" s="1"/>
  <c r="O345" i="3"/>
  <c r="P345" i="3" s="1"/>
  <c r="AU345" i="3"/>
  <c r="AV345" i="3"/>
  <c r="AV346" i="3" l="1"/>
  <c r="AU346" i="3"/>
  <c r="M346" i="3"/>
  <c r="N346" i="3" s="1"/>
  <c r="O346" i="3"/>
  <c r="P346" i="3" s="1"/>
  <c r="AT347" i="3"/>
  <c r="A348" i="3"/>
  <c r="AO347" i="3"/>
  <c r="S347" i="3"/>
  <c r="AJ347" i="3"/>
  <c r="U347" i="3"/>
  <c r="K347" i="3"/>
  <c r="AB347" i="3"/>
  <c r="AH347" i="3"/>
  <c r="AX347" i="3"/>
  <c r="E347" i="3"/>
  <c r="Y347" i="3"/>
  <c r="AM347" i="3"/>
  <c r="D347" i="3"/>
  <c r="AF347" i="3"/>
  <c r="Q347" i="3"/>
  <c r="W347" i="3"/>
  <c r="AQ347" i="3"/>
  <c r="F347" i="3"/>
  <c r="AW347" i="3"/>
  <c r="L347" i="3"/>
  <c r="AV347" i="3" l="1"/>
  <c r="O347" i="3"/>
  <c r="P347" i="3" s="1"/>
  <c r="M347" i="3"/>
  <c r="N347" i="3" s="1"/>
  <c r="AU347" i="3"/>
  <c r="A349" i="3"/>
  <c r="Y348" i="3"/>
  <c r="AQ348" i="3"/>
  <c r="W348" i="3"/>
  <c r="D348" i="3"/>
  <c r="AM348" i="3"/>
  <c r="AF348" i="3"/>
  <c r="L348" i="3"/>
  <c r="AX348" i="3"/>
  <c r="K348" i="3"/>
  <c r="E348" i="3"/>
  <c r="AO348" i="3"/>
  <c r="S348" i="3"/>
  <c r="AB348" i="3"/>
  <c r="AJ348" i="3"/>
  <c r="AW348" i="3"/>
  <c r="AT348" i="3"/>
  <c r="U348" i="3"/>
  <c r="F348" i="3"/>
  <c r="AH348" i="3"/>
  <c r="Q348" i="3"/>
  <c r="AV348" i="3" l="1"/>
  <c r="M348" i="3"/>
  <c r="N348" i="3" s="1"/>
  <c r="O348" i="3"/>
  <c r="P348" i="3" s="1"/>
  <c r="AU348" i="3"/>
  <c r="AT349" i="3"/>
  <c r="Y349" i="3"/>
  <c r="AQ349" i="3"/>
  <c r="E349" i="3"/>
  <c r="AJ349" i="3"/>
  <c r="U349" i="3"/>
  <c r="D349" i="3"/>
  <c r="AF349" i="3"/>
  <c r="L349" i="3"/>
  <c r="Q349" i="3"/>
  <c r="W349" i="3"/>
  <c r="S349" i="3"/>
  <c r="F349" i="3"/>
  <c r="AB349" i="3"/>
  <c r="AW349" i="3"/>
  <c r="A350" i="3"/>
  <c r="AO349" i="3"/>
  <c r="AM349" i="3"/>
  <c r="K349" i="3"/>
  <c r="AH349" i="3"/>
  <c r="AX349" i="3"/>
  <c r="A351" i="3" l="1"/>
  <c r="AT350" i="3"/>
  <c r="U350" i="3"/>
  <c r="AO350" i="3"/>
  <c r="AM350" i="3"/>
  <c r="D350" i="3"/>
  <c r="AB350" i="3"/>
  <c r="AH350" i="3"/>
  <c r="K350" i="3"/>
  <c r="Q350" i="3"/>
  <c r="E350" i="3"/>
  <c r="S350" i="3"/>
  <c r="AQ350" i="3"/>
  <c r="F350" i="3"/>
  <c r="L350" i="3"/>
  <c r="AW350" i="3"/>
  <c r="W350" i="3"/>
  <c r="Y350" i="3"/>
  <c r="AJ350" i="3"/>
  <c r="AF350" i="3"/>
  <c r="AX350" i="3"/>
  <c r="M349" i="3"/>
  <c r="N349" i="3" s="1"/>
  <c r="O349" i="3"/>
  <c r="P349" i="3" s="1"/>
  <c r="AU349" i="3"/>
  <c r="AV349" i="3"/>
  <c r="AV350" i="3" l="1"/>
  <c r="AU350" i="3"/>
  <c r="M350" i="3"/>
  <c r="N350" i="3" s="1"/>
  <c r="O350" i="3"/>
  <c r="P350" i="3" s="1"/>
  <c r="AT351" i="3"/>
  <c r="Y351" i="3"/>
  <c r="AQ351" i="3"/>
  <c r="AM351" i="3"/>
  <c r="F351" i="3"/>
  <c r="U351" i="3"/>
  <c r="K351" i="3"/>
  <c r="AB351" i="3"/>
  <c r="AH351" i="3"/>
  <c r="AX351" i="3"/>
  <c r="E351" i="3"/>
  <c r="AO351" i="3"/>
  <c r="AJ351" i="3"/>
  <c r="D351" i="3"/>
  <c r="AF351" i="3"/>
  <c r="Q351" i="3"/>
  <c r="W351" i="3"/>
  <c r="S351" i="3"/>
  <c r="A352" i="3"/>
  <c r="AW351" i="3"/>
  <c r="L351" i="3"/>
  <c r="M351" i="3" l="1"/>
  <c r="N351" i="3" s="1"/>
  <c r="O351" i="3"/>
  <c r="P351" i="3" s="1"/>
  <c r="AU351" i="3"/>
  <c r="AV351" i="3"/>
  <c r="A353" i="3"/>
  <c r="W352" i="3"/>
  <c r="AO352" i="3"/>
  <c r="U352" i="3"/>
  <c r="F352" i="3"/>
  <c r="AM352" i="3"/>
  <c r="AB352" i="3"/>
  <c r="AH352" i="3"/>
  <c r="AX352" i="3"/>
  <c r="K352" i="3"/>
  <c r="E352" i="3"/>
  <c r="AT352" i="3"/>
  <c r="AQ352" i="3"/>
  <c r="S352" i="3"/>
  <c r="AF352" i="3"/>
  <c r="Q352" i="3"/>
  <c r="Y352" i="3"/>
  <c r="D352" i="3"/>
  <c r="AJ352" i="3"/>
  <c r="L352" i="3"/>
  <c r="AW352" i="3"/>
  <c r="AV352" i="3" l="1"/>
  <c r="M352" i="3"/>
  <c r="N352" i="3" s="1"/>
  <c r="O352" i="3"/>
  <c r="P352" i="3" s="1"/>
  <c r="AU352" i="3"/>
  <c r="E353" i="3"/>
  <c r="W353" i="3"/>
  <c r="AO353" i="3"/>
  <c r="S353" i="3"/>
  <c r="AJ353" i="3"/>
  <c r="U353" i="3"/>
  <c r="D353" i="3"/>
  <c r="AF353" i="3"/>
  <c r="L353" i="3"/>
  <c r="Q353" i="3"/>
  <c r="AT353" i="3"/>
  <c r="AQ353" i="3"/>
  <c r="F353" i="3"/>
  <c r="AB353" i="3"/>
  <c r="AW353" i="3"/>
  <c r="A354" i="3"/>
  <c r="Y353" i="3"/>
  <c r="AM353" i="3"/>
  <c r="K353" i="3"/>
  <c r="AH353" i="3"/>
  <c r="AX353" i="3"/>
  <c r="A355" i="3" l="1"/>
  <c r="S354" i="3"/>
  <c r="AT354" i="3"/>
  <c r="AO354" i="3"/>
  <c r="AJ354" i="3"/>
  <c r="AQ354" i="3"/>
  <c r="AF354" i="3"/>
  <c r="L354" i="3"/>
  <c r="K354" i="3"/>
  <c r="Q354" i="3"/>
  <c r="E354" i="3"/>
  <c r="U354" i="3"/>
  <c r="AM354" i="3"/>
  <c r="AB354" i="3"/>
  <c r="F354" i="3"/>
  <c r="AW354" i="3"/>
  <c r="W354" i="3"/>
  <c r="Y354" i="3"/>
  <c r="D354" i="3"/>
  <c r="AH354" i="3"/>
  <c r="AX354" i="3"/>
  <c r="M353" i="3"/>
  <c r="N353" i="3" s="1"/>
  <c r="O353" i="3"/>
  <c r="P353" i="3" s="1"/>
  <c r="AU353" i="3"/>
  <c r="AV353" i="3"/>
  <c r="AV354" i="3" l="1"/>
  <c r="AU354" i="3"/>
  <c r="M354" i="3"/>
  <c r="N354" i="3" s="1"/>
  <c r="O354" i="3"/>
  <c r="P354" i="3" s="1"/>
  <c r="AT355" i="3"/>
  <c r="A356" i="3"/>
  <c r="AO355" i="3"/>
  <c r="S355" i="3"/>
  <c r="AJ355" i="3"/>
  <c r="U355" i="3"/>
  <c r="K355" i="3"/>
  <c r="AB355" i="3"/>
  <c r="AH355" i="3"/>
  <c r="AX355" i="3"/>
  <c r="E355" i="3"/>
  <c r="Y355" i="3"/>
  <c r="AM355" i="3"/>
  <c r="D355" i="3"/>
  <c r="AF355" i="3"/>
  <c r="Q355" i="3"/>
  <c r="W355" i="3"/>
  <c r="AQ355" i="3"/>
  <c r="F355" i="3"/>
  <c r="AW355" i="3"/>
  <c r="L355" i="3"/>
  <c r="AV355" i="3" l="1"/>
  <c r="O355" i="3"/>
  <c r="P355" i="3" s="1"/>
  <c r="M355" i="3"/>
  <c r="N355" i="3" s="1"/>
  <c r="AU355" i="3"/>
  <c r="A357" i="3"/>
  <c r="Y356" i="3"/>
  <c r="AQ356" i="3"/>
  <c r="W356" i="3"/>
  <c r="D356" i="3"/>
  <c r="AM356" i="3"/>
  <c r="AF356" i="3"/>
  <c r="L356" i="3"/>
  <c r="AX356" i="3"/>
  <c r="K356" i="3"/>
  <c r="E356" i="3"/>
  <c r="AO356" i="3"/>
  <c r="S356" i="3"/>
  <c r="AB356" i="3"/>
  <c r="AJ356" i="3"/>
  <c r="AW356" i="3"/>
  <c r="AT356" i="3"/>
  <c r="U356" i="3"/>
  <c r="F356" i="3"/>
  <c r="AH356" i="3"/>
  <c r="Q356" i="3"/>
  <c r="AV356" i="3" l="1"/>
  <c r="M356" i="3"/>
  <c r="N356" i="3" s="1"/>
  <c r="O356" i="3"/>
  <c r="P356" i="3" s="1"/>
  <c r="AU356" i="3"/>
  <c r="AT357" i="3"/>
  <c r="E357" i="3"/>
  <c r="AO357" i="3"/>
  <c r="S357" i="3"/>
  <c r="AJ357" i="3"/>
  <c r="U357" i="3"/>
  <c r="D357" i="3"/>
  <c r="AF357" i="3"/>
  <c r="L357" i="3"/>
  <c r="Q357" i="3"/>
  <c r="W357" i="3"/>
  <c r="AQ357" i="3"/>
  <c r="F357" i="3"/>
  <c r="AB357" i="3"/>
  <c r="AW357" i="3"/>
  <c r="A358" i="3"/>
  <c r="Y357" i="3"/>
  <c r="AM357" i="3"/>
  <c r="K357" i="3"/>
  <c r="AH357" i="3"/>
  <c r="AX357" i="3"/>
  <c r="A359" i="3" l="1"/>
  <c r="AT358" i="3"/>
  <c r="U358" i="3"/>
  <c r="AO358" i="3"/>
  <c r="AM358" i="3"/>
  <c r="D358" i="3"/>
  <c r="AB358" i="3"/>
  <c r="AH358" i="3"/>
  <c r="K358" i="3"/>
  <c r="Q358" i="3"/>
  <c r="E358" i="3"/>
  <c r="S358" i="3"/>
  <c r="AQ358" i="3"/>
  <c r="F358" i="3"/>
  <c r="L358" i="3"/>
  <c r="AW358" i="3"/>
  <c r="W358" i="3"/>
  <c r="Y358" i="3"/>
  <c r="AJ358" i="3"/>
  <c r="AF358" i="3"/>
  <c r="AX358" i="3"/>
  <c r="M357" i="3"/>
  <c r="N357" i="3" s="1"/>
  <c r="O357" i="3"/>
  <c r="P357" i="3" s="1"/>
  <c r="AU357" i="3"/>
  <c r="AV357" i="3"/>
  <c r="AV358" i="3" l="1"/>
  <c r="AU358" i="3"/>
  <c r="M358" i="3"/>
  <c r="N358" i="3" s="1"/>
  <c r="O358" i="3"/>
  <c r="P358" i="3" s="1"/>
  <c r="AT359" i="3"/>
  <c r="Y359" i="3"/>
  <c r="AQ359" i="3"/>
  <c r="A360" i="3"/>
  <c r="AJ359" i="3"/>
  <c r="U359" i="3"/>
  <c r="K359" i="3"/>
  <c r="AB359" i="3"/>
  <c r="AH359" i="3"/>
  <c r="AX359" i="3"/>
  <c r="E359" i="3"/>
  <c r="AO359" i="3"/>
  <c r="AM359" i="3"/>
  <c r="D359" i="3"/>
  <c r="AF359" i="3"/>
  <c r="Q359" i="3"/>
  <c r="W359" i="3"/>
  <c r="S359" i="3"/>
  <c r="F359" i="3"/>
  <c r="AW359" i="3"/>
  <c r="L359" i="3"/>
  <c r="AV359" i="3" l="1"/>
  <c r="O359" i="3"/>
  <c r="P359" i="3" s="1"/>
  <c r="M359" i="3"/>
  <c r="N359" i="3" s="1"/>
  <c r="AU359" i="3"/>
  <c r="A361" i="3"/>
  <c r="W360" i="3"/>
  <c r="AO360" i="3"/>
  <c r="U360" i="3"/>
  <c r="F360" i="3"/>
  <c r="AM360" i="3"/>
  <c r="AB360" i="3"/>
  <c r="AH360" i="3"/>
  <c r="AX360" i="3"/>
  <c r="K360" i="3"/>
  <c r="E360" i="3"/>
  <c r="Y360" i="3"/>
  <c r="D360" i="3"/>
  <c r="AJ360" i="3"/>
  <c r="L360" i="3"/>
  <c r="AW360" i="3"/>
  <c r="AT360" i="3"/>
  <c r="AQ360" i="3"/>
  <c r="S360" i="3"/>
  <c r="AF360" i="3"/>
  <c r="Q360" i="3"/>
  <c r="AV360" i="3" l="1"/>
  <c r="M360" i="3"/>
  <c r="N360" i="3" s="1"/>
  <c r="O360" i="3"/>
  <c r="P360" i="3" s="1"/>
  <c r="AU360" i="3"/>
  <c r="E361" i="3"/>
  <c r="W361" i="3"/>
  <c r="AO361" i="3"/>
  <c r="S361" i="3"/>
  <c r="AJ361" i="3"/>
  <c r="U361" i="3"/>
  <c r="D361" i="3"/>
  <c r="AF361" i="3"/>
  <c r="L361" i="3"/>
  <c r="Q361" i="3"/>
  <c r="AT361" i="3"/>
  <c r="AQ361" i="3"/>
  <c r="F361" i="3"/>
  <c r="AB361" i="3"/>
  <c r="AW361" i="3"/>
  <c r="A362" i="3"/>
  <c r="Y361" i="3"/>
  <c r="AM361" i="3"/>
  <c r="K361" i="3"/>
  <c r="AH361" i="3"/>
  <c r="AX361" i="3"/>
  <c r="A363" i="3" l="1"/>
  <c r="S362" i="3"/>
  <c r="AT362" i="3"/>
  <c r="AO362" i="3"/>
  <c r="AJ362" i="3"/>
  <c r="AQ362" i="3"/>
  <c r="AF362" i="3"/>
  <c r="L362" i="3"/>
  <c r="K362" i="3"/>
  <c r="Q362" i="3"/>
  <c r="E362" i="3"/>
  <c r="U362" i="3"/>
  <c r="AM362" i="3"/>
  <c r="AB362" i="3"/>
  <c r="F362" i="3"/>
  <c r="AW362" i="3"/>
  <c r="W362" i="3"/>
  <c r="Y362" i="3"/>
  <c r="D362" i="3"/>
  <c r="AH362" i="3"/>
  <c r="AX362" i="3"/>
  <c r="M361" i="3"/>
  <c r="N361" i="3" s="1"/>
  <c r="O361" i="3"/>
  <c r="P361" i="3" s="1"/>
  <c r="AU361" i="3"/>
  <c r="AV361" i="3"/>
  <c r="AV362" i="3" l="1"/>
  <c r="AU362" i="3"/>
  <c r="M362" i="3"/>
  <c r="N362" i="3" s="1"/>
  <c r="O362" i="3"/>
  <c r="P362" i="3" s="1"/>
  <c r="AT363" i="3"/>
  <c r="A364" i="3"/>
  <c r="AO363" i="3"/>
  <c r="S363" i="3"/>
  <c r="AJ363" i="3"/>
  <c r="U363" i="3"/>
  <c r="K363" i="3"/>
  <c r="AB363" i="3"/>
  <c r="AH363" i="3"/>
  <c r="AX363" i="3"/>
  <c r="E363" i="3"/>
  <c r="Y363" i="3"/>
  <c r="AM363" i="3"/>
  <c r="D363" i="3"/>
  <c r="AF363" i="3"/>
  <c r="Q363" i="3"/>
  <c r="W363" i="3"/>
  <c r="AQ363" i="3"/>
  <c r="F363" i="3"/>
  <c r="AW363" i="3"/>
  <c r="L363" i="3"/>
  <c r="AV363" i="3" l="1"/>
  <c r="O363" i="3"/>
  <c r="P363" i="3" s="1"/>
  <c r="M363" i="3"/>
  <c r="N363" i="3" s="1"/>
  <c r="AU363" i="3"/>
  <c r="A365" i="3"/>
  <c r="Y364" i="3"/>
  <c r="AQ364" i="3"/>
  <c r="W364" i="3"/>
  <c r="D364" i="3"/>
  <c r="AM364" i="3"/>
  <c r="AF364" i="3"/>
  <c r="L364" i="3"/>
  <c r="AX364" i="3"/>
  <c r="K364" i="3"/>
  <c r="E364" i="3"/>
  <c r="AO364" i="3"/>
  <c r="S364" i="3"/>
  <c r="AB364" i="3"/>
  <c r="AJ364" i="3"/>
  <c r="AW364" i="3"/>
  <c r="AT364" i="3"/>
  <c r="U364" i="3"/>
  <c r="F364" i="3"/>
  <c r="AH364" i="3"/>
  <c r="Q364" i="3"/>
  <c r="AV364" i="3" l="1"/>
  <c r="M364" i="3"/>
  <c r="N364" i="3" s="1"/>
  <c r="O364" i="3"/>
  <c r="P364" i="3" s="1"/>
  <c r="AU364" i="3"/>
  <c r="AT365" i="3"/>
  <c r="Y365" i="3"/>
  <c r="AQ365" i="3"/>
  <c r="AM365" i="3"/>
  <c r="F365" i="3"/>
  <c r="U365" i="3"/>
  <c r="D365" i="3"/>
  <c r="AF365" i="3"/>
  <c r="L365" i="3"/>
  <c r="Q365" i="3"/>
  <c r="W365" i="3"/>
  <c r="S365" i="3"/>
  <c r="E365" i="3"/>
  <c r="AB365" i="3"/>
  <c r="AW365" i="3"/>
  <c r="A366" i="3"/>
  <c r="AO365" i="3"/>
  <c r="AJ365" i="3"/>
  <c r="K365" i="3"/>
  <c r="AH365" i="3"/>
  <c r="AX365" i="3"/>
  <c r="A367" i="3" l="1"/>
  <c r="AT366" i="3"/>
  <c r="U366" i="3"/>
  <c r="AO366" i="3"/>
  <c r="AM366" i="3"/>
  <c r="D366" i="3"/>
  <c r="AB366" i="3"/>
  <c r="AH366" i="3"/>
  <c r="K366" i="3"/>
  <c r="Q366" i="3"/>
  <c r="E366" i="3"/>
  <c r="S366" i="3"/>
  <c r="AQ366" i="3"/>
  <c r="F366" i="3"/>
  <c r="L366" i="3"/>
  <c r="AW366" i="3"/>
  <c r="W366" i="3"/>
  <c r="Y366" i="3"/>
  <c r="AJ366" i="3"/>
  <c r="AF366" i="3"/>
  <c r="AX366" i="3"/>
  <c r="M365" i="3"/>
  <c r="N365" i="3" s="1"/>
  <c r="O365" i="3"/>
  <c r="P365" i="3" s="1"/>
  <c r="AU365" i="3"/>
  <c r="AV365" i="3"/>
  <c r="AV366" i="3" l="1"/>
  <c r="AU366" i="3"/>
  <c r="M366" i="3"/>
  <c r="N366" i="3" s="1"/>
  <c r="O366" i="3"/>
  <c r="P366" i="3" s="1"/>
  <c r="AT367" i="3"/>
  <c r="Y367" i="3"/>
  <c r="AQ367" i="3"/>
  <c r="AM367" i="3"/>
  <c r="F367" i="3"/>
  <c r="U367" i="3"/>
  <c r="K367" i="3"/>
  <c r="AB367" i="3"/>
  <c r="AH367" i="3"/>
  <c r="AX367" i="3"/>
  <c r="E367" i="3"/>
  <c r="AO367" i="3"/>
  <c r="AJ367" i="3"/>
  <c r="D367" i="3"/>
  <c r="AF367" i="3"/>
  <c r="Q367" i="3"/>
  <c r="W367" i="3"/>
  <c r="S367" i="3"/>
  <c r="A368" i="3"/>
  <c r="AW367" i="3"/>
  <c r="L367" i="3"/>
  <c r="M367" i="3" l="1"/>
  <c r="N367" i="3" s="1"/>
  <c r="O367" i="3"/>
  <c r="P367" i="3" s="1"/>
  <c r="AU367" i="3"/>
  <c r="AV367" i="3"/>
  <c r="A369" i="3"/>
  <c r="W368" i="3"/>
  <c r="AO368" i="3"/>
  <c r="U368" i="3"/>
  <c r="F368" i="3"/>
  <c r="AM368" i="3"/>
  <c r="AB368" i="3"/>
  <c r="AH368" i="3"/>
  <c r="AX368" i="3"/>
  <c r="K368" i="3"/>
  <c r="E368" i="3"/>
  <c r="AT368" i="3"/>
  <c r="AQ368" i="3"/>
  <c r="S368" i="3"/>
  <c r="AF368" i="3"/>
  <c r="Q368" i="3"/>
  <c r="Y368" i="3"/>
  <c r="D368" i="3"/>
  <c r="AJ368" i="3"/>
  <c r="L368" i="3"/>
  <c r="AW368" i="3"/>
  <c r="AV368" i="3" l="1"/>
  <c r="M368" i="3"/>
  <c r="N368" i="3" s="1"/>
  <c r="O368" i="3"/>
  <c r="P368" i="3" s="1"/>
  <c r="AU368" i="3"/>
  <c r="E369" i="3"/>
  <c r="W369" i="3"/>
  <c r="AO369" i="3"/>
  <c r="S369" i="3"/>
  <c r="AJ369" i="3"/>
  <c r="U369" i="3"/>
  <c r="D369" i="3"/>
  <c r="AF369" i="3"/>
  <c r="L369" i="3"/>
  <c r="Q369" i="3"/>
  <c r="AT369" i="3"/>
  <c r="AQ369" i="3"/>
  <c r="F369" i="3"/>
  <c r="AB369" i="3"/>
  <c r="AW369" i="3"/>
  <c r="A370" i="3"/>
  <c r="Y369" i="3"/>
  <c r="AM369" i="3"/>
  <c r="K369" i="3"/>
  <c r="AH369" i="3"/>
  <c r="AX369" i="3"/>
  <c r="A371" i="3" l="1"/>
  <c r="S370" i="3"/>
  <c r="AT370" i="3"/>
  <c r="AO370" i="3"/>
  <c r="AJ370" i="3"/>
  <c r="AQ370" i="3"/>
  <c r="AF370" i="3"/>
  <c r="L370" i="3"/>
  <c r="K370" i="3"/>
  <c r="Q370" i="3"/>
  <c r="E370" i="3"/>
  <c r="U370" i="3"/>
  <c r="AM370" i="3"/>
  <c r="AB370" i="3"/>
  <c r="F370" i="3"/>
  <c r="AW370" i="3"/>
  <c r="W370" i="3"/>
  <c r="Y370" i="3"/>
  <c r="D370" i="3"/>
  <c r="AH370" i="3"/>
  <c r="AX370" i="3"/>
  <c r="M369" i="3"/>
  <c r="N369" i="3" s="1"/>
  <c r="O369" i="3"/>
  <c r="P369" i="3" s="1"/>
  <c r="AU369" i="3"/>
  <c r="AV369" i="3"/>
  <c r="AV370" i="3" l="1"/>
  <c r="AU370" i="3"/>
  <c r="M370" i="3"/>
  <c r="N370" i="3" s="1"/>
  <c r="O370" i="3"/>
  <c r="P370" i="3" s="1"/>
  <c r="AT371" i="3"/>
  <c r="A372" i="3"/>
  <c r="AO371" i="3"/>
  <c r="S371" i="3"/>
  <c r="AJ371" i="3"/>
  <c r="U371" i="3"/>
  <c r="K371" i="3"/>
  <c r="AB371" i="3"/>
  <c r="AH371" i="3"/>
  <c r="AX371" i="3"/>
  <c r="E371" i="3"/>
  <c r="Y371" i="3"/>
  <c r="AM371" i="3"/>
  <c r="D371" i="3"/>
  <c r="AF371" i="3"/>
  <c r="Q371" i="3"/>
  <c r="W371" i="3"/>
  <c r="AQ371" i="3"/>
  <c r="F371" i="3"/>
  <c r="AW371" i="3"/>
  <c r="L371" i="3"/>
  <c r="AV371" i="3" l="1"/>
  <c r="O371" i="3"/>
  <c r="P371" i="3" s="1"/>
  <c r="M371" i="3"/>
  <c r="N371" i="3" s="1"/>
  <c r="AU371" i="3"/>
  <c r="A373" i="3"/>
  <c r="Y372" i="3"/>
  <c r="AQ372" i="3"/>
  <c r="W372" i="3"/>
  <c r="D372" i="3"/>
  <c r="AM372" i="3"/>
  <c r="AF372" i="3"/>
  <c r="L372" i="3"/>
  <c r="AX372" i="3"/>
  <c r="K372" i="3"/>
  <c r="E372" i="3"/>
  <c r="AO372" i="3"/>
  <c r="S372" i="3"/>
  <c r="AB372" i="3"/>
  <c r="AJ372" i="3"/>
  <c r="AW372" i="3"/>
  <c r="AT372" i="3"/>
  <c r="U372" i="3"/>
  <c r="F372" i="3"/>
  <c r="AH372" i="3"/>
  <c r="Q372" i="3"/>
  <c r="AV372" i="3" l="1"/>
  <c r="M372" i="3"/>
  <c r="N372" i="3" s="1"/>
  <c r="O372" i="3"/>
  <c r="P372" i="3" s="1"/>
  <c r="AU372" i="3"/>
  <c r="AT373" i="3"/>
  <c r="E373" i="3"/>
  <c r="AO373" i="3"/>
  <c r="S373" i="3"/>
  <c r="AJ373" i="3"/>
  <c r="U373" i="3"/>
  <c r="D373" i="3"/>
  <c r="AF373" i="3"/>
  <c r="L373" i="3"/>
  <c r="Q373" i="3"/>
  <c r="W373" i="3"/>
  <c r="AQ373" i="3"/>
  <c r="F373" i="3"/>
  <c r="AB373" i="3"/>
  <c r="AW373" i="3"/>
  <c r="A374" i="3"/>
  <c r="Y373" i="3"/>
  <c r="AM373" i="3"/>
  <c r="K373" i="3"/>
  <c r="AH373" i="3"/>
  <c r="AX373" i="3"/>
  <c r="A375" i="3" l="1"/>
  <c r="AT374" i="3"/>
  <c r="U374" i="3"/>
  <c r="AO374" i="3"/>
  <c r="AM374" i="3"/>
  <c r="D374" i="3"/>
  <c r="AB374" i="3"/>
  <c r="AH374" i="3"/>
  <c r="K374" i="3"/>
  <c r="Q374" i="3"/>
  <c r="E374" i="3"/>
  <c r="S374" i="3"/>
  <c r="AQ374" i="3"/>
  <c r="F374" i="3"/>
  <c r="L374" i="3"/>
  <c r="AW374" i="3"/>
  <c r="W374" i="3"/>
  <c r="Y374" i="3"/>
  <c r="AJ374" i="3"/>
  <c r="AF374" i="3"/>
  <c r="AX374" i="3"/>
  <c r="M373" i="3"/>
  <c r="N373" i="3" s="1"/>
  <c r="O373" i="3"/>
  <c r="P373" i="3" s="1"/>
  <c r="AU373" i="3"/>
  <c r="AV373" i="3"/>
  <c r="AV374" i="3" l="1"/>
  <c r="AU374" i="3"/>
  <c r="M374" i="3"/>
  <c r="N374" i="3" s="1"/>
  <c r="O374" i="3"/>
  <c r="P374" i="3" s="1"/>
  <c r="AT375" i="3"/>
  <c r="Y375" i="3"/>
  <c r="AQ375" i="3"/>
  <c r="A376" i="3"/>
  <c r="AJ375" i="3"/>
  <c r="U375" i="3"/>
  <c r="K375" i="3"/>
  <c r="AB375" i="3"/>
  <c r="AH375" i="3"/>
  <c r="AX375" i="3"/>
  <c r="E375" i="3"/>
  <c r="AO375" i="3"/>
  <c r="AM375" i="3"/>
  <c r="D375" i="3"/>
  <c r="AF375" i="3"/>
  <c r="Q375" i="3"/>
  <c r="W375" i="3"/>
  <c r="S375" i="3"/>
  <c r="F375" i="3"/>
  <c r="AW375" i="3"/>
  <c r="L375" i="3"/>
  <c r="AV375" i="3" l="1"/>
  <c r="O375" i="3"/>
  <c r="P375" i="3" s="1"/>
  <c r="M375" i="3"/>
  <c r="N375" i="3" s="1"/>
  <c r="AU375" i="3"/>
  <c r="A377" i="3"/>
  <c r="W376" i="3"/>
  <c r="AO376" i="3"/>
  <c r="U376" i="3"/>
  <c r="F376" i="3"/>
  <c r="AM376" i="3"/>
  <c r="AB376" i="3"/>
  <c r="AH376" i="3"/>
  <c r="AX376" i="3"/>
  <c r="K376" i="3"/>
  <c r="E376" i="3"/>
  <c r="Y376" i="3"/>
  <c r="D376" i="3"/>
  <c r="AJ376" i="3"/>
  <c r="L376" i="3"/>
  <c r="AW376" i="3"/>
  <c r="AT376" i="3"/>
  <c r="AQ376" i="3"/>
  <c r="S376" i="3"/>
  <c r="AF376" i="3"/>
  <c r="Q376" i="3"/>
  <c r="AV376" i="3" l="1"/>
  <c r="M376" i="3"/>
  <c r="N376" i="3" s="1"/>
  <c r="O376" i="3"/>
  <c r="P376" i="3" s="1"/>
  <c r="AU376" i="3"/>
  <c r="E377" i="3"/>
  <c r="W377" i="3"/>
  <c r="AO377" i="3"/>
  <c r="S377" i="3"/>
  <c r="AJ377" i="3"/>
  <c r="U377" i="3"/>
  <c r="D377" i="3"/>
  <c r="AF377" i="3"/>
  <c r="L377" i="3"/>
  <c r="Q377" i="3"/>
  <c r="AT377" i="3"/>
  <c r="AQ377" i="3"/>
  <c r="F377" i="3"/>
  <c r="AB377" i="3"/>
  <c r="AW377" i="3"/>
  <c r="A378" i="3"/>
  <c r="Y377" i="3"/>
  <c r="AM377" i="3"/>
  <c r="K377" i="3"/>
  <c r="AH377" i="3"/>
  <c r="AX377" i="3"/>
  <c r="A379" i="3" l="1"/>
  <c r="S378" i="3"/>
  <c r="AT378" i="3"/>
  <c r="AO378" i="3"/>
  <c r="AJ378" i="3"/>
  <c r="AQ378" i="3"/>
  <c r="AF378" i="3"/>
  <c r="L378" i="3"/>
  <c r="K378" i="3"/>
  <c r="Q378" i="3"/>
  <c r="E378" i="3"/>
  <c r="U378" i="3"/>
  <c r="AM378" i="3"/>
  <c r="AB378" i="3"/>
  <c r="F378" i="3"/>
  <c r="AW378" i="3"/>
  <c r="W378" i="3"/>
  <c r="Y378" i="3"/>
  <c r="D378" i="3"/>
  <c r="AH378" i="3"/>
  <c r="AX378" i="3"/>
  <c r="M377" i="3"/>
  <c r="N377" i="3" s="1"/>
  <c r="O377" i="3"/>
  <c r="P377" i="3" s="1"/>
  <c r="AU377" i="3"/>
  <c r="AV377" i="3"/>
  <c r="AV378" i="3" l="1"/>
  <c r="AU378" i="3"/>
  <c r="M378" i="3"/>
  <c r="N378" i="3" s="1"/>
  <c r="O378" i="3"/>
  <c r="P378" i="3" s="1"/>
  <c r="AT379" i="3"/>
  <c r="A380" i="3"/>
  <c r="AO379" i="3"/>
  <c r="S379" i="3"/>
  <c r="AJ379" i="3"/>
  <c r="U379" i="3"/>
  <c r="K379" i="3"/>
  <c r="AB379" i="3"/>
  <c r="AH379" i="3"/>
  <c r="AX379" i="3"/>
  <c r="E379" i="3"/>
  <c r="Y379" i="3"/>
  <c r="AM379" i="3"/>
  <c r="D379" i="3"/>
  <c r="AF379" i="3"/>
  <c r="Q379" i="3"/>
  <c r="W379" i="3"/>
  <c r="AQ379" i="3"/>
  <c r="F379" i="3"/>
  <c r="AW379" i="3"/>
  <c r="L379" i="3"/>
  <c r="AV379" i="3" l="1"/>
  <c r="O379" i="3"/>
  <c r="P379" i="3" s="1"/>
  <c r="M379" i="3"/>
  <c r="N379" i="3" s="1"/>
  <c r="AU379" i="3"/>
  <c r="A381" i="3"/>
  <c r="Y380" i="3"/>
  <c r="AQ380" i="3"/>
  <c r="W380" i="3"/>
  <c r="D380" i="3"/>
  <c r="AM380" i="3"/>
  <c r="AF380" i="3"/>
  <c r="L380" i="3"/>
  <c r="AX380" i="3"/>
  <c r="K380" i="3"/>
  <c r="E380" i="3"/>
  <c r="AO380" i="3"/>
  <c r="S380" i="3"/>
  <c r="AB380" i="3"/>
  <c r="AJ380" i="3"/>
  <c r="AW380" i="3"/>
  <c r="AT380" i="3"/>
  <c r="U380" i="3"/>
  <c r="F380" i="3"/>
  <c r="AH380" i="3"/>
  <c r="Q380" i="3"/>
  <c r="AV380" i="3" l="1"/>
  <c r="M380" i="3"/>
  <c r="N380" i="3" s="1"/>
  <c r="O380" i="3"/>
  <c r="P380" i="3" s="1"/>
  <c r="AU380" i="3"/>
  <c r="AT381" i="3"/>
  <c r="Y381" i="3"/>
  <c r="AQ381" i="3"/>
  <c r="E381" i="3"/>
  <c r="AJ381" i="3"/>
  <c r="U381" i="3"/>
  <c r="D381" i="3"/>
  <c r="AF381" i="3"/>
  <c r="L381" i="3"/>
  <c r="Q381" i="3"/>
  <c r="W381" i="3"/>
  <c r="S381" i="3"/>
  <c r="F381" i="3"/>
  <c r="AB381" i="3"/>
  <c r="AW381" i="3"/>
  <c r="A382" i="3"/>
  <c r="AO381" i="3"/>
  <c r="AM381" i="3"/>
  <c r="K381" i="3"/>
  <c r="AH381" i="3"/>
  <c r="AX381" i="3"/>
  <c r="A383" i="3" l="1"/>
  <c r="AT382" i="3"/>
  <c r="U382" i="3"/>
  <c r="AO382" i="3"/>
  <c r="AM382" i="3"/>
  <c r="D382" i="3"/>
  <c r="AB382" i="3"/>
  <c r="AH382" i="3"/>
  <c r="K382" i="3"/>
  <c r="Q382" i="3"/>
  <c r="E382" i="3"/>
  <c r="S382" i="3"/>
  <c r="AQ382" i="3"/>
  <c r="F382" i="3"/>
  <c r="L382" i="3"/>
  <c r="AW382" i="3"/>
  <c r="W382" i="3"/>
  <c r="Y382" i="3"/>
  <c r="AJ382" i="3"/>
  <c r="AF382" i="3"/>
  <c r="AX382" i="3"/>
  <c r="M381" i="3"/>
  <c r="N381" i="3" s="1"/>
  <c r="O381" i="3"/>
  <c r="P381" i="3" s="1"/>
  <c r="AU381" i="3"/>
  <c r="AV381" i="3"/>
  <c r="AV382" i="3" l="1"/>
  <c r="AU382" i="3"/>
  <c r="M382" i="3"/>
  <c r="N382" i="3" s="1"/>
  <c r="O382" i="3"/>
  <c r="P382" i="3" s="1"/>
  <c r="AT383" i="3"/>
  <c r="Y383" i="3"/>
  <c r="AQ383" i="3"/>
  <c r="AM383" i="3"/>
  <c r="F383" i="3"/>
  <c r="U383" i="3"/>
  <c r="K383" i="3"/>
  <c r="AB383" i="3"/>
  <c r="AH383" i="3"/>
  <c r="AX383" i="3"/>
  <c r="E383" i="3"/>
  <c r="AO383" i="3"/>
  <c r="AJ383" i="3"/>
  <c r="D383" i="3"/>
  <c r="AF383" i="3"/>
  <c r="Q383" i="3"/>
  <c r="W383" i="3"/>
  <c r="S383" i="3"/>
  <c r="A384" i="3"/>
  <c r="AW383" i="3"/>
  <c r="L383" i="3"/>
  <c r="M383" i="3" l="1"/>
  <c r="N383" i="3" s="1"/>
  <c r="O383" i="3"/>
  <c r="P383" i="3" s="1"/>
  <c r="AU383" i="3"/>
  <c r="AV383" i="3"/>
  <c r="A385" i="3"/>
  <c r="W384" i="3"/>
  <c r="AO384" i="3"/>
  <c r="U384" i="3"/>
  <c r="F384" i="3"/>
  <c r="AM384" i="3"/>
  <c r="AB384" i="3"/>
  <c r="AH384" i="3"/>
  <c r="AX384" i="3"/>
  <c r="K384" i="3"/>
  <c r="E384" i="3"/>
  <c r="AT384" i="3"/>
  <c r="AQ384" i="3"/>
  <c r="S384" i="3"/>
  <c r="AF384" i="3"/>
  <c r="Q384" i="3"/>
  <c r="Y384" i="3"/>
  <c r="D384" i="3"/>
  <c r="AJ384" i="3"/>
  <c r="L384" i="3"/>
  <c r="AW384" i="3"/>
  <c r="AV384" i="3" l="1"/>
  <c r="M384" i="3"/>
  <c r="N384" i="3" s="1"/>
  <c r="O384" i="3"/>
  <c r="P384" i="3" s="1"/>
  <c r="AU384" i="3"/>
  <c r="E385" i="3"/>
  <c r="W385" i="3"/>
  <c r="AO385" i="3"/>
  <c r="S385" i="3"/>
  <c r="AJ385" i="3"/>
  <c r="U385" i="3"/>
  <c r="D385" i="3"/>
  <c r="AF385" i="3"/>
  <c r="L385" i="3"/>
  <c r="Q385" i="3"/>
  <c r="AT385" i="3"/>
  <c r="AQ385" i="3"/>
  <c r="F385" i="3"/>
  <c r="AB385" i="3"/>
  <c r="AW385" i="3"/>
  <c r="A386" i="3"/>
  <c r="Y385" i="3"/>
  <c r="AM385" i="3"/>
  <c r="K385" i="3"/>
  <c r="AH385" i="3"/>
  <c r="AX385" i="3"/>
  <c r="A387" i="3" l="1"/>
  <c r="S386" i="3"/>
  <c r="AT386" i="3"/>
  <c r="AO386" i="3"/>
  <c r="AJ386" i="3"/>
  <c r="AQ386" i="3"/>
  <c r="AF386" i="3"/>
  <c r="L386" i="3"/>
  <c r="K386" i="3"/>
  <c r="Q386" i="3"/>
  <c r="E386" i="3"/>
  <c r="U386" i="3"/>
  <c r="AM386" i="3"/>
  <c r="AB386" i="3"/>
  <c r="F386" i="3"/>
  <c r="AW386" i="3"/>
  <c r="W386" i="3"/>
  <c r="Y386" i="3"/>
  <c r="D386" i="3"/>
  <c r="AH386" i="3"/>
  <c r="AX386" i="3"/>
  <c r="M385" i="3"/>
  <c r="N385" i="3" s="1"/>
  <c r="O385" i="3"/>
  <c r="P385" i="3" s="1"/>
  <c r="AU385" i="3"/>
  <c r="AV385" i="3"/>
  <c r="AV386" i="3" l="1"/>
  <c r="AU386" i="3"/>
  <c r="M386" i="3"/>
  <c r="N386" i="3" s="1"/>
  <c r="O386" i="3"/>
  <c r="P386" i="3" s="1"/>
  <c r="AT387" i="3"/>
  <c r="A388" i="3"/>
  <c r="AO387" i="3"/>
  <c r="S387" i="3"/>
  <c r="AJ387" i="3"/>
  <c r="U387" i="3"/>
  <c r="K387" i="3"/>
  <c r="AB387" i="3"/>
  <c r="AH387" i="3"/>
  <c r="AX387" i="3"/>
  <c r="E387" i="3"/>
  <c r="Y387" i="3"/>
  <c r="AM387" i="3"/>
  <c r="D387" i="3"/>
  <c r="AF387" i="3"/>
  <c r="Q387" i="3"/>
  <c r="W387" i="3"/>
  <c r="AQ387" i="3"/>
  <c r="F387" i="3"/>
  <c r="AW387" i="3"/>
  <c r="L387" i="3"/>
  <c r="AV387" i="3" l="1"/>
  <c r="O387" i="3"/>
  <c r="P387" i="3" s="1"/>
  <c r="M387" i="3"/>
  <c r="N387" i="3" s="1"/>
  <c r="AU387" i="3"/>
  <c r="A389" i="3"/>
  <c r="Y388" i="3"/>
  <c r="AQ388" i="3"/>
  <c r="W388" i="3"/>
  <c r="D388" i="3"/>
  <c r="AM388" i="3"/>
  <c r="AF388" i="3"/>
  <c r="L388" i="3"/>
  <c r="AX388" i="3"/>
  <c r="K388" i="3"/>
  <c r="E388" i="3"/>
  <c r="AO388" i="3"/>
  <c r="S388" i="3"/>
  <c r="AB388" i="3"/>
  <c r="AJ388" i="3"/>
  <c r="AW388" i="3"/>
  <c r="AT388" i="3"/>
  <c r="U388" i="3"/>
  <c r="F388" i="3"/>
  <c r="AH388" i="3"/>
  <c r="Q388" i="3"/>
  <c r="AV388" i="3" l="1"/>
  <c r="M388" i="3"/>
  <c r="N388" i="3" s="1"/>
  <c r="O388" i="3"/>
  <c r="P388" i="3" s="1"/>
  <c r="AU388" i="3"/>
  <c r="AT389" i="3"/>
  <c r="E389" i="3"/>
  <c r="AO389" i="3"/>
  <c r="S389" i="3"/>
  <c r="AJ389" i="3"/>
  <c r="U389" i="3"/>
  <c r="D389" i="3"/>
  <c r="AF389" i="3"/>
  <c r="L389" i="3"/>
  <c r="AX389" i="3"/>
  <c r="W389" i="3"/>
  <c r="AQ389" i="3"/>
  <c r="F389" i="3"/>
  <c r="AB389" i="3"/>
  <c r="AW389" i="3"/>
  <c r="A390" i="3"/>
  <c r="Y389" i="3"/>
  <c r="AM389" i="3"/>
  <c r="K389" i="3"/>
  <c r="AH389" i="3"/>
  <c r="Q389" i="3"/>
  <c r="A391" i="3" l="1"/>
  <c r="AT390" i="3"/>
  <c r="U390" i="3"/>
  <c r="AO390" i="3"/>
  <c r="AM390" i="3"/>
  <c r="D390" i="3"/>
  <c r="AB390" i="3"/>
  <c r="AH390" i="3"/>
  <c r="K390" i="3"/>
  <c r="Q390" i="3"/>
  <c r="E390" i="3"/>
  <c r="S390" i="3"/>
  <c r="AQ390" i="3"/>
  <c r="F390" i="3"/>
  <c r="L390" i="3"/>
  <c r="AW390" i="3"/>
  <c r="W390" i="3"/>
  <c r="Y390" i="3"/>
  <c r="AJ390" i="3"/>
  <c r="AF390" i="3"/>
  <c r="AX390" i="3"/>
  <c r="M389" i="3"/>
  <c r="N389" i="3" s="1"/>
  <c r="O389" i="3"/>
  <c r="P389" i="3" s="1"/>
  <c r="AU389" i="3"/>
  <c r="AV389" i="3"/>
  <c r="AV390" i="3" l="1"/>
  <c r="AU390" i="3"/>
  <c r="M390" i="3"/>
  <c r="N390" i="3" s="1"/>
  <c r="O390" i="3"/>
  <c r="P390" i="3" s="1"/>
  <c r="AT391" i="3"/>
  <c r="Y391" i="3"/>
  <c r="AQ391" i="3"/>
  <c r="A392" i="3"/>
  <c r="AJ391" i="3"/>
  <c r="U391" i="3"/>
  <c r="K391" i="3"/>
  <c r="AB391" i="3"/>
  <c r="AH391" i="3"/>
  <c r="AX391" i="3"/>
  <c r="E391" i="3"/>
  <c r="AO391" i="3"/>
  <c r="AM391" i="3"/>
  <c r="D391" i="3"/>
  <c r="AF391" i="3"/>
  <c r="Q391" i="3"/>
  <c r="W391" i="3"/>
  <c r="S391" i="3"/>
  <c r="F391" i="3"/>
  <c r="AW391" i="3"/>
  <c r="L391" i="3"/>
  <c r="AV391" i="3" l="1"/>
  <c r="O391" i="3"/>
  <c r="P391" i="3" s="1"/>
  <c r="M391" i="3"/>
  <c r="N391" i="3" s="1"/>
  <c r="AU391" i="3"/>
  <c r="A393" i="3"/>
  <c r="W392" i="3"/>
  <c r="AO392" i="3"/>
  <c r="U392" i="3"/>
  <c r="F392" i="3"/>
  <c r="AM392" i="3"/>
  <c r="AB392" i="3"/>
  <c r="AH392" i="3"/>
  <c r="AX392" i="3"/>
  <c r="K392" i="3"/>
  <c r="E392" i="3"/>
  <c r="Y392" i="3"/>
  <c r="D392" i="3"/>
  <c r="AJ392" i="3"/>
  <c r="L392" i="3"/>
  <c r="AW392" i="3"/>
  <c r="AT392" i="3"/>
  <c r="AQ392" i="3"/>
  <c r="S392" i="3"/>
  <c r="AF392" i="3"/>
  <c r="Q392" i="3"/>
  <c r="AV392" i="3" l="1"/>
  <c r="M392" i="3"/>
  <c r="N392" i="3" s="1"/>
  <c r="O392" i="3"/>
  <c r="P392" i="3" s="1"/>
  <c r="AU392" i="3"/>
  <c r="E393" i="3"/>
  <c r="W393" i="3"/>
  <c r="AO393" i="3"/>
  <c r="S393" i="3"/>
  <c r="AJ393" i="3"/>
  <c r="U393" i="3"/>
  <c r="D393" i="3"/>
  <c r="AF393" i="3"/>
  <c r="L393" i="3"/>
  <c r="AX393" i="3"/>
  <c r="AT393" i="3"/>
  <c r="AQ393" i="3"/>
  <c r="F393" i="3"/>
  <c r="AB393" i="3"/>
  <c r="AW393" i="3"/>
  <c r="A394" i="3"/>
  <c r="Y393" i="3"/>
  <c r="AM393" i="3"/>
  <c r="K393" i="3"/>
  <c r="AH393" i="3"/>
  <c r="Q393" i="3"/>
  <c r="A395" i="3" l="1"/>
  <c r="S394" i="3"/>
  <c r="AT394" i="3"/>
  <c r="AO394" i="3"/>
  <c r="AJ394" i="3"/>
  <c r="AQ394" i="3"/>
  <c r="AF394" i="3"/>
  <c r="L394" i="3"/>
  <c r="K394" i="3"/>
  <c r="Q394" i="3"/>
  <c r="E394" i="3"/>
  <c r="U394" i="3"/>
  <c r="AM394" i="3"/>
  <c r="AB394" i="3"/>
  <c r="F394" i="3"/>
  <c r="AW394" i="3"/>
  <c r="W394" i="3"/>
  <c r="Y394" i="3"/>
  <c r="D394" i="3"/>
  <c r="AH394" i="3"/>
  <c r="AX394" i="3"/>
  <c r="M393" i="3"/>
  <c r="N393" i="3" s="1"/>
  <c r="O393" i="3"/>
  <c r="P393" i="3" s="1"/>
  <c r="AU393" i="3"/>
  <c r="AV393" i="3"/>
  <c r="AV394" i="3" l="1"/>
  <c r="AU394" i="3"/>
  <c r="M394" i="3"/>
  <c r="N394" i="3" s="1"/>
  <c r="O394" i="3"/>
  <c r="P394" i="3" s="1"/>
  <c r="AT395" i="3"/>
  <c r="A396" i="3"/>
  <c r="AO395" i="3"/>
  <c r="S395" i="3"/>
  <c r="AJ395" i="3"/>
  <c r="U395" i="3"/>
  <c r="K395" i="3"/>
  <c r="AB395" i="3"/>
  <c r="AH395" i="3"/>
  <c r="AX395" i="3"/>
  <c r="E395" i="3"/>
  <c r="Y395" i="3"/>
  <c r="AM395" i="3"/>
  <c r="D395" i="3"/>
  <c r="AF395" i="3"/>
  <c r="Q395" i="3"/>
  <c r="W395" i="3"/>
  <c r="AQ395" i="3"/>
  <c r="F395" i="3"/>
  <c r="AW395" i="3"/>
  <c r="L395" i="3"/>
  <c r="AV395" i="3" l="1"/>
  <c r="O395" i="3"/>
  <c r="P395" i="3" s="1"/>
  <c r="M395" i="3"/>
  <c r="N395" i="3" s="1"/>
  <c r="AU395" i="3"/>
  <c r="A397" i="3"/>
  <c r="Y396" i="3"/>
  <c r="AQ396" i="3"/>
  <c r="W396" i="3"/>
  <c r="D396" i="3"/>
  <c r="AM396" i="3"/>
  <c r="AF396" i="3"/>
  <c r="L396" i="3"/>
  <c r="AX396" i="3"/>
  <c r="K396" i="3"/>
  <c r="E396" i="3"/>
  <c r="AO396" i="3"/>
  <c r="S396" i="3"/>
  <c r="AB396" i="3"/>
  <c r="AJ396" i="3"/>
  <c r="AW396" i="3"/>
  <c r="AT396" i="3"/>
  <c r="U396" i="3"/>
  <c r="F396" i="3"/>
  <c r="AH396" i="3"/>
  <c r="Q396" i="3"/>
  <c r="AV396" i="3" l="1"/>
  <c r="M396" i="3"/>
  <c r="N396" i="3" s="1"/>
  <c r="O396" i="3"/>
  <c r="P396" i="3" s="1"/>
  <c r="AU396" i="3"/>
  <c r="AT397" i="3"/>
  <c r="Y397" i="3"/>
  <c r="AQ397" i="3"/>
  <c r="AM397" i="3"/>
  <c r="F397" i="3"/>
  <c r="U397" i="3"/>
  <c r="D397" i="3"/>
  <c r="AF397" i="3"/>
  <c r="L397" i="3"/>
  <c r="AX397" i="3"/>
  <c r="W397" i="3"/>
  <c r="S397" i="3"/>
  <c r="E397" i="3"/>
  <c r="AB397" i="3"/>
  <c r="AW397" i="3"/>
  <c r="A398" i="3"/>
  <c r="AO397" i="3"/>
  <c r="AJ397" i="3"/>
  <c r="K397" i="3"/>
  <c r="AH397" i="3"/>
  <c r="Q397" i="3"/>
  <c r="A399" i="3" l="1"/>
  <c r="AT398" i="3"/>
  <c r="U398" i="3"/>
  <c r="AO398" i="3"/>
  <c r="AM398" i="3"/>
  <c r="D398" i="3"/>
  <c r="AB398" i="3"/>
  <c r="AH398" i="3"/>
  <c r="K398" i="3"/>
  <c r="Q398" i="3"/>
  <c r="E398" i="3"/>
  <c r="S398" i="3"/>
  <c r="AQ398" i="3"/>
  <c r="F398" i="3"/>
  <c r="L398" i="3"/>
  <c r="AW398" i="3"/>
  <c r="W398" i="3"/>
  <c r="Y398" i="3"/>
  <c r="AJ398" i="3"/>
  <c r="AF398" i="3"/>
  <c r="AX398" i="3"/>
  <c r="M397" i="3"/>
  <c r="N397" i="3" s="1"/>
  <c r="O397" i="3"/>
  <c r="P397" i="3" s="1"/>
  <c r="AU397" i="3"/>
  <c r="AV397" i="3"/>
  <c r="AV398" i="3" l="1"/>
  <c r="AU398" i="3"/>
  <c r="M398" i="3"/>
  <c r="N398" i="3" s="1"/>
  <c r="O398" i="3"/>
  <c r="P398" i="3" s="1"/>
  <c r="AT399" i="3"/>
  <c r="Y399" i="3"/>
  <c r="AQ399" i="3"/>
  <c r="AM399" i="3"/>
  <c r="F399" i="3"/>
  <c r="U399" i="3"/>
  <c r="K399" i="3"/>
  <c r="AB399" i="3"/>
  <c r="AH399" i="3"/>
  <c r="AX399" i="3"/>
  <c r="E399" i="3"/>
  <c r="AO399" i="3"/>
  <c r="AJ399" i="3"/>
  <c r="D399" i="3"/>
  <c r="AF399" i="3"/>
  <c r="Q399" i="3"/>
  <c r="W399" i="3"/>
  <c r="S399" i="3"/>
  <c r="A400" i="3"/>
  <c r="AW399" i="3"/>
  <c r="L399" i="3"/>
  <c r="M399" i="3" l="1"/>
  <c r="N399" i="3" s="1"/>
  <c r="O399" i="3"/>
  <c r="P399" i="3" s="1"/>
  <c r="AU399" i="3"/>
  <c r="AV399" i="3"/>
  <c r="A401" i="3"/>
  <c r="W400" i="3"/>
  <c r="AO400" i="3"/>
  <c r="U400" i="3"/>
  <c r="F400" i="3"/>
  <c r="AM400" i="3"/>
  <c r="AB400" i="3"/>
  <c r="AH400" i="3"/>
  <c r="AX400" i="3"/>
  <c r="K400" i="3"/>
  <c r="E400" i="3"/>
  <c r="AT400" i="3"/>
  <c r="AQ400" i="3"/>
  <c r="S400" i="3"/>
  <c r="AF400" i="3"/>
  <c r="Q400" i="3"/>
  <c r="Y400" i="3"/>
  <c r="D400" i="3"/>
  <c r="AJ400" i="3"/>
  <c r="L400" i="3"/>
  <c r="AW400" i="3"/>
  <c r="AV400" i="3" l="1"/>
  <c r="M400" i="3"/>
  <c r="N400" i="3" s="1"/>
  <c r="O400" i="3"/>
  <c r="P400" i="3" s="1"/>
  <c r="AU400" i="3"/>
  <c r="E401" i="3"/>
  <c r="W401" i="3"/>
  <c r="AO401" i="3"/>
  <c r="S401" i="3"/>
  <c r="AJ401" i="3"/>
  <c r="U401" i="3"/>
  <c r="D401" i="3"/>
  <c r="AF401" i="3"/>
  <c r="L401" i="3"/>
  <c r="AX401" i="3"/>
  <c r="AT401" i="3"/>
  <c r="AQ401" i="3"/>
  <c r="F401" i="3"/>
  <c r="AB401" i="3"/>
  <c r="AW401" i="3"/>
  <c r="A402" i="3"/>
  <c r="Y401" i="3"/>
  <c r="AM401" i="3"/>
  <c r="K401" i="3"/>
  <c r="AH401" i="3"/>
  <c r="Q401" i="3"/>
  <c r="A403" i="3" l="1"/>
  <c r="S402" i="3"/>
  <c r="AT402" i="3"/>
  <c r="AO402" i="3"/>
  <c r="AJ402" i="3"/>
  <c r="AQ402" i="3"/>
  <c r="AF402" i="3"/>
  <c r="L402" i="3"/>
  <c r="K402" i="3"/>
  <c r="Q402" i="3"/>
  <c r="E402" i="3"/>
  <c r="U402" i="3"/>
  <c r="AM402" i="3"/>
  <c r="AB402" i="3"/>
  <c r="F402" i="3"/>
  <c r="AW402" i="3"/>
  <c r="W402" i="3"/>
  <c r="Y402" i="3"/>
  <c r="D402" i="3"/>
  <c r="AH402" i="3"/>
  <c r="AX402" i="3"/>
  <c r="M401" i="3"/>
  <c r="N401" i="3" s="1"/>
  <c r="O401" i="3"/>
  <c r="P401" i="3" s="1"/>
  <c r="AU401" i="3"/>
  <c r="AV401" i="3"/>
  <c r="AV402" i="3" l="1"/>
  <c r="AU402" i="3"/>
  <c r="M402" i="3"/>
  <c r="N402" i="3" s="1"/>
  <c r="O402" i="3"/>
  <c r="P402" i="3" s="1"/>
  <c r="AT403" i="3"/>
  <c r="A404" i="3"/>
  <c r="AO403" i="3"/>
  <c r="S403" i="3"/>
  <c r="AJ403" i="3"/>
  <c r="U403" i="3"/>
  <c r="K403" i="3"/>
  <c r="AB403" i="3"/>
  <c r="AH403" i="3"/>
  <c r="AX403" i="3"/>
  <c r="E403" i="3"/>
  <c r="Y403" i="3"/>
  <c r="AM403" i="3"/>
  <c r="D403" i="3"/>
  <c r="AF403" i="3"/>
  <c r="Q403" i="3"/>
  <c r="W403" i="3"/>
  <c r="AQ403" i="3"/>
  <c r="F403" i="3"/>
  <c r="AW403" i="3"/>
  <c r="L403" i="3"/>
  <c r="AV403" i="3" l="1"/>
  <c r="O403" i="3"/>
  <c r="P403" i="3" s="1"/>
  <c r="M403" i="3"/>
  <c r="N403" i="3" s="1"/>
  <c r="AU403" i="3"/>
  <c r="A405" i="3"/>
  <c r="Y404" i="3"/>
  <c r="AQ404" i="3"/>
  <c r="W404" i="3"/>
  <c r="D404" i="3"/>
  <c r="AM404" i="3"/>
  <c r="AF404" i="3"/>
  <c r="L404" i="3"/>
  <c r="AX404" i="3"/>
  <c r="K404" i="3"/>
  <c r="E404" i="3"/>
  <c r="AO404" i="3"/>
  <c r="S404" i="3"/>
  <c r="AB404" i="3"/>
  <c r="AJ404" i="3"/>
  <c r="AW404" i="3"/>
  <c r="AT404" i="3"/>
  <c r="U404" i="3"/>
  <c r="F404" i="3"/>
  <c r="AH404" i="3"/>
  <c r="Q404" i="3"/>
  <c r="AV404" i="3" l="1"/>
  <c r="M404" i="3"/>
  <c r="N404" i="3" s="1"/>
  <c r="O404" i="3"/>
  <c r="P404" i="3" s="1"/>
  <c r="AU404" i="3"/>
  <c r="AT405" i="3"/>
  <c r="E405" i="3"/>
  <c r="AO405" i="3"/>
  <c r="S405" i="3"/>
  <c r="AJ405" i="3"/>
  <c r="U405" i="3"/>
  <c r="D405" i="3"/>
  <c r="AF405" i="3"/>
  <c r="L405" i="3"/>
  <c r="AX405" i="3"/>
  <c r="W405" i="3"/>
  <c r="AQ405" i="3"/>
  <c r="F405" i="3"/>
  <c r="AB405" i="3"/>
  <c r="AW405" i="3"/>
  <c r="A406" i="3"/>
  <c r="Y405" i="3"/>
  <c r="AM405" i="3"/>
  <c r="K405" i="3"/>
  <c r="AH405" i="3"/>
  <c r="Q405" i="3"/>
  <c r="A407" i="3" l="1"/>
  <c r="AT406" i="3"/>
  <c r="U406" i="3"/>
  <c r="AO406" i="3"/>
  <c r="AM406" i="3"/>
  <c r="D406" i="3"/>
  <c r="AB406" i="3"/>
  <c r="AH406" i="3"/>
  <c r="K406" i="3"/>
  <c r="Q406" i="3"/>
  <c r="E406" i="3"/>
  <c r="S406" i="3"/>
  <c r="AQ406" i="3"/>
  <c r="F406" i="3"/>
  <c r="L406" i="3"/>
  <c r="AW406" i="3"/>
  <c r="W406" i="3"/>
  <c r="Y406" i="3"/>
  <c r="AJ406" i="3"/>
  <c r="AF406" i="3"/>
  <c r="AX406" i="3"/>
  <c r="M405" i="3"/>
  <c r="N405" i="3" s="1"/>
  <c r="O405" i="3"/>
  <c r="P405" i="3" s="1"/>
  <c r="AU405" i="3"/>
  <c r="AV405" i="3"/>
  <c r="AV406" i="3" l="1"/>
  <c r="AU406" i="3"/>
  <c r="M406" i="3"/>
  <c r="N406" i="3" s="1"/>
  <c r="O406" i="3"/>
  <c r="P406" i="3" s="1"/>
  <c r="AT407" i="3"/>
  <c r="Y407" i="3"/>
  <c r="AQ407" i="3"/>
  <c r="A408" i="3"/>
  <c r="AJ407" i="3"/>
  <c r="U407" i="3"/>
  <c r="K407" i="3"/>
  <c r="AB407" i="3"/>
  <c r="AH407" i="3"/>
  <c r="AX407" i="3"/>
  <c r="E407" i="3"/>
  <c r="AO407" i="3"/>
  <c r="AM407" i="3"/>
  <c r="D407" i="3"/>
  <c r="AF407" i="3"/>
  <c r="Q407" i="3"/>
  <c r="W407" i="3"/>
  <c r="S407" i="3"/>
  <c r="F407" i="3"/>
  <c r="AW407" i="3"/>
  <c r="L407" i="3"/>
  <c r="AV407" i="3" l="1"/>
  <c r="O407" i="3"/>
  <c r="P407" i="3" s="1"/>
  <c r="M407" i="3"/>
  <c r="N407" i="3" s="1"/>
  <c r="AU407" i="3"/>
  <c r="A409" i="3"/>
  <c r="W408" i="3"/>
  <c r="AO408" i="3"/>
  <c r="U408" i="3"/>
  <c r="F408" i="3"/>
  <c r="AM408" i="3"/>
  <c r="AB408" i="3"/>
  <c r="AH408" i="3"/>
  <c r="AX408" i="3"/>
  <c r="K408" i="3"/>
  <c r="E408" i="3"/>
  <c r="Y408" i="3"/>
  <c r="D408" i="3"/>
  <c r="AJ408" i="3"/>
  <c r="L408" i="3"/>
  <c r="AW408" i="3"/>
  <c r="AT408" i="3"/>
  <c r="AQ408" i="3"/>
  <c r="S408" i="3"/>
  <c r="AF408" i="3"/>
  <c r="Q408" i="3"/>
  <c r="AV408" i="3" l="1"/>
  <c r="M408" i="3"/>
  <c r="N408" i="3" s="1"/>
  <c r="O408" i="3"/>
  <c r="P408" i="3" s="1"/>
  <c r="AU408" i="3"/>
  <c r="E409" i="3"/>
  <c r="W409" i="3"/>
  <c r="AO409" i="3"/>
  <c r="S409" i="3"/>
  <c r="AJ409" i="3"/>
  <c r="U409" i="3"/>
  <c r="D409" i="3"/>
  <c r="AF409" i="3"/>
  <c r="L409" i="3"/>
  <c r="AX409" i="3"/>
  <c r="AT409" i="3"/>
  <c r="AQ409" i="3"/>
  <c r="F409" i="3"/>
  <c r="AB409" i="3"/>
  <c r="AW409" i="3"/>
  <c r="A410" i="3"/>
  <c r="Y409" i="3"/>
  <c r="AM409" i="3"/>
  <c r="K409" i="3"/>
  <c r="AH409" i="3"/>
  <c r="Q409" i="3"/>
  <c r="A411" i="3" l="1"/>
  <c r="S410" i="3"/>
  <c r="AT410" i="3"/>
  <c r="AO410" i="3"/>
  <c r="AJ410" i="3"/>
  <c r="AQ410" i="3"/>
  <c r="AF410" i="3"/>
  <c r="L410" i="3"/>
  <c r="K410" i="3"/>
  <c r="Q410" i="3"/>
  <c r="E410" i="3"/>
  <c r="U410" i="3"/>
  <c r="AM410" i="3"/>
  <c r="AB410" i="3"/>
  <c r="F410" i="3"/>
  <c r="AW410" i="3"/>
  <c r="W410" i="3"/>
  <c r="Y410" i="3"/>
  <c r="D410" i="3"/>
  <c r="AH410" i="3"/>
  <c r="AX410" i="3"/>
  <c r="M409" i="3"/>
  <c r="N409" i="3" s="1"/>
  <c r="O409" i="3"/>
  <c r="P409" i="3" s="1"/>
  <c r="AU409" i="3"/>
  <c r="AV409" i="3"/>
  <c r="AV410" i="3" l="1"/>
  <c r="AU410" i="3"/>
  <c r="M410" i="3"/>
  <c r="N410" i="3" s="1"/>
  <c r="O410" i="3"/>
  <c r="P410" i="3" s="1"/>
  <c r="AT411" i="3"/>
  <c r="A412" i="3"/>
  <c r="AO411" i="3"/>
  <c r="S411" i="3"/>
  <c r="AJ411" i="3"/>
  <c r="U411" i="3"/>
  <c r="K411" i="3"/>
  <c r="AB411" i="3"/>
  <c r="AH411" i="3"/>
  <c r="AX411" i="3"/>
  <c r="E411" i="3"/>
  <c r="Y411" i="3"/>
  <c r="AM411" i="3"/>
  <c r="D411" i="3"/>
  <c r="AF411" i="3"/>
  <c r="Q411" i="3"/>
  <c r="W411" i="3"/>
  <c r="AQ411" i="3"/>
  <c r="F411" i="3"/>
  <c r="AW411" i="3"/>
  <c r="L411" i="3"/>
  <c r="AV411" i="3" l="1"/>
  <c r="O411" i="3"/>
  <c r="P411" i="3" s="1"/>
  <c r="M411" i="3"/>
  <c r="N411" i="3" s="1"/>
  <c r="AU411" i="3"/>
  <c r="A413" i="3"/>
  <c r="Y412" i="3"/>
  <c r="AQ412" i="3"/>
  <c r="W412" i="3"/>
  <c r="D412" i="3"/>
  <c r="AM412" i="3"/>
  <c r="AF412" i="3"/>
  <c r="L412" i="3"/>
  <c r="AX412" i="3"/>
  <c r="K412" i="3"/>
  <c r="E412" i="3"/>
  <c r="AO412" i="3"/>
  <c r="S412" i="3"/>
  <c r="AB412" i="3"/>
  <c r="AJ412" i="3"/>
  <c r="AW412" i="3"/>
  <c r="AT412" i="3"/>
  <c r="U412" i="3"/>
  <c r="F412" i="3"/>
  <c r="AH412" i="3"/>
  <c r="Q412" i="3"/>
  <c r="AV412" i="3" l="1"/>
  <c r="M412" i="3"/>
  <c r="N412" i="3" s="1"/>
  <c r="O412" i="3"/>
  <c r="P412" i="3" s="1"/>
  <c r="AU412" i="3"/>
  <c r="AT413" i="3"/>
  <c r="Y413" i="3"/>
  <c r="AQ413" i="3"/>
  <c r="E413" i="3"/>
  <c r="AJ413" i="3"/>
  <c r="U413" i="3"/>
  <c r="D413" i="3"/>
  <c r="AF413" i="3"/>
  <c r="L413" i="3"/>
  <c r="AX413" i="3"/>
  <c r="W413" i="3"/>
  <c r="S413" i="3"/>
  <c r="F413" i="3"/>
  <c r="AB413" i="3"/>
  <c r="AW413" i="3"/>
  <c r="A414" i="3"/>
  <c r="AO413" i="3"/>
  <c r="AM413" i="3"/>
  <c r="K413" i="3"/>
  <c r="AH413" i="3"/>
  <c r="Q413" i="3"/>
  <c r="A415" i="3" l="1"/>
  <c r="AT414" i="3"/>
  <c r="U414" i="3"/>
  <c r="AO414" i="3"/>
  <c r="AM414" i="3"/>
  <c r="D414" i="3"/>
  <c r="AB414" i="3"/>
  <c r="AH414" i="3"/>
  <c r="K414" i="3"/>
  <c r="Q414" i="3"/>
  <c r="E414" i="3"/>
  <c r="S414" i="3"/>
  <c r="AQ414" i="3"/>
  <c r="F414" i="3"/>
  <c r="L414" i="3"/>
  <c r="AW414" i="3"/>
  <c r="W414" i="3"/>
  <c r="Y414" i="3"/>
  <c r="AJ414" i="3"/>
  <c r="AF414" i="3"/>
  <c r="AX414" i="3"/>
  <c r="M413" i="3"/>
  <c r="N413" i="3" s="1"/>
  <c r="O413" i="3"/>
  <c r="P413" i="3" s="1"/>
  <c r="AU413" i="3"/>
  <c r="AV413" i="3"/>
  <c r="AV414" i="3" l="1"/>
  <c r="AU414" i="3"/>
  <c r="M414" i="3"/>
  <c r="N414" i="3" s="1"/>
  <c r="O414" i="3"/>
  <c r="P414" i="3" s="1"/>
  <c r="AT415" i="3"/>
  <c r="Y415" i="3"/>
  <c r="AQ415" i="3"/>
  <c r="AM415" i="3"/>
  <c r="F415" i="3"/>
  <c r="U415" i="3"/>
  <c r="K415" i="3"/>
  <c r="AB415" i="3"/>
  <c r="AH415" i="3"/>
  <c r="AX415" i="3"/>
  <c r="E415" i="3"/>
  <c r="AO415" i="3"/>
  <c r="AJ415" i="3"/>
  <c r="D415" i="3"/>
  <c r="AF415" i="3"/>
  <c r="Q415" i="3"/>
  <c r="W415" i="3"/>
  <c r="S415" i="3"/>
  <c r="A416" i="3"/>
  <c r="AW415" i="3"/>
  <c r="L415" i="3"/>
  <c r="M415" i="3" l="1"/>
  <c r="N415" i="3" s="1"/>
  <c r="O415" i="3"/>
  <c r="P415" i="3" s="1"/>
  <c r="AU415" i="3"/>
  <c r="AV415" i="3"/>
  <c r="A417" i="3"/>
  <c r="W416" i="3"/>
  <c r="AO416" i="3"/>
  <c r="U416" i="3"/>
  <c r="F416" i="3"/>
  <c r="AM416" i="3"/>
  <c r="AB416" i="3"/>
  <c r="AH416" i="3"/>
  <c r="AX416" i="3"/>
  <c r="K416" i="3"/>
  <c r="E416" i="3"/>
  <c r="AT416" i="3"/>
  <c r="AQ416" i="3"/>
  <c r="S416" i="3"/>
  <c r="AF416" i="3"/>
  <c r="Q416" i="3"/>
  <c r="Y416" i="3"/>
  <c r="D416" i="3"/>
  <c r="AJ416" i="3"/>
  <c r="L416" i="3"/>
  <c r="AW416" i="3"/>
  <c r="AV416" i="3" l="1"/>
  <c r="M416" i="3"/>
  <c r="N416" i="3" s="1"/>
  <c r="O416" i="3"/>
  <c r="P416" i="3" s="1"/>
  <c r="AU416" i="3"/>
  <c r="E417" i="3"/>
  <c r="W417" i="3"/>
  <c r="AO417" i="3"/>
  <c r="S417" i="3"/>
  <c r="AJ417" i="3"/>
  <c r="U417" i="3"/>
  <c r="D417" i="3"/>
  <c r="AF417" i="3"/>
  <c r="L417" i="3"/>
  <c r="AX417" i="3"/>
  <c r="AT417" i="3"/>
  <c r="AQ417" i="3"/>
  <c r="F417" i="3"/>
  <c r="AB417" i="3"/>
  <c r="AW417" i="3"/>
  <c r="A418" i="3"/>
  <c r="Y417" i="3"/>
  <c r="AM417" i="3"/>
  <c r="K417" i="3"/>
  <c r="AH417" i="3"/>
  <c r="Q417" i="3"/>
  <c r="M417" i="3" l="1"/>
  <c r="N417" i="3" s="1"/>
  <c r="O417" i="3"/>
  <c r="P417" i="3" s="1"/>
  <c r="AU417" i="3"/>
  <c r="AV417" i="3"/>
  <c r="A419" i="3"/>
  <c r="S418" i="3"/>
  <c r="AT418" i="3"/>
  <c r="AO418" i="3"/>
  <c r="AJ418" i="3"/>
  <c r="AQ418" i="3"/>
  <c r="AF418" i="3"/>
  <c r="L418" i="3"/>
  <c r="K418" i="3"/>
  <c r="Q418" i="3"/>
  <c r="E418" i="3"/>
  <c r="U418" i="3"/>
  <c r="AM418" i="3"/>
  <c r="AB418" i="3"/>
  <c r="F418" i="3"/>
  <c r="AW418" i="3"/>
  <c r="W418" i="3"/>
  <c r="Y418" i="3"/>
  <c r="D418" i="3"/>
  <c r="AH418" i="3"/>
  <c r="AX418" i="3"/>
  <c r="AV418" i="3" l="1"/>
  <c r="AU418" i="3"/>
  <c r="M418" i="3"/>
  <c r="N418" i="3" s="1"/>
  <c r="O418" i="3"/>
  <c r="P418" i="3" s="1"/>
  <c r="AT419" i="3"/>
  <c r="A420" i="3"/>
  <c r="AO419" i="3"/>
  <c r="S419" i="3"/>
  <c r="AJ419" i="3"/>
  <c r="U419" i="3"/>
  <c r="K419" i="3"/>
  <c r="AB419" i="3"/>
  <c r="AH419" i="3"/>
  <c r="AX419" i="3"/>
  <c r="E419" i="3"/>
  <c r="Y419" i="3"/>
  <c r="AM419" i="3"/>
  <c r="D419" i="3"/>
  <c r="AF419" i="3"/>
  <c r="Q419" i="3"/>
  <c r="W419" i="3"/>
  <c r="AQ419" i="3"/>
  <c r="F419" i="3"/>
  <c r="AW419" i="3"/>
  <c r="L419" i="3"/>
  <c r="AV419" i="3" l="1"/>
  <c r="O419" i="3"/>
  <c r="P419" i="3" s="1"/>
  <c r="M419" i="3"/>
  <c r="N419" i="3" s="1"/>
  <c r="AU419" i="3"/>
  <c r="A421" i="3"/>
  <c r="Y420" i="3"/>
  <c r="AQ420" i="3"/>
  <c r="W420" i="3"/>
  <c r="D420" i="3"/>
  <c r="AM420" i="3"/>
  <c r="AF420" i="3"/>
  <c r="L420" i="3"/>
  <c r="AX420" i="3"/>
  <c r="K420" i="3"/>
  <c r="E420" i="3"/>
  <c r="AO420" i="3"/>
  <c r="S420" i="3"/>
  <c r="AB420" i="3"/>
  <c r="AJ420" i="3"/>
  <c r="AW420" i="3"/>
  <c r="AT420" i="3"/>
  <c r="U420" i="3"/>
  <c r="F420" i="3"/>
  <c r="AH420" i="3"/>
  <c r="Q420" i="3"/>
  <c r="AV420" i="3" l="1"/>
  <c r="M420" i="3"/>
  <c r="N420" i="3" s="1"/>
  <c r="O420" i="3"/>
  <c r="P420" i="3" s="1"/>
  <c r="AU420" i="3"/>
  <c r="AT421" i="3"/>
  <c r="E421" i="3"/>
  <c r="AO421" i="3"/>
  <c r="S421" i="3"/>
  <c r="AJ421" i="3"/>
  <c r="U421" i="3"/>
  <c r="D421" i="3"/>
  <c r="AF421" i="3"/>
  <c r="L421" i="3"/>
  <c r="AX421" i="3"/>
  <c r="W421" i="3"/>
  <c r="AQ421" i="3"/>
  <c r="F421" i="3"/>
  <c r="AB421" i="3"/>
  <c r="AW421" i="3"/>
  <c r="A422" i="3"/>
  <c r="Y421" i="3"/>
  <c r="AM421" i="3"/>
  <c r="K421" i="3"/>
  <c r="AH421" i="3"/>
  <c r="Q421" i="3"/>
  <c r="A423" i="3" l="1"/>
  <c r="AT422" i="3"/>
  <c r="U422" i="3"/>
  <c r="AO422" i="3"/>
  <c r="AM422" i="3"/>
  <c r="D422" i="3"/>
  <c r="AB422" i="3"/>
  <c r="AH422" i="3"/>
  <c r="K422" i="3"/>
  <c r="Q422" i="3"/>
  <c r="E422" i="3"/>
  <c r="S422" i="3"/>
  <c r="AQ422" i="3"/>
  <c r="F422" i="3"/>
  <c r="L422" i="3"/>
  <c r="AW422" i="3"/>
  <c r="W422" i="3"/>
  <c r="Y422" i="3"/>
  <c r="AJ422" i="3"/>
  <c r="AF422" i="3"/>
  <c r="AX422" i="3"/>
  <c r="M421" i="3"/>
  <c r="N421" i="3" s="1"/>
  <c r="O421" i="3"/>
  <c r="P421" i="3" s="1"/>
  <c r="AU421" i="3"/>
  <c r="AV421" i="3"/>
  <c r="AV422" i="3" l="1"/>
  <c r="AU422" i="3"/>
  <c r="M422" i="3"/>
  <c r="N422" i="3" s="1"/>
  <c r="O422" i="3"/>
  <c r="P422" i="3" s="1"/>
  <c r="AT423" i="3"/>
  <c r="Y423" i="3"/>
  <c r="AQ423" i="3"/>
  <c r="A424" i="3"/>
  <c r="AJ423" i="3"/>
  <c r="U423" i="3"/>
  <c r="K423" i="3"/>
  <c r="AB423" i="3"/>
  <c r="AH423" i="3"/>
  <c r="AX423" i="3"/>
  <c r="E423" i="3"/>
  <c r="AO423" i="3"/>
  <c r="AM423" i="3"/>
  <c r="D423" i="3"/>
  <c r="AF423" i="3"/>
  <c r="Q423" i="3"/>
  <c r="W423" i="3"/>
  <c r="S423" i="3"/>
  <c r="F423" i="3"/>
  <c r="AW423" i="3"/>
  <c r="L423" i="3"/>
  <c r="AV423" i="3" l="1"/>
  <c r="O423" i="3"/>
  <c r="P423" i="3" s="1"/>
  <c r="M423" i="3"/>
  <c r="N423" i="3" s="1"/>
  <c r="AU423" i="3"/>
  <c r="A425" i="3"/>
  <c r="W424" i="3"/>
  <c r="AO424" i="3"/>
  <c r="U424" i="3"/>
  <c r="F424" i="3"/>
  <c r="AM424" i="3"/>
  <c r="AB424" i="3"/>
  <c r="AH424" i="3"/>
  <c r="AX424" i="3"/>
  <c r="K424" i="3"/>
  <c r="E424" i="3"/>
  <c r="Y424" i="3"/>
  <c r="D424" i="3"/>
  <c r="AJ424" i="3"/>
  <c r="L424" i="3"/>
  <c r="AW424" i="3"/>
  <c r="AT424" i="3"/>
  <c r="AQ424" i="3"/>
  <c r="S424" i="3"/>
  <c r="AF424" i="3"/>
  <c r="Q424" i="3"/>
  <c r="AV424" i="3" l="1"/>
  <c r="M424" i="3"/>
  <c r="N424" i="3" s="1"/>
  <c r="O424" i="3"/>
  <c r="P424" i="3" s="1"/>
  <c r="AU424" i="3"/>
  <c r="E425" i="3"/>
  <c r="W425" i="3"/>
  <c r="AO425" i="3"/>
  <c r="S425" i="3"/>
  <c r="AJ425" i="3"/>
  <c r="U425" i="3"/>
  <c r="D425" i="3"/>
  <c r="AF425" i="3"/>
  <c r="L425" i="3"/>
  <c r="AX425" i="3"/>
  <c r="AT425" i="3"/>
  <c r="AQ425" i="3"/>
  <c r="F425" i="3"/>
  <c r="AB425" i="3"/>
  <c r="AW425" i="3"/>
  <c r="A426" i="3"/>
  <c r="Y425" i="3"/>
  <c r="AM425" i="3"/>
  <c r="K425" i="3"/>
  <c r="AH425" i="3"/>
  <c r="Q425" i="3"/>
  <c r="A427" i="3" l="1"/>
  <c r="S426" i="3"/>
  <c r="AT426" i="3"/>
  <c r="AO426" i="3"/>
  <c r="AJ426" i="3"/>
  <c r="AQ426" i="3"/>
  <c r="AF426" i="3"/>
  <c r="L426" i="3"/>
  <c r="K426" i="3"/>
  <c r="Q426" i="3"/>
  <c r="E426" i="3"/>
  <c r="U426" i="3"/>
  <c r="AM426" i="3"/>
  <c r="AB426" i="3"/>
  <c r="F426" i="3"/>
  <c r="AW426" i="3"/>
  <c r="W426" i="3"/>
  <c r="Y426" i="3"/>
  <c r="D426" i="3"/>
  <c r="AH426" i="3"/>
  <c r="AX426" i="3"/>
  <c r="M425" i="3"/>
  <c r="N425" i="3" s="1"/>
  <c r="O425" i="3"/>
  <c r="P425" i="3" s="1"/>
  <c r="AU425" i="3"/>
  <c r="AV425" i="3"/>
  <c r="AV426" i="3" l="1"/>
  <c r="AU426" i="3"/>
  <c r="M426" i="3"/>
  <c r="N426" i="3" s="1"/>
  <c r="O426" i="3"/>
  <c r="P426" i="3" s="1"/>
  <c r="AT427" i="3"/>
  <c r="A428" i="3"/>
  <c r="AO427" i="3"/>
  <c r="S427" i="3"/>
  <c r="AJ427" i="3"/>
  <c r="U427" i="3"/>
  <c r="K427" i="3"/>
  <c r="AB427" i="3"/>
  <c r="AH427" i="3"/>
  <c r="AX427" i="3"/>
  <c r="E427" i="3"/>
  <c r="Y427" i="3"/>
  <c r="AM427" i="3"/>
  <c r="D427" i="3"/>
  <c r="AF427" i="3"/>
  <c r="Q427" i="3"/>
  <c r="W427" i="3"/>
  <c r="AQ427" i="3"/>
  <c r="F427" i="3"/>
  <c r="AW427" i="3"/>
  <c r="L427" i="3"/>
  <c r="AV427" i="3" l="1"/>
  <c r="O427" i="3"/>
  <c r="P427" i="3" s="1"/>
  <c r="M427" i="3"/>
  <c r="N427" i="3" s="1"/>
  <c r="AU427" i="3"/>
  <c r="A429" i="3"/>
  <c r="Y428" i="3"/>
  <c r="AQ428" i="3"/>
  <c r="W428" i="3"/>
  <c r="D428" i="3"/>
  <c r="AM428" i="3"/>
  <c r="AF428" i="3"/>
  <c r="L428" i="3"/>
  <c r="AX428" i="3"/>
  <c r="K428" i="3"/>
  <c r="E428" i="3"/>
  <c r="AO428" i="3"/>
  <c r="S428" i="3"/>
  <c r="AB428" i="3"/>
  <c r="AJ428" i="3"/>
  <c r="AW428" i="3"/>
  <c r="AT428" i="3"/>
  <c r="U428" i="3"/>
  <c r="F428" i="3"/>
  <c r="AH428" i="3"/>
  <c r="Q428" i="3"/>
  <c r="AV428" i="3" l="1"/>
  <c r="M428" i="3"/>
  <c r="N428" i="3" s="1"/>
  <c r="O428" i="3"/>
  <c r="P428" i="3" s="1"/>
  <c r="AU428" i="3"/>
  <c r="AT429" i="3"/>
  <c r="Y429" i="3"/>
  <c r="AQ429" i="3"/>
  <c r="AM429" i="3"/>
  <c r="F429" i="3"/>
  <c r="U429" i="3"/>
  <c r="D429" i="3"/>
  <c r="AF429" i="3"/>
  <c r="L429" i="3"/>
  <c r="AX429" i="3"/>
  <c r="W429" i="3"/>
  <c r="S429" i="3"/>
  <c r="E429" i="3"/>
  <c r="AB429" i="3"/>
  <c r="AW429" i="3"/>
  <c r="A430" i="3"/>
  <c r="AO429" i="3"/>
  <c r="AJ429" i="3"/>
  <c r="K429" i="3"/>
  <c r="AH429" i="3"/>
  <c r="Q429" i="3"/>
  <c r="A431" i="3" l="1"/>
  <c r="AT430" i="3"/>
  <c r="U430" i="3"/>
  <c r="AO430" i="3"/>
  <c r="AM430" i="3"/>
  <c r="D430" i="3"/>
  <c r="AB430" i="3"/>
  <c r="AH430" i="3"/>
  <c r="K430" i="3"/>
  <c r="Q430" i="3"/>
  <c r="E430" i="3"/>
  <c r="S430" i="3"/>
  <c r="AQ430" i="3"/>
  <c r="F430" i="3"/>
  <c r="L430" i="3"/>
  <c r="AW430" i="3"/>
  <c r="W430" i="3"/>
  <c r="Y430" i="3"/>
  <c r="AJ430" i="3"/>
  <c r="AF430" i="3"/>
  <c r="AX430" i="3"/>
  <c r="M429" i="3"/>
  <c r="N429" i="3" s="1"/>
  <c r="O429" i="3"/>
  <c r="P429" i="3" s="1"/>
  <c r="AU429" i="3"/>
  <c r="AV429" i="3"/>
  <c r="AV430" i="3" l="1"/>
  <c r="AU430" i="3"/>
  <c r="M430" i="3"/>
  <c r="N430" i="3" s="1"/>
  <c r="O430" i="3"/>
  <c r="P430" i="3" s="1"/>
  <c r="AT431" i="3"/>
  <c r="Y431" i="3"/>
  <c r="AQ431" i="3"/>
  <c r="AM431" i="3"/>
  <c r="F431" i="3"/>
  <c r="U431" i="3"/>
  <c r="K431" i="3"/>
  <c r="AB431" i="3"/>
  <c r="AH431" i="3"/>
  <c r="AX431" i="3"/>
  <c r="E431" i="3"/>
  <c r="AO431" i="3"/>
  <c r="AJ431" i="3"/>
  <c r="D431" i="3"/>
  <c r="AF431" i="3"/>
  <c r="Q431" i="3"/>
  <c r="W431" i="3"/>
  <c r="S431" i="3"/>
  <c r="A432" i="3"/>
  <c r="AW431" i="3"/>
  <c r="L431" i="3"/>
  <c r="A433" i="3" l="1"/>
  <c r="W432" i="3"/>
  <c r="AO432" i="3"/>
  <c r="U432" i="3"/>
  <c r="F432" i="3"/>
  <c r="AM432" i="3"/>
  <c r="AB432" i="3"/>
  <c r="AH432" i="3"/>
  <c r="AX432" i="3"/>
  <c r="K432" i="3"/>
  <c r="E432" i="3"/>
  <c r="AT432" i="3"/>
  <c r="AQ432" i="3"/>
  <c r="S432" i="3"/>
  <c r="AF432" i="3"/>
  <c r="Q432" i="3"/>
  <c r="Y432" i="3"/>
  <c r="D432" i="3"/>
  <c r="AJ432" i="3"/>
  <c r="L432" i="3"/>
  <c r="AW432" i="3"/>
  <c r="M431" i="3"/>
  <c r="N431" i="3" s="1"/>
  <c r="O431" i="3"/>
  <c r="P431" i="3" s="1"/>
  <c r="AU431" i="3"/>
  <c r="AV431" i="3"/>
  <c r="AV432" i="3" l="1"/>
  <c r="M432" i="3"/>
  <c r="N432" i="3" s="1"/>
  <c r="O432" i="3"/>
  <c r="P432" i="3" s="1"/>
  <c r="AU432" i="3"/>
  <c r="E433" i="3"/>
  <c r="W433" i="3"/>
  <c r="AO433" i="3"/>
  <c r="S433" i="3"/>
  <c r="AJ433" i="3"/>
  <c r="U433" i="3"/>
  <c r="D433" i="3"/>
  <c r="AF433" i="3"/>
  <c r="L433" i="3"/>
  <c r="AX433" i="3"/>
  <c r="AT433" i="3"/>
  <c r="AQ433" i="3"/>
  <c r="F433" i="3"/>
  <c r="AB433" i="3"/>
  <c r="AW433" i="3"/>
  <c r="A434" i="3"/>
  <c r="Y433" i="3"/>
  <c r="AM433" i="3"/>
  <c r="K433" i="3"/>
  <c r="AH433" i="3"/>
  <c r="Q433" i="3"/>
  <c r="A435" i="3" l="1"/>
  <c r="S434" i="3"/>
  <c r="AT434" i="3"/>
  <c r="AO434" i="3"/>
  <c r="AJ434" i="3"/>
  <c r="AQ434" i="3"/>
  <c r="AF434" i="3"/>
  <c r="L434" i="3"/>
  <c r="K434" i="3"/>
  <c r="Q434" i="3"/>
  <c r="E434" i="3"/>
  <c r="U434" i="3"/>
  <c r="AM434" i="3"/>
  <c r="AB434" i="3"/>
  <c r="F434" i="3"/>
  <c r="AW434" i="3"/>
  <c r="W434" i="3"/>
  <c r="Y434" i="3"/>
  <c r="D434" i="3"/>
  <c r="AH434" i="3"/>
  <c r="AX434" i="3"/>
  <c r="M433" i="3"/>
  <c r="N433" i="3" s="1"/>
  <c r="O433" i="3"/>
  <c r="P433" i="3" s="1"/>
  <c r="AU433" i="3"/>
  <c r="AV433" i="3"/>
  <c r="AV434" i="3" l="1"/>
  <c r="AU434" i="3"/>
  <c r="M434" i="3"/>
  <c r="N434" i="3" s="1"/>
  <c r="O434" i="3"/>
  <c r="P434" i="3" s="1"/>
  <c r="AT435" i="3"/>
  <c r="A436" i="3"/>
  <c r="AO435" i="3"/>
  <c r="S435" i="3"/>
  <c r="AJ435" i="3"/>
  <c r="U435" i="3"/>
  <c r="K435" i="3"/>
  <c r="AB435" i="3"/>
  <c r="AH435" i="3"/>
  <c r="AX435" i="3"/>
  <c r="E435" i="3"/>
  <c r="Y435" i="3"/>
  <c r="AM435" i="3"/>
  <c r="D435" i="3"/>
  <c r="AF435" i="3"/>
  <c r="Q435" i="3"/>
  <c r="W435" i="3"/>
  <c r="AQ435" i="3"/>
  <c r="F435" i="3"/>
  <c r="AW435" i="3"/>
  <c r="L435" i="3"/>
  <c r="AV435" i="3" l="1"/>
  <c r="O435" i="3"/>
  <c r="P435" i="3" s="1"/>
  <c r="M435" i="3"/>
  <c r="N435" i="3" s="1"/>
  <c r="AU435" i="3"/>
  <c r="A437" i="3"/>
  <c r="Y436" i="3"/>
  <c r="AQ436" i="3"/>
  <c r="W436" i="3"/>
  <c r="D436" i="3"/>
  <c r="AM436" i="3"/>
  <c r="AF436" i="3"/>
  <c r="L436" i="3"/>
  <c r="AX436" i="3"/>
  <c r="K436" i="3"/>
  <c r="E436" i="3"/>
  <c r="AO436" i="3"/>
  <c r="S436" i="3"/>
  <c r="AB436" i="3"/>
  <c r="AJ436" i="3"/>
  <c r="AW436" i="3"/>
  <c r="AT436" i="3"/>
  <c r="U436" i="3"/>
  <c r="F436" i="3"/>
  <c r="AH436" i="3"/>
  <c r="Q436" i="3"/>
  <c r="AV436" i="3" l="1"/>
  <c r="M436" i="3"/>
  <c r="N436" i="3" s="1"/>
  <c r="O436" i="3"/>
  <c r="P436" i="3" s="1"/>
  <c r="AU436" i="3"/>
  <c r="AT437" i="3"/>
  <c r="E437" i="3"/>
  <c r="AO437" i="3"/>
  <c r="S437" i="3"/>
  <c r="AJ437" i="3"/>
  <c r="U437" i="3"/>
  <c r="D437" i="3"/>
  <c r="AF437" i="3"/>
  <c r="L437" i="3"/>
  <c r="AX437" i="3"/>
  <c r="W437" i="3"/>
  <c r="AQ437" i="3"/>
  <c r="F437" i="3"/>
  <c r="AB437" i="3"/>
  <c r="AW437" i="3"/>
  <c r="A438" i="3"/>
  <c r="Y437" i="3"/>
  <c r="AM437" i="3"/>
  <c r="K437" i="3"/>
  <c r="AH437" i="3"/>
  <c r="Q437" i="3"/>
  <c r="A439" i="3" l="1"/>
  <c r="AT438" i="3"/>
  <c r="U438" i="3"/>
  <c r="AO438" i="3"/>
  <c r="AM438" i="3"/>
  <c r="D438" i="3"/>
  <c r="AB438" i="3"/>
  <c r="AH438" i="3"/>
  <c r="K438" i="3"/>
  <c r="Q438" i="3"/>
  <c r="E438" i="3"/>
  <c r="S438" i="3"/>
  <c r="AQ438" i="3"/>
  <c r="F438" i="3"/>
  <c r="L438" i="3"/>
  <c r="AW438" i="3"/>
  <c r="W438" i="3"/>
  <c r="Y438" i="3"/>
  <c r="AJ438" i="3"/>
  <c r="AF438" i="3"/>
  <c r="AX438" i="3"/>
  <c r="M437" i="3"/>
  <c r="N437" i="3" s="1"/>
  <c r="O437" i="3"/>
  <c r="P437" i="3" s="1"/>
  <c r="AU437" i="3"/>
  <c r="AV437" i="3"/>
  <c r="AV438" i="3" l="1"/>
  <c r="AU438" i="3"/>
  <c r="M438" i="3"/>
  <c r="N438" i="3" s="1"/>
  <c r="O438" i="3"/>
  <c r="P438" i="3" s="1"/>
  <c r="AT439" i="3"/>
  <c r="Y439" i="3"/>
  <c r="AQ439" i="3"/>
  <c r="A440" i="3"/>
  <c r="AJ439" i="3"/>
  <c r="U439" i="3"/>
  <c r="K439" i="3"/>
  <c r="AB439" i="3"/>
  <c r="AH439" i="3"/>
  <c r="AX439" i="3"/>
  <c r="E439" i="3"/>
  <c r="AO439" i="3"/>
  <c r="AM439" i="3"/>
  <c r="D439" i="3"/>
  <c r="AF439" i="3"/>
  <c r="Q439" i="3"/>
  <c r="W439" i="3"/>
  <c r="S439" i="3"/>
  <c r="F439" i="3"/>
  <c r="AW439" i="3"/>
  <c r="L439" i="3"/>
  <c r="AV439" i="3" l="1"/>
  <c r="O439" i="3"/>
  <c r="P439" i="3" s="1"/>
  <c r="M439" i="3"/>
  <c r="N439" i="3" s="1"/>
  <c r="AU439" i="3"/>
  <c r="A441" i="3"/>
  <c r="W440" i="3"/>
  <c r="AO440" i="3"/>
  <c r="U440" i="3"/>
  <c r="F440" i="3"/>
  <c r="AM440" i="3"/>
  <c r="AB440" i="3"/>
  <c r="AH440" i="3"/>
  <c r="AX440" i="3"/>
  <c r="K440" i="3"/>
  <c r="E440" i="3"/>
  <c r="Y440" i="3"/>
  <c r="D440" i="3"/>
  <c r="AJ440" i="3"/>
  <c r="L440" i="3"/>
  <c r="AW440" i="3"/>
  <c r="AT440" i="3"/>
  <c r="AQ440" i="3"/>
  <c r="S440" i="3"/>
  <c r="AF440" i="3"/>
  <c r="Q440" i="3"/>
  <c r="AV440" i="3" l="1"/>
  <c r="M440" i="3"/>
  <c r="N440" i="3" s="1"/>
  <c r="O440" i="3"/>
  <c r="P440" i="3" s="1"/>
  <c r="AU440" i="3"/>
  <c r="E441" i="3"/>
  <c r="W441" i="3"/>
  <c r="AO441" i="3"/>
  <c r="S441" i="3"/>
  <c r="AJ441" i="3"/>
  <c r="U441" i="3"/>
  <c r="D441" i="3"/>
  <c r="AF441" i="3"/>
  <c r="L441" i="3"/>
  <c r="AX441" i="3"/>
  <c r="AT441" i="3"/>
  <c r="AQ441" i="3"/>
  <c r="F441" i="3"/>
  <c r="AB441" i="3"/>
  <c r="AW441" i="3"/>
  <c r="A442" i="3"/>
  <c r="Y441" i="3"/>
  <c r="AM441" i="3"/>
  <c r="K441" i="3"/>
  <c r="AH441" i="3"/>
  <c r="Q441" i="3"/>
  <c r="A443" i="3" l="1"/>
  <c r="S442" i="3"/>
  <c r="AT442" i="3"/>
  <c r="AO442" i="3"/>
  <c r="AJ442" i="3"/>
  <c r="AQ442" i="3"/>
  <c r="AF442" i="3"/>
  <c r="L442" i="3"/>
  <c r="K442" i="3"/>
  <c r="Q442" i="3"/>
  <c r="E442" i="3"/>
  <c r="U442" i="3"/>
  <c r="AM442" i="3"/>
  <c r="AB442" i="3"/>
  <c r="F442" i="3"/>
  <c r="AW442" i="3"/>
  <c r="W442" i="3"/>
  <c r="Y442" i="3"/>
  <c r="D442" i="3"/>
  <c r="AH442" i="3"/>
  <c r="AX442" i="3"/>
  <c r="M441" i="3"/>
  <c r="N441" i="3" s="1"/>
  <c r="O441" i="3"/>
  <c r="P441" i="3" s="1"/>
  <c r="AU441" i="3"/>
  <c r="AV441" i="3"/>
  <c r="AV442" i="3" l="1"/>
  <c r="AU442" i="3"/>
  <c r="M442" i="3"/>
  <c r="N442" i="3" s="1"/>
  <c r="O442" i="3"/>
  <c r="P442" i="3" s="1"/>
  <c r="AT443" i="3"/>
  <c r="A444" i="3"/>
  <c r="AO443" i="3"/>
  <c r="S443" i="3"/>
  <c r="AJ443" i="3"/>
  <c r="U443" i="3"/>
  <c r="K443" i="3"/>
  <c r="AB443" i="3"/>
  <c r="AH443" i="3"/>
  <c r="AX443" i="3"/>
  <c r="E443" i="3"/>
  <c r="Y443" i="3"/>
  <c r="AM443" i="3"/>
  <c r="D443" i="3"/>
  <c r="AF443" i="3"/>
  <c r="Q443" i="3"/>
  <c r="W443" i="3"/>
  <c r="AQ443" i="3"/>
  <c r="F443" i="3"/>
  <c r="AW443" i="3"/>
  <c r="L443" i="3"/>
  <c r="AV443" i="3" l="1"/>
  <c r="O443" i="3"/>
  <c r="P443" i="3" s="1"/>
  <c r="M443" i="3"/>
  <c r="N443" i="3" s="1"/>
  <c r="AU443" i="3"/>
  <c r="A445" i="3"/>
  <c r="Y444" i="3"/>
  <c r="AQ444" i="3"/>
  <c r="W444" i="3"/>
  <c r="D444" i="3"/>
  <c r="AM444" i="3"/>
  <c r="AF444" i="3"/>
  <c r="L444" i="3"/>
  <c r="AX444" i="3"/>
  <c r="K444" i="3"/>
  <c r="E444" i="3"/>
  <c r="AO444" i="3"/>
  <c r="S444" i="3"/>
  <c r="AB444" i="3"/>
  <c r="AJ444" i="3"/>
  <c r="AW444" i="3"/>
  <c r="AT444" i="3"/>
  <c r="U444" i="3"/>
  <c r="F444" i="3"/>
  <c r="AH444" i="3"/>
  <c r="Q444" i="3"/>
  <c r="AV444" i="3" l="1"/>
  <c r="M444" i="3"/>
  <c r="N444" i="3" s="1"/>
  <c r="O444" i="3"/>
  <c r="P444" i="3" s="1"/>
  <c r="AU444" i="3"/>
  <c r="AT445" i="3"/>
  <c r="Y445" i="3"/>
  <c r="AQ445" i="3"/>
  <c r="E445" i="3"/>
  <c r="AJ445" i="3"/>
  <c r="U445" i="3"/>
  <c r="D445" i="3"/>
  <c r="AF445" i="3"/>
  <c r="L445" i="3"/>
  <c r="AX445" i="3"/>
  <c r="W445" i="3"/>
  <c r="S445" i="3"/>
  <c r="F445" i="3"/>
  <c r="AB445" i="3"/>
  <c r="AW445" i="3"/>
  <c r="A446" i="3"/>
  <c r="AO445" i="3"/>
  <c r="AM445" i="3"/>
  <c r="K445" i="3"/>
  <c r="AH445" i="3"/>
  <c r="Q445" i="3"/>
  <c r="A447" i="3" l="1"/>
  <c r="AT446" i="3"/>
  <c r="U446" i="3"/>
  <c r="AO446" i="3"/>
  <c r="AM446" i="3"/>
  <c r="D446" i="3"/>
  <c r="AB446" i="3"/>
  <c r="AH446" i="3"/>
  <c r="K446" i="3"/>
  <c r="Q446" i="3"/>
  <c r="E446" i="3"/>
  <c r="S446" i="3"/>
  <c r="AQ446" i="3"/>
  <c r="F446" i="3"/>
  <c r="L446" i="3"/>
  <c r="AW446" i="3"/>
  <c r="W446" i="3"/>
  <c r="Y446" i="3"/>
  <c r="AJ446" i="3"/>
  <c r="AF446" i="3"/>
  <c r="AX446" i="3"/>
  <c r="M445" i="3"/>
  <c r="N445" i="3" s="1"/>
  <c r="O445" i="3"/>
  <c r="P445" i="3" s="1"/>
  <c r="AU445" i="3"/>
  <c r="AV445" i="3"/>
  <c r="AV446" i="3" l="1"/>
  <c r="AU446" i="3"/>
  <c r="M446" i="3"/>
  <c r="N446" i="3" s="1"/>
  <c r="O446" i="3"/>
  <c r="P446" i="3" s="1"/>
  <c r="AT447" i="3"/>
  <c r="Y447" i="3"/>
  <c r="AQ447" i="3"/>
  <c r="AM447" i="3"/>
  <c r="F447" i="3"/>
  <c r="U447" i="3"/>
  <c r="K447" i="3"/>
  <c r="AB447" i="3"/>
  <c r="AH447" i="3"/>
  <c r="AX447" i="3"/>
  <c r="E447" i="3"/>
  <c r="AO447" i="3"/>
  <c r="AJ447" i="3"/>
  <c r="D447" i="3"/>
  <c r="AF447" i="3"/>
  <c r="Q447" i="3"/>
  <c r="W447" i="3"/>
  <c r="S447" i="3"/>
  <c r="A448" i="3"/>
  <c r="AW447" i="3"/>
  <c r="L447" i="3"/>
  <c r="M447" i="3" l="1"/>
  <c r="N447" i="3" s="1"/>
  <c r="O447" i="3"/>
  <c r="P447" i="3" s="1"/>
  <c r="AU447" i="3"/>
  <c r="AV447" i="3"/>
  <c r="A449" i="3"/>
  <c r="W448" i="3"/>
  <c r="AO448" i="3"/>
  <c r="U448" i="3"/>
  <c r="F448" i="3"/>
  <c r="AM448" i="3"/>
  <c r="AB448" i="3"/>
  <c r="AH448" i="3"/>
  <c r="AX448" i="3"/>
  <c r="K448" i="3"/>
  <c r="E448" i="3"/>
  <c r="AT448" i="3"/>
  <c r="AQ448" i="3"/>
  <c r="S448" i="3"/>
  <c r="AF448" i="3"/>
  <c r="Q448" i="3"/>
  <c r="Y448" i="3"/>
  <c r="D448" i="3"/>
  <c r="AJ448" i="3"/>
  <c r="L448" i="3"/>
  <c r="AW448" i="3"/>
  <c r="AV448" i="3" l="1"/>
  <c r="M448" i="3"/>
  <c r="N448" i="3" s="1"/>
  <c r="O448" i="3"/>
  <c r="P448" i="3" s="1"/>
  <c r="AU448" i="3"/>
  <c r="E449" i="3"/>
  <c r="W449" i="3"/>
  <c r="AO449" i="3"/>
  <c r="S449" i="3"/>
  <c r="AJ449" i="3"/>
  <c r="U449" i="3"/>
  <c r="D449" i="3"/>
  <c r="AF449" i="3"/>
  <c r="L449" i="3"/>
  <c r="AX449" i="3"/>
  <c r="AT449" i="3"/>
  <c r="AQ449" i="3"/>
  <c r="F449" i="3"/>
  <c r="AB449" i="3"/>
  <c r="AW449" i="3"/>
  <c r="A450" i="3"/>
  <c r="Y449" i="3"/>
  <c r="AM449" i="3"/>
  <c r="K449" i="3"/>
  <c r="AH449" i="3"/>
  <c r="Q449" i="3"/>
  <c r="A451" i="3" l="1"/>
  <c r="S450" i="3"/>
  <c r="AT450" i="3"/>
  <c r="AO450" i="3"/>
  <c r="AJ450" i="3"/>
  <c r="AQ450" i="3"/>
  <c r="AF450" i="3"/>
  <c r="L450" i="3"/>
  <c r="K450" i="3"/>
  <c r="Q450" i="3"/>
  <c r="E450" i="3"/>
  <c r="U450" i="3"/>
  <c r="AM450" i="3"/>
  <c r="AB450" i="3"/>
  <c r="F450" i="3"/>
  <c r="AW450" i="3"/>
  <c r="W450" i="3"/>
  <c r="Y450" i="3"/>
  <c r="D450" i="3"/>
  <c r="AH450" i="3"/>
  <c r="AX450" i="3"/>
  <c r="M449" i="3"/>
  <c r="N449" i="3" s="1"/>
  <c r="O449" i="3"/>
  <c r="P449" i="3" s="1"/>
  <c r="AU449" i="3"/>
  <c r="AV449" i="3"/>
  <c r="AV450" i="3" l="1"/>
  <c r="AU450" i="3"/>
  <c r="M450" i="3"/>
  <c r="N450" i="3" s="1"/>
  <c r="O450" i="3"/>
  <c r="P450" i="3" s="1"/>
  <c r="AT451" i="3"/>
  <c r="A452" i="3"/>
  <c r="AO451" i="3"/>
  <c r="S451" i="3"/>
  <c r="AJ451" i="3"/>
  <c r="U451" i="3"/>
  <c r="K451" i="3"/>
  <c r="AB451" i="3"/>
  <c r="AH451" i="3"/>
  <c r="AX451" i="3"/>
  <c r="E451" i="3"/>
  <c r="Y451" i="3"/>
  <c r="AM451" i="3"/>
  <c r="D451" i="3"/>
  <c r="AF451" i="3"/>
  <c r="Q451" i="3"/>
  <c r="W451" i="3"/>
  <c r="AQ451" i="3"/>
  <c r="F451" i="3"/>
  <c r="AW451" i="3"/>
  <c r="L451" i="3"/>
  <c r="AV451" i="3" l="1"/>
  <c r="O451" i="3"/>
  <c r="P451" i="3" s="1"/>
  <c r="M451" i="3"/>
  <c r="N451" i="3" s="1"/>
  <c r="AU451" i="3"/>
  <c r="A453" i="3"/>
  <c r="Y452" i="3"/>
  <c r="AQ452" i="3"/>
  <c r="W452" i="3"/>
  <c r="D452" i="3"/>
  <c r="AM452" i="3"/>
  <c r="AF452" i="3"/>
  <c r="L452" i="3"/>
  <c r="AX452" i="3"/>
  <c r="K452" i="3"/>
  <c r="E452" i="3"/>
  <c r="AO452" i="3"/>
  <c r="S452" i="3"/>
  <c r="AB452" i="3"/>
  <c r="AJ452" i="3"/>
  <c r="AW452" i="3"/>
  <c r="AT452" i="3"/>
  <c r="U452" i="3"/>
  <c r="F452" i="3"/>
  <c r="AH452" i="3"/>
  <c r="Q452" i="3"/>
  <c r="AV452" i="3" l="1"/>
  <c r="M452" i="3"/>
  <c r="N452" i="3" s="1"/>
  <c r="O452" i="3"/>
  <c r="P452" i="3" s="1"/>
  <c r="AU452" i="3"/>
  <c r="AT453" i="3"/>
  <c r="E453" i="3"/>
  <c r="AO453" i="3"/>
  <c r="S453" i="3"/>
  <c r="AJ453" i="3"/>
  <c r="U453" i="3"/>
  <c r="D453" i="3"/>
  <c r="AF453" i="3"/>
  <c r="L453" i="3"/>
  <c r="AX453" i="3"/>
  <c r="W453" i="3"/>
  <c r="AQ453" i="3"/>
  <c r="F453" i="3"/>
  <c r="AB453" i="3"/>
  <c r="AW453" i="3"/>
  <c r="A454" i="3"/>
  <c r="Y453" i="3"/>
  <c r="AM453" i="3"/>
  <c r="K453" i="3"/>
  <c r="AH453" i="3"/>
  <c r="Q453" i="3"/>
  <c r="A455" i="3" l="1"/>
  <c r="AT454" i="3"/>
  <c r="U454" i="3"/>
  <c r="AO454" i="3"/>
  <c r="AM454" i="3"/>
  <c r="D454" i="3"/>
  <c r="AB454" i="3"/>
  <c r="AH454" i="3"/>
  <c r="K454" i="3"/>
  <c r="Q454" i="3"/>
  <c r="E454" i="3"/>
  <c r="S454" i="3"/>
  <c r="AQ454" i="3"/>
  <c r="F454" i="3"/>
  <c r="L454" i="3"/>
  <c r="AW454" i="3"/>
  <c r="W454" i="3"/>
  <c r="Y454" i="3"/>
  <c r="AJ454" i="3"/>
  <c r="AF454" i="3"/>
  <c r="AX454" i="3"/>
  <c r="M453" i="3"/>
  <c r="N453" i="3" s="1"/>
  <c r="O453" i="3"/>
  <c r="P453" i="3" s="1"/>
  <c r="AU453" i="3"/>
  <c r="AV453" i="3"/>
  <c r="AV454" i="3" l="1"/>
  <c r="AU454" i="3"/>
  <c r="M454" i="3"/>
  <c r="N454" i="3" s="1"/>
  <c r="O454" i="3"/>
  <c r="P454" i="3" s="1"/>
  <c r="AT455" i="3"/>
  <c r="Y455" i="3"/>
  <c r="AQ455" i="3"/>
  <c r="A456" i="3"/>
  <c r="AJ455" i="3"/>
  <c r="U455" i="3"/>
  <c r="K455" i="3"/>
  <c r="AB455" i="3"/>
  <c r="AH455" i="3"/>
  <c r="AX455" i="3"/>
  <c r="E455" i="3"/>
  <c r="AO455" i="3"/>
  <c r="AM455" i="3"/>
  <c r="D455" i="3"/>
  <c r="AF455" i="3"/>
  <c r="Q455" i="3"/>
  <c r="W455" i="3"/>
  <c r="S455" i="3"/>
  <c r="F455" i="3"/>
  <c r="AW455" i="3"/>
  <c r="L455" i="3"/>
  <c r="AV455" i="3" l="1"/>
  <c r="O455" i="3"/>
  <c r="P455" i="3" s="1"/>
  <c r="M455" i="3"/>
  <c r="N455" i="3" s="1"/>
  <c r="AU455" i="3"/>
  <c r="A457" i="3"/>
  <c r="W456" i="3"/>
  <c r="AO456" i="3"/>
  <c r="U456" i="3"/>
  <c r="F456" i="3"/>
  <c r="AM456" i="3"/>
  <c r="AB456" i="3"/>
  <c r="AH456" i="3"/>
  <c r="AX456" i="3"/>
  <c r="K456" i="3"/>
  <c r="E456" i="3"/>
  <c r="Y456" i="3"/>
  <c r="D456" i="3"/>
  <c r="AJ456" i="3"/>
  <c r="L456" i="3"/>
  <c r="AW456" i="3"/>
  <c r="AT456" i="3"/>
  <c r="AQ456" i="3"/>
  <c r="S456" i="3"/>
  <c r="AF456" i="3"/>
  <c r="Q456" i="3"/>
  <c r="AV456" i="3" l="1"/>
  <c r="M456" i="3"/>
  <c r="N456" i="3" s="1"/>
  <c r="O456" i="3"/>
  <c r="P456" i="3" s="1"/>
  <c r="AU456" i="3"/>
  <c r="E457" i="3"/>
  <c r="W457" i="3"/>
  <c r="AO457" i="3"/>
  <c r="S457" i="3"/>
  <c r="AJ457" i="3"/>
  <c r="U457" i="3"/>
  <c r="D457" i="3"/>
  <c r="AF457" i="3"/>
  <c r="L457" i="3"/>
  <c r="AX457" i="3"/>
  <c r="AT457" i="3"/>
  <c r="AQ457" i="3"/>
  <c r="F457" i="3"/>
  <c r="AB457" i="3"/>
  <c r="AW457" i="3"/>
  <c r="A458" i="3"/>
  <c r="Y457" i="3"/>
  <c r="AM457" i="3"/>
  <c r="K457" i="3"/>
  <c r="AH457" i="3"/>
  <c r="Q457" i="3"/>
  <c r="A459" i="3" l="1"/>
  <c r="S458" i="3"/>
  <c r="AT458" i="3"/>
  <c r="AO458" i="3"/>
  <c r="AJ458" i="3"/>
  <c r="AQ458" i="3"/>
  <c r="AF458" i="3"/>
  <c r="L458" i="3"/>
  <c r="K458" i="3"/>
  <c r="Q458" i="3"/>
  <c r="E458" i="3"/>
  <c r="U458" i="3"/>
  <c r="AM458" i="3"/>
  <c r="AB458" i="3"/>
  <c r="F458" i="3"/>
  <c r="AW458" i="3"/>
  <c r="W458" i="3"/>
  <c r="Y458" i="3"/>
  <c r="D458" i="3"/>
  <c r="AH458" i="3"/>
  <c r="AX458" i="3"/>
  <c r="M457" i="3"/>
  <c r="N457" i="3" s="1"/>
  <c r="O457" i="3"/>
  <c r="P457" i="3" s="1"/>
  <c r="AU457" i="3"/>
  <c r="AV457" i="3"/>
  <c r="AV458" i="3" l="1"/>
  <c r="AU458" i="3"/>
  <c r="M458" i="3"/>
  <c r="N458" i="3" s="1"/>
  <c r="O458" i="3"/>
  <c r="P458" i="3" s="1"/>
  <c r="AT459" i="3"/>
  <c r="A460" i="3"/>
  <c r="AO459" i="3"/>
  <c r="S459" i="3"/>
  <c r="AJ459" i="3"/>
  <c r="U459" i="3"/>
  <c r="K459" i="3"/>
  <c r="AB459" i="3"/>
  <c r="AH459" i="3"/>
  <c r="AX459" i="3"/>
  <c r="E459" i="3"/>
  <c r="Y459" i="3"/>
  <c r="AM459" i="3"/>
  <c r="D459" i="3"/>
  <c r="AF459" i="3"/>
  <c r="Q459" i="3"/>
  <c r="W459" i="3"/>
  <c r="AQ459" i="3"/>
  <c r="F459" i="3"/>
  <c r="AW459" i="3"/>
  <c r="L459" i="3"/>
  <c r="AV459" i="3" l="1"/>
  <c r="O459" i="3"/>
  <c r="P459" i="3" s="1"/>
  <c r="M459" i="3"/>
  <c r="N459" i="3" s="1"/>
  <c r="AU459" i="3"/>
  <c r="A461" i="3"/>
  <c r="Y460" i="3"/>
  <c r="AQ460" i="3"/>
  <c r="W460" i="3"/>
  <c r="D460" i="3"/>
  <c r="AM460" i="3"/>
  <c r="AF460" i="3"/>
  <c r="L460" i="3"/>
  <c r="AX460" i="3"/>
  <c r="K460" i="3"/>
  <c r="E460" i="3"/>
  <c r="AO460" i="3"/>
  <c r="S460" i="3"/>
  <c r="AB460" i="3"/>
  <c r="AJ460" i="3"/>
  <c r="AW460" i="3"/>
  <c r="AT460" i="3"/>
  <c r="U460" i="3"/>
  <c r="F460" i="3"/>
  <c r="AH460" i="3"/>
  <c r="Q460" i="3"/>
  <c r="AV460" i="3" l="1"/>
  <c r="M460" i="3"/>
  <c r="N460" i="3" s="1"/>
  <c r="O460" i="3"/>
  <c r="P460" i="3" s="1"/>
  <c r="AU460" i="3"/>
  <c r="AT461" i="3"/>
  <c r="Y461" i="3"/>
  <c r="AQ461" i="3"/>
  <c r="AM461" i="3"/>
  <c r="F461" i="3"/>
  <c r="U461" i="3"/>
  <c r="D461" i="3"/>
  <c r="AF461" i="3"/>
  <c r="L461" i="3"/>
  <c r="AX461" i="3"/>
  <c r="W461" i="3"/>
  <c r="S461" i="3"/>
  <c r="E461" i="3"/>
  <c r="AB461" i="3"/>
  <c r="AW461" i="3"/>
  <c r="A462" i="3"/>
  <c r="A463" i="3" s="1"/>
  <c r="D463" i="3" s="1"/>
  <c r="AO461" i="3"/>
  <c r="AJ461" i="3"/>
  <c r="K461" i="3"/>
  <c r="AH461" i="3"/>
  <c r="Q461" i="3"/>
  <c r="AT462" i="3" l="1"/>
  <c r="U462" i="3"/>
  <c r="AO462" i="3"/>
  <c r="AM462" i="3"/>
  <c r="D462" i="3"/>
  <c r="AB462" i="3"/>
  <c r="AH462" i="3"/>
  <c r="K462" i="3"/>
  <c r="Q462" i="3"/>
  <c r="E462" i="3"/>
  <c r="S462" i="3"/>
  <c r="AQ462" i="3"/>
  <c r="F462" i="3"/>
  <c r="L462" i="3"/>
  <c r="AW462" i="3"/>
  <c r="W462" i="3"/>
  <c r="Y462" i="3"/>
  <c r="AJ462" i="3"/>
  <c r="AF462" i="3"/>
  <c r="AX462" i="3"/>
  <c r="M461" i="3"/>
  <c r="N461" i="3" s="1"/>
  <c r="O461" i="3"/>
  <c r="P461" i="3" s="1"/>
  <c r="AU461" i="3"/>
  <c r="AV461" i="3"/>
  <c r="AV462" i="3" l="1"/>
  <c r="AU462" i="3"/>
  <c r="M462" i="3"/>
  <c r="N462" i="3" s="1"/>
  <c r="O462" i="3"/>
  <c r="P462" i="3" s="1"/>
  <c r="AT463" i="3"/>
  <c r="Y463" i="3"/>
  <c r="AQ463" i="3"/>
  <c r="AM463" i="3"/>
  <c r="F463" i="3"/>
  <c r="U463" i="3"/>
  <c r="K463" i="3"/>
  <c r="L463" i="3" s="1"/>
  <c r="AB463" i="3"/>
  <c r="AH463" i="3"/>
  <c r="E463" i="3"/>
  <c r="AO463" i="3"/>
  <c r="AJ463" i="3"/>
  <c r="AF463" i="3"/>
  <c r="Q463" i="3"/>
  <c r="W463" i="3"/>
  <c r="S463" i="3"/>
  <c r="A464" i="3"/>
  <c r="M463" i="3" l="1"/>
  <c r="N463" i="3" s="1"/>
  <c r="O463" i="3"/>
  <c r="P463" i="3" s="1"/>
  <c r="AU463" i="3"/>
  <c r="AW463" i="3" s="1"/>
  <c r="AV463" i="3"/>
  <c r="AX463" i="3" s="1"/>
  <c r="A465" i="3"/>
  <c r="A466" i="3" s="1"/>
  <c r="W464" i="3"/>
  <c r="AO464" i="3"/>
  <c r="U464" i="3"/>
  <c r="F464" i="3"/>
  <c r="AM464" i="3"/>
  <c r="AB464" i="3"/>
  <c r="AH464" i="3"/>
  <c r="AX464" i="3"/>
  <c r="K464" i="3"/>
  <c r="E464" i="3"/>
  <c r="AT464" i="3"/>
  <c r="AQ464" i="3"/>
  <c r="S464" i="3"/>
  <c r="AF464" i="3"/>
  <c r="Q464" i="3"/>
  <c r="Y464" i="3"/>
  <c r="D464" i="3"/>
  <c r="AJ464" i="3"/>
  <c r="L464" i="3"/>
  <c r="AW464" i="3"/>
  <c r="E466" i="3" l="1"/>
  <c r="F466" i="3"/>
  <c r="L466" i="3"/>
  <c r="AB466" i="3"/>
  <c r="AF466" i="3"/>
  <c r="AH466" i="3"/>
  <c r="AJ466" i="3"/>
  <c r="AT466" i="3"/>
  <c r="AX466" i="3"/>
  <c r="K466" i="3"/>
  <c r="Q466" i="3"/>
  <c r="S466" i="3"/>
  <c r="U466" i="3"/>
  <c r="W466" i="3"/>
  <c r="Y466" i="3"/>
  <c r="AM466" i="3"/>
  <c r="AO466" i="3"/>
  <c r="AQ466" i="3"/>
  <c r="AW466" i="3"/>
  <c r="D466" i="3"/>
  <c r="A467" i="3"/>
  <c r="AV464" i="3"/>
  <c r="M464" i="3"/>
  <c r="N464" i="3" s="1"/>
  <c r="O464" i="3"/>
  <c r="P464" i="3" s="1"/>
  <c r="AU464" i="3"/>
  <c r="E465" i="3"/>
  <c r="W465" i="3"/>
  <c r="AO465" i="3"/>
  <c r="S465" i="3"/>
  <c r="AJ465" i="3"/>
  <c r="U465" i="3"/>
  <c r="D465" i="3"/>
  <c r="AF465" i="3"/>
  <c r="L465" i="3"/>
  <c r="AX465" i="3"/>
  <c r="AT465" i="3"/>
  <c r="AQ465" i="3"/>
  <c r="F465" i="3"/>
  <c r="AB465" i="3"/>
  <c r="AW465" i="3"/>
  <c r="Y465" i="3"/>
  <c r="AM465" i="3"/>
  <c r="K465" i="3"/>
  <c r="AH465" i="3"/>
  <c r="Q465" i="3"/>
  <c r="O466" i="3" l="1"/>
  <c r="P466" i="3" s="1"/>
  <c r="AV466" i="3"/>
  <c r="M466" i="3"/>
  <c r="N466" i="3" s="1"/>
  <c r="AU466" i="3"/>
  <c r="E467" i="3"/>
  <c r="K467" i="3"/>
  <c r="Q467" i="3"/>
  <c r="S467" i="3"/>
  <c r="U467" i="3"/>
  <c r="W467" i="3"/>
  <c r="Y467" i="3"/>
  <c r="AM467" i="3"/>
  <c r="AO467" i="3"/>
  <c r="AQ467" i="3"/>
  <c r="AW467" i="3"/>
  <c r="A468" i="3"/>
  <c r="F467" i="3"/>
  <c r="AT467" i="3"/>
  <c r="AX467" i="3"/>
  <c r="D467" i="3"/>
  <c r="L467" i="3"/>
  <c r="AB467" i="3"/>
  <c r="AF467" i="3"/>
  <c r="AH467" i="3"/>
  <c r="AJ467" i="3"/>
  <c r="M465" i="3"/>
  <c r="N465" i="3" s="1"/>
  <c r="O465" i="3"/>
  <c r="P465" i="3" s="1"/>
  <c r="AU465" i="3"/>
  <c r="AV465" i="3"/>
  <c r="M467" i="3" l="1"/>
  <c r="N467" i="3" s="1"/>
  <c r="AU467" i="3"/>
  <c r="O467" i="3"/>
  <c r="P467" i="3" s="1"/>
  <c r="AV467" i="3"/>
  <c r="E468" i="3"/>
  <c r="D468" i="3"/>
  <c r="L468" i="3"/>
  <c r="AB468" i="3"/>
  <c r="AF468" i="3"/>
  <c r="AH468" i="3"/>
  <c r="AJ468" i="3"/>
  <c r="AT468" i="3"/>
  <c r="AX468" i="3"/>
  <c r="F468" i="3"/>
  <c r="A469" i="3"/>
  <c r="U468" i="3"/>
  <c r="W468" i="3"/>
  <c r="Y468" i="3"/>
  <c r="AM468" i="3"/>
  <c r="AO468" i="3"/>
  <c r="AQ468" i="3"/>
  <c r="AW468" i="3"/>
  <c r="Q468" i="3"/>
  <c r="K468" i="3"/>
  <c r="S468" i="3"/>
  <c r="M468" i="3" l="1"/>
  <c r="N468" i="3" s="1"/>
  <c r="AV468" i="3"/>
  <c r="AU468" i="3"/>
  <c r="O468" i="3"/>
  <c r="P468" i="3" s="1"/>
  <c r="E469" i="3"/>
  <c r="K469" i="3"/>
  <c r="Q469" i="3"/>
  <c r="S469" i="3"/>
  <c r="U469" i="3"/>
  <c r="W469" i="3"/>
  <c r="Y469" i="3"/>
  <c r="AM469" i="3"/>
  <c r="AO469" i="3"/>
  <c r="AQ469" i="3"/>
  <c r="AW469" i="3"/>
  <c r="A470" i="3"/>
  <c r="D469" i="3"/>
  <c r="L469" i="3"/>
  <c r="AB469" i="3"/>
  <c r="AF469" i="3"/>
  <c r="AH469" i="3"/>
  <c r="AJ469" i="3"/>
  <c r="F469" i="3"/>
  <c r="AT469" i="3"/>
  <c r="AX469" i="3"/>
  <c r="E470" i="3" l="1"/>
  <c r="D470" i="3"/>
  <c r="L470" i="3"/>
  <c r="AM470" i="3"/>
  <c r="AO470" i="3"/>
  <c r="AQ470" i="3"/>
  <c r="AW470" i="3"/>
  <c r="A471" i="3"/>
  <c r="AB470" i="3"/>
  <c r="AF470" i="3"/>
  <c r="AH470" i="3"/>
  <c r="AJ470" i="3"/>
  <c r="F470" i="3"/>
  <c r="AT470" i="3"/>
  <c r="AX470" i="3"/>
  <c r="Y470" i="3"/>
  <c r="U470" i="3"/>
  <c r="Q470" i="3"/>
  <c r="K470" i="3"/>
  <c r="W470" i="3"/>
  <c r="S470" i="3"/>
  <c r="M469" i="3"/>
  <c r="N469" i="3" s="1"/>
  <c r="AU469" i="3"/>
  <c r="AV469" i="3"/>
  <c r="O469" i="3"/>
  <c r="P469" i="3" s="1"/>
  <c r="D471" i="3" l="1"/>
  <c r="F471" i="3"/>
  <c r="L471" i="3"/>
  <c r="AB471" i="3"/>
  <c r="AF471" i="3"/>
  <c r="AH471" i="3"/>
  <c r="AJ471" i="3"/>
  <c r="AT471" i="3"/>
  <c r="AX471" i="3"/>
  <c r="K471" i="3"/>
  <c r="Q471" i="3"/>
  <c r="S471" i="3"/>
  <c r="U471" i="3"/>
  <c r="W471" i="3"/>
  <c r="Y471" i="3"/>
  <c r="AM471" i="3"/>
  <c r="AO471" i="3"/>
  <c r="AQ471" i="3"/>
  <c r="AW471" i="3"/>
  <c r="E471" i="3"/>
  <c r="A472" i="3"/>
  <c r="M470" i="3"/>
  <c r="N470" i="3" s="1"/>
  <c r="AU470" i="3"/>
  <c r="AV470" i="3"/>
  <c r="O470" i="3"/>
  <c r="P470" i="3" s="1"/>
  <c r="E472" i="3" l="1"/>
  <c r="F472" i="3"/>
  <c r="AB472" i="3"/>
  <c r="AF472" i="3"/>
  <c r="AH472" i="3"/>
  <c r="AJ472" i="3"/>
  <c r="L472" i="3"/>
  <c r="AT472" i="3"/>
  <c r="AX472" i="3"/>
  <c r="D472" i="3"/>
  <c r="AW472" i="3"/>
  <c r="A473" i="3"/>
  <c r="AQ472" i="3"/>
  <c r="AM472" i="3"/>
  <c r="W472" i="3"/>
  <c r="S472" i="3"/>
  <c r="AO472" i="3"/>
  <c r="Y472" i="3"/>
  <c r="U472" i="3"/>
  <c r="Q472" i="3"/>
  <c r="K472" i="3"/>
  <c r="O471" i="3"/>
  <c r="P471" i="3" s="1"/>
  <c r="AV471" i="3"/>
  <c r="M471" i="3"/>
  <c r="N471" i="3" s="1"/>
  <c r="AU471" i="3"/>
  <c r="E473" i="3" l="1"/>
  <c r="K473" i="3"/>
  <c r="Q473" i="3"/>
  <c r="S473" i="3"/>
  <c r="U473" i="3"/>
  <c r="W473" i="3"/>
  <c r="Y473" i="3"/>
  <c r="AM473" i="3"/>
  <c r="AO473" i="3"/>
  <c r="AQ473" i="3"/>
  <c r="AW473" i="3"/>
  <c r="A474" i="3"/>
  <c r="D473" i="3"/>
  <c r="F473" i="3"/>
  <c r="L473" i="3"/>
  <c r="AB473" i="3"/>
  <c r="AF473" i="3"/>
  <c r="AH473" i="3"/>
  <c r="AJ473" i="3"/>
  <c r="AT473" i="3"/>
  <c r="AX473" i="3"/>
  <c r="M472" i="3"/>
  <c r="N472" i="3" s="1"/>
  <c r="AV472" i="3"/>
  <c r="AU472" i="3"/>
  <c r="O472" i="3"/>
  <c r="P472" i="3" s="1"/>
  <c r="E474" i="3" l="1"/>
  <c r="D474" i="3"/>
  <c r="L474" i="3"/>
  <c r="AT474" i="3"/>
  <c r="AX474" i="3"/>
  <c r="F474" i="3"/>
  <c r="AB474" i="3"/>
  <c r="AF474" i="3"/>
  <c r="AH474" i="3"/>
  <c r="AJ474" i="3"/>
  <c r="AW474" i="3"/>
  <c r="AQ474" i="3"/>
  <c r="AM474" i="3"/>
  <c r="W474" i="3"/>
  <c r="S474" i="3"/>
  <c r="A475" i="3"/>
  <c r="AO474" i="3"/>
  <c r="Y474" i="3"/>
  <c r="U474" i="3"/>
  <c r="Q474" i="3"/>
  <c r="K474" i="3"/>
  <c r="M473" i="3"/>
  <c r="N473" i="3" s="1"/>
  <c r="AU473" i="3"/>
  <c r="O473" i="3"/>
  <c r="P473" i="3" s="1"/>
  <c r="AV473" i="3"/>
  <c r="K475" i="3" l="1"/>
  <c r="S475" i="3"/>
  <c r="W475" i="3"/>
  <c r="D475" i="3"/>
  <c r="L475" i="3"/>
  <c r="AF475" i="3"/>
  <c r="AJ475" i="3"/>
  <c r="AX475" i="3"/>
  <c r="AM475" i="3"/>
  <c r="AQ475" i="3"/>
  <c r="E475" i="3"/>
  <c r="Q475" i="3"/>
  <c r="U475" i="3"/>
  <c r="Y475" i="3"/>
  <c r="F475" i="3"/>
  <c r="AB475" i="3"/>
  <c r="AH475" i="3"/>
  <c r="AT475" i="3"/>
  <c r="A476" i="3"/>
  <c r="AO475" i="3"/>
  <c r="AW475" i="3"/>
  <c r="M474" i="3"/>
  <c r="N474" i="3" s="1"/>
  <c r="AV474" i="3"/>
  <c r="O474" i="3"/>
  <c r="P474" i="3" s="1"/>
  <c r="AU474" i="3"/>
  <c r="M475" i="3" l="1"/>
  <c r="N475" i="3" s="1"/>
  <c r="AV475" i="3"/>
  <c r="O475" i="3"/>
  <c r="P475" i="3" s="1"/>
  <c r="AU475" i="3"/>
  <c r="E476" i="3"/>
  <c r="Q476" i="3"/>
  <c r="U476" i="3"/>
  <c r="Y476" i="3"/>
  <c r="AO476" i="3"/>
  <c r="AW476" i="3"/>
  <c r="F476" i="3"/>
  <c r="AF476" i="3"/>
  <c r="AJ476" i="3"/>
  <c r="L476" i="3"/>
  <c r="AX476" i="3"/>
  <c r="K476" i="3"/>
  <c r="S476" i="3"/>
  <c r="W476" i="3"/>
  <c r="AM476" i="3"/>
  <c r="AQ476" i="3"/>
  <c r="A477" i="3"/>
  <c r="AB476" i="3"/>
  <c r="AH476" i="3"/>
  <c r="D476" i="3"/>
  <c r="AT476" i="3"/>
  <c r="D477" i="3" l="1"/>
  <c r="L477" i="3"/>
  <c r="K477" i="3"/>
  <c r="AO477" i="3"/>
  <c r="AW477" i="3"/>
  <c r="E477" i="3"/>
  <c r="S477" i="3"/>
  <c r="W477" i="3"/>
  <c r="AF477" i="3"/>
  <c r="AJ477" i="3"/>
  <c r="AX477" i="3"/>
  <c r="F477" i="3"/>
  <c r="AB477" i="3"/>
  <c r="AM477" i="3"/>
  <c r="AQ477" i="3"/>
  <c r="A478" i="3"/>
  <c r="Q477" i="3"/>
  <c r="U477" i="3"/>
  <c r="Y477" i="3"/>
  <c r="AH477" i="3"/>
  <c r="AT477" i="3"/>
  <c r="M476" i="3"/>
  <c r="N476" i="3" s="1"/>
  <c r="AU476" i="3"/>
  <c r="O476" i="3"/>
  <c r="P476" i="3" s="1"/>
  <c r="AV476" i="3"/>
  <c r="D478" i="3" l="1"/>
  <c r="L478" i="3"/>
  <c r="AF478" i="3"/>
  <c r="AJ478" i="3"/>
  <c r="AX478" i="3"/>
  <c r="K478" i="3"/>
  <c r="S478" i="3"/>
  <c r="W478" i="3"/>
  <c r="AM478" i="3"/>
  <c r="AQ478" i="3"/>
  <c r="A479" i="3"/>
  <c r="F478" i="3"/>
  <c r="AB478" i="3"/>
  <c r="AH478" i="3"/>
  <c r="AT478" i="3"/>
  <c r="E478" i="3"/>
  <c r="Q478" i="3"/>
  <c r="U478" i="3"/>
  <c r="Y478" i="3"/>
  <c r="AO478" i="3"/>
  <c r="AW478" i="3"/>
  <c r="AU477" i="3"/>
  <c r="AV477" i="3"/>
  <c r="O477" i="3"/>
  <c r="P477" i="3" s="1"/>
  <c r="M477" i="3"/>
  <c r="N477" i="3" s="1"/>
  <c r="E479" i="3" l="1"/>
  <c r="Q479" i="3"/>
  <c r="U479" i="3"/>
  <c r="Y479" i="3"/>
  <c r="AO479" i="3"/>
  <c r="AW479" i="3"/>
  <c r="D479" i="3"/>
  <c r="L479" i="3"/>
  <c r="AF479" i="3"/>
  <c r="AJ479" i="3"/>
  <c r="AX479" i="3"/>
  <c r="K479" i="3"/>
  <c r="S479" i="3"/>
  <c r="W479" i="3"/>
  <c r="AM479" i="3"/>
  <c r="AQ479" i="3"/>
  <c r="A480" i="3"/>
  <c r="F479" i="3"/>
  <c r="AB479" i="3"/>
  <c r="AH479" i="3"/>
  <c r="AT479" i="3"/>
  <c r="M478" i="3"/>
  <c r="N478" i="3" s="1"/>
  <c r="AU478" i="3"/>
  <c r="AV478" i="3"/>
  <c r="O478" i="3"/>
  <c r="P478" i="3" s="1"/>
  <c r="D480" i="3" l="1"/>
  <c r="L480" i="3"/>
  <c r="AF480" i="3"/>
  <c r="AJ480" i="3"/>
  <c r="AX480" i="3"/>
  <c r="K480" i="3"/>
  <c r="S480" i="3"/>
  <c r="W480" i="3"/>
  <c r="AM480" i="3"/>
  <c r="AQ480" i="3"/>
  <c r="A481" i="3"/>
  <c r="F480" i="3"/>
  <c r="AB480" i="3"/>
  <c r="AH480" i="3"/>
  <c r="AT480" i="3"/>
  <c r="E480" i="3"/>
  <c r="Q480" i="3"/>
  <c r="U480" i="3"/>
  <c r="Y480" i="3"/>
  <c r="AO480" i="3"/>
  <c r="AW480" i="3"/>
  <c r="M479" i="3"/>
  <c r="N479" i="3" s="1"/>
  <c r="AU479" i="3"/>
  <c r="O479" i="3"/>
  <c r="P479" i="3" s="1"/>
  <c r="AV479" i="3"/>
  <c r="A482" i="3" l="1"/>
  <c r="E481" i="3"/>
  <c r="Q481" i="3"/>
  <c r="U481" i="3"/>
  <c r="Y481" i="3"/>
  <c r="AO481" i="3"/>
  <c r="AW481" i="3"/>
  <c r="F481" i="3"/>
  <c r="AB481" i="3"/>
  <c r="AH481" i="3"/>
  <c r="AT481" i="3"/>
  <c r="K481" i="3"/>
  <c r="S481" i="3"/>
  <c r="W481" i="3"/>
  <c r="AM481" i="3"/>
  <c r="AQ481" i="3"/>
  <c r="D481" i="3"/>
  <c r="L481" i="3"/>
  <c r="AF481" i="3"/>
  <c r="AJ481" i="3"/>
  <c r="AX481" i="3"/>
  <c r="AV480" i="3"/>
  <c r="O480" i="3"/>
  <c r="P480" i="3" s="1"/>
  <c r="M480" i="3"/>
  <c r="N480" i="3" s="1"/>
  <c r="AU480" i="3"/>
  <c r="M481" i="3" l="1"/>
  <c r="N481" i="3" s="1"/>
  <c r="AU481" i="3"/>
  <c r="O481" i="3"/>
  <c r="P481" i="3" s="1"/>
  <c r="AV481" i="3"/>
  <c r="E482" i="3"/>
  <c r="K482" i="3"/>
  <c r="Q482" i="3"/>
  <c r="S482" i="3"/>
  <c r="U482" i="3"/>
  <c r="W482" i="3"/>
  <c r="Y482" i="3"/>
  <c r="AM482" i="3"/>
  <c r="AO482" i="3"/>
  <c r="AQ482" i="3"/>
  <c r="AW482" i="3"/>
  <c r="A483" i="3"/>
  <c r="F482" i="3"/>
  <c r="AT482" i="3"/>
  <c r="AX482" i="3"/>
  <c r="D482" i="3"/>
  <c r="L482" i="3"/>
  <c r="AB482" i="3"/>
  <c r="AF482" i="3"/>
  <c r="AH482" i="3"/>
  <c r="AJ482" i="3"/>
  <c r="M482" i="3" l="1"/>
  <c r="N482" i="3" s="1"/>
  <c r="AU482" i="3"/>
  <c r="O482" i="3"/>
  <c r="P482" i="3" s="1"/>
  <c r="AV482" i="3"/>
  <c r="E483" i="3"/>
  <c r="Q483" i="3"/>
  <c r="U483" i="3"/>
  <c r="Y483" i="3"/>
  <c r="AO483" i="3"/>
  <c r="AW483" i="3"/>
  <c r="D483" i="3"/>
  <c r="AT483" i="3"/>
  <c r="F483" i="3"/>
  <c r="AF483" i="3"/>
  <c r="AJ483" i="3"/>
  <c r="K483" i="3"/>
  <c r="S483" i="3"/>
  <c r="W483" i="3"/>
  <c r="AM483" i="3"/>
  <c r="AQ483" i="3"/>
  <c r="A484" i="3"/>
  <c r="L483" i="3"/>
  <c r="AX483" i="3"/>
  <c r="AB483" i="3"/>
  <c r="AH483" i="3"/>
  <c r="D484" i="3" l="1"/>
  <c r="L484" i="3"/>
  <c r="AF484" i="3"/>
  <c r="AJ484" i="3"/>
  <c r="AX484" i="3"/>
  <c r="Q484" i="3"/>
  <c r="U484" i="3"/>
  <c r="Y484" i="3"/>
  <c r="AO484" i="3"/>
  <c r="AW484" i="3"/>
  <c r="A485" i="3"/>
  <c r="F484" i="3"/>
  <c r="AB484" i="3"/>
  <c r="AH484" i="3"/>
  <c r="AT484" i="3"/>
  <c r="E484" i="3"/>
  <c r="S484" i="3"/>
  <c r="W484" i="3"/>
  <c r="AM484" i="3"/>
  <c r="AQ484" i="3"/>
  <c r="K484" i="3"/>
  <c r="O483" i="3"/>
  <c r="P483" i="3" s="1"/>
  <c r="AV483" i="3"/>
  <c r="M483" i="3"/>
  <c r="N483" i="3" s="1"/>
  <c r="AU483" i="3"/>
  <c r="K485" i="3" l="1"/>
  <c r="S485" i="3"/>
  <c r="W485" i="3"/>
  <c r="AM485" i="3"/>
  <c r="AQ485" i="3"/>
  <c r="A486" i="3"/>
  <c r="L485" i="3"/>
  <c r="AX485" i="3"/>
  <c r="AB485" i="3"/>
  <c r="AH485" i="3"/>
  <c r="E485" i="3"/>
  <c r="Q485" i="3"/>
  <c r="U485" i="3"/>
  <c r="Y485" i="3"/>
  <c r="AO485" i="3"/>
  <c r="AW485" i="3"/>
  <c r="D485" i="3"/>
  <c r="AT485" i="3"/>
  <c r="F485" i="3"/>
  <c r="AF485" i="3"/>
  <c r="AJ485" i="3"/>
  <c r="AV484" i="3"/>
  <c r="O484" i="3"/>
  <c r="P484" i="3" s="1"/>
  <c r="M484" i="3"/>
  <c r="N484" i="3" s="1"/>
  <c r="AU484" i="3"/>
  <c r="F486" i="3" l="1"/>
  <c r="AB486" i="3"/>
  <c r="AH486" i="3"/>
  <c r="AT486" i="3"/>
  <c r="E486" i="3"/>
  <c r="S486" i="3"/>
  <c r="W486" i="3"/>
  <c r="AM486" i="3"/>
  <c r="AQ486" i="3"/>
  <c r="K486" i="3"/>
  <c r="D486" i="3"/>
  <c r="L486" i="3"/>
  <c r="AF486" i="3"/>
  <c r="AJ486" i="3"/>
  <c r="AX486" i="3"/>
  <c r="Q486" i="3"/>
  <c r="U486" i="3"/>
  <c r="Y486" i="3"/>
  <c r="AO486" i="3"/>
  <c r="AW486" i="3"/>
  <c r="A487" i="3"/>
  <c r="M485" i="3"/>
  <c r="N485" i="3" s="1"/>
  <c r="AU485" i="3"/>
  <c r="O485" i="3"/>
  <c r="P485" i="3" s="1"/>
  <c r="AV485" i="3"/>
  <c r="K487" i="3" l="1"/>
  <c r="S487" i="3"/>
  <c r="W487" i="3"/>
  <c r="AM487" i="3"/>
  <c r="AQ487" i="3"/>
  <c r="A488" i="3"/>
  <c r="L487" i="3"/>
  <c r="AX487" i="3"/>
  <c r="AB487" i="3"/>
  <c r="AH487" i="3"/>
  <c r="E487" i="3"/>
  <c r="Q487" i="3"/>
  <c r="U487" i="3"/>
  <c r="Y487" i="3"/>
  <c r="AO487" i="3"/>
  <c r="AW487" i="3"/>
  <c r="D487" i="3"/>
  <c r="AT487" i="3"/>
  <c r="F487" i="3"/>
  <c r="AF487" i="3"/>
  <c r="AJ487" i="3"/>
  <c r="AV486" i="3"/>
  <c r="O486" i="3"/>
  <c r="P486" i="3" s="1"/>
  <c r="M486" i="3"/>
  <c r="N486" i="3" s="1"/>
  <c r="AU486" i="3"/>
  <c r="F488" i="3" l="1"/>
  <c r="AB488" i="3"/>
  <c r="AH488" i="3"/>
  <c r="AT488" i="3"/>
  <c r="Q488" i="3"/>
  <c r="U488" i="3"/>
  <c r="Y488" i="3"/>
  <c r="AO488" i="3"/>
  <c r="AW488" i="3"/>
  <c r="K488" i="3"/>
  <c r="D488" i="3"/>
  <c r="L488" i="3"/>
  <c r="AF488" i="3"/>
  <c r="AJ488" i="3"/>
  <c r="E488" i="3"/>
  <c r="S488" i="3"/>
  <c r="W488" i="3"/>
  <c r="AM488" i="3"/>
  <c r="AQ488" i="3"/>
  <c r="A489" i="3"/>
  <c r="AX488" i="3"/>
  <c r="M487" i="3"/>
  <c r="N487" i="3" s="1"/>
  <c r="AU487" i="3"/>
  <c r="O487" i="3"/>
  <c r="P487" i="3" s="1"/>
  <c r="AV487" i="3"/>
  <c r="F489" i="3" l="1"/>
  <c r="AB489" i="3"/>
  <c r="AH489" i="3"/>
  <c r="AT489" i="3"/>
  <c r="K489" i="3"/>
  <c r="E489" i="3"/>
  <c r="S489" i="3"/>
  <c r="W489" i="3"/>
  <c r="AM489" i="3"/>
  <c r="AQ489" i="3"/>
  <c r="D489" i="3"/>
  <c r="L489" i="3"/>
  <c r="AF489" i="3"/>
  <c r="AJ489" i="3"/>
  <c r="AX489" i="3"/>
  <c r="A490" i="3"/>
  <c r="Q489" i="3"/>
  <c r="U489" i="3"/>
  <c r="Y489" i="3"/>
  <c r="AO489" i="3"/>
  <c r="AW489" i="3"/>
  <c r="AV488" i="3"/>
  <c r="O488" i="3"/>
  <c r="P488" i="3" s="1"/>
  <c r="M488" i="3"/>
  <c r="N488" i="3" s="1"/>
  <c r="AU488" i="3"/>
  <c r="K490" i="3" l="1"/>
  <c r="S490" i="3"/>
  <c r="W490" i="3"/>
  <c r="AM490" i="3"/>
  <c r="AQ490" i="3"/>
  <c r="A491" i="3"/>
  <c r="AB490" i="3"/>
  <c r="AH490" i="3"/>
  <c r="D490" i="3"/>
  <c r="L490" i="3"/>
  <c r="E490" i="3"/>
  <c r="Q490" i="3"/>
  <c r="U490" i="3"/>
  <c r="Y490" i="3"/>
  <c r="AO490" i="3"/>
  <c r="AW490" i="3"/>
  <c r="F490" i="3"/>
  <c r="AF490" i="3"/>
  <c r="AJ490" i="3"/>
  <c r="AT490" i="3"/>
  <c r="AX490" i="3"/>
  <c r="AV489" i="3"/>
  <c r="AU489" i="3"/>
  <c r="O489" i="3"/>
  <c r="P489" i="3" s="1"/>
  <c r="M489" i="3"/>
  <c r="N489" i="3" s="1"/>
  <c r="F491" i="3" l="1"/>
  <c r="AB491" i="3"/>
  <c r="AH491" i="3"/>
  <c r="AT491" i="3"/>
  <c r="K491" i="3"/>
  <c r="E491" i="3"/>
  <c r="S491" i="3"/>
  <c r="W491" i="3"/>
  <c r="AM491" i="3"/>
  <c r="AQ491" i="3"/>
  <c r="D491" i="3"/>
  <c r="L491" i="3"/>
  <c r="AF491" i="3"/>
  <c r="AJ491" i="3"/>
  <c r="AX491" i="3"/>
  <c r="A492" i="3"/>
  <c r="Q491" i="3"/>
  <c r="U491" i="3"/>
  <c r="Y491" i="3"/>
  <c r="AO491" i="3"/>
  <c r="AW491" i="3"/>
  <c r="O490" i="3"/>
  <c r="P490" i="3" s="1"/>
  <c r="AV490" i="3"/>
  <c r="M490" i="3"/>
  <c r="N490" i="3" s="1"/>
  <c r="AU490" i="3"/>
  <c r="K492" i="3" l="1"/>
  <c r="S492" i="3"/>
  <c r="W492" i="3"/>
  <c r="AM492" i="3"/>
  <c r="AQ492" i="3"/>
  <c r="A493" i="3"/>
  <c r="AB492" i="3"/>
  <c r="AH492" i="3"/>
  <c r="D492" i="3"/>
  <c r="L492" i="3"/>
  <c r="E492" i="3"/>
  <c r="Q492" i="3"/>
  <c r="U492" i="3"/>
  <c r="Y492" i="3"/>
  <c r="AO492" i="3"/>
  <c r="AW492" i="3"/>
  <c r="F492" i="3"/>
  <c r="AF492" i="3"/>
  <c r="AJ492" i="3"/>
  <c r="AT492" i="3"/>
  <c r="AX492" i="3"/>
  <c r="AV491" i="3"/>
  <c r="AU491" i="3"/>
  <c r="O491" i="3"/>
  <c r="P491" i="3" s="1"/>
  <c r="M491" i="3"/>
  <c r="N491" i="3" s="1"/>
  <c r="O492" i="3" l="1"/>
  <c r="P492" i="3" s="1"/>
  <c r="AV492" i="3"/>
  <c r="M492" i="3"/>
  <c r="N492" i="3" s="1"/>
  <c r="AU492" i="3"/>
  <c r="F493" i="3"/>
  <c r="AB493" i="3"/>
  <c r="AH493" i="3"/>
  <c r="AT493" i="3"/>
  <c r="K493" i="3"/>
  <c r="E493" i="3"/>
  <c r="S493" i="3"/>
  <c r="W493" i="3"/>
  <c r="AM493" i="3"/>
  <c r="AQ493" i="3"/>
  <c r="D493" i="3"/>
  <c r="L493" i="3"/>
  <c r="AF493" i="3"/>
  <c r="AJ493" i="3"/>
  <c r="AX493" i="3"/>
  <c r="A494" i="3"/>
  <c r="Q493" i="3"/>
  <c r="U493" i="3"/>
  <c r="Y493" i="3"/>
  <c r="AO493" i="3"/>
  <c r="AW493" i="3"/>
  <c r="AV493" i="3" l="1"/>
  <c r="AU493" i="3"/>
  <c r="O493" i="3"/>
  <c r="P493" i="3" s="1"/>
  <c r="M493" i="3"/>
  <c r="N493" i="3" s="1"/>
  <c r="K494" i="3"/>
  <c r="S494" i="3"/>
  <c r="W494" i="3"/>
  <c r="AM494" i="3"/>
  <c r="AQ494" i="3"/>
  <c r="A495" i="3"/>
  <c r="AB494" i="3"/>
  <c r="AH494" i="3"/>
  <c r="D494" i="3"/>
  <c r="L494" i="3"/>
  <c r="E494" i="3"/>
  <c r="Q494" i="3"/>
  <c r="U494" i="3"/>
  <c r="Y494" i="3"/>
  <c r="AO494" i="3"/>
  <c r="AW494" i="3"/>
  <c r="F494" i="3"/>
  <c r="AF494" i="3"/>
  <c r="AJ494" i="3"/>
  <c r="AT494" i="3"/>
  <c r="AX494" i="3"/>
  <c r="O494" i="3" l="1"/>
  <c r="P494" i="3" s="1"/>
  <c r="AV494" i="3"/>
  <c r="M494" i="3"/>
  <c r="N494" i="3" s="1"/>
  <c r="AU494" i="3"/>
  <c r="F495" i="3"/>
  <c r="AB495" i="3"/>
  <c r="AH495" i="3"/>
  <c r="AT495" i="3"/>
  <c r="K495" i="3"/>
  <c r="E495" i="3"/>
  <c r="S495" i="3"/>
  <c r="W495" i="3"/>
  <c r="AM495" i="3"/>
  <c r="AQ495" i="3"/>
  <c r="D495" i="3"/>
  <c r="L495" i="3"/>
  <c r="AF495" i="3"/>
  <c r="AJ495" i="3"/>
  <c r="AX495" i="3"/>
  <c r="A496" i="3"/>
  <c r="Q495" i="3"/>
  <c r="U495" i="3"/>
  <c r="Y495" i="3"/>
  <c r="AO495" i="3"/>
  <c r="AW495" i="3"/>
  <c r="AV495" i="3" l="1"/>
  <c r="AU495" i="3"/>
  <c r="O495" i="3"/>
  <c r="P495" i="3" s="1"/>
  <c r="M495" i="3"/>
  <c r="N495" i="3" s="1"/>
  <c r="K496" i="3"/>
  <c r="S496" i="3"/>
  <c r="W496" i="3"/>
  <c r="AM496" i="3"/>
  <c r="AQ496" i="3"/>
  <c r="A497" i="3"/>
  <c r="AB496" i="3"/>
  <c r="AH496" i="3"/>
  <c r="D496" i="3"/>
  <c r="L496" i="3"/>
  <c r="E496" i="3"/>
  <c r="Q496" i="3"/>
  <c r="U496" i="3"/>
  <c r="Y496" i="3"/>
  <c r="AO496" i="3"/>
  <c r="AW496" i="3"/>
  <c r="F496" i="3"/>
  <c r="AF496" i="3"/>
  <c r="AJ496" i="3"/>
  <c r="AT496" i="3"/>
  <c r="AX496" i="3"/>
  <c r="O496" i="3" l="1"/>
  <c r="P496" i="3" s="1"/>
  <c r="AV496" i="3"/>
  <c r="M496" i="3"/>
  <c r="N496" i="3" s="1"/>
  <c r="AU496" i="3"/>
  <c r="F497" i="3"/>
  <c r="AB497" i="3"/>
  <c r="AH497" i="3"/>
  <c r="K497" i="3"/>
  <c r="AX497" i="3"/>
  <c r="Q497" i="3"/>
  <c r="U497" i="3"/>
  <c r="Y497" i="3"/>
  <c r="AO497" i="3"/>
  <c r="AW497" i="3"/>
  <c r="D497" i="3"/>
  <c r="L497" i="3"/>
  <c r="AF497" i="3"/>
  <c r="AJ497" i="3"/>
  <c r="AT497" i="3"/>
  <c r="E497" i="3"/>
  <c r="S497" i="3"/>
  <c r="W497" i="3"/>
  <c r="AM497" i="3"/>
  <c r="AQ497" i="3"/>
  <c r="A498" i="3"/>
  <c r="K498" i="3" l="1"/>
  <c r="S498" i="3"/>
  <c r="W498" i="3"/>
  <c r="AM498" i="3"/>
  <c r="AQ498" i="3"/>
  <c r="A499" i="3"/>
  <c r="L498" i="3"/>
  <c r="AX498" i="3"/>
  <c r="AB498" i="3"/>
  <c r="AH498" i="3"/>
  <c r="E498" i="3"/>
  <c r="Q498" i="3"/>
  <c r="U498" i="3"/>
  <c r="Y498" i="3"/>
  <c r="AO498" i="3"/>
  <c r="AW498" i="3"/>
  <c r="D498" i="3"/>
  <c r="AT498" i="3"/>
  <c r="F498" i="3"/>
  <c r="AF498" i="3"/>
  <c r="AJ498" i="3"/>
  <c r="O497" i="3"/>
  <c r="P497" i="3" s="1"/>
  <c r="M497" i="3"/>
  <c r="N497" i="3" s="1"/>
  <c r="AV497" i="3"/>
  <c r="AU497" i="3"/>
  <c r="F499" i="3" l="1"/>
  <c r="AB499" i="3"/>
  <c r="AH499" i="3"/>
  <c r="AT499" i="3"/>
  <c r="E499" i="3"/>
  <c r="S499" i="3"/>
  <c r="W499" i="3"/>
  <c r="AM499" i="3"/>
  <c r="AQ499" i="3"/>
  <c r="K499" i="3"/>
  <c r="D499" i="3"/>
  <c r="L499" i="3"/>
  <c r="AF499" i="3"/>
  <c r="AJ499" i="3"/>
  <c r="AX499" i="3"/>
  <c r="Q499" i="3"/>
  <c r="U499" i="3"/>
  <c r="Y499" i="3"/>
  <c r="AO499" i="3"/>
  <c r="AW499" i="3"/>
  <c r="A500" i="3"/>
  <c r="M498" i="3"/>
  <c r="N498" i="3" s="1"/>
  <c r="AU498" i="3"/>
  <c r="O498" i="3"/>
  <c r="P498" i="3" s="1"/>
  <c r="AV498" i="3"/>
  <c r="K500" i="3" l="1"/>
  <c r="S500" i="3"/>
  <c r="W500" i="3"/>
  <c r="AM500" i="3"/>
  <c r="AQ500" i="3"/>
  <c r="A501" i="3"/>
  <c r="L500" i="3"/>
  <c r="AX500" i="3"/>
  <c r="AB500" i="3"/>
  <c r="AH500" i="3"/>
  <c r="E500" i="3"/>
  <c r="Q500" i="3"/>
  <c r="U500" i="3"/>
  <c r="Y500" i="3"/>
  <c r="AO500" i="3"/>
  <c r="AW500" i="3"/>
  <c r="D500" i="3"/>
  <c r="AT500" i="3"/>
  <c r="F500" i="3"/>
  <c r="AF500" i="3"/>
  <c r="AJ500" i="3"/>
  <c r="AV499" i="3"/>
  <c r="O499" i="3"/>
  <c r="P499" i="3" s="1"/>
  <c r="M499" i="3"/>
  <c r="N499" i="3" s="1"/>
  <c r="AU499" i="3"/>
  <c r="M500" i="3" l="1"/>
  <c r="N500" i="3" s="1"/>
  <c r="AU500" i="3"/>
  <c r="O500" i="3"/>
  <c r="P500" i="3" s="1"/>
  <c r="AV500" i="3"/>
  <c r="F501" i="3"/>
  <c r="AB501" i="3"/>
  <c r="AH501" i="3"/>
  <c r="AT501" i="3"/>
  <c r="E501" i="3"/>
  <c r="S501" i="3"/>
  <c r="W501" i="3"/>
  <c r="AM501" i="3"/>
  <c r="AQ501" i="3"/>
  <c r="K501" i="3"/>
  <c r="D501" i="3"/>
  <c r="L501" i="3"/>
  <c r="AF501" i="3"/>
  <c r="AJ501" i="3"/>
  <c r="AX501" i="3"/>
  <c r="Q501" i="3"/>
  <c r="U501" i="3"/>
  <c r="Y501" i="3"/>
  <c r="AO501" i="3"/>
  <c r="AW501" i="3"/>
  <c r="A502" i="3"/>
  <c r="K502" i="3" l="1"/>
  <c r="S502" i="3"/>
  <c r="W502" i="3"/>
  <c r="AM502" i="3"/>
  <c r="AQ502" i="3"/>
  <c r="A503" i="3"/>
  <c r="L502" i="3"/>
  <c r="AX502" i="3"/>
  <c r="AB502" i="3"/>
  <c r="AH502" i="3"/>
  <c r="E502" i="3"/>
  <c r="Q502" i="3"/>
  <c r="U502" i="3"/>
  <c r="Y502" i="3"/>
  <c r="AO502" i="3"/>
  <c r="AW502" i="3"/>
  <c r="D502" i="3"/>
  <c r="AT502" i="3"/>
  <c r="F502" i="3"/>
  <c r="AF502" i="3"/>
  <c r="AJ502" i="3"/>
  <c r="AV501" i="3"/>
  <c r="O501" i="3"/>
  <c r="P501" i="3" s="1"/>
  <c r="M501" i="3"/>
  <c r="N501" i="3" s="1"/>
  <c r="AU501" i="3"/>
  <c r="F503" i="3" l="1"/>
  <c r="AB503" i="3"/>
  <c r="AH503" i="3"/>
  <c r="AT503" i="3"/>
  <c r="E503" i="3"/>
  <c r="S503" i="3"/>
  <c r="W503" i="3"/>
  <c r="AM503" i="3"/>
  <c r="AQ503" i="3"/>
  <c r="K503" i="3"/>
  <c r="D503" i="3"/>
  <c r="L503" i="3"/>
  <c r="AF503" i="3"/>
  <c r="AJ503" i="3"/>
  <c r="AX503" i="3"/>
  <c r="Q503" i="3"/>
  <c r="U503" i="3"/>
  <c r="Y503" i="3"/>
  <c r="AO503" i="3"/>
  <c r="AW503" i="3"/>
  <c r="A504" i="3"/>
  <c r="M502" i="3"/>
  <c r="N502" i="3" s="1"/>
  <c r="AU502" i="3"/>
  <c r="O502" i="3"/>
  <c r="P502" i="3" s="1"/>
  <c r="AV502" i="3"/>
  <c r="K504" i="3" l="1"/>
  <c r="S504" i="3"/>
  <c r="W504" i="3"/>
  <c r="AM504" i="3"/>
  <c r="AQ504" i="3"/>
  <c r="A505" i="3"/>
  <c r="L504" i="3"/>
  <c r="AX504" i="3"/>
  <c r="AB504" i="3"/>
  <c r="AH504" i="3"/>
  <c r="E504" i="3"/>
  <c r="Q504" i="3"/>
  <c r="U504" i="3"/>
  <c r="Y504" i="3"/>
  <c r="AO504" i="3"/>
  <c r="AW504" i="3"/>
  <c r="D504" i="3"/>
  <c r="AT504" i="3"/>
  <c r="F504" i="3"/>
  <c r="AF504" i="3"/>
  <c r="AJ504" i="3"/>
  <c r="AV503" i="3"/>
  <c r="O503" i="3"/>
  <c r="P503" i="3" s="1"/>
  <c r="M503" i="3"/>
  <c r="N503" i="3" s="1"/>
  <c r="AU503" i="3"/>
  <c r="F505" i="3" l="1"/>
  <c r="AB505" i="3"/>
  <c r="AH505" i="3"/>
  <c r="AT505" i="3"/>
  <c r="E505" i="3"/>
  <c r="S505" i="3"/>
  <c r="W505" i="3"/>
  <c r="AM505" i="3"/>
  <c r="AQ505" i="3"/>
  <c r="K505" i="3"/>
  <c r="D505" i="3"/>
  <c r="L505" i="3"/>
  <c r="AF505" i="3"/>
  <c r="AJ505" i="3"/>
  <c r="AX505" i="3"/>
  <c r="Q505" i="3"/>
  <c r="U505" i="3"/>
  <c r="Y505" i="3"/>
  <c r="AO505" i="3"/>
  <c r="AW505" i="3"/>
  <c r="A506" i="3"/>
  <c r="M504" i="3"/>
  <c r="N504" i="3" s="1"/>
  <c r="AU504" i="3"/>
  <c r="O504" i="3"/>
  <c r="P504" i="3" s="1"/>
  <c r="AV504" i="3"/>
  <c r="K506" i="3" l="1"/>
  <c r="S506" i="3"/>
  <c r="W506" i="3"/>
  <c r="AM506" i="3"/>
  <c r="AQ506" i="3"/>
  <c r="A507" i="3"/>
  <c r="L506" i="3"/>
  <c r="AX506" i="3"/>
  <c r="AB506" i="3"/>
  <c r="AH506" i="3"/>
  <c r="E506" i="3"/>
  <c r="Q506" i="3"/>
  <c r="U506" i="3"/>
  <c r="Y506" i="3"/>
  <c r="AO506" i="3"/>
  <c r="AW506" i="3"/>
  <c r="D506" i="3"/>
  <c r="AT506" i="3"/>
  <c r="F506" i="3"/>
  <c r="AF506" i="3"/>
  <c r="AJ506" i="3"/>
  <c r="AV505" i="3"/>
  <c r="O505" i="3"/>
  <c r="P505" i="3" s="1"/>
  <c r="M505" i="3"/>
  <c r="N505" i="3" s="1"/>
  <c r="AU505" i="3"/>
  <c r="F507" i="3" l="1"/>
  <c r="AB507" i="3"/>
  <c r="AH507" i="3"/>
  <c r="AT507" i="3"/>
  <c r="E507" i="3"/>
  <c r="S507" i="3"/>
  <c r="W507" i="3"/>
  <c r="AM507" i="3"/>
  <c r="AQ507" i="3"/>
  <c r="K507" i="3"/>
  <c r="D507" i="3"/>
  <c r="L507" i="3"/>
  <c r="AF507" i="3"/>
  <c r="AJ507" i="3"/>
  <c r="AX507" i="3"/>
  <c r="Q507" i="3"/>
  <c r="U507" i="3"/>
  <c r="Y507" i="3"/>
  <c r="AO507" i="3"/>
  <c r="AW507" i="3"/>
  <c r="A508" i="3"/>
  <c r="M506" i="3"/>
  <c r="N506" i="3" s="1"/>
  <c r="AU506" i="3"/>
  <c r="O506" i="3"/>
  <c r="P506" i="3" s="1"/>
  <c r="AV506" i="3"/>
  <c r="K508" i="3" l="1"/>
  <c r="S508" i="3"/>
  <c r="W508" i="3"/>
  <c r="AM508" i="3"/>
  <c r="AQ508" i="3"/>
  <c r="A509" i="3"/>
  <c r="L508" i="3"/>
  <c r="AX508" i="3"/>
  <c r="AB508" i="3"/>
  <c r="AH508" i="3"/>
  <c r="E508" i="3"/>
  <c r="Q508" i="3"/>
  <c r="U508" i="3"/>
  <c r="Y508" i="3"/>
  <c r="AO508" i="3"/>
  <c r="AW508" i="3"/>
  <c r="D508" i="3"/>
  <c r="AT508" i="3"/>
  <c r="F508" i="3"/>
  <c r="AF508" i="3"/>
  <c r="AJ508" i="3"/>
  <c r="AV507" i="3"/>
  <c r="O507" i="3"/>
  <c r="P507" i="3" s="1"/>
  <c r="M507" i="3"/>
  <c r="N507" i="3" s="1"/>
  <c r="AU507" i="3"/>
  <c r="F509" i="3" l="1"/>
  <c r="AB509" i="3"/>
  <c r="AH509" i="3"/>
  <c r="AT509" i="3"/>
  <c r="E509" i="3"/>
  <c r="S509" i="3"/>
  <c r="W509" i="3"/>
  <c r="AM509" i="3"/>
  <c r="AQ509" i="3"/>
  <c r="K509" i="3"/>
  <c r="D509" i="3"/>
  <c r="L509" i="3"/>
  <c r="AF509" i="3"/>
  <c r="AJ509" i="3"/>
  <c r="AX509" i="3"/>
  <c r="Q509" i="3"/>
  <c r="U509" i="3"/>
  <c r="Y509" i="3"/>
  <c r="AO509" i="3"/>
  <c r="AW509" i="3"/>
  <c r="A510" i="3"/>
  <c r="M508" i="3"/>
  <c r="N508" i="3" s="1"/>
  <c r="AU508" i="3"/>
  <c r="O508" i="3"/>
  <c r="P508" i="3" s="1"/>
  <c r="AV508" i="3"/>
  <c r="K510" i="3" l="1"/>
  <c r="S510" i="3"/>
  <c r="W510" i="3"/>
  <c r="AM510" i="3"/>
  <c r="AQ510" i="3"/>
  <c r="A511" i="3"/>
  <c r="L510" i="3"/>
  <c r="AX510" i="3"/>
  <c r="AB510" i="3"/>
  <c r="AH510" i="3"/>
  <c r="E510" i="3"/>
  <c r="Q510" i="3"/>
  <c r="U510" i="3"/>
  <c r="Y510" i="3"/>
  <c r="AO510" i="3"/>
  <c r="AW510" i="3"/>
  <c r="D510" i="3"/>
  <c r="AT510" i="3"/>
  <c r="F510" i="3"/>
  <c r="AF510" i="3"/>
  <c r="AJ510" i="3"/>
  <c r="AV509" i="3"/>
  <c r="O509" i="3"/>
  <c r="P509" i="3" s="1"/>
  <c r="M509" i="3"/>
  <c r="N509" i="3" s="1"/>
  <c r="AU509" i="3"/>
  <c r="F511" i="3" l="1"/>
  <c r="AB511" i="3"/>
  <c r="AH511" i="3"/>
  <c r="AT511" i="3"/>
  <c r="E511" i="3"/>
  <c r="S511" i="3"/>
  <c r="W511" i="3"/>
  <c r="AM511" i="3"/>
  <c r="AQ511" i="3"/>
  <c r="K511" i="3"/>
  <c r="D511" i="3"/>
  <c r="L511" i="3"/>
  <c r="AF511" i="3"/>
  <c r="AJ511" i="3"/>
  <c r="AX511" i="3"/>
  <c r="Q511" i="3"/>
  <c r="U511" i="3"/>
  <c r="Y511" i="3"/>
  <c r="AO511" i="3"/>
  <c r="AW511" i="3"/>
  <c r="A512" i="3"/>
  <c r="M510" i="3"/>
  <c r="N510" i="3" s="1"/>
  <c r="AU510" i="3"/>
  <c r="O510" i="3"/>
  <c r="P510" i="3" s="1"/>
  <c r="AV510" i="3"/>
  <c r="K512" i="3" l="1"/>
  <c r="S512" i="3"/>
  <c r="W512" i="3"/>
  <c r="AM512" i="3"/>
  <c r="AQ512" i="3"/>
  <c r="A513" i="3"/>
  <c r="L512" i="3"/>
  <c r="AX512" i="3"/>
  <c r="AB512" i="3"/>
  <c r="AH512" i="3"/>
  <c r="E512" i="3"/>
  <c r="Q512" i="3"/>
  <c r="U512" i="3"/>
  <c r="Y512" i="3"/>
  <c r="AO512" i="3"/>
  <c r="AW512" i="3"/>
  <c r="D512" i="3"/>
  <c r="AT512" i="3"/>
  <c r="F512" i="3"/>
  <c r="AF512" i="3"/>
  <c r="AJ512" i="3"/>
  <c r="AV511" i="3"/>
  <c r="O511" i="3"/>
  <c r="P511" i="3" s="1"/>
  <c r="M511" i="3"/>
  <c r="N511" i="3" s="1"/>
  <c r="AU511" i="3"/>
  <c r="F513" i="3" l="1"/>
  <c r="AB513" i="3"/>
  <c r="AH513" i="3"/>
  <c r="AT513" i="3"/>
  <c r="E513" i="3"/>
  <c r="S513" i="3"/>
  <c r="W513" i="3"/>
  <c r="AM513" i="3"/>
  <c r="AQ513" i="3"/>
  <c r="K513" i="3"/>
  <c r="D513" i="3"/>
  <c r="L513" i="3"/>
  <c r="AF513" i="3"/>
  <c r="AJ513" i="3"/>
  <c r="AX513" i="3"/>
  <c r="Q513" i="3"/>
  <c r="U513" i="3"/>
  <c r="Y513" i="3"/>
  <c r="AO513" i="3"/>
  <c r="AW513" i="3"/>
  <c r="A514" i="3"/>
  <c r="M512" i="3"/>
  <c r="N512" i="3" s="1"/>
  <c r="AU512" i="3"/>
  <c r="O512" i="3"/>
  <c r="P512" i="3" s="1"/>
  <c r="AV512" i="3"/>
  <c r="K514" i="3" l="1"/>
  <c r="S514" i="3"/>
  <c r="W514" i="3"/>
  <c r="AM514" i="3"/>
  <c r="AQ514" i="3"/>
  <c r="A515" i="3"/>
  <c r="L514" i="3"/>
  <c r="AX514" i="3"/>
  <c r="AB514" i="3"/>
  <c r="AH514" i="3"/>
  <c r="E514" i="3"/>
  <c r="Q514" i="3"/>
  <c r="U514" i="3"/>
  <c r="Y514" i="3"/>
  <c r="AO514" i="3"/>
  <c r="AW514" i="3"/>
  <c r="D514" i="3"/>
  <c r="AT514" i="3"/>
  <c r="F514" i="3"/>
  <c r="AF514" i="3"/>
  <c r="AJ514" i="3"/>
  <c r="AV513" i="3"/>
  <c r="O513" i="3"/>
  <c r="P513" i="3" s="1"/>
  <c r="M513" i="3"/>
  <c r="N513" i="3" s="1"/>
  <c r="AU513" i="3"/>
  <c r="F515" i="3" l="1"/>
  <c r="AB515" i="3"/>
  <c r="AH515" i="3"/>
  <c r="AT515" i="3"/>
  <c r="E515" i="3"/>
  <c r="S515" i="3"/>
  <c r="W515" i="3"/>
  <c r="AM515" i="3"/>
  <c r="AQ515" i="3"/>
  <c r="K515" i="3"/>
  <c r="D515" i="3"/>
  <c r="L515" i="3"/>
  <c r="AF515" i="3"/>
  <c r="AJ515" i="3"/>
  <c r="AX515" i="3"/>
  <c r="Q515" i="3"/>
  <c r="U515" i="3"/>
  <c r="Y515" i="3"/>
  <c r="AO515" i="3"/>
  <c r="AW515" i="3"/>
  <c r="A516" i="3"/>
  <c r="M514" i="3"/>
  <c r="N514" i="3" s="1"/>
  <c r="AU514" i="3"/>
  <c r="O514" i="3"/>
  <c r="P514" i="3" s="1"/>
  <c r="AV514" i="3"/>
  <c r="K516" i="3" l="1"/>
  <c r="S516" i="3"/>
  <c r="W516" i="3"/>
  <c r="AM516" i="3"/>
  <c r="L516" i="3"/>
  <c r="AX516" i="3"/>
  <c r="AB516" i="3"/>
  <c r="AH516" i="3"/>
  <c r="AO516" i="3"/>
  <c r="AW516" i="3"/>
  <c r="E516" i="3"/>
  <c r="Q516" i="3"/>
  <c r="U516" i="3"/>
  <c r="Y516" i="3"/>
  <c r="D516" i="3"/>
  <c r="AT516" i="3"/>
  <c r="F516" i="3"/>
  <c r="AF516" i="3"/>
  <c r="AJ516" i="3"/>
  <c r="AQ516" i="3"/>
  <c r="A517" i="3"/>
  <c r="AV515" i="3"/>
  <c r="O515" i="3"/>
  <c r="P515" i="3" s="1"/>
  <c r="M515" i="3"/>
  <c r="N515" i="3" s="1"/>
  <c r="AU515" i="3"/>
  <c r="M516" i="3" l="1"/>
  <c r="N516" i="3" s="1"/>
  <c r="AV516" i="3"/>
  <c r="O516" i="3"/>
  <c r="P516" i="3" s="1"/>
  <c r="AU516" i="3"/>
  <c r="K517" i="3"/>
  <c r="S517" i="3"/>
  <c r="W517" i="3"/>
  <c r="AM517" i="3"/>
  <c r="AQ517" i="3"/>
  <c r="A518" i="3"/>
  <c r="L517" i="3"/>
  <c r="AX517" i="3"/>
  <c r="AB517" i="3"/>
  <c r="AH517" i="3"/>
  <c r="E517" i="3"/>
  <c r="Q517" i="3"/>
  <c r="U517" i="3"/>
  <c r="Y517" i="3"/>
  <c r="AO517" i="3"/>
  <c r="AW517" i="3"/>
  <c r="D517" i="3"/>
  <c r="AT517" i="3"/>
  <c r="F517" i="3"/>
  <c r="AF517" i="3"/>
  <c r="AJ517" i="3"/>
  <c r="F518" i="3" l="1"/>
  <c r="AB518" i="3"/>
  <c r="AH518" i="3"/>
  <c r="AT518" i="3"/>
  <c r="E518" i="3"/>
  <c r="S518" i="3"/>
  <c r="W518" i="3"/>
  <c r="AM518" i="3"/>
  <c r="AQ518" i="3"/>
  <c r="K518" i="3"/>
  <c r="D518" i="3"/>
  <c r="L518" i="3"/>
  <c r="AF518" i="3"/>
  <c r="AJ518" i="3"/>
  <c r="AX518" i="3"/>
  <c r="Q518" i="3"/>
  <c r="U518" i="3"/>
  <c r="Y518" i="3"/>
  <c r="AO518" i="3"/>
  <c r="AW518" i="3"/>
  <c r="A519" i="3"/>
  <c r="M517" i="3"/>
  <c r="N517" i="3" s="1"/>
  <c r="AU517" i="3"/>
  <c r="O517" i="3"/>
  <c r="P517" i="3" s="1"/>
  <c r="AV517" i="3"/>
  <c r="K519" i="3" l="1"/>
  <c r="S519" i="3"/>
  <c r="W519" i="3"/>
  <c r="AM519" i="3"/>
  <c r="AQ519" i="3"/>
  <c r="A520" i="3"/>
  <c r="L519" i="3"/>
  <c r="AX519" i="3"/>
  <c r="AB519" i="3"/>
  <c r="AH519" i="3"/>
  <c r="E519" i="3"/>
  <c r="Q519" i="3"/>
  <c r="U519" i="3"/>
  <c r="Y519" i="3"/>
  <c r="AO519" i="3"/>
  <c r="AW519" i="3"/>
  <c r="D519" i="3"/>
  <c r="AT519" i="3"/>
  <c r="F519" i="3"/>
  <c r="AF519" i="3"/>
  <c r="AJ519" i="3"/>
  <c r="AV518" i="3"/>
  <c r="O518" i="3"/>
  <c r="P518" i="3" s="1"/>
  <c r="M518" i="3"/>
  <c r="N518" i="3" s="1"/>
  <c r="AU518" i="3"/>
  <c r="F520" i="3" l="1"/>
  <c r="AB520" i="3"/>
  <c r="AH520" i="3"/>
  <c r="AT520" i="3"/>
  <c r="E520" i="3"/>
  <c r="S520" i="3"/>
  <c r="W520" i="3"/>
  <c r="AM520" i="3"/>
  <c r="AQ520" i="3"/>
  <c r="K520" i="3"/>
  <c r="D520" i="3"/>
  <c r="L520" i="3"/>
  <c r="AF520" i="3"/>
  <c r="AJ520" i="3"/>
  <c r="AX520" i="3"/>
  <c r="Q520" i="3"/>
  <c r="U520" i="3"/>
  <c r="Y520" i="3"/>
  <c r="AO520" i="3"/>
  <c r="AW520" i="3"/>
  <c r="A521" i="3"/>
  <c r="M519" i="3"/>
  <c r="N519" i="3" s="1"/>
  <c r="AU519" i="3"/>
  <c r="O519" i="3"/>
  <c r="P519" i="3" s="1"/>
  <c r="AV519" i="3"/>
  <c r="K521" i="3" l="1"/>
  <c r="S521" i="3"/>
  <c r="W521" i="3"/>
  <c r="AM521" i="3"/>
  <c r="AQ521" i="3"/>
  <c r="A522" i="3"/>
  <c r="L521" i="3"/>
  <c r="AX521" i="3"/>
  <c r="AB521" i="3"/>
  <c r="AH521" i="3"/>
  <c r="E521" i="3"/>
  <c r="Q521" i="3"/>
  <c r="U521" i="3"/>
  <c r="Y521" i="3"/>
  <c r="AO521" i="3"/>
  <c r="AW521" i="3"/>
  <c r="D521" i="3"/>
  <c r="AT521" i="3"/>
  <c r="F521" i="3"/>
  <c r="AF521" i="3"/>
  <c r="AJ521" i="3"/>
  <c r="AV520" i="3"/>
  <c r="O520" i="3"/>
  <c r="P520" i="3" s="1"/>
  <c r="M520" i="3"/>
  <c r="N520" i="3" s="1"/>
  <c r="AU520" i="3"/>
  <c r="F522" i="3" l="1"/>
  <c r="AB522" i="3"/>
  <c r="AH522" i="3"/>
  <c r="AT522" i="3"/>
  <c r="E522" i="3"/>
  <c r="S522" i="3"/>
  <c r="W522" i="3"/>
  <c r="AM522" i="3"/>
  <c r="AQ522" i="3"/>
  <c r="K522" i="3"/>
  <c r="D522" i="3"/>
  <c r="L522" i="3"/>
  <c r="AF522" i="3"/>
  <c r="AJ522" i="3"/>
  <c r="AX522" i="3"/>
  <c r="Q522" i="3"/>
  <c r="U522" i="3"/>
  <c r="Y522" i="3"/>
  <c r="AO522" i="3"/>
  <c r="AW522" i="3"/>
  <c r="A523" i="3"/>
  <c r="M521" i="3"/>
  <c r="N521" i="3" s="1"/>
  <c r="AU521" i="3"/>
  <c r="O521" i="3"/>
  <c r="P521" i="3" s="1"/>
  <c r="AV521" i="3"/>
  <c r="K523" i="3" l="1"/>
  <c r="S523" i="3"/>
  <c r="W523" i="3"/>
  <c r="AM523" i="3"/>
  <c r="AQ523" i="3"/>
  <c r="A524" i="3"/>
  <c r="L523" i="3"/>
  <c r="AX523" i="3"/>
  <c r="AB523" i="3"/>
  <c r="AH523" i="3"/>
  <c r="E523" i="3"/>
  <c r="Q523" i="3"/>
  <c r="U523" i="3"/>
  <c r="Y523" i="3"/>
  <c r="AO523" i="3"/>
  <c r="AW523" i="3"/>
  <c r="D523" i="3"/>
  <c r="AT523" i="3"/>
  <c r="F523" i="3"/>
  <c r="AF523" i="3"/>
  <c r="AJ523" i="3"/>
  <c r="AV522" i="3"/>
  <c r="O522" i="3"/>
  <c r="P522" i="3" s="1"/>
  <c r="M522" i="3"/>
  <c r="N522" i="3" s="1"/>
  <c r="AU522" i="3"/>
  <c r="F524" i="3" l="1"/>
  <c r="AB524" i="3"/>
  <c r="AH524" i="3"/>
  <c r="AT524" i="3"/>
  <c r="E524" i="3"/>
  <c r="S524" i="3"/>
  <c r="W524" i="3"/>
  <c r="AM524" i="3"/>
  <c r="AQ524" i="3"/>
  <c r="K524" i="3"/>
  <c r="D524" i="3"/>
  <c r="L524" i="3"/>
  <c r="AF524" i="3"/>
  <c r="AJ524" i="3"/>
  <c r="AX524" i="3"/>
  <c r="Q524" i="3"/>
  <c r="U524" i="3"/>
  <c r="Y524" i="3"/>
  <c r="AO524" i="3"/>
  <c r="AW524" i="3"/>
  <c r="A525" i="3"/>
  <c r="M523" i="3"/>
  <c r="N523" i="3" s="1"/>
  <c r="AU523" i="3"/>
  <c r="O523" i="3"/>
  <c r="P523" i="3" s="1"/>
  <c r="AV523" i="3"/>
  <c r="K525" i="3" l="1"/>
  <c r="S525" i="3"/>
  <c r="W525" i="3"/>
  <c r="AM525" i="3"/>
  <c r="AQ525" i="3"/>
  <c r="A526" i="3"/>
  <c r="L525" i="3"/>
  <c r="AX525" i="3"/>
  <c r="AB525" i="3"/>
  <c r="AH525" i="3"/>
  <c r="E525" i="3"/>
  <c r="Q525" i="3"/>
  <c r="U525" i="3"/>
  <c r="Y525" i="3"/>
  <c r="AO525" i="3"/>
  <c r="AW525" i="3"/>
  <c r="D525" i="3"/>
  <c r="AT525" i="3"/>
  <c r="F525" i="3"/>
  <c r="AF525" i="3"/>
  <c r="AJ525" i="3"/>
  <c r="AV524" i="3"/>
  <c r="O524" i="3"/>
  <c r="P524" i="3" s="1"/>
  <c r="M524" i="3"/>
  <c r="N524" i="3" s="1"/>
  <c r="AU524" i="3"/>
  <c r="F526" i="3" l="1"/>
  <c r="AB526" i="3"/>
  <c r="AH526" i="3"/>
  <c r="AT526" i="3"/>
  <c r="E526" i="3"/>
  <c r="S526" i="3"/>
  <c r="W526" i="3"/>
  <c r="AM526" i="3"/>
  <c r="AQ526" i="3"/>
  <c r="K526" i="3"/>
  <c r="D526" i="3"/>
  <c r="L526" i="3"/>
  <c r="AF526" i="3"/>
  <c r="AJ526" i="3"/>
  <c r="AX526" i="3"/>
  <c r="Q526" i="3"/>
  <c r="U526" i="3"/>
  <c r="Y526" i="3"/>
  <c r="AO526" i="3"/>
  <c r="AW526" i="3"/>
  <c r="A527" i="3"/>
  <c r="M525" i="3"/>
  <c r="N525" i="3" s="1"/>
  <c r="AU525" i="3"/>
  <c r="O525" i="3"/>
  <c r="P525" i="3" s="1"/>
  <c r="AV525" i="3"/>
  <c r="K527" i="3" l="1"/>
  <c r="S527" i="3"/>
  <c r="W527" i="3"/>
  <c r="AM527" i="3"/>
  <c r="AQ527" i="3"/>
  <c r="A528" i="3"/>
  <c r="L527" i="3"/>
  <c r="AX527" i="3"/>
  <c r="AB527" i="3"/>
  <c r="AH527" i="3"/>
  <c r="E527" i="3"/>
  <c r="Q527" i="3"/>
  <c r="U527" i="3"/>
  <c r="Y527" i="3"/>
  <c r="AO527" i="3"/>
  <c r="AW527" i="3"/>
  <c r="D527" i="3"/>
  <c r="AT527" i="3"/>
  <c r="F527" i="3"/>
  <c r="AF527" i="3"/>
  <c r="AJ527" i="3"/>
  <c r="AV526" i="3"/>
  <c r="O526" i="3"/>
  <c r="P526" i="3" s="1"/>
  <c r="M526" i="3"/>
  <c r="N526" i="3" s="1"/>
  <c r="AU526" i="3"/>
  <c r="F528" i="3" l="1"/>
  <c r="AB528" i="3"/>
  <c r="AH528" i="3"/>
  <c r="AT528" i="3"/>
  <c r="E528" i="3"/>
  <c r="S528" i="3"/>
  <c r="W528" i="3"/>
  <c r="AM528" i="3"/>
  <c r="AQ528" i="3"/>
  <c r="K528" i="3"/>
  <c r="D528" i="3"/>
  <c r="L528" i="3"/>
  <c r="AF528" i="3"/>
  <c r="AJ528" i="3"/>
  <c r="AX528" i="3"/>
  <c r="Q528" i="3"/>
  <c r="U528" i="3"/>
  <c r="Y528" i="3"/>
  <c r="AO528" i="3"/>
  <c r="AW528" i="3"/>
  <c r="A529" i="3"/>
  <c r="M527" i="3"/>
  <c r="N527" i="3" s="1"/>
  <c r="AU527" i="3"/>
  <c r="O527" i="3"/>
  <c r="P527" i="3" s="1"/>
  <c r="AV527" i="3"/>
  <c r="K529" i="3" l="1"/>
  <c r="S529" i="3"/>
  <c r="W529" i="3"/>
  <c r="AM529" i="3"/>
  <c r="AQ529" i="3"/>
  <c r="A530" i="3"/>
  <c r="L529" i="3"/>
  <c r="AX529" i="3"/>
  <c r="AB529" i="3"/>
  <c r="AH529" i="3"/>
  <c r="E529" i="3"/>
  <c r="Q529" i="3"/>
  <c r="U529" i="3"/>
  <c r="Y529" i="3"/>
  <c r="AO529" i="3"/>
  <c r="AW529" i="3"/>
  <c r="D529" i="3"/>
  <c r="AT529" i="3"/>
  <c r="F529" i="3"/>
  <c r="AF529" i="3"/>
  <c r="AJ529" i="3"/>
  <c r="AV528" i="3"/>
  <c r="O528" i="3"/>
  <c r="P528" i="3" s="1"/>
  <c r="M528" i="3"/>
  <c r="N528" i="3" s="1"/>
  <c r="AU528" i="3"/>
  <c r="F530" i="3" l="1"/>
  <c r="AB530" i="3"/>
  <c r="AH530" i="3"/>
  <c r="AT530" i="3"/>
  <c r="E530" i="3"/>
  <c r="S530" i="3"/>
  <c r="W530" i="3"/>
  <c r="AM530" i="3"/>
  <c r="AQ530" i="3"/>
  <c r="K530" i="3"/>
  <c r="D530" i="3"/>
  <c r="L530" i="3"/>
  <c r="AF530" i="3"/>
  <c r="AJ530" i="3"/>
  <c r="AX530" i="3"/>
  <c r="Q530" i="3"/>
  <c r="U530" i="3"/>
  <c r="Y530" i="3"/>
  <c r="AO530" i="3"/>
  <c r="AW530" i="3"/>
  <c r="A531" i="3"/>
  <c r="M529" i="3"/>
  <c r="N529" i="3" s="1"/>
  <c r="AU529" i="3"/>
  <c r="O529" i="3"/>
  <c r="P529" i="3" s="1"/>
  <c r="AV529" i="3"/>
  <c r="K531" i="3" l="1"/>
  <c r="S531" i="3"/>
  <c r="W531" i="3"/>
  <c r="AM531" i="3"/>
  <c r="AQ531" i="3"/>
  <c r="A532" i="3"/>
  <c r="L531" i="3"/>
  <c r="AX531" i="3"/>
  <c r="AB531" i="3"/>
  <c r="AH531" i="3"/>
  <c r="E531" i="3"/>
  <c r="Q531" i="3"/>
  <c r="U531" i="3"/>
  <c r="Y531" i="3"/>
  <c r="AO531" i="3"/>
  <c r="AW531" i="3"/>
  <c r="D531" i="3"/>
  <c r="AT531" i="3"/>
  <c r="F531" i="3"/>
  <c r="AF531" i="3"/>
  <c r="AJ531" i="3"/>
  <c r="AV530" i="3"/>
  <c r="O530" i="3"/>
  <c r="P530" i="3" s="1"/>
  <c r="M530" i="3"/>
  <c r="N530" i="3" s="1"/>
  <c r="AU530" i="3"/>
  <c r="F532" i="3" l="1"/>
  <c r="AB532" i="3"/>
  <c r="AH532" i="3"/>
  <c r="AT532" i="3"/>
  <c r="E532" i="3"/>
  <c r="S532" i="3"/>
  <c r="W532" i="3"/>
  <c r="AM532" i="3"/>
  <c r="AQ532" i="3"/>
  <c r="K532" i="3"/>
  <c r="D532" i="3"/>
  <c r="L532" i="3"/>
  <c r="AF532" i="3"/>
  <c r="AJ532" i="3"/>
  <c r="AX532" i="3"/>
  <c r="Q532" i="3"/>
  <c r="U532" i="3"/>
  <c r="Y532" i="3"/>
  <c r="AO532" i="3"/>
  <c r="AW532" i="3"/>
  <c r="A533" i="3"/>
  <c r="M531" i="3"/>
  <c r="N531" i="3" s="1"/>
  <c r="AU531" i="3"/>
  <c r="O531" i="3"/>
  <c r="P531" i="3" s="1"/>
  <c r="AV531" i="3"/>
  <c r="K533" i="3" l="1"/>
  <c r="S533" i="3"/>
  <c r="W533" i="3"/>
  <c r="AM533" i="3"/>
  <c r="AQ533" i="3"/>
  <c r="A534" i="3"/>
  <c r="L533" i="3"/>
  <c r="AX533" i="3"/>
  <c r="AB533" i="3"/>
  <c r="AH533" i="3"/>
  <c r="E533" i="3"/>
  <c r="Q533" i="3"/>
  <c r="U533" i="3"/>
  <c r="Y533" i="3"/>
  <c r="AO533" i="3"/>
  <c r="AW533" i="3"/>
  <c r="D533" i="3"/>
  <c r="AT533" i="3"/>
  <c r="F533" i="3"/>
  <c r="AF533" i="3"/>
  <c r="AJ533" i="3"/>
  <c r="AV532" i="3"/>
  <c r="O532" i="3"/>
  <c r="P532" i="3" s="1"/>
  <c r="M532" i="3"/>
  <c r="N532" i="3" s="1"/>
  <c r="AU532" i="3"/>
  <c r="F534" i="3" l="1"/>
  <c r="AB534" i="3"/>
  <c r="AH534" i="3"/>
  <c r="AT534" i="3"/>
  <c r="E534" i="3"/>
  <c r="S534" i="3"/>
  <c r="W534" i="3"/>
  <c r="AM534" i="3"/>
  <c r="AQ534" i="3"/>
  <c r="K534" i="3"/>
  <c r="D534" i="3"/>
  <c r="L534" i="3"/>
  <c r="AF534" i="3"/>
  <c r="AJ534" i="3"/>
  <c r="AX534" i="3"/>
  <c r="Q534" i="3"/>
  <c r="U534" i="3"/>
  <c r="Y534" i="3"/>
  <c r="AO534" i="3"/>
  <c r="AW534" i="3"/>
  <c r="A535" i="3"/>
  <c r="M533" i="3"/>
  <c r="N533" i="3" s="1"/>
  <c r="AU533" i="3"/>
  <c r="O533" i="3"/>
  <c r="P533" i="3" s="1"/>
  <c r="AV533" i="3"/>
  <c r="K535" i="3" l="1"/>
  <c r="S535" i="3"/>
  <c r="W535" i="3"/>
  <c r="AM535" i="3"/>
  <c r="AQ535" i="3"/>
  <c r="A536" i="3"/>
  <c r="L535" i="3"/>
  <c r="AX535" i="3"/>
  <c r="AB535" i="3"/>
  <c r="AH535" i="3"/>
  <c r="E535" i="3"/>
  <c r="Q535" i="3"/>
  <c r="U535" i="3"/>
  <c r="Y535" i="3"/>
  <c r="AO535" i="3"/>
  <c r="AW535" i="3"/>
  <c r="D535" i="3"/>
  <c r="AT535" i="3"/>
  <c r="F535" i="3"/>
  <c r="AF535" i="3"/>
  <c r="AJ535" i="3"/>
  <c r="AV534" i="3"/>
  <c r="O534" i="3"/>
  <c r="P534" i="3" s="1"/>
  <c r="M534" i="3"/>
  <c r="N534" i="3" s="1"/>
  <c r="AU534" i="3"/>
  <c r="F536" i="3" l="1"/>
  <c r="AB536" i="3"/>
  <c r="AH536" i="3"/>
  <c r="AT536" i="3"/>
  <c r="E536" i="3"/>
  <c r="S536" i="3"/>
  <c r="W536" i="3"/>
  <c r="AM536" i="3"/>
  <c r="AQ536" i="3"/>
  <c r="K536" i="3"/>
  <c r="D536" i="3"/>
  <c r="L536" i="3"/>
  <c r="AF536" i="3"/>
  <c r="AJ536" i="3"/>
  <c r="AX536" i="3"/>
  <c r="Q536" i="3"/>
  <c r="U536" i="3"/>
  <c r="Y536" i="3"/>
  <c r="AO536" i="3"/>
  <c r="AW536" i="3"/>
  <c r="A537" i="3"/>
  <c r="M535" i="3"/>
  <c r="N535" i="3" s="1"/>
  <c r="AU535" i="3"/>
  <c r="O535" i="3"/>
  <c r="P535" i="3" s="1"/>
  <c r="AV535" i="3"/>
  <c r="K537" i="3" l="1"/>
  <c r="S537" i="3"/>
  <c r="W537" i="3"/>
  <c r="AM537" i="3"/>
  <c r="AQ537" i="3"/>
  <c r="A538" i="3"/>
  <c r="L537" i="3"/>
  <c r="AX537" i="3"/>
  <c r="AB537" i="3"/>
  <c r="AH537" i="3"/>
  <c r="E537" i="3"/>
  <c r="Q537" i="3"/>
  <c r="U537" i="3"/>
  <c r="Y537" i="3"/>
  <c r="AO537" i="3"/>
  <c r="AW537" i="3"/>
  <c r="D537" i="3"/>
  <c r="AT537" i="3"/>
  <c r="F537" i="3"/>
  <c r="AF537" i="3"/>
  <c r="AJ537" i="3"/>
  <c r="AV536" i="3"/>
  <c r="O536" i="3"/>
  <c r="P536" i="3" s="1"/>
  <c r="M536" i="3"/>
  <c r="N536" i="3" s="1"/>
  <c r="AU536" i="3"/>
  <c r="F538" i="3" l="1"/>
  <c r="AB538" i="3"/>
  <c r="AH538" i="3"/>
  <c r="AT538" i="3"/>
  <c r="E538" i="3"/>
  <c r="S538" i="3"/>
  <c r="W538" i="3"/>
  <c r="AM538" i="3"/>
  <c r="AQ538" i="3"/>
  <c r="K538" i="3"/>
  <c r="D538" i="3"/>
  <c r="L538" i="3"/>
  <c r="AF538" i="3"/>
  <c r="AJ538" i="3"/>
  <c r="AX538" i="3"/>
  <c r="Q538" i="3"/>
  <c r="U538" i="3"/>
  <c r="Y538" i="3"/>
  <c r="AO538" i="3"/>
  <c r="AW538" i="3"/>
  <c r="A539" i="3"/>
  <c r="M537" i="3"/>
  <c r="N537" i="3" s="1"/>
  <c r="AU537" i="3"/>
  <c r="O537" i="3"/>
  <c r="P537" i="3" s="1"/>
  <c r="AV537" i="3"/>
  <c r="K539" i="3" l="1"/>
  <c r="S539" i="3"/>
  <c r="W539" i="3"/>
  <c r="AM539" i="3"/>
  <c r="AQ539" i="3"/>
  <c r="A540" i="3"/>
  <c r="L539" i="3"/>
  <c r="AX539" i="3"/>
  <c r="AB539" i="3"/>
  <c r="AH539" i="3"/>
  <c r="E539" i="3"/>
  <c r="Q539" i="3"/>
  <c r="U539" i="3"/>
  <c r="Y539" i="3"/>
  <c r="AO539" i="3"/>
  <c r="AW539" i="3"/>
  <c r="D539" i="3"/>
  <c r="AT539" i="3"/>
  <c r="F539" i="3"/>
  <c r="AF539" i="3"/>
  <c r="AJ539" i="3"/>
  <c r="AV538" i="3"/>
  <c r="O538" i="3"/>
  <c r="P538" i="3" s="1"/>
  <c r="M538" i="3"/>
  <c r="N538" i="3" s="1"/>
  <c r="AU538" i="3"/>
  <c r="F540" i="3" l="1"/>
  <c r="AB540" i="3"/>
  <c r="AH540" i="3"/>
  <c r="AT540" i="3"/>
  <c r="E540" i="3"/>
  <c r="S540" i="3"/>
  <c r="W540" i="3"/>
  <c r="AM540" i="3"/>
  <c r="AQ540" i="3"/>
  <c r="K540" i="3"/>
  <c r="D540" i="3"/>
  <c r="L540" i="3"/>
  <c r="AF540" i="3"/>
  <c r="AJ540" i="3"/>
  <c r="AX540" i="3"/>
  <c r="Q540" i="3"/>
  <c r="U540" i="3"/>
  <c r="Y540" i="3"/>
  <c r="AO540" i="3"/>
  <c r="AW540" i="3"/>
  <c r="A541" i="3"/>
  <c r="M539" i="3"/>
  <c r="N539" i="3" s="1"/>
  <c r="AU539" i="3"/>
  <c r="O539" i="3"/>
  <c r="P539" i="3" s="1"/>
  <c r="AV539" i="3"/>
  <c r="K541" i="3" l="1"/>
  <c r="S541" i="3"/>
  <c r="W541" i="3"/>
  <c r="AM541" i="3"/>
  <c r="AQ541" i="3"/>
  <c r="A542" i="3"/>
  <c r="L541" i="3"/>
  <c r="AX541" i="3"/>
  <c r="AB541" i="3"/>
  <c r="AH541" i="3"/>
  <c r="E541" i="3"/>
  <c r="Q541" i="3"/>
  <c r="U541" i="3"/>
  <c r="Y541" i="3"/>
  <c r="AO541" i="3"/>
  <c r="AW541" i="3"/>
  <c r="D541" i="3"/>
  <c r="AT541" i="3"/>
  <c r="F541" i="3"/>
  <c r="AF541" i="3"/>
  <c r="AJ541" i="3"/>
  <c r="AV540" i="3"/>
  <c r="O540" i="3"/>
  <c r="P540" i="3" s="1"/>
  <c r="M540" i="3"/>
  <c r="N540" i="3" s="1"/>
  <c r="AU540" i="3"/>
  <c r="F542" i="3" l="1"/>
  <c r="AB542" i="3"/>
  <c r="AH542" i="3"/>
  <c r="AT542" i="3"/>
  <c r="E542" i="3"/>
  <c r="S542" i="3"/>
  <c r="W542" i="3"/>
  <c r="AM542" i="3"/>
  <c r="AQ542" i="3"/>
  <c r="K542" i="3"/>
  <c r="D542" i="3"/>
  <c r="L542" i="3"/>
  <c r="AF542" i="3"/>
  <c r="AJ542" i="3"/>
  <c r="AX542" i="3"/>
  <c r="Q542" i="3"/>
  <c r="U542" i="3"/>
  <c r="Y542" i="3"/>
  <c r="AO542" i="3"/>
  <c r="AW542" i="3"/>
  <c r="A543" i="3"/>
  <c r="M541" i="3"/>
  <c r="N541" i="3" s="1"/>
  <c r="AU541" i="3"/>
  <c r="O541" i="3"/>
  <c r="P541" i="3" s="1"/>
  <c r="AV541" i="3"/>
  <c r="K543" i="3" l="1"/>
  <c r="S543" i="3"/>
  <c r="W543" i="3"/>
  <c r="AM543" i="3"/>
  <c r="AQ543" i="3"/>
  <c r="A544" i="3"/>
  <c r="L543" i="3"/>
  <c r="AX543" i="3"/>
  <c r="AB543" i="3"/>
  <c r="AH543" i="3"/>
  <c r="E543" i="3"/>
  <c r="Q543" i="3"/>
  <c r="U543" i="3"/>
  <c r="Y543" i="3"/>
  <c r="AO543" i="3"/>
  <c r="AW543" i="3"/>
  <c r="D543" i="3"/>
  <c r="AT543" i="3"/>
  <c r="F543" i="3"/>
  <c r="AF543" i="3"/>
  <c r="AJ543" i="3"/>
  <c r="AV542" i="3"/>
  <c r="O542" i="3"/>
  <c r="P542" i="3" s="1"/>
  <c r="M542" i="3"/>
  <c r="N542" i="3" s="1"/>
  <c r="AU542" i="3"/>
  <c r="F544" i="3" l="1"/>
  <c r="AB544" i="3"/>
  <c r="AH544" i="3"/>
  <c r="AT544" i="3"/>
  <c r="E544" i="3"/>
  <c r="S544" i="3"/>
  <c r="W544" i="3"/>
  <c r="AM544" i="3"/>
  <c r="AQ544" i="3"/>
  <c r="K544" i="3"/>
  <c r="D544" i="3"/>
  <c r="L544" i="3"/>
  <c r="AF544" i="3"/>
  <c r="AJ544" i="3"/>
  <c r="AX544" i="3"/>
  <c r="Q544" i="3"/>
  <c r="U544" i="3"/>
  <c r="Y544" i="3"/>
  <c r="AO544" i="3"/>
  <c r="AW544" i="3"/>
  <c r="A545" i="3"/>
  <c r="M543" i="3"/>
  <c r="N543" i="3" s="1"/>
  <c r="AU543" i="3"/>
  <c r="O543" i="3"/>
  <c r="P543" i="3" s="1"/>
  <c r="AV543" i="3"/>
  <c r="K545" i="3" l="1"/>
  <c r="S545" i="3"/>
  <c r="W545" i="3"/>
  <c r="AM545" i="3"/>
  <c r="AQ545" i="3"/>
  <c r="A546" i="3"/>
  <c r="L545" i="3"/>
  <c r="AX545" i="3"/>
  <c r="AB545" i="3"/>
  <c r="AH545" i="3"/>
  <c r="E545" i="3"/>
  <c r="Q545" i="3"/>
  <c r="U545" i="3"/>
  <c r="Y545" i="3"/>
  <c r="AO545" i="3"/>
  <c r="AW545" i="3"/>
  <c r="D545" i="3"/>
  <c r="AT545" i="3"/>
  <c r="F545" i="3"/>
  <c r="AF545" i="3"/>
  <c r="AJ545" i="3"/>
  <c r="AV544" i="3"/>
  <c r="O544" i="3"/>
  <c r="M544" i="3"/>
  <c r="AU544" i="3"/>
  <c r="N544" i="3" l="1"/>
  <c r="F546" i="3"/>
  <c r="AB546" i="3"/>
  <c r="AH546" i="3"/>
  <c r="AT546" i="3"/>
  <c r="E546" i="3"/>
  <c r="S546" i="3"/>
  <c r="W546" i="3"/>
  <c r="AM546" i="3"/>
  <c r="AQ546" i="3"/>
  <c r="K546" i="3"/>
  <c r="D546" i="3"/>
  <c r="L546" i="3"/>
  <c r="AF546" i="3"/>
  <c r="AJ546" i="3"/>
  <c r="AX546" i="3"/>
  <c r="Q546" i="3"/>
  <c r="U546" i="3"/>
  <c r="Y546" i="3"/>
  <c r="AO546" i="3"/>
  <c r="AW546" i="3"/>
  <c r="A547" i="3"/>
  <c r="P544" i="3"/>
  <c r="M545" i="3"/>
  <c r="N545" i="3" s="1"/>
  <c r="AU545" i="3"/>
  <c r="O545" i="3"/>
  <c r="P545" i="3" s="1"/>
  <c r="AV545" i="3"/>
  <c r="K547" i="3" l="1"/>
  <c r="S547" i="3"/>
  <c r="W547" i="3"/>
  <c r="AM547" i="3"/>
  <c r="AQ547" i="3"/>
  <c r="A548" i="3"/>
  <c r="L547" i="3"/>
  <c r="AX547" i="3"/>
  <c r="AB547" i="3"/>
  <c r="AH547" i="3"/>
  <c r="E547" i="3"/>
  <c r="Q547" i="3"/>
  <c r="U547" i="3"/>
  <c r="Y547" i="3"/>
  <c r="AO547" i="3"/>
  <c r="AW547" i="3"/>
  <c r="D547" i="3"/>
  <c r="AT547" i="3"/>
  <c r="F547" i="3"/>
  <c r="AF547" i="3"/>
  <c r="AJ547" i="3"/>
  <c r="AV546" i="3"/>
  <c r="O546" i="3"/>
  <c r="P546" i="3" s="1"/>
  <c r="M546" i="3"/>
  <c r="N546" i="3" s="1"/>
  <c r="AU546" i="3"/>
  <c r="M547" i="3" l="1"/>
  <c r="AU547" i="3"/>
  <c r="O547" i="3"/>
  <c r="AV547" i="3"/>
  <c r="F548" i="3"/>
  <c r="AB548" i="3"/>
  <c r="AH548" i="3"/>
  <c r="AT548" i="3"/>
  <c r="E548" i="3"/>
  <c r="S548" i="3"/>
  <c r="W548" i="3"/>
  <c r="AM548" i="3"/>
  <c r="AQ548" i="3"/>
  <c r="K548" i="3"/>
  <c r="D548" i="3"/>
  <c r="L548" i="3"/>
  <c r="AF548" i="3"/>
  <c r="AJ548" i="3"/>
  <c r="AX548" i="3"/>
  <c r="Q548" i="3"/>
  <c r="U548" i="3"/>
  <c r="Y548" i="3"/>
  <c r="AO548" i="3"/>
  <c r="AW548" i="3"/>
  <c r="A549" i="3"/>
  <c r="K549" i="3" l="1"/>
  <c r="S549" i="3"/>
  <c r="W549" i="3"/>
  <c r="AM549" i="3"/>
  <c r="AQ549" i="3"/>
  <c r="A550" i="3"/>
  <c r="L549" i="3"/>
  <c r="AX549" i="3"/>
  <c r="AB549" i="3"/>
  <c r="AH549" i="3"/>
  <c r="E549" i="3"/>
  <c r="Q549" i="3"/>
  <c r="U549" i="3"/>
  <c r="Y549" i="3"/>
  <c r="AO549" i="3"/>
  <c r="AW549" i="3"/>
  <c r="D549" i="3"/>
  <c r="AT549" i="3"/>
  <c r="F549" i="3"/>
  <c r="AF549" i="3"/>
  <c r="AJ549" i="3"/>
  <c r="AV548" i="3"/>
  <c r="O548" i="3"/>
  <c r="M548" i="3"/>
  <c r="AU548" i="3"/>
  <c r="P547" i="3"/>
  <c r="N547" i="3"/>
  <c r="P548" i="3" l="1"/>
  <c r="M549" i="3"/>
  <c r="AU549" i="3"/>
  <c r="O549" i="3"/>
  <c r="AV549" i="3"/>
  <c r="N548" i="3"/>
  <c r="F550" i="3"/>
  <c r="E550" i="3"/>
  <c r="AF550" i="3"/>
  <c r="AJ550" i="3"/>
  <c r="AX550" i="3"/>
  <c r="Q550" i="3"/>
  <c r="U550" i="3"/>
  <c r="Y550" i="3"/>
  <c r="AO550" i="3"/>
  <c r="K550" i="3"/>
  <c r="D550" i="3"/>
  <c r="L550" i="3"/>
  <c r="AB550" i="3"/>
  <c r="AH550" i="3"/>
  <c r="AT550" i="3"/>
  <c r="A551" i="3"/>
  <c r="S550" i="3"/>
  <c r="W550" i="3"/>
  <c r="AM550" i="3"/>
  <c r="AQ550" i="3"/>
  <c r="AW550" i="3"/>
  <c r="K551" i="3" l="1"/>
  <c r="S551" i="3"/>
  <c r="W551" i="3"/>
  <c r="AM551" i="3"/>
  <c r="AQ551" i="3"/>
  <c r="A552" i="3"/>
  <c r="AB551" i="3"/>
  <c r="AH551" i="3"/>
  <c r="D551" i="3"/>
  <c r="L551" i="3"/>
  <c r="E551" i="3"/>
  <c r="Q551" i="3"/>
  <c r="U551" i="3"/>
  <c r="Y551" i="3"/>
  <c r="AO551" i="3"/>
  <c r="AW551" i="3"/>
  <c r="F551" i="3"/>
  <c r="AF551" i="3"/>
  <c r="AJ551" i="3"/>
  <c r="AT551" i="3"/>
  <c r="AX551" i="3"/>
  <c r="M550" i="3"/>
  <c r="O550" i="3"/>
  <c r="AV550" i="3"/>
  <c r="AU550" i="3"/>
  <c r="P549" i="3"/>
  <c r="N549" i="3"/>
  <c r="N550" i="3" l="1"/>
  <c r="F552" i="3"/>
  <c r="AB552" i="3"/>
  <c r="AH552" i="3"/>
  <c r="AT552" i="3"/>
  <c r="K552" i="3"/>
  <c r="E552" i="3"/>
  <c r="S552" i="3"/>
  <c r="W552" i="3"/>
  <c r="AM552" i="3"/>
  <c r="AQ552" i="3"/>
  <c r="D552" i="3"/>
  <c r="L552" i="3"/>
  <c r="AF552" i="3"/>
  <c r="AJ552" i="3"/>
  <c r="AX552" i="3"/>
  <c r="A553" i="3"/>
  <c r="Q552" i="3"/>
  <c r="U552" i="3"/>
  <c r="Y552" i="3"/>
  <c r="AO552" i="3"/>
  <c r="AW552" i="3"/>
  <c r="P550" i="3"/>
  <c r="O551" i="3"/>
  <c r="AV551" i="3"/>
  <c r="M551" i="3"/>
  <c r="AU551" i="3"/>
  <c r="AV552" i="3" l="1"/>
  <c r="AU552" i="3"/>
  <c r="O552" i="3"/>
  <c r="P552" i="3" s="1"/>
  <c r="M552" i="3"/>
  <c r="N552" i="3" s="1"/>
  <c r="N551" i="3"/>
  <c r="P551" i="3"/>
  <c r="K553" i="3"/>
  <c r="S553" i="3"/>
  <c r="W553" i="3"/>
  <c r="AM553" i="3"/>
  <c r="AQ553" i="3"/>
  <c r="A554" i="3"/>
  <c r="AB553" i="3"/>
  <c r="AH553" i="3"/>
  <c r="D553" i="3"/>
  <c r="L553" i="3"/>
  <c r="E553" i="3"/>
  <c r="Q553" i="3"/>
  <c r="U553" i="3"/>
  <c r="Y553" i="3"/>
  <c r="AO553" i="3"/>
  <c r="AW553" i="3"/>
  <c r="F553" i="3"/>
  <c r="AF553" i="3"/>
  <c r="AJ553" i="3"/>
  <c r="AT553" i="3"/>
  <c r="AX553" i="3"/>
  <c r="O553" i="3" l="1"/>
  <c r="P553" i="3" s="1"/>
  <c r="AV553" i="3"/>
  <c r="M553" i="3"/>
  <c r="N553" i="3" s="1"/>
  <c r="AU553" i="3"/>
  <c r="F554" i="3"/>
  <c r="AB554" i="3"/>
  <c r="AH554" i="3"/>
  <c r="AT554" i="3"/>
  <c r="K554" i="3"/>
  <c r="E554" i="3"/>
  <c r="S554" i="3"/>
  <c r="W554" i="3"/>
  <c r="AM554" i="3"/>
  <c r="AQ554" i="3"/>
  <c r="D554" i="3"/>
  <c r="L554" i="3"/>
  <c r="AF554" i="3"/>
  <c r="AJ554" i="3"/>
  <c r="AX554" i="3"/>
  <c r="A555" i="3"/>
  <c r="Q554" i="3"/>
  <c r="U554" i="3"/>
  <c r="Y554" i="3"/>
  <c r="AO554" i="3"/>
  <c r="AW554" i="3"/>
  <c r="AV554" i="3" l="1"/>
  <c r="AU554" i="3"/>
  <c r="O554" i="3"/>
  <c r="P554" i="3" s="1"/>
  <c r="M554" i="3"/>
  <c r="N554" i="3" s="1"/>
  <c r="K555" i="3"/>
  <c r="S555" i="3"/>
  <c r="W555" i="3"/>
  <c r="AM555" i="3"/>
  <c r="AQ555" i="3"/>
  <c r="A556" i="3"/>
  <c r="AB555" i="3"/>
  <c r="AH555" i="3"/>
  <c r="D555" i="3"/>
  <c r="L555" i="3"/>
  <c r="E555" i="3"/>
  <c r="Q555" i="3"/>
  <c r="U555" i="3"/>
  <c r="Y555" i="3"/>
  <c r="AO555" i="3"/>
  <c r="AW555" i="3"/>
  <c r="F555" i="3"/>
  <c r="AF555" i="3"/>
  <c r="AJ555" i="3"/>
  <c r="AT555" i="3"/>
  <c r="AX555" i="3"/>
  <c r="F556" i="3" l="1"/>
  <c r="AB556" i="3"/>
  <c r="AH556" i="3"/>
  <c r="AT556" i="3"/>
  <c r="K556" i="3"/>
  <c r="E556" i="3"/>
  <c r="S556" i="3"/>
  <c r="W556" i="3"/>
  <c r="AM556" i="3"/>
  <c r="AQ556" i="3"/>
  <c r="D556" i="3"/>
  <c r="L556" i="3"/>
  <c r="AF556" i="3"/>
  <c r="AJ556" i="3"/>
  <c r="AX556" i="3"/>
  <c r="A557" i="3"/>
  <c r="Q556" i="3"/>
  <c r="U556" i="3"/>
  <c r="Y556" i="3"/>
  <c r="AO556" i="3"/>
  <c r="AW556" i="3"/>
  <c r="O555" i="3"/>
  <c r="P555" i="3" s="1"/>
  <c r="AV555" i="3"/>
  <c r="M555" i="3"/>
  <c r="N555" i="3" s="1"/>
  <c r="AU555" i="3"/>
  <c r="K557" i="3" l="1"/>
  <c r="S557" i="3"/>
  <c r="W557" i="3"/>
  <c r="AM557" i="3"/>
  <c r="AQ557" i="3"/>
  <c r="A558" i="3"/>
  <c r="AB557" i="3"/>
  <c r="AH557" i="3"/>
  <c r="D557" i="3"/>
  <c r="L557" i="3"/>
  <c r="E557" i="3"/>
  <c r="Q557" i="3"/>
  <c r="U557" i="3"/>
  <c r="Y557" i="3"/>
  <c r="AO557" i="3"/>
  <c r="AW557" i="3"/>
  <c r="F557" i="3"/>
  <c r="AF557" i="3"/>
  <c r="AJ557" i="3"/>
  <c r="AT557" i="3"/>
  <c r="AX557" i="3"/>
  <c r="AV556" i="3"/>
  <c r="AU556" i="3"/>
  <c r="O556" i="3"/>
  <c r="P556" i="3" s="1"/>
  <c r="M556" i="3"/>
  <c r="N556" i="3" s="1"/>
  <c r="F558" i="3" l="1"/>
  <c r="AB558" i="3"/>
  <c r="AH558" i="3"/>
  <c r="AT558" i="3"/>
  <c r="K558" i="3"/>
  <c r="E558" i="3"/>
  <c r="S558" i="3"/>
  <c r="W558" i="3"/>
  <c r="AM558" i="3"/>
  <c r="AQ558" i="3"/>
  <c r="D558" i="3"/>
  <c r="L558" i="3"/>
  <c r="AF558" i="3"/>
  <c r="AJ558" i="3"/>
  <c r="AX558" i="3"/>
  <c r="A559" i="3"/>
  <c r="Q558" i="3"/>
  <c r="U558" i="3"/>
  <c r="Y558" i="3"/>
  <c r="AO558" i="3"/>
  <c r="AW558" i="3"/>
  <c r="O557" i="3"/>
  <c r="P557" i="3" s="1"/>
  <c r="AV557" i="3"/>
  <c r="M557" i="3"/>
  <c r="N557" i="3" s="1"/>
  <c r="AU557" i="3"/>
  <c r="K559" i="3" l="1"/>
  <c r="S559" i="3"/>
  <c r="W559" i="3"/>
  <c r="AM559" i="3"/>
  <c r="AQ559" i="3"/>
  <c r="A560" i="3"/>
  <c r="AB559" i="3"/>
  <c r="AH559" i="3"/>
  <c r="D559" i="3"/>
  <c r="L559" i="3"/>
  <c r="E559" i="3"/>
  <c r="Q559" i="3"/>
  <c r="U559" i="3"/>
  <c r="Y559" i="3"/>
  <c r="AO559" i="3"/>
  <c r="AW559" i="3"/>
  <c r="F559" i="3"/>
  <c r="AF559" i="3"/>
  <c r="AJ559" i="3"/>
  <c r="AT559" i="3"/>
  <c r="AX559" i="3"/>
  <c r="AV558" i="3"/>
  <c r="AU558" i="3"/>
  <c r="O558" i="3"/>
  <c r="P558" i="3" s="1"/>
  <c r="M558" i="3"/>
  <c r="N558" i="3" s="1"/>
  <c r="F560" i="3" l="1"/>
  <c r="AB560" i="3"/>
  <c r="AH560" i="3"/>
  <c r="AT560" i="3"/>
  <c r="K560" i="3"/>
  <c r="E560" i="3"/>
  <c r="S560" i="3"/>
  <c r="W560" i="3"/>
  <c r="AM560" i="3"/>
  <c r="AQ560" i="3"/>
  <c r="D560" i="3"/>
  <c r="L560" i="3"/>
  <c r="AF560" i="3"/>
  <c r="AJ560" i="3"/>
  <c r="AX560" i="3"/>
  <c r="A561" i="3"/>
  <c r="Q560" i="3"/>
  <c r="U560" i="3"/>
  <c r="Y560" i="3"/>
  <c r="AO560" i="3"/>
  <c r="AW560" i="3"/>
  <c r="O559" i="3"/>
  <c r="P559" i="3" s="1"/>
  <c r="AV559" i="3"/>
  <c r="M559" i="3"/>
  <c r="N559" i="3" s="1"/>
  <c r="AU559" i="3"/>
  <c r="K561" i="3" l="1"/>
  <c r="S561" i="3"/>
  <c r="W561" i="3"/>
  <c r="AM561" i="3"/>
  <c r="AQ561" i="3"/>
  <c r="A562" i="3"/>
  <c r="AB561" i="3"/>
  <c r="AH561" i="3"/>
  <c r="D561" i="3"/>
  <c r="L561" i="3"/>
  <c r="E561" i="3"/>
  <c r="Q561" i="3"/>
  <c r="U561" i="3"/>
  <c r="Y561" i="3"/>
  <c r="AO561" i="3"/>
  <c r="AW561" i="3"/>
  <c r="F561" i="3"/>
  <c r="AF561" i="3"/>
  <c r="AJ561" i="3"/>
  <c r="AT561" i="3"/>
  <c r="AX561" i="3"/>
  <c r="AV560" i="3"/>
  <c r="AU560" i="3"/>
  <c r="O560" i="3"/>
  <c r="P560" i="3" s="1"/>
  <c r="M560" i="3"/>
  <c r="N560" i="3" s="1"/>
  <c r="F562" i="3" l="1"/>
  <c r="AB562" i="3"/>
  <c r="AH562" i="3"/>
  <c r="AT562" i="3"/>
  <c r="K562" i="3"/>
  <c r="E562" i="3"/>
  <c r="S562" i="3"/>
  <c r="W562" i="3"/>
  <c r="AM562" i="3"/>
  <c r="AQ562" i="3"/>
  <c r="D562" i="3"/>
  <c r="L562" i="3"/>
  <c r="AF562" i="3"/>
  <c r="AJ562" i="3"/>
  <c r="AX562" i="3"/>
  <c r="A563" i="3"/>
  <c r="Q562" i="3"/>
  <c r="U562" i="3"/>
  <c r="Y562" i="3"/>
  <c r="AO562" i="3"/>
  <c r="AW562" i="3"/>
  <c r="O561" i="3"/>
  <c r="P561" i="3" s="1"/>
  <c r="AV561" i="3"/>
  <c r="M561" i="3"/>
  <c r="N561" i="3" s="1"/>
  <c r="AU561" i="3"/>
  <c r="K563" i="3" l="1"/>
  <c r="S563" i="3"/>
  <c r="W563" i="3"/>
  <c r="AM563" i="3"/>
  <c r="AQ563" i="3"/>
  <c r="A564" i="3"/>
  <c r="AB563" i="3"/>
  <c r="AH563" i="3"/>
  <c r="D563" i="3"/>
  <c r="L563" i="3"/>
  <c r="E563" i="3"/>
  <c r="Q563" i="3"/>
  <c r="U563" i="3"/>
  <c r="Y563" i="3"/>
  <c r="AO563" i="3"/>
  <c r="AW563" i="3"/>
  <c r="F563" i="3"/>
  <c r="AF563" i="3"/>
  <c r="AJ563" i="3"/>
  <c r="AT563" i="3"/>
  <c r="AX563" i="3"/>
  <c r="AV562" i="3"/>
  <c r="AU562" i="3"/>
  <c r="O562" i="3"/>
  <c r="P562" i="3" s="1"/>
  <c r="M562" i="3"/>
  <c r="N562" i="3" s="1"/>
  <c r="F564" i="3" l="1"/>
  <c r="AB564" i="3"/>
  <c r="AH564" i="3"/>
  <c r="AT564" i="3"/>
  <c r="K564" i="3"/>
  <c r="E564" i="3"/>
  <c r="S564" i="3"/>
  <c r="W564" i="3"/>
  <c r="AM564" i="3"/>
  <c r="AQ564" i="3"/>
  <c r="D564" i="3"/>
  <c r="L564" i="3"/>
  <c r="AF564" i="3"/>
  <c r="AJ564" i="3"/>
  <c r="AX564" i="3"/>
  <c r="A565" i="3"/>
  <c r="Q564" i="3"/>
  <c r="U564" i="3"/>
  <c r="Y564" i="3"/>
  <c r="AO564" i="3"/>
  <c r="AW564" i="3"/>
  <c r="O563" i="3"/>
  <c r="P563" i="3" s="1"/>
  <c r="AV563" i="3"/>
  <c r="M563" i="3"/>
  <c r="N563" i="3" s="1"/>
  <c r="AU563" i="3"/>
  <c r="K565" i="3" l="1"/>
  <c r="S565" i="3"/>
  <c r="W565" i="3"/>
  <c r="AM565" i="3"/>
  <c r="AQ565" i="3"/>
  <c r="A566" i="3"/>
  <c r="AB565" i="3"/>
  <c r="AH565" i="3"/>
  <c r="D565" i="3"/>
  <c r="L565" i="3"/>
  <c r="E565" i="3"/>
  <c r="Q565" i="3"/>
  <c r="U565" i="3"/>
  <c r="Y565" i="3"/>
  <c r="AO565" i="3"/>
  <c r="AW565" i="3"/>
  <c r="F565" i="3"/>
  <c r="AF565" i="3"/>
  <c r="AJ565" i="3"/>
  <c r="AT565" i="3"/>
  <c r="AX565" i="3"/>
  <c r="AV564" i="3"/>
  <c r="AU564" i="3"/>
  <c r="O564" i="3"/>
  <c r="P564" i="3" s="1"/>
  <c r="M564" i="3"/>
  <c r="N564" i="3" s="1"/>
  <c r="F566" i="3" l="1"/>
  <c r="AB566" i="3"/>
  <c r="AH566" i="3"/>
  <c r="AT566" i="3"/>
  <c r="K566" i="3"/>
  <c r="E566" i="3"/>
  <c r="S566" i="3"/>
  <c r="W566" i="3"/>
  <c r="AM566" i="3"/>
  <c r="AQ566" i="3"/>
  <c r="D566" i="3"/>
  <c r="L566" i="3"/>
  <c r="AF566" i="3"/>
  <c r="AJ566" i="3"/>
  <c r="AX566" i="3"/>
  <c r="A567" i="3"/>
  <c r="Q566" i="3"/>
  <c r="U566" i="3"/>
  <c r="Y566" i="3"/>
  <c r="AO566" i="3"/>
  <c r="AW566" i="3"/>
  <c r="O565" i="3"/>
  <c r="P565" i="3" s="1"/>
  <c r="AV565" i="3"/>
  <c r="M565" i="3"/>
  <c r="N565" i="3" s="1"/>
  <c r="AU565" i="3"/>
  <c r="K567" i="3" l="1"/>
  <c r="S567" i="3"/>
  <c r="W567" i="3"/>
  <c r="AM567" i="3"/>
  <c r="AQ567" i="3"/>
  <c r="A568" i="3"/>
  <c r="AB567" i="3"/>
  <c r="AH567" i="3"/>
  <c r="D567" i="3"/>
  <c r="L567" i="3"/>
  <c r="E567" i="3"/>
  <c r="Q567" i="3"/>
  <c r="U567" i="3"/>
  <c r="Y567" i="3"/>
  <c r="AO567" i="3"/>
  <c r="AW567" i="3"/>
  <c r="F567" i="3"/>
  <c r="AF567" i="3"/>
  <c r="AJ567" i="3"/>
  <c r="AT567" i="3"/>
  <c r="AX567" i="3"/>
  <c r="AV566" i="3"/>
  <c r="AU566" i="3"/>
  <c r="O566" i="3"/>
  <c r="P566" i="3" s="1"/>
  <c r="M566" i="3"/>
  <c r="N566" i="3" s="1"/>
  <c r="F568" i="3" l="1"/>
  <c r="AB568" i="3"/>
  <c r="AH568" i="3"/>
  <c r="AT568" i="3"/>
  <c r="K568" i="3"/>
  <c r="E568" i="3"/>
  <c r="S568" i="3"/>
  <c r="W568" i="3"/>
  <c r="AM568" i="3"/>
  <c r="AQ568" i="3"/>
  <c r="D568" i="3"/>
  <c r="L568" i="3"/>
  <c r="AF568" i="3"/>
  <c r="AJ568" i="3"/>
  <c r="AX568" i="3"/>
  <c r="A569" i="3"/>
  <c r="Q568" i="3"/>
  <c r="U568" i="3"/>
  <c r="Y568" i="3"/>
  <c r="AO568" i="3"/>
  <c r="AW568" i="3"/>
  <c r="O567" i="3"/>
  <c r="P567" i="3" s="1"/>
  <c r="AV567" i="3"/>
  <c r="M567" i="3"/>
  <c r="N567" i="3" s="1"/>
  <c r="AU567" i="3"/>
  <c r="K569" i="3" l="1"/>
  <c r="S569" i="3"/>
  <c r="W569" i="3"/>
  <c r="AM569" i="3"/>
  <c r="AQ569" i="3"/>
  <c r="A570" i="3"/>
  <c r="AB569" i="3"/>
  <c r="AH569" i="3"/>
  <c r="D569" i="3"/>
  <c r="L569" i="3"/>
  <c r="E569" i="3"/>
  <c r="Q569" i="3"/>
  <c r="U569" i="3"/>
  <c r="Y569" i="3"/>
  <c r="AO569" i="3"/>
  <c r="AW569" i="3"/>
  <c r="F569" i="3"/>
  <c r="AF569" i="3"/>
  <c r="AJ569" i="3"/>
  <c r="AT569" i="3"/>
  <c r="AX569" i="3"/>
  <c r="AV568" i="3"/>
  <c r="AU568" i="3"/>
  <c r="O568" i="3"/>
  <c r="P568" i="3" s="1"/>
  <c r="M568" i="3"/>
  <c r="N568" i="3" s="1"/>
  <c r="F570" i="3" l="1"/>
  <c r="AB570" i="3"/>
  <c r="AH570" i="3"/>
  <c r="AT570" i="3"/>
  <c r="K570" i="3"/>
  <c r="E570" i="3"/>
  <c r="S570" i="3"/>
  <c r="W570" i="3"/>
  <c r="AM570" i="3"/>
  <c r="AQ570" i="3"/>
  <c r="D570" i="3"/>
  <c r="L570" i="3"/>
  <c r="AF570" i="3"/>
  <c r="AJ570" i="3"/>
  <c r="AX570" i="3"/>
  <c r="A571" i="3"/>
  <c r="Q570" i="3"/>
  <c r="U570" i="3"/>
  <c r="Y570" i="3"/>
  <c r="AO570" i="3"/>
  <c r="AW570" i="3"/>
  <c r="O569" i="3"/>
  <c r="P569" i="3" s="1"/>
  <c r="AV569" i="3"/>
  <c r="M569" i="3"/>
  <c r="N569" i="3" s="1"/>
  <c r="AU569" i="3"/>
  <c r="K571" i="3" l="1"/>
  <c r="S571" i="3"/>
  <c r="W571" i="3"/>
  <c r="AM571" i="3"/>
  <c r="AQ571" i="3"/>
  <c r="A572" i="3"/>
  <c r="AB571" i="3"/>
  <c r="AH571" i="3"/>
  <c r="D571" i="3"/>
  <c r="L571" i="3"/>
  <c r="E571" i="3"/>
  <c r="Q571" i="3"/>
  <c r="U571" i="3"/>
  <c r="Y571" i="3"/>
  <c r="AO571" i="3"/>
  <c r="AW571" i="3"/>
  <c r="F571" i="3"/>
  <c r="AF571" i="3"/>
  <c r="AJ571" i="3"/>
  <c r="AT571" i="3"/>
  <c r="AX571" i="3"/>
  <c r="AV570" i="3"/>
  <c r="AU570" i="3"/>
  <c r="O570" i="3"/>
  <c r="P570" i="3" s="1"/>
  <c r="M570" i="3"/>
  <c r="N570" i="3" s="1"/>
  <c r="F572" i="3" l="1"/>
  <c r="AB572" i="3"/>
  <c r="AH572" i="3"/>
  <c r="AT572" i="3"/>
  <c r="K572" i="3"/>
  <c r="E572" i="3"/>
  <c r="S572" i="3"/>
  <c r="W572" i="3"/>
  <c r="AM572" i="3"/>
  <c r="AQ572" i="3"/>
  <c r="D572" i="3"/>
  <c r="L572" i="3"/>
  <c r="AF572" i="3"/>
  <c r="AJ572" i="3"/>
  <c r="AX572" i="3"/>
  <c r="A573" i="3"/>
  <c r="Q572" i="3"/>
  <c r="U572" i="3"/>
  <c r="Y572" i="3"/>
  <c r="AO572" i="3"/>
  <c r="AW572" i="3"/>
  <c r="O571" i="3"/>
  <c r="P571" i="3" s="1"/>
  <c r="AV571" i="3"/>
  <c r="M571" i="3"/>
  <c r="N571" i="3" s="1"/>
  <c r="AU571" i="3"/>
  <c r="K573" i="3" l="1"/>
  <c r="S573" i="3"/>
  <c r="W573" i="3"/>
  <c r="AM573" i="3"/>
  <c r="AQ573" i="3"/>
  <c r="A574" i="3"/>
  <c r="AB573" i="3"/>
  <c r="AH573" i="3"/>
  <c r="D573" i="3"/>
  <c r="L573" i="3"/>
  <c r="E573" i="3"/>
  <c r="Q573" i="3"/>
  <c r="U573" i="3"/>
  <c r="Y573" i="3"/>
  <c r="AO573" i="3"/>
  <c r="AW573" i="3"/>
  <c r="F573" i="3"/>
  <c r="AF573" i="3"/>
  <c r="AJ573" i="3"/>
  <c r="AT573" i="3"/>
  <c r="AX573" i="3"/>
  <c r="AV572" i="3"/>
  <c r="AU572" i="3"/>
  <c r="O572" i="3"/>
  <c r="P572" i="3" s="1"/>
  <c r="M572" i="3"/>
  <c r="N572" i="3" s="1"/>
  <c r="F574" i="3" l="1"/>
  <c r="AB574" i="3"/>
  <c r="AH574" i="3"/>
  <c r="AT574" i="3"/>
  <c r="K574" i="3"/>
  <c r="E574" i="3"/>
  <c r="S574" i="3"/>
  <c r="W574" i="3"/>
  <c r="AM574" i="3"/>
  <c r="AQ574" i="3"/>
  <c r="D574" i="3"/>
  <c r="L574" i="3"/>
  <c r="AF574" i="3"/>
  <c r="AJ574" i="3"/>
  <c r="AX574" i="3"/>
  <c r="A575" i="3"/>
  <c r="Q574" i="3"/>
  <c r="U574" i="3"/>
  <c r="Y574" i="3"/>
  <c r="AO574" i="3"/>
  <c r="AW574" i="3"/>
  <c r="O573" i="3"/>
  <c r="P573" i="3" s="1"/>
  <c r="AV573" i="3"/>
  <c r="M573" i="3"/>
  <c r="N573" i="3" s="1"/>
  <c r="AU573" i="3"/>
  <c r="K575" i="3" l="1"/>
  <c r="S575" i="3"/>
  <c r="W575" i="3"/>
  <c r="AM575" i="3"/>
  <c r="AQ575" i="3"/>
  <c r="A576" i="3"/>
  <c r="AB575" i="3"/>
  <c r="AH575" i="3"/>
  <c r="D575" i="3"/>
  <c r="L575" i="3"/>
  <c r="E575" i="3"/>
  <c r="Q575" i="3"/>
  <c r="U575" i="3"/>
  <c r="Y575" i="3"/>
  <c r="AO575" i="3"/>
  <c r="AW575" i="3"/>
  <c r="F575" i="3"/>
  <c r="AF575" i="3"/>
  <c r="AJ575" i="3"/>
  <c r="AT575" i="3"/>
  <c r="AX575" i="3"/>
  <c r="AV574" i="3"/>
  <c r="AU574" i="3"/>
  <c r="O574" i="3"/>
  <c r="P574" i="3" s="1"/>
  <c r="M574" i="3"/>
  <c r="N574" i="3" s="1"/>
  <c r="F576" i="3" l="1"/>
  <c r="AB576" i="3"/>
  <c r="AH576" i="3"/>
  <c r="AT576" i="3"/>
  <c r="K576" i="3"/>
  <c r="E576" i="3"/>
  <c r="S576" i="3"/>
  <c r="W576" i="3"/>
  <c r="AM576" i="3"/>
  <c r="AQ576" i="3"/>
  <c r="D576" i="3"/>
  <c r="L576" i="3"/>
  <c r="AF576" i="3"/>
  <c r="AJ576" i="3"/>
  <c r="AX576" i="3"/>
  <c r="A577" i="3"/>
  <c r="Q576" i="3"/>
  <c r="U576" i="3"/>
  <c r="Y576" i="3"/>
  <c r="AO576" i="3"/>
  <c r="AW576" i="3"/>
  <c r="O575" i="3"/>
  <c r="P575" i="3" s="1"/>
  <c r="AV575" i="3"/>
  <c r="M575" i="3"/>
  <c r="N575" i="3" s="1"/>
  <c r="AU575" i="3"/>
  <c r="K577" i="3" l="1"/>
  <c r="S577" i="3"/>
  <c r="W577" i="3"/>
  <c r="AM577" i="3"/>
  <c r="AQ577" i="3"/>
  <c r="A578" i="3"/>
  <c r="AB577" i="3"/>
  <c r="AH577" i="3"/>
  <c r="D577" i="3"/>
  <c r="L577" i="3"/>
  <c r="E577" i="3"/>
  <c r="Q577" i="3"/>
  <c r="U577" i="3"/>
  <c r="Y577" i="3"/>
  <c r="AO577" i="3"/>
  <c r="AW577" i="3"/>
  <c r="F577" i="3"/>
  <c r="AF577" i="3"/>
  <c r="AJ577" i="3"/>
  <c r="AT577" i="3"/>
  <c r="AX577" i="3"/>
  <c r="AV576" i="3"/>
  <c r="AU576" i="3"/>
  <c r="O576" i="3"/>
  <c r="P576" i="3" s="1"/>
  <c r="M576" i="3"/>
  <c r="N576" i="3" s="1"/>
  <c r="F578" i="3" l="1"/>
  <c r="AB578" i="3"/>
  <c r="AH578" i="3"/>
  <c r="AT578" i="3"/>
  <c r="K578" i="3"/>
  <c r="E578" i="3"/>
  <c r="S578" i="3"/>
  <c r="W578" i="3"/>
  <c r="AM578" i="3"/>
  <c r="AQ578" i="3"/>
  <c r="D578" i="3"/>
  <c r="L578" i="3"/>
  <c r="AF578" i="3"/>
  <c r="AJ578" i="3"/>
  <c r="AX578" i="3"/>
  <c r="A579" i="3"/>
  <c r="Q578" i="3"/>
  <c r="U578" i="3"/>
  <c r="Y578" i="3"/>
  <c r="AO578" i="3"/>
  <c r="AW578" i="3"/>
  <c r="O577" i="3"/>
  <c r="P577" i="3" s="1"/>
  <c r="AV577" i="3"/>
  <c r="M577" i="3"/>
  <c r="N577" i="3" s="1"/>
  <c r="AU577" i="3"/>
  <c r="K579" i="3" l="1"/>
  <c r="S579" i="3"/>
  <c r="W579" i="3"/>
  <c r="AM579" i="3"/>
  <c r="AQ579" i="3"/>
  <c r="A580" i="3"/>
  <c r="AB579" i="3"/>
  <c r="AH579" i="3"/>
  <c r="D579" i="3"/>
  <c r="L579" i="3"/>
  <c r="E579" i="3"/>
  <c r="Q579" i="3"/>
  <c r="U579" i="3"/>
  <c r="Y579" i="3"/>
  <c r="AO579" i="3"/>
  <c r="AW579" i="3"/>
  <c r="F579" i="3"/>
  <c r="AF579" i="3"/>
  <c r="AJ579" i="3"/>
  <c r="AT579" i="3"/>
  <c r="AX579" i="3"/>
  <c r="AV578" i="3"/>
  <c r="AU578" i="3"/>
  <c r="O578" i="3"/>
  <c r="P578" i="3" s="1"/>
  <c r="M578" i="3"/>
  <c r="N578" i="3" s="1"/>
  <c r="F580" i="3" l="1"/>
  <c r="AB580" i="3"/>
  <c r="AH580" i="3"/>
  <c r="AT580" i="3"/>
  <c r="K580" i="3"/>
  <c r="E580" i="3"/>
  <c r="S580" i="3"/>
  <c r="W580" i="3"/>
  <c r="AM580" i="3"/>
  <c r="AQ580" i="3"/>
  <c r="D580" i="3"/>
  <c r="L580" i="3"/>
  <c r="AF580" i="3"/>
  <c r="AJ580" i="3"/>
  <c r="AX580" i="3"/>
  <c r="A581" i="3"/>
  <c r="Q580" i="3"/>
  <c r="U580" i="3"/>
  <c r="Y580" i="3"/>
  <c r="AO580" i="3"/>
  <c r="AW580" i="3"/>
  <c r="O579" i="3"/>
  <c r="P579" i="3" s="1"/>
  <c r="AV579" i="3"/>
  <c r="M579" i="3"/>
  <c r="N579" i="3" s="1"/>
  <c r="AU579" i="3"/>
  <c r="K581" i="3" l="1"/>
  <c r="S581" i="3"/>
  <c r="W581" i="3"/>
  <c r="AM581" i="3"/>
  <c r="AQ581" i="3"/>
  <c r="A582" i="3"/>
  <c r="AB581" i="3"/>
  <c r="AH581" i="3"/>
  <c r="D581" i="3"/>
  <c r="L581" i="3"/>
  <c r="E581" i="3"/>
  <c r="Q581" i="3"/>
  <c r="U581" i="3"/>
  <c r="Y581" i="3"/>
  <c r="AO581" i="3"/>
  <c r="AW581" i="3"/>
  <c r="F581" i="3"/>
  <c r="AF581" i="3"/>
  <c r="AJ581" i="3"/>
  <c r="AT581" i="3"/>
  <c r="AX581" i="3"/>
  <c r="AV580" i="3"/>
  <c r="AU580" i="3"/>
  <c r="O580" i="3"/>
  <c r="P580" i="3" s="1"/>
  <c r="M580" i="3"/>
  <c r="N580" i="3" s="1"/>
  <c r="D582" i="3" l="1"/>
  <c r="L582" i="3"/>
  <c r="AF582" i="3"/>
  <c r="AJ582" i="3"/>
  <c r="AX582" i="3"/>
  <c r="A583" i="3"/>
  <c r="Q582" i="3"/>
  <c r="U582" i="3"/>
  <c r="Y582" i="3"/>
  <c r="AO582" i="3"/>
  <c r="AW582" i="3"/>
  <c r="F582" i="3"/>
  <c r="AB582" i="3"/>
  <c r="AH582" i="3"/>
  <c r="AT582" i="3"/>
  <c r="K582" i="3"/>
  <c r="E582" i="3"/>
  <c r="S582" i="3"/>
  <c r="W582" i="3"/>
  <c r="AM582" i="3"/>
  <c r="AQ582" i="3"/>
  <c r="M581" i="3"/>
  <c r="N581" i="3" s="1"/>
  <c r="AU581" i="3"/>
  <c r="O581" i="3"/>
  <c r="P581" i="3" s="1"/>
  <c r="AV581" i="3"/>
  <c r="E583" i="3" l="1"/>
  <c r="Q583" i="3"/>
  <c r="U583" i="3"/>
  <c r="Y583" i="3"/>
  <c r="AO583" i="3"/>
  <c r="AW583" i="3"/>
  <c r="F583" i="3"/>
  <c r="AF583" i="3"/>
  <c r="AJ583" i="3"/>
  <c r="AT583" i="3"/>
  <c r="AX583" i="3"/>
  <c r="K583" i="3"/>
  <c r="S583" i="3"/>
  <c r="W583" i="3"/>
  <c r="AM583" i="3"/>
  <c r="AQ583" i="3"/>
  <c r="A584" i="3"/>
  <c r="AB583" i="3"/>
  <c r="AH583" i="3"/>
  <c r="D583" i="3"/>
  <c r="L583" i="3"/>
  <c r="O582" i="3"/>
  <c r="P582" i="3" s="1"/>
  <c r="M582" i="3"/>
  <c r="N582" i="3" s="1"/>
  <c r="AV582" i="3"/>
  <c r="AU582" i="3"/>
  <c r="M583" i="3" l="1"/>
  <c r="N583" i="3" s="1"/>
  <c r="AU583" i="3"/>
  <c r="O583" i="3"/>
  <c r="P583" i="3" s="1"/>
  <c r="AV583" i="3"/>
  <c r="D584" i="3"/>
  <c r="L584" i="3"/>
  <c r="AF584" i="3"/>
  <c r="AJ584" i="3"/>
  <c r="AX584" i="3"/>
  <c r="A585" i="3"/>
  <c r="Q584" i="3"/>
  <c r="U584" i="3"/>
  <c r="Y584" i="3"/>
  <c r="AO584" i="3"/>
  <c r="AW584" i="3"/>
  <c r="F584" i="3"/>
  <c r="AB584" i="3"/>
  <c r="AH584" i="3"/>
  <c r="AT584" i="3"/>
  <c r="K584" i="3"/>
  <c r="E584" i="3"/>
  <c r="S584" i="3"/>
  <c r="W584" i="3"/>
  <c r="AM584" i="3"/>
  <c r="AQ584" i="3"/>
  <c r="E585" i="3" l="1"/>
  <c r="Q585" i="3"/>
  <c r="U585" i="3"/>
  <c r="Y585" i="3"/>
  <c r="AO585" i="3"/>
  <c r="AW585" i="3"/>
  <c r="F585" i="3"/>
  <c r="AF585" i="3"/>
  <c r="AJ585" i="3"/>
  <c r="AT585" i="3"/>
  <c r="AX585" i="3"/>
  <c r="K585" i="3"/>
  <c r="S585" i="3"/>
  <c r="W585" i="3"/>
  <c r="AM585" i="3"/>
  <c r="AQ585" i="3"/>
  <c r="A586" i="3"/>
  <c r="AB585" i="3"/>
  <c r="AH585" i="3"/>
  <c r="D585" i="3"/>
  <c r="L585" i="3"/>
  <c r="O584" i="3"/>
  <c r="P584" i="3" s="1"/>
  <c r="M584" i="3"/>
  <c r="N584" i="3" s="1"/>
  <c r="AV584" i="3"/>
  <c r="AU584" i="3"/>
  <c r="M585" i="3" l="1"/>
  <c r="N585" i="3" s="1"/>
  <c r="AU585" i="3"/>
  <c r="O585" i="3"/>
  <c r="P585" i="3" s="1"/>
  <c r="AV585" i="3"/>
  <c r="D586" i="3"/>
  <c r="L586" i="3"/>
  <c r="AF586" i="3"/>
  <c r="AJ586" i="3"/>
  <c r="AX586" i="3"/>
  <c r="A587" i="3"/>
  <c r="Q586" i="3"/>
  <c r="U586" i="3"/>
  <c r="Y586" i="3"/>
  <c r="AO586" i="3"/>
  <c r="AW586" i="3"/>
  <c r="F586" i="3"/>
  <c r="AB586" i="3"/>
  <c r="AH586" i="3"/>
  <c r="AT586" i="3"/>
  <c r="K586" i="3"/>
  <c r="E586" i="3"/>
  <c r="S586" i="3"/>
  <c r="W586" i="3"/>
  <c r="AM586" i="3"/>
  <c r="AQ586" i="3"/>
  <c r="E587" i="3" l="1"/>
  <c r="Q587" i="3"/>
  <c r="U587" i="3"/>
  <c r="Y587" i="3"/>
  <c r="AO587" i="3"/>
  <c r="AW587" i="3"/>
  <c r="F587" i="3"/>
  <c r="AF587" i="3"/>
  <c r="AJ587" i="3"/>
  <c r="AT587" i="3"/>
  <c r="AX587" i="3"/>
  <c r="K587" i="3"/>
  <c r="S587" i="3"/>
  <c r="W587" i="3"/>
  <c r="AM587" i="3"/>
  <c r="AQ587" i="3"/>
  <c r="A588" i="3"/>
  <c r="AB587" i="3"/>
  <c r="AH587" i="3"/>
  <c r="D587" i="3"/>
  <c r="L587" i="3"/>
  <c r="O586" i="3"/>
  <c r="P586" i="3" s="1"/>
  <c r="M586" i="3"/>
  <c r="N586" i="3" s="1"/>
  <c r="AV586" i="3"/>
  <c r="AU586" i="3"/>
  <c r="M587" i="3" l="1"/>
  <c r="N587" i="3" s="1"/>
  <c r="AU587" i="3"/>
  <c r="O587" i="3"/>
  <c r="P587" i="3" s="1"/>
  <c r="AV587" i="3"/>
  <c r="D588" i="3"/>
  <c r="L588" i="3"/>
  <c r="AF588" i="3"/>
  <c r="AJ588" i="3"/>
  <c r="AX588" i="3"/>
  <c r="A589" i="3"/>
  <c r="Q588" i="3"/>
  <c r="U588" i="3"/>
  <c r="Y588" i="3"/>
  <c r="AO588" i="3"/>
  <c r="AW588" i="3"/>
  <c r="F588" i="3"/>
  <c r="AB588" i="3"/>
  <c r="AH588" i="3"/>
  <c r="AT588" i="3"/>
  <c r="K588" i="3"/>
  <c r="E588" i="3"/>
  <c r="S588" i="3"/>
  <c r="W588" i="3"/>
  <c r="AM588" i="3"/>
  <c r="AQ588" i="3"/>
  <c r="E589" i="3" l="1"/>
  <c r="Q589" i="3"/>
  <c r="U589" i="3"/>
  <c r="Y589" i="3"/>
  <c r="AO589" i="3"/>
  <c r="AW589" i="3"/>
  <c r="F589" i="3"/>
  <c r="AF589" i="3"/>
  <c r="AJ589" i="3"/>
  <c r="AT589" i="3"/>
  <c r="AX589" i="3"/>
  <c r="K589" i="3"/>
  <c r="S589" i="3"/>
  <c r="W589" i="3"/>
  <c r="AM589" i="3"/>
  <c r="AQ589" i="3"/>
  <c r="A590" i="3"/>
  <c r="AB589" i="3"/>
  <c r="AH589" i="3"/>
  <c r="D589" i="3"/>
  <c r="L589" i="3"/>
  <c r="O588" i="3"/>
  <c r="P588" i="3" s="1"/>
  <c r="M588" i="3"/>
  <c r="N588" i="3" s="1"/>
  <c r="AV588" i="3"/>
  <c r="AU588" i="3"/>
  <c r="M589" i="3" l="1"/>
  <c r="N589" i="3" s="1"/>
  <c r="AU589" i="3"/>
  <c r="O589" i="3"/>
  <c r="P589" i="3" s="1"/>
  <c r="AV589" i="3"/>
  <c r="D590" i="3"/>
  <c r="L590" i="3"/>
  <c r="AF590" i="3"/>
  <c r="AJ590" i="3"/>
  <c r="AX590" i="3"/>
  <c r="A591" i="3"/>
  <c r="Q590" i="3"/>
  <c r="U590" i="3"/>
  <c r="Y590" i="3"/>
  <c r="AO590" i="3"/>
  <c r="AW590" i="3"/>
  <c r="F590" i="3"/>
  <c r="AB590" i="3"/>
  <c r="AH590" i="3"/>
  <c r="AT590" i="3"/>
  <c r="K590" i="3"/>
  <c r="E590" i="3"/>
  <c r="S590" i="3"/>
  <c r="W590" i="3"/>
  <c r="AM590" i="3"/>
  <c r="AQ590" i="3"/>
  <c r="E591" i="3" l="1"/>
  <c r="Q591" i="3"/>
  <c r="U591" i="3"/>
  <c r="Y591" i="3"/>
  <c r="AO591" i="3"/>
  <c r="AW591" i="3"/>
  <c r="F591" i="3"/>
  <c r="AF591" i="3"/>
  <c r="AJ591" i="3"/>
  <c r="AT591" i="3"/>
  <c r="AX591" i="3"/>
  <c r="K591" i="3"/>
  <c r="S591" i="3"/>
  <c r="W591" i="3"/>
  <c r="AM591" i="3"/>
  <c r="AQ591" i="3"/>
  <c r="A592" i="3"/>
  <c r="AB591" i="3"/>
  <c r="AH591" i="3"/>
  <c r="D591" i="3"/>
  <c r="L591" i="3"/>
  <c r="O590" i="3"/>
  <c r="P590" i="3" s="1"/>
  <c r="M590" i="3"/>
  <c r="N590" i="3" s="1"/>
  <c r="AV590" i="3"/>
  <c r="AU590" i="3"/>
  <c r="M591" i="3" l="1"/>
  <c r="N591" i="3" s="1"/>
  <c r="AU591" i="3"/>
  <c r="O591" i="3"/>
  <c r="P591" i="3" s="1"/>
  <c r="AV591" i="3"/>
  <c r="D592" i="3"/>
  <c r="L592" i="3"/>
  <c r="AF592" i="3"/>
  <c r="AJ592" i="3"/>
  <c r="AX592" i="3"/>
  <c r="A593" i="3"/>
  <c r="Q592" i="3"/>
  <c r="U592" i="3"/>
  <c r="Y592" i="3"/>
  <c r="AO592" i="3"/>
  <c r="AW592" i="3"/>
  <c r="F592" i="3"/>
  <c r="AB592" i="3"/>
  <c r="AH592" i="3"/>
  <c r="AT592" i="3"/>
  <c r="K592" i="3"/>
  <c r="E592" i="3"/>
  <c r="S592" i="3"/>
  <c r="W592" i="3"/>
  <c r="AM592" i="3"/>
  <c r="AQ592" i="3"/>
  <c r="E593" i="3" l="1"/>
  <c r="Q593" i="3"/>
  <c r="U593" i="3"/>
  <c r="Y593" i="3"/>
  <c r="AO593" i="3"/>
  <c r="AW593" i="3"/>
  <c r="F593" i="3"/>
  <c r="AF593" i="3"/>
  <c r="AJ593" i="3"/>
  <c r="AT593" i="3"/>
  <c r="AX593" i="3"/>
  <c r="K593" i="3"/>
  <c r="S593" i="3"/>
  <c r="W593" i="3"/>
  <c r="AM593" i="3"/>
  <c r="AQ593" i="3"/>
  <c r="A594" i="3"/>
  <c r="AB593" i="3"/>
  <c r="AH593" i="3"/>
  <c r="D593" i="3"/>
  <c r="L593" i="3"/>
  <c r="O592" i="3"/>
  <c r="P592" i="3" s="1"/>
  <c r="M592" i="3"/>
  <c r="N592" i="3" s="1"/>
  <c r="AV592" i="3"/>
  <c r="AU592" i="3"/>
  <c r="M593" i="3" l="1"/>
  <c r="N593" i="3" s="1"/>
  <c r="AU593" i="3"/>
  <c r="O593" i="3"/>
  <c r="P593" i="3" s="1"/>
  <c r="AV593" i="3"/>
  <c r="D594" i="3"/>
  <c r="L594" i="3"/>
  <c r="AF594" i="3"/>
  <c r="AJ594" i="3"/>
  <c r="AX594" i="3"/>
  <c r="A595" i="3"/>
  <c r="Q594" i="3"/>
  <c r="U594" i="3"/>
  <c r="Y594" i="3"/>
  <c r="AO594" i="3"/>
  <c r="AW594" i="3"/>
  <c r="F594" i="3"/>
  <c r="AB594" i="3"/>
  <c r="AH594" i="3"/>
  <c r="AT594" i="3"/>
  <c r="K594" i="3"/>
  <c r="E594" i="3"/>
  <c r="S594" i="3"/>
  <c r="W594" i="3"/>
  <c r="AM594" i="3"/>
  <c r="AQ594" i="3"/>
  <c r="E595" i="3" l="1"/>
  <c r="Q595" i="3"/>
  <c r="U595" i="3"/>
  <c r="Y595" i="3"/>
  <c r="AO595" i="3"/>
  <c r="AW595" i="3"/>
  <c r="F595" i="3"/>
  <c r="AF595" i="3"/>
  <c r="AJ595" i="3"/>
  <c r="AT595" i="3"/>
  <c r="AX595" i="3"/>
  <c r="K595" i="3"/>
  <c r="S595" i="3"/>
  <c r="W595" i="3"/>
  <c r="AM595" i="3"/>
  <c r="AQ595" i="3"/>
  <c r="A596" i="3"/>
  <c r="AB595" i="3"/>
  <c r="AH595" i="3"/>
  <c r="D595" i="3"/>
  <c r="L595" i="3"/>
  <c r="O594" i="3"/>
  <c r="P594" i="3" s="1"/>
  <c r="M594" i="3"/>
  <c r="N594" i="3" s="1"/>
  <c r="AV594" i="3"/>
  <c r="AU594" i="3"/>
  <c r="M595" i="3" l="1"/>
  <c r="N595" i="3" s="1"/>
  <c r="AU595" i="3"/>
  <c r="O595" i="3"/>
  <c r="P595" i="3" s="1"/>
  <c r="AV595" i="3"/>
  <c r="D596" i="3"/>
  <c r="L596" i="3"/>
  <c r="AF596" i="3"/>
  <c r="AJ596" i="3"/>
  <c r="AX596" i="3"/>
  <c r="A597" i="3"/>
  <c r="Q596" i="3"/>
  <c r="U596" i="3"/>
  <c r="Y596" i="3"/>
  <c r="AO596" i="3"/>
  <c r="AW596" i="3"/>
  <c r="F596" i="3"/>
  <c r="AB596" i="3"/>
  <c r="AH596" i="3"/>
  <c r="AT596" i="3"/>
  <c r="K596" i="3"/>
  <c r="E596" i="3"/>
  <c r="S596" i="3"/>
  <c r="W596" i="3"/>
  <c r="AM596" i="3"/>
  <c r="AQ596" i="3"/>
  <c r="E597" i="3" l="1"/>
  <c r="Q597" i="3"/>
  <c r="U597" i="3"/>
  <c r="Y597" i="3"/>
  <c r="AO597" i="3"/>
  <c r="AW597" i="3"/>
  <c r="F597" i="3"/>
  <c r="AF597" i="3"/>
  <c r="AJ597" i="3"/>
  <c r="AT597" i="3"/>
  <c r="AX597" i="3"/>
  <c r="K597" i="3"/>
  <c r="S597" i="3"/>
  <c r="W597" i="3"/>
  <c r="AM597" i="3"/>
  <c r="AQ597" i="3"/>
  <c r="A598" i="3"/>
  <c r="AB597" i="3"/>
  <c r="AH597" i="3"/>
  <c r="D597" i="3"/>
  <c r="L597" i="3"/>
  <c r="O596" i="3"/>
  <c r="P596" i="3" s="1"/>
  <c r="M596" i="3"/>
  <c r="N596" i="3" s="1"/>
  <c r="AV596" i="3"/>
  <c r="AU596" i="3"/>
  <c r="M597" i="3" l="1"/>
  <c r="N597" i="3" s="1"/>
  <c r="AU597" i="3"/>
  <c r="O597" i="3"/>
  <c r="P597" i="3" s="1"/>
  <c r="AV597" i="3"/>
  <c r="D598" i="3"/>
  <c r="L598" i="3"/>
  <c r="AF598" i="3"/>
  <c r="AJ598" i="3"/>
  <c r="AX598" i="3"/>
  <c r="A599" i="3"/>
  <c r="Q598" i="3"/>
  <c r="U598" i="3"/>
  <c r="Y598" i="3"/>
  <c r="AO598" i="3"/>
  <c r="AW598" i="3"/>
  <c r="F598" i="3"/>
  <c r="AB598" i="3"/>
  <c r="AH598" i="3"/>
  <c r="AT598" i="3"/>
  <c r="K598" i="3"/>
  <c r="E598" i="3"/>
  <c r="S598" i="3"/>
  <c r="W598" i="3"/>
  <c r="AM598" i="3"/>
  <c r="AQ598" i="3"/>
  <c r="E599" i="3" l="1"/>
  <c r="Q599" i="3"/>
  <c r="U599" i="3"/>
  <c r="Y599" i="3"/>
  <c r="AO599" i="3"/>
  <c r="AW599" i="3"/>
  <c r="F599" i="3"/>
  <c r="AF599" i="3"/>
  <c r="AJ599" i="3"/>
  <c r="AT599" i="3"/>
  <c r="AX599" i="3"/>
  <c r="K599" i="3"/>
  <c r="S599" i="3"/>
  <c r="W599" i="3"/>
  <c r="AM599" i="3"/>
  <c r="AQ599" i="3"/>
  <c r="A600" i="3"/>
  <c r="AB599" i="3"/>
  <c r="AH599" i="3"/>
  <c r="D599" i="3"/>
  <c r="L599" i="3"/>
  <c r="O598" i="3"/>
  <c r="P598" i="3" s="1"/>
  <c r="M598" i="3"/>
  <c r="N598" i="3" s="1"/>
  <c r="AV598" i="3"/>
  <c r="AU598" i="3"/>
  <c r="M599" i="3" l="1"/>
  <c r="N599" i="3" s="1"/>
  <c r="AU599" i="3"/>
  <c r="O599" i="3"/>
  <c r="P599" i="3" s="1"/>
  <c r="AV599" i="3"/>
  <c r="D600" i="3"/>
  <c r="L600" i="3"/>
  <c r="AF600" i="3"/>
  <c r="AJ600" i="3"/>
  <c r="AX600" i="3"/>
  <c r="A601" i="3"/>
  <c r="Q600" i="3"/>
  <c r="U600" i="3"/>
  <c r="Y600" i="3"/>
  <c r="AO600" i="3"/>
  <c r="AW600" i="3"/>
  <c r="F600" i="3"/>
  <c r="AB600" i="3"/>
  <c r="AH600" i="3"/>
  <c r="AT600" i="3"/>
  <c r="K600" i="3"/>
  <c r="E600" i="3"/>
  <c r="S600" i="3"/>
  <c r="W600" i="3"/>
  <c r="AM600" i="3"/>
  <c r="AQ600" i="3"/>
  <c r="E601" i="3" l="1"/>
  <c r="Q601" i="3"/>
  <c r="U601" i="3"/>
  <c r="Y601" i="3"/>
  <c r="AO601" i="3"/>
  <c r="AW601" i="3"/>
  <c r="F601" i="3"/>
  <c r="AF601" i="3"/>
  <c r="AJ601" i="3"/>
  <c r="AT601" i="3"/>
  <c r="AX601" i="3"/>
  <c r="K601" i="3"/>
  <c r="S601" i="3"/>
  <c r="W601" i="3"/>
  <c r="AM601" i="3"/>
  <c r="AQ601" i="3"/>
  <c r="A602" i="3"/>
  <c r="AB601" i="3"/>
  <c r="AH601" i="3"/>
  <c r="D601" i="3"/>
  <c r="L601" i="3"/>
  <c r="O600" i="3"/>
  <c r="P600" i="3" s="1"/>
  <c r="M600" i="3"/>
  <c r="N600" i="3" s="1"/>
  <c r="AV600" i="3"/>
  <c r="AU600" i="3"/>
  <c r="M601" i="3" l="1"/>
  <c r="N601" i="3" s="1"/>
  <c r="AU601" i="3"/>
  <c r="O601" i="3"/>
  <c r="P601" i="3" s="1"/>
  <c r="AV601" i="3"/>
  <c r="D602" i="3"/>
  <c r="L602" i="3"/>
  <c r="AF602" i="3"/>
  <c r="AJ602" i="3"/>
  <c r="AX602" i="3"/>
  <c r="A603" i="3"/>
  <c r="Q602" i="3"/>
  <c r="U602" i="3"/>
  <c r="Y602" i="3"/>
  <c r="AO602" i="3"/>
  <c r="AW602" i="3"/>
  <c r="F602" i="3"/>
  <c r="AB602" i="3"/>
  <c r="AH602" i="3"/>
  <c r="AT602" i="3"/>
  <c r="K602" i="3"/>
  <c r="E602" i="3"/>
  <c r="S602" i="3"/>
  <c r="W602" i="3"/>
  <c r="AM602" i="3"/>
  <c r="AQ602" i="3"/>
  <c r="E603" i="3" l="1"/>
  <c r="Q603" i="3"/>
  <c r="U603" i="3"/>
  <c r="Y603" i="3"/>
  <c r="AO603" i="3"/>
  <c r="AW603" i="3"/>
  <c r="F603" i="3"/>
  <c r="AF603" i="3"/>
  <c r="AJ603" i="3"/>
  <c r="AT603" i="3"/>
  <c r="AX603" i="3"/>
  <c r="K603" i="3"/>
  <c r="S603" i="3"/>
  <c r="W603" i="3"/>
  <c r="AM603" i="3"/>
  <c r="AQ603" i="3"/>
  <c r="A604" i="3"/>
  <c r="AB603" i="3"/>
  <c r="AH603" i="3"/>
  <c r="D603" i="3"/>
  <c r="L603" i="3"/>
  <c r="O602" i="3"/>
  <c r="P602" i="3" s="1"/>
  <c r="M602" i="3"/>
  <c r="N602" i="3" s="1"/>
  <c r="AV602" i="3"/>
  <c r="AU602" i="3"/>
  <c r="M603" i="3" l="1"/>
  <c r="N603" i="3" s="1"/>
  <c r="AU603" i="3"/>
  <c r="O603" i="3"/>
  <c r="P603" i="3" s="1"/>
  <c r="AV603" i="3"/>
  <c r="D604" i="3"/>
  <c r="L604" i="3"/>
  <c r="AF604" i="3"/>
  <c r="AJ604" i="3"/>
  <c r="AX604" i="3"/>
  <c r="A605" i="3"/>
  <c r="Q604" i="3"/>
  <c r="U604" i="3"/>
  <c r="Y604" i="3"/>
  <c r="AO604" i="3"/>
  <c r="AW604" i="3"/>
  <c r="F604" i="3"/>
  <c r="AB604" i="3"/>
  <c r="AH604" i="3"/>
  <c r="AT604" i="3"/>
  <c r="K604" i="3"/>
  <c r="E604" i="3"/>
  <c r="S604" i="3"/>
  <c r="W604" i="3"/>
  <c r="AM604" i="3"/>
  <c r="AQ604" i="3"/>
  <c r="E605" i="3" l="1"/>
  <c r="Q605" i="3"/>
  <c r="U605" i="3"/>
  <c r="Y605" i="3"/>
  <c r="AO605" i="3"/>
  <c r="AW605" i="3"/>
  <c r="F605" i="3"/>
  <c r="AF605" i="3"/>
  <c r="AJ605" i="3"/>
  <c r="AT605" i="3"/>
  <c r="AX605" i="3"/>
  <c r="K605" i="3"/>
  <c r="S605" i="3"/>
  <c r="W605" i="3"/>
  <c r="AM605" i="3"/>
  <c r="AQ605" i="3"/>
  <c r="A606" i="3"/>
  <c r="AB605" i="3"/>
  <c r="AH605" i="3"/>
  <c r="D605" i="3"/>
  <c r="L605" i="3"/>
  <c r="O604" i="3"/>
  <c r="P604" i="3" s="1"/>
  <c r="M604" i="3"/>
  <c r="N604" i="3" s="1"/>
  <c r="AV604" i="3"/>
  <c r="AU604" i="3"/>
  <c r="M605" i="3" l="1"/>
  <c r="N605" i="3" s="1"/>
  <c r="AU605" i="3"/>
  <c r="O605" i="3"/>
  <c r="P605" i="3" s="1"/>
  <c r="AV605" i="3"/>
  <c r="D606" i="3"/>
  <c r="L606" i="3"/>
  <c r="AF606" i="3"/>
  <c r="AJ606" i="3"/>
  <c r="AX606" i="3"/>
  <c r="A607" i="3"/>
  <c r="Q606" i="3"/>
  <c r="U606" i="3"/>
  <c r="Y606" i="3"/>
  <c r="AO606" i="3"/>
  <c r="AW606" i="3"/>
  <c r="F606" i="3"/>
  <c r="AB606" i="3"/>
  <c r="AH606" i="3"/>
  <c r="AT606" i="3"/>
  <c r="K606" i="3"/>
  <c r="E606" i="3"/>
  <c r="S606" i="3"/>
  <c r="W606" i="3"/>
  <c r="AM606" i="3"/>
  <c r="AQ606" i="3"/>
  <c r="E607" i="3" l="1"/>
  <c r="Q607" i="3"/>
  <c r="U607" i="3"/>
  <c r="Y607" i="3"/>
  <c r="AO607" i="3"/>
  <c r="AW607" i="3"/>
  <c r="F607" i="3"/>
  <c r="AF607" i="3"/>
  <c r="AJ607" i="3"/>
  <c r="AT607" i="3"/>
  <c r="AX607" i="3"/>
  <c r="K607" i="3"/>
  <c r="S607" i="3"/>
  <c r="W607" i="3"/>
  <c r="AM607" i="3"/>
  <c r="AQ607" i="3"/>
  <c r="A608" i="3"/>
  <c r="AB607" i="3"/>
  <c r="AH607" i="3"/>
  <c r="D607" i="3"/>
  <c r="L607" i="3"/>
  <c r="O606" i="3"/>
  <c r="P606" i="3" s="1"/>
  <c r="M606" i="3"/>
  <c r="N606" i="3" s="1"/>
  <c r="AV606" i="3"/>
  <c r="AU606" i="3"/>
  <c r="M607" i="3" l="1"/>
  <c r="N607" i="3" s="1"/>
  <c r="AU607" i="3"/>
  <c r="O607" i="3"/>
  <c r="P607" i="3" s="1"/>
  <c r="AV607" i="3"/>
  <c r="D608" i="3"/>
  <c r="L608" i="3"/>
  <c r="AF608" i="3"/>
  <c r="AJ608" i="3"/>
  <c r="AX608" i="3"/>
  <c r="A609" i="3"/>
  <c r="Q608" i="3"/>
  <c r="U608" i="3"/>
  <c r="Y608" i="3"/>
  <c r="AO608" i="3"/>
  <c r="AW608" i="3"/>
  <c r="F608" i="3"/>
  <c r="AB608" i="3"/>
  <c r="AH608" i="3"/>
  <c r="AT608" i="3"/>
  <c r="K608" i="3"/>
  <c r="E608" i="3"/>
  <c r="S608" i="3"/>
  <c r="W608" i="3"/>
  <c r="AM608" i="3"/>
  <c r="AQ608" i="3"/>
  <c r="E609" i="3" l="1"/>
  <c r="Q609" i="3"/>
  <c r="U609" i="3"/>
  <c r="Y609" i="3"/>
  <c r="AO609" i="3"/>
  <c r="AW609" i="3"/>
  <c r="F609" i="3"/>
  <c r="AF609" i="3"/>
  <c r="AJ609" i="3"/>
  <c r="AT609" i="3"/>
  <c r="AX609" i="3"/>
  <c r="K609" i="3"/>
  <c r="S609" i="3"/>
  <c r="W609" i="3"/>
  <c r="AM609" i="3"/>
  <c r="AQ609" i="3"/>
  <c r="A610" i="3"/>
  <c r="AB609" i="3"/>
  <c r="AH609" i="3"/>
  <c r="D609" i="3"/>
  <c r="L609" i="3"/>
  <c r="O608" i="3"/>
  <c r="P608" i="3" s="1"/>
  <c r="M608" i="3"/>
  <c r="N608" i="3" s="1"/>
  <c r="AV608" i="3"/>
  <c r="AU608" i="3"/>
  <c r="M609" i="3" l="1"/>
  <c r="N609" i="3" s="1"/>
  <c r="AU609" i="3"/>
  <c r="O609" i="3"/>
  <c r="P609" i="3" s="1"/>
  <c r="AV609" i="3"/>
  <c r="D610" i="3"/>
  <c r="L610" i="3"/>
  <c r="AF610" i="3"/>
  <c r="AJ610" i="3"/>
  <c r="AX610" i="3"/>
  <c r="A611" i="3"/>
  <c r="Q610" i="3"/>
  <c r="U610" i="3"/>
  <c r="Y610" i="3"/>
  <c r="AO610" i="3"/>
  <c r="AW610" i="3"/>
  <c r="F610" i="3"/>
  <c r="AB610" i="3"/>
  <c r="AH610" i="3"/>
  <c r="AT610" i="3"/>
  <c r="K610" i="3"/>
  <c r="E610" i="3"/>
  <c r="S610" i="3"/>
  <c r="W610" i="3"/>
  <c r="AM610" i="3"/>
  <c r="AQ610" i="3"/>
  <c r="E611" i="3" l="1"/>
  <c r="Q611" i="3"/>
  <c r="U611" i="3"/>
  <c r="Y611" i="3"/>
  <c r="AO611" i="3"/>
  <c r="AW611" i="3"/>
  <c r="F611" i="3"/>
  <c r="AF611" i="3"/>
  <c r="AJ611" i="3"/>
  <c r="AT611" i="3"/>
  <c r="AX611" i="3"/>
  <c r="K611" i="3"/>
  <c r="S611" i="3"/>
  <c r="W611" i="3"/>
  <c r="AM611" i="3"/>
  <c r="AQ611" i="3"/>
  <c r="A612" i="3"/>
  <c r="AB611" i="3"/>
  <c r="AH611" i="3"/>
  <c r="D611" i="3"/>
  <c r="L611" i="3"/>
  <c r="O610" i="3"/>
  <c r="P610" i="3" s="1"/>
  <c r="M610" i="3"/>
  <c r="N610" i="3" s="1"/>
  <c r="AV610" i="3"/>
  <c r="AU610" i="3"/>
  <c r="M611" i="3" l="1"/>
  <c r="N611" i="3" s="1"/>
  <c r="AU611" i="3"/>
  <c r="O611" i="3"/>
  <c r="P611" i="3" s="1"/>
  <c r="AV611" i="3"/>
  <c r="D612" i="3"/>
  <c r="L612" i="3"/>
  <c r="AF612" i="3"/>
  <c r="AJ612" i="3"/>
  <c r="AX612" i="3"/>
  <c r="A613" i="3"/>
  <c r="Q612" i="3"/>
  <c r="U612" i="3"/>
  <c r="Y612" i="3"/>
  <c r="AO612" i="3"/>
  <c r="AW612" i="3"/>
  <c r="F612" i="3"/>
  <c r="AB612" i="3"/>
  <c r="AH612" i="3"/>
  <c r="AT612" i="3"/>
  <c r="K612" i="3"/>
  <c r="E612" i="3"/>
  <c r="S612" i="3"/>
  <c r="W612" i="3"/>
  <c r="AM612" i="3"/>
  <c r="AQ612" i="3"/>
  <c r="E613" i="3" l="1"/>
  <c r="Q613" i="3"/>
  <c r="U613" i="3"/>
  <c r="Y613" i="3"/>
  <c r="AO613" i="3"/>
  <c r="AW613" i="3"/>
  <c r="F613" i="3"/>
  <c r="AF613" i="3"/>
  <c r="AJ613" i="3"/>
  <c r="AT613" i="3"/>
  <c r="AX613" i="3"/>
  <c r="K613" i="3"/>
  <c r="S613" i="3"/>
  <c r="W613" i="3"/>
  <c r="AM613" i="3"/>
  <c r="AQ613" i="3"/>
  <c r="A614" i="3"/>
  <c r="AB613" i="3"/>
  <c r="AH613" i="3"/>
  <c r="D613" i="3"/>
  <c r="L613" i="3"/>
  <c r="O612" i="3"/>
  <c r="P612" i="3" s="1"/>
  <c r="M612" i="3"/>
  <c r="N612" i="3" s="1"/>
  <c r="AV612" i="3"/>
  <c r="AU612" i="3"/>
  <c r="M613" i="3" l="1"/>
  <c r="N613" i="3" s="1"/>
  <c r="AU613" i="3"/>
  <c r="O613" i="3"/>
  <c r="P613" i="3" s="1"/>
  <c r="AV613" i="3"/>
  <c r="D614" i="3"/>
  <c r="L614" i="3"/>
  <c r="AF614" i="3"/>
  <c r="AJ614" i="3"/>
  <c r="AX614" i="3"/>
  <c r="A615" i="3"/>
  <c r="Q614" i="3"/>
  <c r="U614" i="3"/>
  <c r="Y614" i="3"/>
  <c r="AO614" i="3"/>
  <c r="AW614" i="3"/>
  <c r="F614" i="3"/>
  <c r="AB614" i="3"/>
  <c r="AH614" i="3"/>
  <c r="AT614" i="3"/>
  <c r="K614" i="3"/>
  <c r="E614" i="3"/>
  <c r="S614" i="3"/>
  <c r="W614" i="3"/>
  <c r="AM614" i="3"/>
  <c r="AQ614" i="3"/>
  <c r="E615" i="3" l="1"/>
  <c r="Q615" i="3"/>
  <c r="U615" i="3"/>
  <c r="Y615" i="3"/>
  <c r="AO615" i="3"/>
  <c r="AW615" i="3"/>
  <c r="F615" i="3"/>
  <c r="AF615" i="3"/>
  <c r="AJ615" i="3"/>
  <c r="AT615" i="3"/>
  <c r="AX615" i="3"/>
  <c r="K615" i="3"/>
  <c r="S615" i="3"/>
  <c r="W615" i="3"/>
  <c r="AM615" i="3"/>
  <c r="AQ615" i="3"/>
  <c r="A616" i="3"/>
  <c r="AB615" i="3"/>
  <c r="AH615" i="3"/>
  <c r="D615" i="3"/>
  <c r="L615" i="3"/>
  <c r="O614" i="3"/>
  <c r="P614" i="3" s="1"/>
  <c r="M614" i="3"/>
  <c r="N614" i="3" s="1"/>
  <c r="AV614" i="3"/>
  <c r="AU614" i="3"/>
  <c r="M615" i="3" l="1"/>
  <c r="N615" i="3" s="1"/>
  <c r="AU615" i="3"/>
  <c r="O615" i="3"/>
  <c r="P615" i="3" s="1"/>
  <c r="AV615" i="3"/>
  <c r="D616" i="3"/>
  <c r="L616" i="3"/>
  <c r="AF616" i="3"/>
  <c r="AJ616" i="3"/>
  <c r="AX616" i="3"/>
  <c r="A617" i="3"/>
  <c r="Q616" i="3"/>
  <c r="U616" i="3"/>
  <c r="Y616" i="3"/>
  <c r="AO616" i="3"/>
  <c r="AW616" i="3"/>
  <c r="F616" i="3"/>
  <c r="AB616" i="3"/>
  <c r="AH616" i="3"/>
  <c r="AT616" i="3"/>
  <c r="K616" i="3"/>
  <c r="E616" i="3"/>
  <c r="S616" i="3"/>
  <c r="W616" i="3"/>
  <c r="AM616" i="3"/>
  <c r="AQ616" i="3"/>
  <c r="E617" i="3" l="1"/>
  <c r="Q617" i="3"/>
  <c r="U617" i="3"/>
  <c r="Y617" i="3"/>
  <c r="AO617" i="3"/>
  <c r="AW617" i="3"/>
  <c r="F617" i="3"/>
  <c r="AF617" i="3"/>
  <c r="AJ617" i="3"/>
  <c r="AT617" i="3"/>
  <c r="AX617" i="3"/>
  <c r="K617" i="3"/>
  <c r="S617" i="3"/>
  <c r="W617" i="3"/>
  <c r="AM617" i="3"/>
  <c r="AQ617" i="3"/>
  <c r="A618" i="3"/>
  <c r="AB617" i="3"/>
  <c r="AH617" i="3"/>
  <c r="D617" i="3"/>
  <c r="L617" i="3"/>
  <c r="O616" i="3"/>
  <c r="P616" i="3" s="1"/>
  <c r="M616" i="3"/>
  <c r="N616" i="3" s="1"/>
  <c r="AV616" i="3"/>
  <c r="AU616" i="3"/>
  <c r="M617" i="3" l="1"/>
  <c r="N617" i="3" s="1"/>
  <c r="AU617" i="3"/>
  <c r="O617" i="3"/>
  <c r="P617" i="3" s="1"/>
  <c r="AV617" i="3"/>
  <c r="D618" i="3"/>
  <c r="L618" i="3"/>
  <c r="AF618" i="3"/>
  <c r="AJ618" i="3"/>
  <c r="AX618" i="3"/>
  <c r="A619" i="3"/>
  <c r="Q618" i="3"/>
  <c r="U618" i="3"/>
  <c r="Y618" i="3"/>
  <c r="AO618" i="3"/>
  <c r="AW618" i="3"/>
  <c r="F618" i="3"/>
  <c r="AB618" i="3"/>
  <c r="AH618" i="3"/>
  <c r="AT618" i="3"/>
  <c r="K618" i="3"/>
  <c r="E618" i="3"/>
  <c r="S618" i="3"/>
  <c r="W618" i="3"/>
  <c r="AM618" i="3"/>
  <c r="AQ618" i="3"/>
  <c r="E619" i="3" l="1"/>
  <c r="Q619" i="3"/>
  <c r="U619" i="3"/>
  <c r="Y619" i="3"/>
  <c r="AO619" i="3"/>
  <c r="AW619" i="3"/>
  <c r="F619" i="3"/>
  <c r="AF619" i="3"/>
  <c r="AJ619" i="3"/>
  <c r="AT619" i="3"/>
  <c r="AX619" i="3"/>
  <c r="K619" i="3"/>
  <c r="S619" i="3"/>
  <c r="W619" i="3"/>
  <c r="AM619" i="3"/>
  <c r="AQ619" i="3"/>
  <c r="A620" i="3"/>
  <c r="AB619" i="3"/>
  <c r="AH619" i="3"/>
  <c r="D619" i="3"/>
  <c r="L619" i="3"/>
  <c r="O618" i="3"/>
  <c r="P618" i="3" s="1"/>
  <c r="M618" i="3"/>
  <c r="N618" i="3" s="1"/>
  <c r="AV618" i="3"/>
  <c r="AU618" i="3"/>
  <c r="M619" i="3" l="1"/>
  <c r="N619" i="3" s="1"/>
  <c r="AU619" i="3"/>
  <c r="O619" i="3"/>
  <c r="P619" i="3" s="1"/>
  <c r="AV619" i="3"/>
  <c r="D620" i="3"/>
  <c r="L620" i="3"/>
  <c r="AF620" i="3"/>
  <c r="AJ620" i="3"/>
  <c r="AX620" i="3"/>
  <c r="A621" i="3"/>
  <c r="Q620" i="3"/>
  <c r="U620" i="3"/>
  <c r="Y620" i="3"/>
  <c r="AO620" i="3"/>
  <c r="AW620" i="3"/>
  <c r="F620" i="3"/>
  <c r="AB620" i="3"/>
  <c r="AH620" i="3"/>
  <c r="AT620" i="3"/>
  <c r="K620" i="3"/>
  <c r="E620" i="3"/>
  <c r="S620" i="3"/>
  <c r="W620" i="3"/>
  <c r="AM620" i="3"/>
  <c r="AQ620" i="3"/>
  <c r="E621" i="3" l="1"/>
  <c r="Q621" i="3"/>
  <c r="U621" i="3"/>
  <c r="Y621" i="3"/>
  <c r="AO621" i="3"/>
  <c r="AW621" i="3"/>
  <c r="F621" i="3"/>
  <c r="AF621" i="3"/>
  <c r="AJ621" i="3"/>
  <c r="AT621" i="3"/>
  <c r="AX621" i="3"/>
  <c r="K621" i="3"/>
  <c r="S621" i="3"/>
  <c r="W621" i="3"/>
  <c r="AM621" i="3"/>
  <c r="AQ621" i="3"/>
  <c r="A622" i="3"/>
  <c r="AB621" i="3"/>
  <c r="AH621" i="3"/>
  <c r="D621" i="3"/>
  <c r="L621" i="3"/>
  <c r="O620" i="3"/>
  <c r="P620" i="3" s="1"/>
  <c r="M620" i="3"/>
  <c r="N620" i="3" s="1"/>
  <c r="AV620" i="3"/>
  <c r="AU620" i="3"/>
  <c r="M621" i="3" l="1"/>
  <c r="N621" i="3" s="1"/>
  <c r="AU621" i="3"/>
  <c r="O621" i="3"/>
  <c r="P621" i="3" s="1"/>
  <c r="AV621" i="3"/>
  <c r="D622" i="3"/>
  <c r="L622" i="3"/>
  <c r="AF622" i="3"/>
  <c r="K622" i="3"/>
  <c r="AO622" i="3"/>
  <c r="AW622" i="3"/>
  <c r="E622" i="3"/>
  <c r="S622" i="3"/>
  <c r="W622" i="3"/>
  <c r="AJ622" i="3"/>
  <c r="AX622" i="3"/>
  <c r="F622" i="3"/>
  <c r="AB622" i="3"/>
  <c r="AH622" i="3"/>
  <c r="AM622" i="3"/>
  <c r="AQ622" i="3"/>
  <c r="A623" i="3"/>
  <c r="Q622" i="3"/>
  <c r="U622" i="3"/>
  <c r="Y622" i="3"/>
  <c r="AT622" i="3"/>
  <c r="D623" i="3" l="1"/>
  <c r="L623" i="3"/>
  <c r="AF623" i="3"/>
  <c r="AJ623" i="3"/>
  <c r="AX623" i="3"/>
  <c r="A624" i="3"/>
  <c r="Q623" i="3"/>
  <c r="U623" i="3"/>
  <c r="Y623" i="3"/>
  <c r="AO623" i="3"/>
  <c r="AW623" i="3"/>
  <c r="F623" i="3"/>
  <c r="AB623" i="3"/>
  <c r="AH623" i="3"/>
  <c r="AT623" i="3"/>
  <c r="K623" i="3"/>
  <c r="E623" i="3"/>
  <c r="S623" i="3"/>
  <c r="W623" i="3"/>
  <c r="AM623" i="3"/>
  <c r="AQ623" i="3"/>
  <c r="AU622" i="3"/>
  <c r="M622" i="3"/>
  <c r="N622" i="3" s="1"/>
  <c r="O622" i="3"/>
  <c r="P622" i="3" s="1"/>
  <c r="AV622" i="3"/>
  <c r="E624" i="3" l="1"/>
  <c r="Q624" i="3"/>
  <c r="U624" i="3"/>
  <c r="Y624" i="3"/>
  <c r="AO624" i="3"/>
  <c r="AW624" i="3"/>
  <c r="F624" i="3"/>
  <c r="AF624" i="3"/>
  <c r="AJ624" i="3"/>
  <c r="L624" i="3"/>
  <c r="AX624" i="3"/>
  <c r="K624" i="3"/>
  <c r="S624" i="3"/>
  <c r="W624" i="3"/>
  <c r="AM624" i="3"/>
  <c r="AQ624" i="3"/>
  <c r="A625" i="3"/>
  <c r="AB624" i="3"/>
  <c r="AH624" i="3"/>
  <c r="D624" i="3"/>
  <c r="AT624" i="3"/>
  <c r="O623" i="3"/>
  <c r="P623" i="3" s="1"/>
  <c r="M623" i="3"/>
  <c r="N623" i="3" s="1"/>
  <c r="AV623" i="3"/>
  <c r="AU623" i="3"/>
  <c r="M624" i="3" l="1"/>
  <c r="N624" i="3" s="1"/>
  <c r="AU624" i="3"/>
  <c r="O624" i="3"/>
  <c r="P624" i="3" s="1"/>
  <c r="AV624" i="3"/>
  <c r="D625" i="3"/>
  <c r="L625" i="3"/>
  <c r="AF625" i="3"/>
  <c r="AJ625" i="3"/>
  <c r="AX625" i="3"/>
  <c r="A626" i="3"/>
  <c r="Q625" i="3"/>
  <c r="U625" i="3"/>
  <c r="Y625" i="3"/>
  <c r="AO625" i="3"/>
  <c r="AW625" i="3"/>
  <c r="F625" i="3"/>
  <c r="AB625" i="3"/>
  <c r="AH625" i="3"/>
  <c r="AT625" i="3"/>
  <c r="K625" i="3"/>
  <c r="E625" i="3"/>
  <c r="S625" i="3"/>
  <c r="W625" i="3"/>
  <c r="AM625" i="3"/>
  <c r="AQ625" i="3"/>
  <c r="E626" i="3" l="1"/>
  <c r="Q626" i="3"/>
  <c r="U626" i="3"/>
  <c r="Y626" i="3"/>
  <c r="AO626" i="3"/>
  <c r="AW626" i="3"/>
  <c r="F626" i="3"/>
  <c r="AF626" i="3"/>
  <c r="AJ626" i="3"/>
  <c r="L626" i="3"/>
  <c r="AX626" i="3"/>
  <c r="K626" i="3"/>
  <c r="S626" i="3"/>
  <c r="W626" i="3"/>
  <c r="AM626" i="3"/>
  <c r="AQ626" i="3"/>
  <c r="A627" i="3"/>
  <c r="AB626" i="3"/>
  <c r="AH626" i="3"/>
  <c r="D626" i="3"/>
  <c r="AT626" i="3"/>
  <c r="O625" i="3"/>
  <c r="P625" i="3" s="1"/>
  <c r="M625" i="3"/>
  <c r="N625" i="3" s="1"/>
  <c r="AV625" i="3"/>
  <c r="AU625" i="3"/>
  <c r="M626" i="3" l="1"/>
  <c r="N626" i="3" s="1"/>
  <c r="AU626" i="3"/>
  <c r="O626" i="3"/>
  <c r="P626" i="3" s="1"/>
  <c r="AV626" i="3"/>
  <c r="D627" i="3"/>
  <c r="L627" i="3"/>
  <c r="AF627" i="3"/>
  <c r="AJ627" i="3"/>
  <c r="AX627" i="3"/>
  <c r="A628" i="3"/>
  <c r="Q627" i="3"/>
  <c r="U627" i="3"/>
  <c r="Y627" i="3"/>
  <c r="AO627" i="3"/>
  <c r="AW627" i="3"/>
  <c r="F627" i="3"/>
  <c r="AB627" i="3"/>
  <c r="AH627" i="3"/>
  <c r="AT627" i="3"/>
  <c r="K627" i="3"/>
  <c r="E627" i="3"/>
  <c r="S627" i="3"/>
  <c r="W627" i="3"/>
  <c r="AM627" i="3"/>
  <c r="AQ627" i="3"/>
  <c r="E628" i="3" l="1"/>
  <c r="Q628" i="3"/>
  <c r="U628" i="3"/>
  <c r="Y628" i="3"/>
  <c r="AO628" i="3"/>
  <c r="AW628" i="3"/>
  <c r="F628" i="3"/>
  <c r="AF628" i="3"/>
  <c r="AJ628" i="3"/>
  <c r="L628" i="3"/>
  <c r="AX628" i="3"/>
  <c r="K628" i="3"/>
  <c r="S628" i="3"/>
  <c r="W628" i="3"/>
  <c r="AM628" i="3"/>
  <c r="AQ628" i="3"/>
  <c r="A629" i="3"/>
  <c r="AB628" i="3"/>
  <c r="AH628" i="3"/>
  <c r="D628" i="3"/>
  <c r="AT628" i="3"/>
  <c r="O627" i="3"/>
  <c r="P627" i="3" s="1"/>
  <c r="M627" i="3"/>
  <c r="N627" i="3" s="1"/>
  <c r="AV627" i="3"/>
  <c r="AU627" i="3"/>
  <c r="M628" i="3" l="1"/>
  <c r="N628" i="3" s="1"/>
  <c r="AU628" i="3"/>
  <c r="O628" i="3"/>
  <c r="P628" i="3" s="1"/>
  <c r="AV628" i="3"/>
  <c r="D629" i="3"/>
  <c r="L629" i="3"/>
  <c r="AF629" i="3"/>
  <c r="AJ629" i="3"/>
  <c r="AX629" i="3"/>
  <c r="A630" i="3"/>
  <c r="Q629" i="3"/>
  <c r="U629" i="3"/>
  <c r="Y629" i="3"/>
  <c r="AO629" i="3"/>
  <c r="AW629" i="3"/>
  <c r="F629" i="3"/>
  <c r="AB629" i="3"/>
  <c r="AH629" i="3"/>
  <c r="AT629" i="3"/>
  <c r="K629" i="3"/>
  <c r="E629" i="3"/>
  <c r="S629" i="3"/>
  <c r="W629" i="3"/>
  <c r="AM629" i="3"/>
  <c r="AQ629" i="3"/>
  <c r="E630" i="3" l="1"/>
  <c r="Q630" i="3"/>
  <c r="U630" i="3"/>
  <c r="Y630" i="3"/>
  <c r="AO630" i="3"/>
  <c r="AW630" i="3"/>
  <c r="F630" i="3"/>
  <c r="AF630" i="3"/>
  <c r="AJ630" i="3"/>
  <c r="L630" i="3"/>
  <c r="AX630" i="3"/>
  <c r="K630" i="3"/>
  <c r="S630" i="3"/>
  <c r="W630" i="3"/>
  <c r="AM630" i="3"/>
  <c r="AQ630" i="3"/>
  <c r="A631" i="3"/>
  <c r="AB630" i="3"/>
  <c r="AH630" i="3"/>
  <c r="D630" i="3"/>
  <c r="AT630" i="3"/>
  <c r="O629" i="3"/>
  <c r="P629" i="3" s="1"/>
  <c r="M629" i="3"/>
  <c r="N629" i="3" s="1"/>
  <c r="AV629" i="3"/>
  <c r="AU629" i="3"/>
  <c r="M630" i="3" l="1"/>
  <c r="N630" i="3" s="1"/>
  <c r="AU630" i="3"/>
  <c r="O630" i="3"/>
  <c r="P630" i="3" s="1"/>
  <c r="AV630" i="3"/>
  <c r="D631" i="3"/>
  <c r="L631" i="3"/>
  <c r="AF631" i="3"/>
  <c r="AJ631" i="3"/>
  <c r="AX631" i="3"/>
  <c r="A632" i="3"/>
  <c r="Q631" i="3"/>
  <c r="U631" i="3"/>
  <c r="Y631" i="3"/>
  <c r="AO631" i="3"/>
  <c r="AW631" i="3"/>
  <c r="F631" i="3"/>
  <c r="AB631" i="3"/>
  <c r="AH631" i="3"/>
  <c r="AT631" i="3"/>
  <c r="K631" i="3"/>
  <c r="E631" i="3"/>
  <c r="S631" i="3"/>
  <c r="W631" i="3"/>
  <c r="AM631" i="3"/>
  <c r="AQ631" i="3"/>
  <c r="E632" i="3" l="1"/>
  <c r="Q632" i="3"/>
  <c r="U632" i="3"/>
  <c r="Y632" i="3"/>
  <c r="AO632" i="3"/>
  <c r="AW632" i="3"/>
  <c r="F632" i="3"/>
  <c r="AF632" i="3"/>
  <c r="AJ632" i="3"/>
  <c r="L632" i="3"/>
  <c r="AX632" i="3"/>
  <c r="K632" i="3"/>
  <c r="S632" i="3"/>
  <c r="W632" i="3"/>
  <c r="AM632" i="3"/>
  <c r="AQ632" i="3"/>
  <c r="A633" i="3"/>
  <c r="AB632" i="3"/>
  <c r="AH632" i="3"/>
  <c r="D632" i="3"/>
  <c r="AT632" i="3"/>
  <c r="O631" i="3"/>
  <c r="P631" i="3" s="1"/>
  <c r="M631" i="3"/>
  <c r="N631" i="3" s="1"/>
  <c r="AV631" i="3"/>
  <c r="AU631" i="3"/>
  <c r="M632" i="3" l="1"/>
  <c r="N632" i="3" s="1"/>
  <c r="AU632" i="3"/>
  <c r="O632" i="3"/>
  <c r="P632" i="3" s="1"/>
  <c r="AV632" i="3"/>
  <c r="D633" i="3"/>
  <c r="L633" i="3"/>
  <c r="AF633" i="3"/>
  <c r="AJ633" i="3"/>
  <c r="AX633" i="3"/>
  <c r="A634" i="3"/>
  <c r="Q633" i="3"/>
  <c r="U633" i="3"/>
  <c r="Y633" i="3"/>
  <c r="AO633" i="3"/>
  <c r="AW633" i="3"/>
  <c r="F633" i="3"/>
  <c r="AB633" i="3"/>
  <c r="AH633" i="3"/>
  <c r="AT633" i="3"/>
  <c r="K633" i="3"/>
  <c r="E633" i="3"/>
  <c r="S633" i="3"/>
  <c r="W633" i="3"/>
  <c r="AM633" i="3"/>
  <c r="AQ633" i="3"/>
  <c r="E634" i="3" l="1"/>
  <c r="Q634" i="3"/>
  <c r="U634" i="3"/>
  <c r="Y634" i="3"/>
  <c r="AO634" i="3"/>
  <c r="AW634" i="3"/>
  <c r="F634" i="3"/>
  <c r="AF634" i="3"/>
  <c r="AJ634" i="3"/>
  <c r="L634" i="3"/>
  <c r="AX634" i="3"/>
  <c r="K634" i="3"/>
  <c r="S634" i="3"/>
  <c r="W634" i="3"/>
  <c r="AM634" i="3"/>
  <c r="AQ634" i="3"/>
  <c r="A635" i="3"/>
  <c r="AB634" i="3"/>
  <c r="AH634" i="3"/>
  <c r="D634" i="3"/>
  <c r="AT634" i="3"/>
  <c r="O633" i="3"/>
  <c r="P633" i="3" s="1"/>
  <c r="M633" i="3"/>
  <c r="N633" i="3" s="1"/>
  <c r="AV633" i="3"/>
  <c r="AU633" i="3"/>
  <c r="M634" i="3" l="1"/>
  <c r="N634" i="3" s="1"/>
  <c r="AU634" i="3"/>
  <c r="O634" i="3"/>
  <c r="P634" i="3" s="1"/>
  <c r="AV634" i="3"/>
  <c r="D635" i="3"/>
  <c r="L635" i="3"/>
  <c r="AF635" i="3"/>
  <c r="AJ635" i="3"/>
  <c r="AX635" i="3"/>
  <c r="A636" i="3"/>
  <c r="Q635" i="3"/>
  <c r="U635" i="3"/>
  <c r="Y635" i="3"/>
  <c r="AO635" i="3"/>
  <c r="AW635" i="3"/>
  <c r="F635" i="3"/>
  <c r="AB635" i="3"/>
  <c r="AH635" i="3"/>
  <c r="AT635" i="3"/>
  <c r="K635" i="3"/>
  <c r="E635" i="3"/>
  <c r="S635" i="3"/>
  <c r="W635" i="3"/>
  <c r="AM635" i="3"/>
  <c r="AQ635" i="3"/>
  <c r="E636" i="3" l="1"/>
  <c r="Q636" i="3"/>
  <c r="U636" i="3"/>
  <c r="Y636" i="3"/>
  <c r="AO636" i="3"/>
  <c r="AW636" i="3"/>
  <c r="F636" i="3"/>
  <c r="AF636" i="3"/>
  <c r="AJ636" i="3"/>
  <c r="L636" i="3"/>
  <c r="AX636" i="3"/>
  <c r="K636" i="3"/>
  <c r="S636" i="3"/>
  <c r="W636" i="3"/>
  <c r="AM636" i="3"/>
  <c r="AQ636" i="3"/>
  <c r="A637" i="3"/>
  <c r="AB636" i="3"/>
  <c r="AH636" i="3"/>
  <c r="D636" i="3"/>
  <c r="AT636" i="3"/>
  <c r="O635" i="3"/>
  <c r="P635" i="3" s="1"/>
  <c r="M635" i="3"/>
  <c r="N635" i="3" s="1"/>
  <c r="AV635" i="3"/>
  <c r="AU635" i="3"/>
  <c r="M636" i="3" l="1"/>
  <c r="N636" i="3" s="1"/>
  <c r="AU636" i="3"/>
  <c r="O636" i="3"/>
  <c r="P636" i="3" s="1"/>
  <c r="AV636" i="3"/>
  <c r="D637" i="3"/>
  <c r="L637" i="3"/>
  <c r="AF637" i="3"/>
  <c r="AJ637" i="3"/>
  <c r="AX637" i="3"/>
  <c r="A638" i="3"/>
  <c r="Q637" i="3"/>
  <c r="U637" i="3"/>
  <c r="Y637" i="3"/>
  <c r="AO637" i="3"/>
  <c r="AW637" i="3"/>
  <c r="F637" i="3"/>
  <c r="AB637" i="3"/>
  <c r="AH637" i="3"/>
  <c r="AT637" i="3"/>
  <c r="K637" i="3"/>
  <c r="E637" i="3"/>
  <c r="S637" i="3"/>
  <c r="W637" i="3"/>
  <c r="AM637" i="3"/>
  <c r="AQ637" i="3"/>
  <c r="E638" i="3" l="1"/>
  <c r="Q638" i="3"/>
  <c r="U638" i="3"/>
  <c r="Y638" i="3"/>
  <c r="AO638" i="3"/>
  <c r="AW638" i="3"/>
  <c r="F638" i="3"/>
  <c r="AF638" i="3"/>
  <c r="AJ638" i="3"/>
  <c r="L638" i="3"/>
  <c r="AX638" i="3"/>
  <c r="K638" i="3"/>
  <c r="S638" i="3"/>
  <c r="W638" i="3"/>
  <c r="AM638" i="3"/>
  <c r="AQ638" i="3"/>
  <c r="A639" i="3"/>
  <c r="AB638" i="3"/>
  <c r="AH638" i="3"/>
  <c r="D638" i="3"/>
  <c r="AT638" i="3"/>
  <c r="O637" i="3"/>
  <c r="P637" i="3" s="1"/>
  <c r="M637" i="3"/>
  <c r="N637" i="3" s="1"/>
  <c r="AV637" i="3"/>
  <c r="AU637" i="3"/>
  <c r="M638" i="3" l="1"/>
  <c r="N638" i="3" s="1"/>
  <c r="AU638" i="3"/>
  <c r="O638" i="3"/>
  <c r="P638" i="3" s="1"/>
  <c r="AV638" i="3"/>
  <c r="D639" i="3"/>
  <c r="L639" i="3"/>
  <c r="AF639" i="3"/>
  <c r="AJ639" i="3"/>
  <c r="AX639" i="3"/>
  <c r="A640" i="3"/>
  <c r="Q639" i="3"/>
  <c r="U639" i="3"/>
  <c r="Y639" i="3"/>
  <c r="AO639" i="3"/>
  <c r="AW639" i="3"/>
  <c r="F639" i="3"/>
  <c r="AB639" i="3"/>
  <c r="AH639" i="3"/>
  <c r="AT639" i="3"/>
  <c r="K639" i="3"/>
  <c r="E639" i="3"/>
  <c r="S639" i="3"/>
  <c r="W639" i="3"/>
  <c r="AM639" i="3"/>
  <c r="AQ639" i="3"/>
  <c r="E640" i="3" l="1"/>
  <c r="Q640" i="3"/>
  <c r="U640" i="3"/>
  <c r="Y640" i="3"/>
  <c r="AO640" i="3"/>
  <c r="AW640" i="3"/>
  <c r="F640" i="3"/>
  <c r="AF640" i="3"/>
  <c r="AJ640" i="3"/>
  <c r="L640" i="3"/>
  <c r="AX640" i="3"/>
  <c r="K640" i="3"/>
  <c r="S640" i="3"/>
  <c r="W640" i="3"/>
  <c r="AM640" i="3"/>
  <c r="AQ640" i="3"/>
  <c r="A641" i="3"/>
  <c r="AB640" i="3"/>
  <c r="AH640" i="3"/>
  <c r="D640" i="3"/>
  <c r="AT640" i="3"/>
  <c r="O639" i="3"/>
  <c r="P639" i="3" s="1"/>
  <c r="M639" i="3"/>
  <c r="N639" i="3" s="1"/>
  <c r="AV639" i="3"/>
  <c r="AU639" i="3"/>
  <c r="M640" i="3" l="1"/>
  <c r="N640" i="3" s="1"/>
  <c r="AU640" i="3"/>
  <c r="O640" i="3"/>
  <c r="P640" i="3" s="1"/>
  <c r="AV640" i="3"/>
  <c r="D641" i="3"/>
  <c r="L641" i="3"/>
  <c r="AF641" i="3"/>
  <c r="AJ641" i="3"/>
  <c r="AX641" i="3"/>
  <c r="A642" i="3"/>
  <c r="Q641" i="3"/>
  <c r="U641" i="3"/>
  <c r="Y641" i="3"/>
  <c r="AO641" i="3"/>
  <c r="AW641" i="3"/>
  <c r="F641" i="3"/>
  <c r="AB641" i="3"/>
  <c r="AH641" i="3"/>
  <c r="AT641" i="3"/>
  <c r="K641" i="3"/>
  <c r="E641" i="3"/>
  <c r="S641" i="3"/>
  <c r="W641" i="3"/>
  <c r="AM641" i="3"/>
  <c r="AQ641" i="3"/>
  <c r="E642" i="3" l="1"/>
  <c r="Q642" i="3"/>
  <c r="U642" i="3"/>
  <c r="Y642" i="3"/>
  <c r="AO642" i="3"/>
  <c r="AW642" i="3"/>
  <c r="F642" i="3"/>
  <c r="AF642" i="3"/>
  <c r="AJ642" i="3"/>
  <c r="L642" i="3"/>
  <c r="AX642" i="3"/>
  <c r="K642" i="3"/>
  <c r="S642" i="3"/>
  <c r="W642" i="3"/>
  <c r="AM642" i="3"/>
  <c r="AQ642" i="3"/>
  <c r="A643" i="3"/>
  <c r="AB642" i="3"/>
  <c r="AH642" i="3"/>
  <c r="D642" i="3"/>
  <c r="AT642" i="3"/>
  <c r="O641" i="3"/>
  <c r="P641" i="3" s="1"/>
  <c r="M641" i="3"/>
  <c r="N641" i="3" s="1"/>
  <c r="AV641" i="3"/>
  <c r="AU641" i="3"/>
  <c r="M642" i="3" l="1"/>
  <c r="N642" i="3" s="1"/>
  <c r="AU642" i="3"/>
  <c r="O642" i="3"/>
  <c r="P642" i="3" s="1"/>
  <c r="AV642" i="3"/>
  <c r="D643" i="3"/>
  <c r="L643" i="3"/>
  <c r="AF643" i="3"/>
  <c r="AJ643" i="3"/>
  <c r="AX643" i="3"/>
  <c r="A644" i="3"/>
  <c r="Q643" i="3"/>
  <c r="U643" i="3"/>
  <c r="Y643" i="3"/>
  <c r="AO643" i="3"/>
  <c r="AW643" i="3"/>
  <c r="F643" i="3"/>
  <c r="AB643" i="3"/>
  <c r="AH643" i="3"/>
  <c r="AT643" i="3"/>
  <c r="K643" i="3"/>
  <c r="E643" i="3"/>
  <c r="S643" i="3"/>
  <c r="W643" i="3"/>
  <c r="AM643" i="3"/>
  <c r="AQ643" i="3"/>
  <c r="E644" i="3" l="1"/>
  <c r="Q644" i="3"/>
  <c r="U644" i="3"/>
  <c r="Y644" i="3"/>
  <c r="AO644" i="3"/>
  <c r="AW644" i="3"/>
  <c r="F644" i="3"/>
  <c r="AF644" i="3"/>
  <c r="AJ644" i="3"/>
  <c r="L644" i="3"/>
  <c r="AX644" i="3"/>
  <c r="K644" i="3"/>
  <c r="S644" i="3"/>
  <c r="W644" i="3"/>
  <c r="AM644" i="3"/>
  <c r="AQ644" i="3"/>
  <c r="A645" i="3"/>
  <c r="AB644" i="3"/>
  <c r="AH644" i="3"/>
  <c r="D644" i="3"/>
  <c r="AT644" i="3"/>
  <c r="O643" i="3"/>
  <c r="P643" i="3" s="1"/>
  <c r="M643" i="3"/>
  <c r="N643" i="3" s="1"/>
  <c r="AV643" i="3"/>
  <c r="AU643" i="3"/>
  <c r="M644" i="3" l="1"/>
  <c r="N644" i="3" s="1"/>
  <c r="AU644" i="3"/>
  <c r="O644" i="3"/>
  <c r="P644" i="3" s="1"/>
  <c r="AV644" i="3"/>
  <c r="D645" i="3"/>
  <c r="L645" i="3"/>
  <c r="AF645" i="3"/>
  <c r="AJ645" i="3"/>
  <c r="AX645" i="3"/>
  <c r="A646" i="3"/>
  <c r="Q645" i="3"/>
  <c r="U645" i="3"/>
  <c r="Y645" i="3"/>
  <c r="AO645" i="3"/>
  <c r="AW645" i="3"/>
  <c r="F645" i="3"/>
  <c r="AB645" i="3"/>
  <c r="AH645" i="3"/>
  <c r="AT645" i="3"/>
  <c r="K645" i="3"/>
  <c r="E645" i="3"/>
  <c r="S645" i="3"/>
  <c r="W645" i="3"/>
  <c r="AM645" i="3"/>
  <c r="AQ645" i="3"/>
  <c r="E646" i="3" l="1"/>
  <c r="Q646" i="3"/>
  <c r="U646" i="3"/>
  <c r="Y646" i="3"/>
  <c r="AO646" i="3"/>
  <c r="AW646" i="3"/>
  <c r="F646" i="3"/>
  <c r="AF646" i="3"/>
  <c r="AJ646" i="3"/>
  <c r="L646" i="3"/>
  <c r="AX646" i="3"/>
  <c r="K646" i="3"/>
  <c r="S646" i="3"/>
  <c r="W646" i="3"/>
  <c r="AM646" i="3"/>
  <c r="AQ646" i="3"/>
  <c r="A647" i="3"/>
  <c r="AB646" i="3"/>
  <c r="AH646" i="3"/>
  <c r="D646" i="3"/>
  <c r="AT646" i="3"/>
  <c r="O645" i="3"/>
  <c r="P645" i="3" s="1"/>
  <c r="M645" i="3"/>
  <c r="N645" i="3" s="1"/>
  <c r="AV645" i="3"/>
  <c r="AU645" i="3"/>
  <c r="M646" i="3" l="1"/>
  <c r="N646" i="3" s="1"/>
  <c r="AU646" i="3"/>
  <c r="O646" i="3"/>
  <c r="P646" i="3" s="1"/>
  <c r="AV646" i="3"/>
  <c r="D647" i="3"/>
  <c r="L647" i="3"/>
  <c r="AF647" i="3"/>
  <c r="AJ647" i="3"/>
  <c r="AX647" i="3"/>
  <c r="A648" i="3"/>
  <c r="Q647" i="3"/>
  <c r="U647" i="3"/>
  <c r="Y647" i="3"/>
  <c r="AO647" i="3"/>
  <c r="AW647" i="3"/>
  <c r="F647" i="3"/>
  <c r="AB647" i="3"/>
  <c r="AH647" i="3"/>
  <c r="AT647" i="3"/>
  <c r="K647" i="3"/>
  <c r="E647" i="3"/>
  <c r="S647" i="3"/>
  <c r="W647" i="3"/>
  <c r="AM647" i="3"/>
  <c r="AQ647" i="3"/>
  <c r="E648" i="3" l="1"/>
  <c r="Q648" i="3"/>
  <c r="U648" i="3"/>
  <c r="Y648" i="3"/>
  <c r="AO648" i="3"/>
  <c r="AW648" i="3"/>
  <c r="F648" i="3"/>
  <c r="AF648" i="3"/>
  <c r="AJ648" i="3"/>
  <c r="L648" i="3"/>
  <c r="AX648" i="3"/>
  <c r="K648" i="3"/>
  <c r="S648" i="3"/>
  <c r="W648" i="3"/>
  <c r="AM648" i="3"/>
  <c r="AQ648" i="3"/>
  <c r="A649" i="3"/>
  <c r="AB648" i="3"/>
  <c r="AH648" i="3"/>
  <c r="D648" i="3"/>
  <c r="AT648" i="3"/>
  <c r="O647" i="3"/>
  <c r="P647" i="3" s="1"/>
  <c r="M647" i="3"/>
  <c r="N647" i="3" s="1"/>
  <c r="AV647" i="3"/>
  <c r="AU647" i="3"/>
  <c r="M648" i="3" l="1"/>
  <c r="N648" i="3" s="1"/>
  <c r="AU648" i="3"/>
  <c r="O648" i="3"/>
  <c r="P648" i="3" s="1"/>
  <c r="AV648" i="3"/>
  <c r="D649" i="3"/>
  <c r="L649" i="3"/>
  <c r="AF649" i="3"/>
  <c r="AJ649" i="3"/>
  <c r="AX649" i="3"/>
  <c r="A650" i="3"/>
  <c r="Q649" i="3"/>
  <c r="U649" i="3"/>
  <c r="Y649" i="3"/>
  <c r="AO649" i="3"/>
  <c r="AW649" i="3"/>
  <c r="F649" i="3"/>
  <c r="AB649" i="3"/>
  <c r="AH649" i="3"/>
  <c r="AT649" i="3"/>
  <c r="K649" i="3"/>
  <c r="E649" i="3"/>
  <c r="S649" i="3"/>
  <c r="W649" i="3"/>
  <c r="AM649" i="3"/>
  <c r="AQ649" i="3"/>
  <c r="E650" i="3" l="1"/>
  <c r="Q650" i="3"/>
  <c r="U650" i="3"/>
  <c r="Y650" i="3"/>
  <c r="AO650" i="3"/>
  <c r="AW650" i="3"/>
  <c r="F650" i="3"/>
  <c r="AF650" i="3"/>
  <c r="AJ650" i="3"/>
  <c r="L650" i="3"/>
  <c r="AX650" i="3"/>
  <c r="K650" i="3"/>
  <c r="S650" i="3"/>
  <c r="W650" i="3"/>
  <c r="AM650" i="3"/>
  <c r="AQ650" i="3"/>
  <c r="A651" i="3"/>
  <c r="AB650" i="3"/>
  <c r="AH650" i="3"/>
  <c r="D650" i="3"/>
  <c r="AT650" i="3"/>
  <c r="O649" i="3"/>
  <c r="P649" i="3" s="1"/>
  <c r="M649" i="3"/>
  <c r="N649" i="3" s="1"/>
  <c r="AV649" i="3"/>
  <c r="AU649" i="3"/>
  <c r="M650" i="3" l="1"/>
  <c r="N650" i="3" s="1"/>
  <c r="AU650" i="3"/>
  <c r="O650" i="3"/>
  <c r="P650" i="3" s="1"/>
  <c r="AV650" i="3"/>
  <c r="D651" i="3"/>
  <c r="L651" i="3"/>
  <c r="AF651" i="3"/>
  <c r="AJ651" i="3"/>
  <c r="AX651" i="3"/>
  <c r="A652" i="3"/>
  <c r="Q651" i="3"/>
  <c r="U651" i="3"/>
  <c r="Y651" i="3"/>
  <c r="AO651" i="3"/>
  <c r="AW651" i="3"/>
  <c r="F651" i="3"/>
  <c r="AB651" i="3"/>
  <c r="AH651" i="3"/>
  <c r="AT651" i="3"/>
  <c r="K651" i="3"/>
  <c r="E651" i="3"/>
  <c r="S651" i="3"/>
  <c r="W651" i="3"/>
  <c r="AM651" i="3"/>
  <c r="AQ651" i="3"/>
  <c r="E652" i="3" l="1"/>
  <c r="Q652" i="3"/>
  <c r="U652" i="3"/>
  <c r="Y652" i="3"/>
  <c r="AO652" i="3"/>
  <c r="AW652" i="3"/>
  <c r="F652" i="3"/>
  <c r="AF652" i="3"/>
  <c r="AJ652" i="3"/>
  <c r="L652" i="3"/>
  <c r="AX652" i="3"/>
  <c r="K652" i="3"/>
  <c r="S652" i="3"/>
  <c r="W652" i="3"/>
  <c r="AM652" i="3"/>
  <c r="AQ652" i="3"/>
  <c r="A653" i="3"/>
  <c r="AB652" i="3"/>
  <c r="AH652" i="3"/>
  <c r="D652" i="3"/>
  <c r="AT652" i="3"/>
  <c r="O651" i="3"/>
  <c r="P651" i="3" s="1"/>
  <c r="M651" i="3"/>
  <c r="N651" i="3" s="1"/>
  <c r="AV651" i="3"/>
  <c r="AU651" i="3"/>
  <c r="M652" i="3" l="1"/>
  <c r="N652" i="3" s="1"/>
  <c r="AU652" i="3"/>
  <c r="O652" i="3"/>
  <c r="P652" i="3" s="1"/>
  <c r="AV652" i="3"/>
  <c r="D653" i="3"/>
  <c r="L653" i="3"/>
  <c r="AF653" i="3"/>
  <c r="AJ653" i="3"/>
  <c r="AX653" i="3"/>
  <c r="A654" i="3"/>
  <c r="Q653" i="3"/>
  <c r="U653" i="3"/>
  <c r="Y653" i="3"/>
  <c r="AO653" i="3"/>
  <c r="AW653" i="3"/>
  <c r="F653" i="3"/>
  <c r="AB653" i="3"/>
  <c r="AH653" i="3"/>
  <c r="AT653" i="3"/>
  <c r="K653" i="3"/>
  <c r="E653" i="3"/>
  <c r="S653" i="3"/>
  <c r="W653" i="3"/>
  <c r="AM653" i="3"/>
  <c r="AQ653" i="3"/>
  <c r="E654" i="3" l="1"/>
  <c r="Q654" i="3"/>
  <c r="U654" i="3"/>
  <c r="Y654" i="3"/>
  <c r="AO654" i="3"/>
  <c r="AW654" i="3"/>
  <c r="F654" i="3"/>
  <c r="AF654" i="3"/>
  <c r="AJ654" i="3"/>
  <c r="L654" i="3"/>
  <c r="AX654" i="3"/>
  <c r="K654" i="3"/>
  <c r="S654" i="3"/>
  <c r="W654" i="3"/>
  <c r="AM654" i="3"/>
  <c r="AQ654" i="3"/>
  <c r="A655" i="3"/>
  <c r="AB654" i="3"/>
  <c r="AH654" i="3"/>
  <c r="D654" i="3"/>
  <c r="AT654" i="3"/>
  <c r="O653" i="3"/>
  <c r="P653" i="3" s="1"/>
  <c r="M653" i="3"/>
  <c r="N653" i="3" s="1"/>
  <c r="AV653" i="3"/>
  <c r="AU653" i="3"/>
  <c r="M654" i="3" l="1"/>
  <c r="N654" i="3" s="1"/>
  <c r="AU654" i="3"/>
  <c r="O654" i="3"/>
  <c r="P654" i="3" s="1"/>
  <c r="AV654" i="3"/>
  <c r="D655" i="3"/>
  <c r="L655" i="3"/>
  <c r="AF655" i="3"/>
  <c r="AJ655" i="3"/>
  <c r="AX655" i="3"/>
  <c r="A656" i="3"/>
  <c r="Q655" i="3"/>
  <c r="U655" i="3"/>
  <c r="Y655" i="3"/>
  <c r="AO655" i="3"/>
  <c r="AW655" i="3"/>
  <c r="F655" i="3"/>
  <c r="AB655" i="3"/>
  <c r="AH655" i="3"/>
  <c r="AT655" i="3"/>
  <c r="K655" i="3"/>
  <c r="E655" i="3"/>
  <c r="S655" i="3"/>
  <c r="W655" i="3"/>
  <c r="AM655" i="3"/>
  <c r="AQ655" i="3"/>
  <c r="E656" i="3" l="1"/>
  <c r="Q656" i="3"/>
  <c r="U656" i="3"/>
  <c r="Y656" i="3"/>
  <c r="AO656" i="3"/>
  <c r="AW656" i="3"/>
  <c r="F656" i="3"/>
  <c r="AF656" i="3"/>
  <c r="AJ656" i="3"/>
  <c r="L656" i="3"/>
  <c r="AX656" i="3"/>
  <c r="K656" i="3"/>
  <c r="S656" i="3"/>
  <c r="W656" i="3"/>
  <c r="AM656" i="3"/>
  <c r="AQ656" i="3"/>
  <c r="A657" i="3"/>
  <c r="AB656" i="3"/>
  <c r="AH656" i="3"/>
  <c r="D656" i="3"/>
  <c r="AT656" i="3"/>
  <c r="O655" i="3"/>
  <c r="P655" i="3" s="1"/>
  <c r="M655" i="3"/>
  <c r="N655" i="3" s="1"/>
  <c r="AV655" i="3"/>
  <c r="AU655" i="3"/>
  <c r="M656" i="3" l="1"/>
  <c r="N656" i="3" s="1"/>
  <c r="AU656" i="3"/>
  <c r="O656" i="3"/>
  <c r="P656" i="3" s="1"/>
  <c r="AV656" i="3"/>
  <c r="D657" i="3"/>
  <c r="L657" i="3"/>
  <c r="AF657" i="3"/>
  <c r="AJ657" i="3"/>
  <c r="AX657" i="3"/>
  <c r="A658" i="3"/>
  <c r="Q657" i="3"/>
  <c r="U657" i="3"/>
  <c r="Y657" i="3"/>
  <c r="AO657" i="3"/>
  <c r="AW657" i="3"/>
  <c r="F657" i="3"/>
  <c r="AB657" i="3"/>
  <c r="AH657" i="3"/>
  <c r="AT657" i="3"/>
  <c r="K657" i="3"/>
  <c r="E657" i="3"/>
  <c r="S657" i="3"/>
  <c r="W657" i="3"/>
  <c r="AM657" i="3"/>
  <c r="AQ657" i="3"/>
  <c r="E658" i="3" l="1"/>
  <c r="Q658" i="3"/>
  <c r="U658" i="3"/>
  <c r="Y658" i="3"/>
  <c r="AO658" i="3"/>
  <c r="AW658" i="3"/>
  <c r="F658" i="3"/>
  <c r="AF658" i="3"/>
  <c r="AJ658" i="3"/>
  <c r="L658" i="3"/>
  <c r="AX658" i="3"/>
  <c r="K658" i="3"/>
  <c r="S658" i="3"/>
  <c r="W658" i="3"/>
  <c r="AM658" i="3"/>
  <c r="AQ658" i="3"/>
  <c r="A659" i="3"/>
  <c r="AB658" i="3"/>
  <c r="AH658" i="3"/>
  <c r="D658" i="3"/>
  <c r="AT658" i="3"/>
  <c r="O657" i="3"/>
  <c r="P657" i="3" s="1"/>
  <c r="M657" i="3"/>
  <c r="N657" i="3" s="1"/>
  <c r="AV657" i="3"/>
  <c r="AU657" i="3"/>
  <c r="M658" i="3" l="1"/>
  <c r="N658" i="3" s="1"/>
  <c r="AU658" i="3"/>
  <c r="O658" i="3"/>
  <c r="P658" i="3" s="1"/>
  <c r="AV658" i="3"/>
  <c r="D659" i="3"/>
  <c r="L659" i="3"/>
  <c r="AF659" i="3"/>
  <c r="AJ659" i="3"/>
  <c r="AX659" i="3"/>
  <c r="A660" i="3"/>
  <c r="Q659" i="3"/>
  <c r="U659" i="3"/>
  <c r="Y659" i="3"/>
  <c r="AO659" i="3"/>
  <c r="AW659" i="3"/>
  <c r="F659" i="3"/>
  <c r="AB659" i="3"/>
  <c r="AH659" i="3"/>
  <c r="AT659" i="3"/>
  <c r="K659" i="3"/>
  <c r="E659" i="3"/>
  <c r="S659" i="3"/>
  <c r="W659" i="3"/>
  <c r="AM659" i="3"/>
  <c r="AQ659" i="3"/>
  <c r="E660" i="3" l="1"/>
  <c r="Q660" i="3"/>
  <c r="U660" i="3"/>
  <c r="Y660" i="3"/>
  <c r="AO660" i="3"/>
  <c r="AW660" i="3"/>
  <c r="F660" i="3"/>
  <c r="AF660" i="3"/>
  <c r="AJ660" i="3"/>
  <c r="L660" i="3"/>
  <c r="AX660" i="3"/>
  <c r="K660" i="3"/>
  <c r="S660" i="3"/>
  <c r="W660" i="3"/>
  <c r="AM660" i="3"/>
  <c r="AQ660" i="3"/>
  <c r="A661" i="3"/>
  <c r="AB660" i="3"/>
  <c r="AH660" i="3"/>
  <c r="D660" i="3"/>
  <c r="AT660" i="3"/>
  <c r="O659" i="3"/>
  <c r="P659" i="3" s="1"/>
  <c r="M659" i="3"/>
  <c r="N659" i="3" s="1"/>
  <c r="AV659" i="3"/>
  <c r="AU659" i="3"/>
  <c r="M660" i="3" l="1"/>
  <c r="N660" i="3" s="1"/>
  <c r="AU660" i="3"/>
  <c r="O660" i="3"/>
  <c r="P660" i="3" s="1"/>
  <c r="AV660" i="3"/>
  <c r="D661" i="3"/>
  <c r="L661" i="3"/>
  <c r="AF661" i="3"/>
  <c r="AJ661" i="3"/>
  <c r="AX661" i="3"/>
  <c r="A662" i="3"/>
  <c r="Q661" i="3"/>
  <c r="U661" i="3"/>
  <c r="Y661" i="3"/>
  <c r="AO661" i="3"/>
  <c r="AW661" i="3"/>
  <c r="F661" i="3"/>
  <c r="AB661" i="3"/>
  <c r="AH661" i="3"/>
  <c r="AT661" i="3"/>
  <c r="K661" i="3"/>
  <c r="E661" i="3"/>
  <c r="S661" i="3"/>
  <c r="W661" i="3"/>
  <c r="AM661" i="3"/>
  <c r="AQ661" i="3"/>
  <c r="E662" i="3" l="1"/>
  <c r="Q662" i="3"/>
  <c r="U662" i="3"/>
  <c r="Y662" i="3"/>
  <c r="AO662" i="3"/>
  <c r="AW662" i="3"/>
  <c r="F662" i="3"/>
  <c r="AF662" i="3"/>
  <c r="AJ662" i="3"/>
  <c r="L662" i="3"/>
  <c r="AX662" i="3"/>
  <c r="K662" i="3"/>
  <c r="S662" i="3"/>
  <c r="W662" i="3"/>
  <c r="AM662" i="3"/>
  <c r="AQ662" i="3"/>
  <c r="A663" i="3"/>
  <c r="AB662" i="3"/>
  <c r="AH662" i="3"/>
  <c r="D662" i="3"/>
  <c r="AT662" i="3"/>
  <c r="O661" i="3"/>
  <c r="P661" i="3" s="1"/>
  <c r="M661" i="3"/>
  <c r="N661" i="3" s="1"/>
  <c r="AV661" i="3"/>
  <c r="AU661" i="3"/>
  <c r="M662" i="3" l="1"/>
  <c r="N662" i="3" s="1"/>
  <c r="AU662" i="3"/>
  <c r="O662" i="3"/>
  <c r="P662" i="3" s="1"/>
  <c r="AV662" i="3"/>
  <c r="D663" i="3"/>
  <c r="L663" i="3"/>
  <c r="AF663" i="3"/>
  <c r="AJ663" i="3"/>
  <c r="AX663" i="3"/>
  <c r="A664" i="3"/>
  <c r="Q663" i="3"/>
  <c r="U663" i="3"/>
  <c r="Y663" i="3"/>
  <c r="AO663" i="3"/>
  <c r="AW663" i="3"/>
  <c r="F663" i="3"/>
  <c r="AB663" i="3"/>
  <c r="AH663" i="3"/>
  <c r="AT663" i="3"/>
  <c r="K663" i="3"/>
  <c r="E663" i="3"/>
  <c r="S663" i="3"/>
  <c r="W663" i="3"/>
  <c r="AM663" i="3"/>
  <c r="AQ663" i="3"/>
  <c r="E664" i="3" l="1"/>
  <c r="Q664" i="3"/>
  <c r="U664" i="3"/>
  <c r="Y664" i="3"/>
  <c r="AO664" i="3"/>
  <c r="AW664" i="3"/>
  <c r="F664" i="3"/>
  <c r="AF664" i="3"/>
  <c r="AJ664" i="3"/>
  <c r="L664" i="3"/>
  <c r="AX664" i="3"/>
  <c r="K664" i="3"/>
  <c r="S664" i="3"/>
  <c r="W664" i="3"/>
  <c r="AM664" i="3"/>
  <c r="AQ664" i="3"/>
  <c r="A665" i="3"/>
  <c r="AB664" i="3"/>
  <c r="AH664" i="3"/>
  <c r="D664" i="3"/>
  <c r="AT664" i="3"/>
  <c r="O663" i="3"/>
  <c r="P663" i="3" s="1"/>
  <c r="M663" i="3"/>
  <c r="N663" i="3" s="1"/>
  <c r="AV663" i="3"/>
  <c r="AU663" i="3"/>
  <c r="M664" i="3" l="1"/>
  <c r="N664" i="3" s="1"/>
  <c r="AU664" i="3"/>
  <c r="O664" i="3"/>
  <c r="P664" i="3" s="1"/>
  <c r="AV664" i="3"/>
  <c r="D665" i="3"/>
  <c r="L665" i="3"/>
  <c r="AF665" i="3"/>
  <c r="AJ665" i="3"/>
  <c r="AX665" i="3"/>
  <c r="A666" i="3"/>
  <c r="Q665" i="3"/>
  <c r="U665" i="3"/>
  <c r="Y665" i="3"/>
  <c r="AO665" i="3"/>
  <c r="AW665" i="3"/>
  <c r="F665" i="3"/>
  <c r="AB665" i="3"/>
  <c r="AH665" i="3"/>
  <c r="AT665" i="3"/>
  <c r="K665" i="3"/>
  <c r="E665" i="3"/>
  <c r="S665" i="3"/>
  <c r="W665" i="3"/>
  <c r="AM665" i="3"/>
  <c r="AQ665" i="3"/>
  <c r="E666" i="3" l="1"/>
  <c r="Q666" i="3"/>
  <c r="U666" i="3"/>
  <c r="Y666" i="3"/>
  <c r="AO666" i="3"/>
  <c r="AW666" i="3"/>
  <c r="F666" i="3"/>
  <c r="AF666" i="3"/>
  <c r="AJ666" i="3"/>
  <c r="L666" i="3"/>
  <c r="AX666" i="3"/>
  <c r="K666" i="3"/>
  <c r="S666" i="3"/>
  <c r="W666" i="3"/>
  <c r="AM666" i="3"/>
  <c r="AQ666" i="3"/>
  <c r="A667" i="3"/>
  <c r="AB666" i="3"/>
  <c r="AH666" i="3"/>
  <c r="D666" i="3"/>
  <c r="AT666" i="3"/>
  <c r="O665" i="3"/>
  <c r="P665" i="3" s="1"/>
  <c r="M665" i="3"/>
  <c r="N665" i="3" s="1"/>
  <c r="AV665" i="3"/>
  <c r="AU665" i="3"/>
  <c r="M666" i="3" l="1"/>
  <c r="N666" i="3" s="1"/>
  <c r="AU666" i="3"/>
  <c r="O666" i="3"/>
  <c r="P666" i="3" s="1"/>
  <c r="AV666" i="3"/>
  <c r="D667" i="3"/>
  <c r="L667" i="3"/>
  <c r="AF667" i="3"/>
  <c r="AJ667" i="3"/>
  <c r="AX667" i="3"/>
  <c r="A668" i="3"/>
  <c r="Q667" i="3"/>
  <c r="U667" i="3"/>
  <c r="Y667" i="3"/>
  <c r="AO667" i="3"/>
  <c r="AW667" i="3"/>
  <c r="F667" i="3"/>
  <c r="AB667" i="3"/>
  <c r="AH667" i="3"/>
  <c r="AT667" i="3"/>
  <c r="K667" i="3"/>
  <c r="E667" i="3"/>
  <c r="S667" i="3"/>
  <c r="W667" i="3"/>
  <c r="AM667" i="3"/>
  <c r="AQ667" i="3"/>
  <c r="E668" i="3" l="1"/>
  <c r="Q668" i="3"/>
  <c r="U668" i="3"/>
  <c r="Y668" i="3"/>
  <c r="AO668" i="3"/>
  <c r="AW668" i="3"/>
  <c r="F668" i="3"/>
  <c r="AF668" i="3"/>
  <c r="AJ668" i="3"/>
  <c r="L668" i="3"/>
  <c r="AX668" i="3"/>
  <c r="K668" i="3"/>
  <c r="S668" i="3"/>
  <c r="W668" i="3"/>
  <c r="AM668" i="3"/>
  <c r="AQ668" i="3"/>
  <c r="A669" i="3"/>
  <c r="AB668" i="3"/>
  <c r="AH668" i="3"/>
  <c r="D668" i="3"/>
  <c r="AT668" i="3"/>
  <c r="O667" i="3"/>
  <c r="P667" i="3" s="1"/>
  <c r="M667" i="3"/>
  <c r="N667" i="3" s="1"/>
  <c r="AV667" i="3"/>
  <c r="AU667" i="3"/>
  <c r="M668" i="3" l="1"/>
  <c r="N668" i="3" s="1"/>
  <c r="AU668" i="3"/>
  <c r="O668" i="3"/>
  <c r="P668" i="3" s="1"/>
  <c r="AV668" i="3"/>
  <c r="D669" i="3"/>
  <c r="L669" i="3"/>
  <c r="AF669" i="3"/>
  <c r="AJ669" i="3"/>
  <c r="AX669" i="3"/>
  <c r="A670" i="3"/>
  <c r="Q669" i="3"/>
  <c r="U669" i="3"/>
  <c r="Y669" i="3"/>
  <c r="AO669" i="3"/>
  <c r="AW669" i="3"/>
  <c r="F669" i="3"/>
  <c r="AB669" i="3"/>
  <c r="AH669" i="3"/>
  <c r="AT669" i="3"/>
  <c r="K669" i="3"/>
  <c r="E669" i="3"/>
  <c r="S669" i="3"/>
  <c r="W669" i="3"/>
  <c r="AM669" i="3"/>
  <c r="AQ669" i="3"/>
  <c r="E670" i="3" l="1"/>
  <c r="Q670" i="3"/>
  <c r="U670" i="3"/>
  <c r="Y670" i="3"/>
  <c r="AO670" i="3"/>
  <c r="AW670" i="3"/>
  <c r="F670" i="3"/>
  <c r="AF670" i="3"/>
  <c r="AJ670" i="3"/>
  <c r="L670" i="3"/>
  <c r="AX670" i="3"/>
  <c r="K670" i="3"/>
  <c r="S670" i="3"/>
  <c r="W670" i="3"/>
  <c r="AM670" i="3"/>
  <c r="AQ670" i="3"/>
  <c r="A671" i="3"/>
  <c r="AB670" i="3"/>
  <c r="AH670" i="3"/>
  <c r="D670" i="3"/>
  <c r="AT670" i="3"/>
  <c r="O669" i="3"/>
  <c r="P669" i="3" s="1"/>
  <c r="M669" i="3"/>
  <c r="N669" i="3" s="1"/>
  <c r="AV669" i="3"/>
  <c r="AU669" i="3"/>
  <c r="M670" i="3" l="1"/>
  <c r="N670" i="3" s="1"/>
  <c r="AU670" i="3"/>
  <c r="O670" i="3"/>
  <c r="P670" i="3" s="1"/>
  <c r="AV670" i="3"/>
  <c r="D671" i="3"/>
  <c r="L671" i="3"/>
  <c r="AF671" i="3"/>
  <c r="AJ671" i="3"/>
  <c r="AX671" i="3"/>
  <c r="A672" i="3"/>
  <c r="Q671" i="3"/>
  <c r="U671" i="3"/>
  <c r="Y671" i="3"/>
  <c r="AO671" i="3"/>
  <c r="AW671" i="3"/>
  <c r="F671" i="3"/>
  <c r="AB671" i="3"/>
  <c r="AH671" i="3"/>
  <c r="AT671" i="3"/>
  <c r="K671" i="3"/>
  <c r="E671" i="3"/>
  <c r="S671" i="3"/>
  <c r="W671" i="3"/>
  <c r="AM671" i="3"/>
  <c r="AQ671" i="3"/>
  <c r="E672" i="3" l="1"/>
  <c r="Q672" i="3"/>
  <c r="U672" i="3"/>
  <c r="Y672" i="3"/>
  <c r="AO672" i="3"/>
  <c r="AW672" i="3"/>
  <c r="F672" i="3"/>
  <c r="AF672" i="3"/>
  <c r="AJ672" i="3"/>
  <c r="L672" i="3"/>
  <c r="AX672" i="3"/>
  <c r="K672" i="3"/>
  <c r="S672" i="3"/>
  <c r="W672" i="3"/>
  <c r="AM672" i="3"/>
  <c r="AQ672" i="3"/>
  <c r="A673" i="3"/>
  <c r="AB672" i="3"/>
  <c r="AH672" i="3"/>
  <c r="D672" i="3"/>
  <c r="AT672" i="3"/>
  <c r="O671" i="3"/>
  <c r="P671" i="3" s="1"/>
  <c r="M671" i="3"/>
  <c r="N671" i="3" s="1"/>
  <c r="AV671" i="3"/>
  <c r="AU671" i="3"/>
  <c r="M672" i="3" l="1"/>
  <c r="N672" i="3" s="1"/>
  <c r="AU672" i="3"/>
  <c r="O672" i="3"/>
  <c r="P672" i="3" s="1"/>
  <c r="AV672" i="3"/>
  <c r="D673" i="3"/>
  <c r="L673" i="3"/>
  <c r="AF673" i="3"/>
  <c r="AJ673" i="3"/>
  <c r="AX673" i="3"/>
  <c r="A674" i="3"/>
  <c r="Q673" i="3"/>
  <c r="U673" i="3"/>
  <c r="Y673" i="3"/>
  <c r="AO673" i="3"/>
  <c r="AW673" i="3"/>
  <c r="F673" i="3"/>
  <c r="AB673" i="3"/>
  <c r="AH673" i="3"/>
  <c r="AT673" i="3"/>
  <c r="K673" i="3"/>
  <c r="E673" i="3"/>
  <c r="S673" i="3"/>
  <c r="W673" i="3"/>
  <c r="AM673" i="3"/>
  <c r="AQ673" i="3"/>
  <c r="E674" i="3" l="1"/>
  <c r="Q674" i="3"/>
  <c r="U674" i="3"/>
  <c r="Y674" i="3"/>
  <c r="AO674" i="3"/>
  <c r="AW674" i="3"/>
  <c r="F674" i="3"/>
  <c r="AF674" i="3"/>
  <c r="AJ674" i="3"/>
  <c r="L674" i="3"/>
  <c r="AX674" i="3"/>
  <c r="K674" i="3"/>
  <c r="S674" i="3"/>
  <c r="W674" i="3"/>
  <c r="AM674" i="3"/>
  <c r="AQ674" i="3"/>
  <c r="A675" i="3"/>
  <c r="AB674" i="3"/>
  <c r="AH674" i="3"/>
  <c r="D674" i="3"/>
  <c r="AT674" i="3"/>
  <c r="O673" i="3"/>
  <c r="P673" i="3" s="1"/>
  <c r="M673" i="3"/>
  <c r="N673" i="3" s="1"/>
  <c r="AV673" i="3"/>
  <c r="AU673" i="3"/>
  <c r="M674" i="3" l="1"/>
  <c r="N674" i="3" s="1"/>
  <c r="AU674" i="3"/>
  <c r="O674" i="3"/>
  <c r="P674" i="3" s="1"/>
  <c r="AV674" i="3"/>
  <c r="D675" i="3"/>
  <c r="L675" i="3"/>
  <c r="AF675" i="3"/>
  <c r="AJ675" i="3"/>
  <c r="AX675" i="3"/>
  <c r="A676" i="3"/>
  <c r="Q675" i="3"/>
  <c r="U675" i="3"/>
  <c r="Y675" i="3"/>
  <c r="AO675" i="3"/>
  <c r="AW675" i="3"/>
  <c r="F675" i="3"/>
  <c r="AB675" i="3"/>
  <c r="AH675" i="3"/>
  <c r="AT675" i="3"/>
  <c r="K675" i="3"/>
  <c r="E675" i="3"/>
  <c r="S675" i="3"/>
  <c r="W675" i="3"/>
  <c r="AM675" i="3"/>
  <c r="AQ675" i="3"/>
  <c r="E676" i="3" l="1"/>
  <c r="Q676" i="3"/>
  <c r="U676" i="3"/>
  <c r="Y676" i="3"/>
  <c r="AO676" i="3"/>
  <c r="AW676" i="3"/>
  <c r="F676" i="3"/>
  <c r="AF676" i="3"/>
  <c r="AJ676" i="3"/>
  <c r="L676" i="3"/>
  <c r="AX676" i="3"/>
  <c r="K676" i="3"/>
  <c r="S676" i="3"/>
  <c r="W676" i="3"/>
  <c r="AM676" i="3"/>
  <c r="AQ676" i="3"/>
  <c r="A677" i="3"/>
  <c r="AB676" i="3"/>
  <c r="AH676" i="3"/>
  <c r="D676" i="3"/>
  <c r="AT676" i="3"/>
  <c r="O675" i="3"/>
  <c r="P675" i="3" s="1"/>
  <c r="M675" i="3"/>
  <c r="N675" i="3" s="1"/>
  <c r="AV675" i="3"/>
  <c r="AU675" i="3"/>
  <c r="M676" i="3" l="1"/>
  <c r="N676" i="3" s="1"/>
  <c r="AU676" i="3"/>
  <c r="O676" i="3"/>
  <c r="P676" i="3" s="1"/>
  <c r="AV676" i="3"/>
  <c r="D677" i="3"/>
  <c r="L677" i="3"/>
  <c r="AF677" i="3"/>
  <c r="AJ677" i="3"/>
  <c r="AX677" i="3"/>
  <c r="A678" i="3"/>
  <c r="Q677" i="3"/>
  <c r="U677" i="3"/>
  <c r="Y677" i="3"/>
  <c r="AO677" i="3"/>
  <c r="AW677" i="3"/>
  <c r="F677" i="3"/>
  <c r="AB677" i="3"/>
  <c r="AH677" i="3"/>
  <c r="AT677" i="3"/>
  <c r="K677" i="3"/>
  <c r="E677" i="3"/>
  <c r="S677" i="3"/>
  <c r="W677" i="3"/>
  <c r="AM677" i="3"/>
  <c r="AQ677" i="3"/>
  <c r="E678" i="3" l="1"/>
  <c r="Q678" i="3"/>
  <c r="U678" i="3"/>
  <c r="Y678" i="3"/>
  <c r="AO678" i="3"/>
  <c r="AW678" i="3"/>
  <c r="F678" i="3"/>
  <c r="AF678" i="3"/>
  <c r="AJ678" i="3"/>
  <c r="L678" i="3"/>
  <c r="AX678" i="3"/>
  <c r="K678" i="3"/>
  <c r="S678" i="3"/>
  <c r="W678" i="3"/>
  <c r="AM678" i="3"/>
  <c r="AQ678" i="3"/>
  <c r="A679" i="3"/>
  <c r="AB678" i="3"/>
  <c r="AH678" i="3"/>
  <c r="D678" i="3"/>
  <c r="AT678" i="3"/>
  <c r="O677" i="3"/>
  <c r="P677" i="3" s="1"/>
  <c r="M677" i="3"/>
  <c r="N677" i="3" s="1"/>
  <c r="AV677" i="3"/>
  <c r="AU677" i="3"/>
  <c r="M678" i="3" l="1"/>
  <c r="N678" i="3" s="1"/>
  <c r="AU678" i="3"/>
  <c r="O678" i="3"/>
  <c r="P678" i="3" s="1"/>
  <c r="AV678" i="3"/>
  <c r="D679" i="3"/>
  <c r="L679" i="3"/>
  <c r="AF679" i="3"/>
  <c r="AJ679" i="3"/>
  <c r="AX679" i="3"/>
  <c r="A680" i="3"/>
  <c r="Q679" i="3"/>
  <c r="U679" i="3"/>
  <c r="Y679" i="3"/>
  <c r="AO679" i="3"/>
  <c r="AW679" i="3"/>
  <c r="F679" i="3"/>
  <c r="AB679" i="3"/>
  <c r="AH679" i="3"/>
  <c r="AT679" i="3"/>
  <c r="K679" i="3"/>
  <c r="E679" i="3"/>
  <c r="S679" i="3"/>
  <c r="W679" i="3"/>
  <c r="AM679" i="3"/>
  <c r="AQ679" i="3"/>
  <c r="E680" i="3" l="1"/>
  <c r="Q680" i="3"/>
  <c r="U680" i="3"/>
  <c r="Y680" i="3"/>
  <c r="AO680" i="3"/>
  <c r="AW680" i="3"/>
  <c r="F680" i="3"/>
  <c r="AF680" i="3"/>
  <c r="AJ680" i="3"/>
  <c r="L680" i="3"/>
  <c r="AX680" i="3"/>
  <c r="K680" i="3"/>
  <c r="S680" i="3"/>
  <c r="W680" i="3"/>
  <c r="AM680" i="3"/>
  <c r="AQ680" i="3"/>
  <c r="A681" i="3"/>
  <c r="AB680" i="3"/>
  <c r="AH680" i="3"/>
  <c r="D680" i="3"/>
  <c r="AT680" i="3"/>
  <c r="O679" i="3"/>
  <c r="P679" i="3" s="1"/>
  <c r="M679" i="3"/>
  <c r="N679" i="3" s="1"/>
  <c r="AV679" i="3"/>
  <c r="AU679" i="3"/>
  <c r="M680" i="3" l="1"/>
  <c r="N680" i="3" s="1"/>
  <c r="AU680" i="3"/>
  <c r="O680" i="3"/>
  <c r="P680" i="3" s="1"/>
  <c r="AV680" i="3"/>
  <c r="D681" i="3"/>
  <c r="L681" i="3"/>
  <c r="AF681" i="3"/>
  <c r="AJ681" i="3"/>
  <c r="AX681" i="3"/>
  <c r="A682" i="3"/>
  <c r="Q681" i="3"/>
  <c r="U681" i="3"/>
  <c r="Y681" i="3"/>
  <c r="AO681" i="3"/>
  <c r="AW681" i="3"/>
  <c r="F681" i="3"/>
  <c r="AB681" i="3"/>
  <c r="AH681" i="3"/>
  <c r="AT681" i="3"/>
  <c r="K681" i="3"/>
  <c r="E681" i="3"/>
  <c r="S681" i="3"/>
  <c r="W681" i="3"/>
  <c r="AM681" i="3"/>
  <c r="AQ681" i="3"/>
  <c r="E682" i="3" l="1"/>
  <c r="Q682" i="3"/>
  <c r="U682" i="3"/>
  <c r="Y682" i="3"/>
  <c r="AO682" i="3"/>
  <c r="AW682" i="3"/>
  <c r="F682" i="3"/>
  <c r="AF682" i="3"/>
  <c r="AJ682" i="3"/>
  <c r="L682" i="3"/>
  <c r="AX682" i="3"/>
  <c r="K682" i="3"/>
  <c r="S682" i="3"/>
  <c r="W682" i="3"/>
  <c r="AM682" i="3"/>
  <c r="AQ682" i="3"/>
  <c r="A683" i="3"/>
  <c r="AB682" i="3"/>
  <c r="AH682" i="3"/>
  <c r="D682" i="3"/>
  <c r="AT682" i="3"/>
  <c r="O681" i="3"/>
  <c r="P681" i="3" s="1"/>
  <c r="M681" i="3"/>
  <c r="N681" i="3" s="1"/>
  <c r="AV681" i="3"/>
  <c r="AU681" i="3"/>
  <c r="M682" i="3" l="1"/>
  <c r="N682" i="3" s="1"/>
  <c r="AU682" i="3"/>
  <c r="O682" i="3"/>
  <c r="P682" i="3" s="1"/>
  <c r="AV682" i="3"/>
  <c r="D683" i="3"/>
  <c r="L683" i="3"/>
  <c r="AF683" i="3"/>
  <c r="AJ683" i="3"/>
  <c r="AX683" i="3"/>
  <c r="A684" i="3"/>
  <c r="Q683" i="3"/>
  <c r="U683" i="3"/>
  <c r="Y683" i="3"/>
  <c r="AO683" i="3"/>
  <c r="AW683" i="3"/>
  <c r="F683" i="3"/>
  <c r="AB683" i="3"/>
  <c r="AH683" i="3"/>
  <c r="AT683" i="3"/>
  <c r="K683" i="3"/>
  <c r="E683" i="3"/>
  <c r="S683" i="3"/>
  <c r="W683" i="3"/>
  <c r="AM683" i="3"/>
  <c r="AQ683" i="3"/>
  <c r="E684" i="3" l="1"/>
  <c r="Q684" i="3"/>
  <c r="U684" i="3"/>
  <c r="Y684" i="3"/>
  <c r="AO684" i="3"/>
  <c r="AW684" i="3"/>
  <c r="F684" i="3"/>
  <c r="AF684" i="3"/>
  <c r="AJ684" i="3"/>
  <c r="L684" i="3"/>
  <c r="AX684" i="3"/>
  <c r="K684" i="3"/>
  <c r="S684" i="3"/>
  <c r="W684" i="3"/>
  <c r="AM684" i="3"/>
  <c r="AQ684" i="3"/>
  <c r="A685" i="3"/>
  <c r="AB684" i="3"/>
  <c r="AH684" i="3"/>
  <c r="D684" i="3"/>
  <c r="AT684" i="3"/>
  <c r="O683" i="3"/>
  <c r="P683" i="3" s="1"/>
  <c r="M683" i="3"/>
  <c r="N683" i="3" s="1"/>
  <c r="AV683" i="3"/>
  <c r="AU683" i="3"/>
  <c r="M684" i="3" l="1"/>
  <c r="N684" i="3" s="1"/>
  <c r="AU684" i="3"/>
  <c r="O684" i="3"/>
  <c r="P684" i="3" s="1"/>
  <c r="AV684" i="3"/>
  <c r="D685" i="3"/>
  <c r="L685" i="3"/>
  <c r="AF685" i="3"/>
  <c r="AJ685" i="3"/>
  <c r="AX685" i="3"/>
  <c r="A686" i="3"/>
  <c r="Q685" i="3"/>
  <c r="U685" i="3"/>
  <c r="Y685" i="3"/>
  <c r="AO685" i="3"/>
  <c r="AW685" i="3"/>
  <c r="F685" i="3"/>
  <c r="AB685" i="3"/>
  <c r="AH685" i="3"/>
  <c r="AT685" i="3"/>
  <c r="K685" i="3"/>
  <c r="E685" i="3"/>
  <c r="S685" i="3"/>
  <c r="W685" i="3"/>
  <c r="AM685" i="3"/>
  <c r="AQ685" i="3"/>
  <c r="E686" i="3" l="1"/>
  <c r="Q686" i="3"/>
  <c r="U686" i="3"/>
  <c r="Y686" i="3"/>
  <c r="AO686" i="3"/>
  <c r="AW686" i="3"/>
  <c r="F686" i="3"/>
  <c r="AF686" i="3"/>
  <c r="AJ686" i="3"/>
  <c r="L686" i="3"/>
  <c r="AX686" i="3"/>
  <c r="K686" i="3"/>
  <c r="S686" i="3"/>
  <c r="W686" i="3"/>
  <c r="AM686" i="3"/>
  <c r="AQ686" i="3"/>
  <c r="A687" i="3"/>
  <c r="AB686" i="3"/>
  <c r="AH686" i="3"/>
  <c r="D686" i="3"/>
  <c r="AT686" i="3"/>
  <c r="O685" i="3"/>
  <c r="P685" i="3" s="1"/>
  <c r="M685" i="3"/>
  <c r="N685" i="3" s="1"/>
  <c r="AV685" i="3"/>
  <c r="AU685" i="3"/>
  <c r="M686" i="3" l="1"/>
  <c r="N686" i="3" s="1"/>
  <c r="AU686" i="3"/>
  <c r="O686" i="3"/>
  <c r="P686" i="3" s="1"/>
  <c r="AV686" i="3"/>
  <c r="D687" i="3"/>
  <c r="L687" i="3"/>
  <c r="AF687" i="3"/>
  <c r="AJ687" i="3"/>
  <c r="AX687" i="3"/>
  <c r="A688" i="3"/>
  <c r="Q687" i="3"/>
  <c r="U687" i="3"/>
  <c r="Y687" i="3"/>
  <c r="AO687" i="3"/>
  <c r="AW687" i="3"/>
  <c r="F687" i="3"/>
  <c r="AB687" i="3"/>
  <c r="AH687" i="3"/>
  <c r="AT687" i="3"/>
  <c r="K687" i="3"/>
  <c r="E687" i="3"/>
  <c r="S687" i="3"/>
  <c r="W687" i="3"/>
  <c r="AM687" i="3"/>
  <c r="AQ687" i="3"/>
  <c r="E688" i="3" l="1"/>
  <c r="Q688" i="3"/>
  <c r="U688" i="3"/>
  <c r="Y688" i="3"/>
  <c r="AO688" i="3"/>
  <c r="AW688" i="3"/>
  <c r="F688" i="3"/>
  <c r="AF688" i="3"/>
  <c r="AJ688" i="3"/>
  <c r="L688" i="3"/>
  <c r="AX688" i="3"/>
  <c r="K688" i="3"/>
  <c r="S688" i="3"/>
  <c r="W688" i="3"/>
  <c r="AM688" i="3"/>
  <c r="AQ688" i="3"/>
  <c r="A689" i="3"/>
  <c r="AB688" i="3"/>
  <c r="AH688" i="3"/>
  <c r="D688" i="3"/>
  <c r="AT688" i="3"/>
  <c r="O687" i="3"/>
  <c r="P687" i="3" s="1"/>
  <c r="M687" i="3"/>
  <c r="N687" i="3" s="1"/>
  <c r="AV687" i="3"/>
  <c r="AU687" i="3"/>
  <c r="M688" i="3" l="1"/>
  <c r="N688" i="3" s="1"/>
  <c r="AU688" i="3"/>
  <c r="O688" i="3"/>
  <c r="P688" i="3" s="1"/>
  <c r="AV688" i="3"/>
  <c r="D689" i="3"/>
  <c r="L689" i="3"/>
  <c r="AF689" i="3"/>
  <c r="AJ689" i="3"/>
  <c r="AX689" i="3"/>
  <c r="A690" i="3"/>
  <c r="Q689" i="3"/>
  <c r="U689" i="3"/>
  <c r="Y689" i="3"/>
  <c r="AO689" i="3"/>
  <c r="AW689" i="3"/>
  <c r="F689" i="3"/>
  <c r="AB689" i="3"/>
  <c r="AH689" i="3"/>
  <c r="AT689" i="3"/>
  <c r="K689" i="3"/>
  <c r="E689" i="3"/>
  <c r="S689" i="3"/>
  <c r="W689" i="3"/>
  <c r="AM689" i="3"/>
  <c r="AQ689" i="3"/>
  <c r="E690" i="3" l="1"/>
  <c r="Q690" i="3"/>
  <c r="U690" i="3"/>
  <c r="Y690" i="3"/>
  <c r="AO690" i="3"/>
  <c r="AW690" i="3"/>
  <c r="F690" i="3"/>
  <c r="AF690" i="3"/>
  <c r="AJ690" i="3"/>
  <c r="L690" i="3"/>
  <c r="AX690" i="3"/>
  <c r="K690" i="3"/>
  <c r="S690" i="3"/>
  <c r="W690" i="3"/>
  <c r="AM690" i="3"/>
  <c r="AQ690" i="3"/>
  <c r="A691" i="3"/>
  <c r="AB690" i="3"/>
  <c r="AH690" i="3"/>
  <c r="D690" i="3"/>
  <c r="AT690" i="3"/>
  <c r="O689" i="3"/>
  <c r="P689" i="3" s="1"/>
  <c r="M689" i="3"/>
  <c r="N689" i="3" s="1"/>
  <c r="AV689" i="3"/>
  <c r="AU689" i="3"/>
  <c r="M690" i="3" l="1"/>
  <c r="N690" i="3" s="1"/>
  <c r="AU690" i="3"/>
  <c r="O690" i="3"/>
  <c r="P690" i="3" s="1"/>
  <c r="AV690" i="3"/>
  <c r="D691" i="3"/>
  <c r="L691" i="3"/>
  <c r="AF691" i="3"/>
  <c r="AJ691" i="3"/>
  <c r="AX691" i="3"/>
  <c r="A692" i="3"/>
  <c r="Q691" i="3"/>
  <c r="U691" i="3"/>
  <c r="Y691" i="3"/>
  <c r="AO691" i="3"/>
  <c r="AW691" i="3"/>
  <c r="F691" i="3"/>
  <c r="AB691" i="3"/>
  <c r="AH691" i="3"/>
  <c r="AT691" i="3"/>
  <c r="K691" i="3"/>
  <c r="E691" i="3"/>
  <c r="S691" i="3"/>
  <c r="W691" i="3"/>
  <c r="AM691" i="3"/>
  <c r="AQ691" i="3"/>
  <c r="E692" i="3" l="1"/>
  <c r="Q692" i="3"/>
  <c r="U692" i="3"/>
  <c r="Y692" i="3"/>
  <c r="AO692" i="3"/>
  <c r="AW692" i="3"/>
  <c r="F692" i="3"/>
  <c r="AF692" i="3"/>
  <c r="AJ692" i="3"/>
  <c r="L692" i="3"/>
  <c r="AX692" i="3"/>
  <c r="K692" i="3"/>
  <c r="S692" i="3"/>
  <c r="W692" i="3"/>
  <c r="AM692" i="3"/>
  <c r="AQ692" i="3"/>
  <c r="A693" i="3"/>
  <c r="AB692" i="3"/>
  <c r="AH692" i="3"/>
  <c r="D692" i="3"/>
  <c r="AT692" i="3"/>
  <c r="O691" i="3"/>
  <c r="P691" i="3" s="1"/>
  <c r="M691" i="3"/>
  <c r="N691" i="3" s="1"/>
  <c r="AV691" i="3"/>
  <c r="AU691" i="3"/>
  <c r="M692" i="3" l="1"/>
  <c r="N692" i="3" s="1"/>
  <c r="AU692" i="3"/>
  <c r="O692" i="3"/>
  <c r="P692" i="3" s="1"/>
  <c r="AV692" i="3"/>
  <c r="D693" i="3"/>
  <c r="L693" i="3"/>
  <c r="AF693" i="3"/>
  <c r="AJ693" i="3"/>
  <c r="AX693" i="3"/>
  <c r="A694" i="3"/>
  <c r="Q693" i="3"/>
  <c r="U693" i="3"/>
  <c r="Y693" i="3"/>
  <c r="AO693" i="3"/>
  <c r="AW693" i="3"/>
  <c r="F693" i="3"/>
  <c r="AB693" i="3"/>
  <c r="AH693" i="3"/>
  <c r="AT693" i="3"/>
  <c r="K693" i="3"/>
  <c r="E693" i="3"/>
  <c r="S693" i="3"/>
  <c r="W693" i="3"/>
  <c r="AM693" i="3"/>
  <c r="AQ693" i="3"/>
  <c r="E694" i="3" l="1"/>
  <c r="Q694" i="3"/>
  <c r="U694" i="3"/>
  <c r="Y694" i="3"/>
  <c r="AO694" i="3"/>
  <c r="AW694" i="3"/>
  <c r="F694" i="3"/>
  <c r="AF694" i="3"/>
  <c r="AJ694" i="3"/>
  <c r="L694" i="3"/>
  <c r="AX694" i="3"/>
  <c r="K694" i="3"/>
  <c r="S694" i="3"/>
  <c r="W694" i="3"/>
  <c r="AM694" i="3"/>
  <c r="AQ694" i="3"/>
  <c r="A695" i="3"/>
  <c r="AB694" i="3"/>
  <c r="AH694" i="3"/>
  <c r="D694" i="3"/>
  <c r="AT694" i="3"/>
  <c r="O693" i="3"/>
  <c r="P693" i="3" s="1"/>
  <c r="M693" i="3"/>
  <c r="N693" i="3" s="1"/>
  <c r="AV693" i="3"/>
  <c r="AU693" i="3"/>
  <c r="M694" i="3" l="1"/>
  <c r="N694" i="3" s="1"/>
  <c r="AU694" i="3"/>
  <c r="O694" i="3"/>
  <c r="P694" i="3" s="1"/>
  <c r="AV694" i="3"/>
  <c r="D695" i="3"/>
  <c r="L695" i="3"/>
  <c r="AF695" i="3"/>
  <c r="AJ695" i="3"/>
  <c r="AX695" i="3"/>
  <c r="A696" i="3"/>
  <c r="Q695" i="3"/>
  <c r="U695" i="3"/>
  <c r="Y695" i="3"/>
  <c r="AO695" i="3"/>
  <c r="AW695" i="3"/>
  <c r="F695" i="3"/>
  <c r="AB695" i="3"/>
  <c r="AH695" i="3"/>
  <c r="AT695" i="3"/>
  <c r="K695" i="3"/>
  <c r="E695" i="3"/>
  <c r="S695" i="3"/>
  <c r="W695" i="3"/>
  <c r="AM695" i="3"/>
  <c r="AQ695" i="3"/>
  <c r="E696" i="3" l="1"/>
  <c r="Q696" i="3"/>
  <c r="U696" i="3"/>
  <c r="Y696" i="3"/>
  <c r="AO696" i="3"/>
  <c r="AW696" i="3"/>
  <c r="F696" i="3"/>
  <c r="AF696" i="3"/>
  <c r="AJ696" i="3"/>
  <c r="L696" i="3"/>
  <c r="AX696" i="3"/>
  <c r="K696" i="3"/>
  <c r="S696" i="3"/>
  <c r="W696" i="3"/>
  <c r="AM696" i="3"/>
  <c r="AQ696" i="3"/>
  <c r="A697" i="3"/>
  <c r="AB696" i="3"/>
  <c r="AH696" i="3"/>
  <c r="D696" i="3"/>
  <c r="AT696" i="3"/>
  <c r="O695" i="3"/>
  <c r="P695" i="3" s="1"/>
  <c r="M695" i="3"/>
  <c r="N695" i="3" s="1"/>
  <c r="AV695" i="3"/>
  <c r="AU695" i="3"/>
  <c r="M696" i="3" l="1"/>
  <c r="N696" i="3" s="1"/>
  <c r="AU696" i="3"/>
  <c r="O696" i="3"/>
  <c r="P696" i="3" s="1"/>
  <c r="AV696" i="3"/>
  <c r="D697" i="3"/>
  <c r="L697" i="3"/>
  <c r="AF697" i="3"/>
  <c r="AJ697" i="3"/>
  <c r="AX697" i="3"/>
  <c r="A698" i="3"/>
  <c r="Q697" i="3"/>
  <c r="U697" i="3"/>
  <c r="Y697" i="3"/>
  <c r="AO697" i="3"/>
  <c r="AW697" i="3"/>
  <c r="F697" i="3"/>
  <c r="AB697" i="3"/>
  <c r="AH697" i="3"/>
  <c r="AT697" i="3"/>
  <c r="K697" i="3"/>
  <c r="E697" i="3"/>
  <c r="S697" i="3"/>
  <c r="W697" i="3"/>
  <c r="AM697" i="3"/>
  <c r="AQ697" i="3"/>
  <c r="E698" i="3" l="1"/>
  <c r="Q698" i="3"/>
  <c r="U698" i="3"/>
  <c r="Y698" i="3"/>
  <c r="AO698" i="3"/>
  <c r="AW698" i="3"/>
  <c r="F698" i="3"/>
  <c r="AF698" i="3"/>
  <c r="AJ698" i="3"/>
  <c r="L698" i="3"/>
  <c r="AX698" i="3"/>
  <c r="K698" i="3"/>
  <c r="S698" i="3"/>
  <c r="W698" i="3"/>
  <c r="AM698" i="3"/>
  <c r="AQ698" i="3"/>
  <c r="A699" i="3"/>
  <c r="AB698" i="3"/>
  <c r="AH698" i="3"/>
  <c r="D698" i="3"/>
  <c r="AT698" i="3"/>
  <c r="O697" i="3"/>
  <c r="P697" i="3" s="1"/>
  <c r="M697" i="3"/>
  <c r="N697" i="3" s="1"/>
  <c r="AV697" i="3"/>
  <c r="AU697" i="3"/>
  <c r="M698" i="3" l="1"/>
  <c r="N698" i="3" s="1"/>
  <c r="AU698" i="3"/>
  <c r="O698" i="3"/>
  <c r="P698" i="3" s="1"/>
  <c r="AV698" i="3"/>
  <c r="D699" i="3"/>
  <c r="L699" i="3"/>
  <c r="AF699" i="3"/>
  <c r="AJ699" i="3"/>
  <c r="AX699" i="3"/>
  <c r="A700" i="3"/>
  <c r="Q699" i="3"/>
  <c r="U699" i="3"/>
  <c r="Y699" i="3"/>
  <c r="AO699" i="3"/>
  <c r="AW699" i="3"/>
  <c r="F699" i="3"/>
  <c r="AB699" i="3"/>
  <c r="AH699" i="3"/>
  <c r="AT699" i="3"/>
  <c r="K699" i="3"/>
  <c r="E699" i="3"/>
  <c r="S699" i="3"/>
  <c r="W699" i="3"/>
  <c r="AM699" i="3"/>
  <c r="AQ699" i="3"/>
  <c r="E700" i="3" l="1"/>
  <c r="Q700" i="3"/>
  <c r="U700" i="3"/>
  <c r="Y700" i="3"/>
  <c r="AO700" i="3"/>
  <c r="AW700" i="3"/>
  <c r="F700" i="3"/>
  <c r="AF700" i="3"/>
  <c r="AJ700" i="3"/>
  <c r="L700" i="3"/>
  <c r="AX700" i="3"/>
  <c r="K700" i="3"/>
  <c r="S700" i="3"/>
  <c r="W700" i="3"/>
  <c r="AM700" i="3"/>
  <c r="AQ700" i="3"/>
  <c r="A701" i="3"/>
  <c r="AB700" i="3"/>
  <c r="AH700" i="3"/>
  <c r="D700" i="3"/>
  <c r="AT700" i="3"/>
  <c r="O699" i="3"/>
  <c r="P699" i="3" s="1"/>
  <c r="M699" i="3"/>
  <c r="N699" i="3" s="1"/>
  <c r="AV699" i="3"/>
  <c r="AU699" i="3"/>
  <c r="M700" i="3" l="1"/>
  <c r="N700" i="3" s="1"/>
  <c r="AU700" i="3"/>
  <c r="O700" i="3"/>
  <c r="P700" i="3" s="1"/>
  <c r="AV700" i="3"/>
  <c r="D701" i="3"/>
  <c r="L701" i="3"/>
  <c r="AF701" i="3"/>
  <c r="AJ701" i="3"/>
  <c r="AX701" i="3"/>
  <c r="A702" i="3"/>
  <c r="Q701" i="3"/>
  <c r="U701" i="3"/>
  <c r="Y701" i="3"/>
  <c r="AO701" i="3"/>
  <c r="AW701" i="3"/>
  <c r="F701" i="3"/>
  <c r="AB701" i="3"/>
  <c r="AH701" i="3"/>
  <c r="AT701" i="3"/>
  <c r="K701" i="3"/>
  <c r="E701" i="3"/>
  <c r="S701" i="3"/>
  <c r="W701" i="3"/>
  <c r="AM701" i="3"/>
  <c r="AQ701" i="3"/>
  <c r="E702" i="3" l="1"/>
  <c r="Q702" i="3"/>
  <c r="U702" i="3"/>
  <c r="Y702" i="3"/>
  <c r="AO702" i="3"/>
  <c r="AW702" i="3"/>
  <c r="F702" i="3"/>
  <c r="AF702" i="3"/>
  <c r="AJ702" i="3"/>
  <c r="L702" i="3"/>
  <c r="AX702" i="3"/>
  <c r="K702" i="3"/>
  <c r="S702" i="3"/>
  <c r="W702" i="3"/>
  <c r="AM702" i="3"/>
  <c r="AQ702" i="3"/>
  <c r="A703" i="3"/>
  <c r="AB702" i="3"/>
  <c r="AH702" i="3"/>
  <c r="D702" i="3"/>
  <c r="AT702" i="3"/>
  <c r="O701" i="3"/>
  <c r="P701" i="3" s="1"/>
  <c r="M701" i="3"/>
  <c r="N701" i="3" s="1"/>
  <c r="AV701" i="3"/>
  <c r="AU701" i="3"/>
  <c r="M702" i="3" l="1"/>
  <c r="N702" i="3" s="1"/>
  <c r="AU702" i="3"/>
  <c r="O702" i="3"/>
  <c r="P702" i="3" s="1"/>
  <c r="AV702" i="3"/>
  <c r="D703" i="3"/>
  <c r="L703" i="3"/>
  <c r="AF703" i="3"/>
  <c r="AJ703" i="3"/>
  <c r="AX703" i="3"/>
  <c r="A704" i="3"/>
  <c r="Q703" i="3"/>
  <c r="U703" i="3"/>
  <c r="Y703" i="3"/>
  <c r="AO703" i="3"/>
  <c r="AW703" i="3"/>
  <c r="F703" i="3"/>
  <c r="AB703" i="3"/>
  <c r="AH703" i="3"/>
  <c r="AT703" i="3"/>
  <c r="K703" i="3"/>
  <c r="E703" i="3"/>
  <c r="S703" i="3"/>
  <c r="W703" i="3"/>
  <c r="AM703" i="3"/>
  <c r="AQ703" i="3"/>
  <c r="E704" i="3" l="1"/>
  <c r="Q704" i="3"/>
  <c r="U704" i="3"/>
  <c r="Y704" i="3"/>
  <c r="AO704" i="3"/>
  <c r="AW704" i="3"/>
  <c r="F704" i="3"/>
  <c r="AF704" i="3"/>
  <c r="AJ704" i="3"/>
  <c r="AT704" i="3"/>
  <c r="AX704" i="3"/>
  <c r="K704" i="3"/>
  <c r="S704" i="3"/>
  <c r="W704" i="3"/>
  <c r="AM704" i="3"/>
  <c r="AQ704" i="3"/>
  <c r="A705" i="3"/>
  <c r="AB704" i="3"/>
  <c r="AH704" i="3"/>
  <c r="D704" i="3"/>
  <c r="L704" i="3"/>
  <c r="O703" i="3"/>
  <c r="P703" i="3" s="1"/>
  <c r="M703" i="3"/>
  <c r="N703" i="3" s="1"/>
  <c r="AV703" i="3"/>
  <c r="AU703" i="3"/>
  <c r="M704" i="3" l="1"/>
  <c r="N704" i="3" s="1"/>
  <c r="AU704" i="3"/>
  <c r="O704" i="3"/>
  <c r="P704" i="3" s="1"/>
  <c r="AV704" i="3"/>
  <c r="D705" i="3"/>
  <c r="L705" i="3"/>
  <c r="AF705" i="3"/>
  <c r="AJ705" i="3"/>
  <c r="AX705" i="3"/>
  <c r="A706" i="3"/>
  <c r="Q705" i="3"/>
  <c r="U705" i="3"/>
  <c r="Y705" i="3"/>
  <c r="AO705" i="3"/>
  <c r="AW705" i="3"/>
  <c r="F705" i="3"/>
  <c r="AB705" i="3"/>
  <c r="AH705" i="3"/>
  <c r="AT705" i="3"/>
  <c r="K705" i="3"/>
  <c r="E705" i="3"/>
  <c r="S705" i="3"/>
  <c r="W705" i="3"/>
  <c r="AM705" i="3"/>
  <c r="AQ705" i="3"/>
  <c r="E706" i="3" l="1"/>
  <c r="Q706" i="3"/>
  <c r="U706" i="3"/>
  <c r="Y706" i="3"/>
  <c r="AO706" i="3"/>
  <c r="AW706" i="3"/>
  <c r="F706" i="3"/>
  <c r="AF706" i="3"/>
  <c r="AJ706" i="3"/>
  <c r="AT706" i="3"/>
  <c r="AX706" i="3"/>
  <c r="K706" i="3"/>
  <c r="S706" i="3"/>
  <c r="W706" i="3"/>
  <c r="AM706" i="3"/>
  <c r="AQ706" i="3"/>
  <c r="A707" i="3"/>
  <c r="AB706" i="3"/>
  <c r="AH706" i="3"/>
  <c r="D706" i="3"/>
  <c r="L706" i="3"/>
  <c r="O705" i="3"/>
  <c r="P705" i="3" s="1"/>
  <c r="M705" i="3"/>
  <c r="N705" i="3" s="1"/>
  <c r="AV705" i="3"/>
  <c r="AU705" i="3"/>
  <c r="M706" i="3" l="1"/>
  <c r="N706" i="3" s="1"/>
  <c r="AU706" i="3"/>
  <c r="O706" i="3"/>
  <c r="P706" i="3" s="1"/>
  <c r="AV706" i="3"/>
  <c r="D707" i="3"/>
  <c r="L707" i="3"/>
  <c r="AF707" i="3"/>
  <c r="AJ707" i="3"/>
  <c r="AX707" i="3"/>
  <c r="A708" i="3"/>
  <c r="Q707" i="3"/>
  <c r="U707" i="3"/>
  <c r="Y707" i="3"/>
  <c r="AO707" i="3"/>
  <c r="AW707" i="3"/>
  <c r="F707" i="3"/>
  <c r="AB707" i="3"/>
  <c r="AH707" i="3"/>
  <c r="AT707" i="3"/>
  <c r="K707" i="3"/>
  <c r="E707" i="3"/>
  <c r="S707" i="3"/>
  <c r="W707" i="3"/>
  <c r="AM707" i="3"/>
  <c r="AQ707" i="3"/>
  <c r="E708" i="3" l="1"/>
  <c r="Q708" i="3"/>
  <c r="U708" i="3"/>
  <c r="Y708" i="3"/>
  <c r="AO708" i="3"/>
  <c r="AW708" i="3"/>
  <c r="F708" i="3"/>
  <c r="AF708" i="3"/>
  <c r="AJ708" i="3"/>
  <c r="AT708" i="3"/>
  <c r="AX708" i="3"/>
  <c r="K708" i="3"/>
  <c r="S708" i="3"/>
  <c r="W708" i="3"/>
  <c r="AM708" i="3"/>
  <c r="AQ708" i="3"/>
  <c r="A709" i="3"/>
  <c r="AB708" i="3"/>
  <c r="AH708" i="3"/>
  <c r="D708" i="3"/>
  <c r="L708" i="3"/>
  <c r="O707" i="3"/>
  <c r="P707" i="3" s="1"/>
  <c r="M707" i="3"/>
  <c r="N707" i="3" s="1"/>
  <c r="AV707" i="3"/>
  <c r="AU707" i="3"/>
  <c r="M708" i="3" l="1"/>
  <c r="N708" i="3" s="1"/>
  <c r="AU708" i="3"/>
  <c r="O708" i="3"/>
  <c r="P708" i="3" s="1"/>
  <c r="AV708" i="3"/>
  <c r="D709" i="3"/>
  <c r="L709" i="3"/>
  <c r="AF709" i="3"/>
  <c r="AJ709" i="3"/>
  <c r="AX709" i="3"/>
  <c r="A710" i="3"/>
  <c r="Q709" i="3"/>
  <c r="U709" i="3"/>
  <c r="Y709" i="3"/>
  <c r="AO709" i="3"/>
  <c r="AW709" i="3"/>
  <c r="F709" i="3"/>
  <c r="AB709" i="3"/>
  <c r="AH709" i="3"/>
  <c r="AT709" i="3"/>
  <c r="K709" i="3"/>
  <c r="E709" i="3"/>
  <c r="S709" i="3"/>
  <c r="W709" i="3"/>
  <c r="AM709" i="3"/>
  <c r="AQ709" i="3"/>
  <c r="E710" i="3" l="1"/>
  <c r="Q710" i="3"/>
  <c r="U710" i="3"/>
  <c r="Y710" i="3"/>
  <c r="AO710" i="3"/>
  <c r="AW710" i="3"/>
  <c r="F710" i="3"/>
  <c r="AF710" i="3"/>
  <c r="AJ710" i="3"/>
  <c r="AT710" i="3"/>
  <c r="AX710" i="3"/>
  <c r="K710" i="3"/>
  <c r="S710" i="3"/>
  <c r="W710" i="3"/>
  <c r="AM710" i="3"/>
  <c r="AQ710" i="3"/>
  <c r="A711" i="3"/>
  <c r="AB710" i="3"/>
  <c r="AH710" i="3"/>
  <c r="D710" i="3"/>
  <c r="L710" i="3"/>
  <c r="O709" i="3"/>
  <c r="P709" i="3" s="1"/>
  <c r="M709" i="3"/>
  <c r="N709" i="3" s="1"/>
  <c r="AV709" i="3"/>
  <c r="AU709" i="3"/>
  <c r="M710" i="3" l="1"/>
  <c r="N710" i="3" s="1"/>
  <c r="AU710" i="3"/>
  <c r="O710" i="3"/>
  <c r="P710" i="3" s="1"/>
  <c r="AV710" i="3"/>
  <c r="D711" i="3"/>
  <c r="L711" i="3"/>
  <c r="AF711" i="3"/>
  <c r="AJ711" i="3"/>
  <c r="AX711" i="3"/>
  <c r="A712" i="3"/>
  <c r="Q711" i="3"/>
  <c r="U711" i="3"/>
  <c r="Y711" i="3"/>
  <c r="AO711" i="3"/>
  <c r="AW711" i="3"/>
  <c r="F711" i="3"/>
  <c r="AB711" i="3"/>
  <c r="AH711" i="3"/>
  <c r="AT711" i="3"/>
  <c r="K711" i="3"/>
  <c r="E711" i="3"/>
  <c r="S711" i="3"/>
  <c r="W711" i="3"/>
  <c r="AM711" i="3"/>
  <c r="AQ711" i="3"/>
  <c r="E712" i="3" l="1"/>
  <c r="Q712" i="3"/>
  <c r="U712" i="3"/>
  <c r="Y712" i="3"/>
  <c r="AO712" i="3"/>
  <c r="AW712" i="3"/>
  <c r="F712" i="3"/>
  <c r="AF712" i="3"/>
  <c r="AJ712" i="3"/>
  <c r="AT712" i="3"/>
  <c r="AX712" i="3"/>
  <c r="K712" i="3"/>
  <c r="S712" i="3"/>
  <c r="W712" i="3"/>
  <c r="AM712" i="3"/>
  <c r="AQ712" i="3"/>
  <c r="A713" i="3"/>
  <c r="AB712" i="3"/>
  <c r="AH712" i="3"/>
  <c r="D712" i="3"/>
  <c r="L712" i="3"/>
  <c r="O711" i="3"/>
  <c r="P711" i="3" s="1"/>
  <c r="M711" i="3"/>
  <c r="N711" i="3" s="1"/>
  <c r="AV711" i="3"/>
  <c r="AU711" i="3"/>
  <c r="M712" i="3" l="1"/>
  <c r="N712" i="3" s="1"/>
  <c r="AU712" i="3"/>
  <c r="O712" i="3"/>
  <c r="P712" i="3" s="1"/>
  <c r="AV712" i="3"/>
  <c r="D713" i="3"/>
  <c r="L713" i="3"/>
  <c r="AF713" i="3"/>
  <c r="AJ713" i="3"/>
  <c r="AX713" i="3"/>
  <c r="A714" i="3"/>
  <c r="Q713" i="3"/>
  <c r="U713" i="3"/>
  <c r="Y713" i="3"/>
  <c r="AO713" i="3"/>
  <c r="AW713" i="3"/>
  <c r="F713" i="3"/>
  <c r="AB713" i="3"/>
  <c r="AH713" i="3"/>
  <c r="AT713" i="3"/>
  <c r="K713" i="3"/>
  <c r="E713" i="3"/>
  <c r="S713" i="3"/>
  <c r="W713" i="3"/>
  <c r="AM713" i="3"/>
  <c r="AQ713" i="3"/>
  <c r="E714" i="3" l="1"/>
  <c r="Q714" i="3"/>
  <c r="U714" i="3"/>
  <c r="Y714" i="3"/>
  <c r="AO714" i="3"/>
  <c r="AW714" i="3"/>
  <c r="F714" i="3"/>
  <c r="AF714" i="3"/>
  <c r="AJ714" i="3"/>
  <c r="AT714" i="3"/>
  <c r="AX714" i="3"/>
  <c r="K714" i="3"/>
  <c r="S714" i="3"/>
  <c r="W714" i="3"/>
  <c r="AM714" i="3"/>
  <c r="AQ714" i="3"/>
  <c r="A715" i="3"/>
  <c r="AB714" i="3"/>
  <c r="AH714" i="3"/>
  <c r="D714" i="3"/>
  <c r="L714" i="3"/>
  <c r="O713" i="3"/>
  <c r="P713" i="3" s="1"/>
  <c r="M713" i="3"/>
  <c r="N713" i="3" s="1"/>
  <c r="AV713" i="3"/>
  <c r="AU713" i="3"/>
  <c r="M714" i="3" l="1"/>
  <c r="N714" i="3" s="1"/>
  <c r="AU714" i="3"/>
  <c r="O714" i="3"/>
  <c r="P714" i="3" s="1"/>
  <c r="AV714" i="3"/>
  <c r="D715" i="3"/>
  <c r="L715" i="3"/>
  <c r="AF715" i="3"/>
  <c r="AJ715" i="3"/>
  <c r="AX715" i="3"/>
  <c r="A716" i="3"/>
  <c r="Q715" i="3"/>
  <c r="U715" i="3"/>
  <c r="Y715" i="3"/>
  <c r="AO715" i="3"/>
  <c r="AW715" i="3"/>
  <c r="F715" i="3"/>
  <c r="AB715" i="3"/>
  <c r="AH715" i="3"/>
  <c r="AT715" i="3"/>
  <c r="K715" i="3"/>
  <c r="E715" i="3"/>
  <c r="S715" i="3"/>
  <c r="W715" i="3"/>
  <c r="AM715" i="3"/>
  <c r="AQ715" i="3"/>
  <c r="E716" i="3" l="1"/>
  <c r="Q716" i="3"/>
  <c r="U716" i="3"/>
  <c r="Y716" i="3"/>
  <c r="AO716" i="3"/>
  <c r="AW716" i="3"/>
  <c r="F716" i="3"/>
  <c r="AF716" i="3"/>
  <c r="AJ716" i="3"/>
  <c r="AT716" i="3"/>
  <c r="AX716" i="3"/>
  <c r="K716" i="3"/>
  <c r="S716" i="3"/>
  <c r="W716" i="3"/>
  <c r="AM716" i="3"/>
  <c r="AQ716" i="3"/>
  <c r="A717" i="3"/>
  <c r="AB716" i="3"/>
  <c r="AH716" i="3"/>
  <c r="D716" i="3"/>
  <c r="L716" i="3"/>
  <c r="O715" i="3"/>
  <c r="P715" i="3" s="1"/>
  <c r="M715" i="3"/>
  <c r="N715" i="3" s="1"/>
  <c r="AV715" i="3"/>
  <c r="AU715" i="3"/>
  <c r="M716" i="3" l="1"/>
  <c r="N716" i="3" s="1"/>
  <c r="AU716" i="3"/>
  <c r="O716" i="3"/>
  <c r="P716" i="3" s="1"/>
  <c r="AV716" i="3"/>
  <c r="D717" i="3"/>
  <c r="L717" i="3"/>
  <c r="AF717" i="3"/>
  <c r="AJ717" i="3"/>
  <c r="AX717" i="3"/>
  <c r="A718" i="3"/>
  <c r="Q717" i="3"/>
  <c r="U717" i="3"/>
  <c r="Y717" i="3"/>
  <c r="AO717" i="3"/>
  <c r="AW717" i="3"/>
  <c r="F717" i="3"/>
  <c r="AB717" i="3"/>
  <c r="AH717" i="3"/>
  <c r="AT717" i="3"/>
  <c r="K717" i="3"/>
  <c r="E717" i="3"/>
  <c r="S717" i="3"/>
  <c r="W717" i="3"/>
  <c r="AM717" i="3"/>
  <c r="AQ717" i="3"/>
  <c r="E718" i="3" l="1"/>
  <c r="Q718" i="3"/>
  <c r="U718" i="3"/>
  <c r="Y718" i="3"/>
  <c r="AO718" i="3"/>
  <c r="AW718" i="3"/>
  <c r="F718" i="3"/>
  <c r="AF718" i="3"/>
  <c r="AJ718" i="3"/>
  <c r="AT718" i="3"/>
  <c r="AX718" i="3"/>
  <c r="K718" i="3"/>
  <c r="S718" i="3"/>
  <c r="W718" i="3"/>
  <c r="AM718" i="3"/>
  <c r="AQ718" i="3"/>
  <c r="A719" i="3"/>
  <c r="AB718" i="3"/>
  <c r="AH718" i="3"/>
  <c r="D718" i="3"/>
  <c r="L718" i="3"/>
  <c r="O717" i="3"/>
  <c r="P717" i="3" s="1"/>
  <c r="M717" i="3"/>
  <c r="N717" i="3" s="1"/>
  <c r="AV717" i="3"/>
  <c r="AU717" i="3"/>
  <c r="M718" i="3" l="1"/>
  <c r="N718" i="3" s="1"/>
  <c r="AU718" i="3"/>
  <c r="O718" i="3"/>
  <c r="P718" i="3" s="1"/>
  <c r="AV718" i="3"/>
  <c r="D719" i="3"/>
  <c r="L719" i="3"/>
  <c r="AF719" i="3"/>
  <c r="AJ719" i="3"/>
  <c r="AX719" i="3"/>
  <c r="A720" i="3"/>
  <c r="Q719" i="3"/>
  <c r="U719" i="3"/>
  <c r="Y719" i="3"/>
  <c r="AO719" i="3"/>
  <c r="AW719" i="3"/>
  <c r="F719" i="3"/>
  <c r="AB719" i="3"/>
  <c r="AH719" i="3"/>
  <c r="AT719" i="3"/>
  <c r="K719" i="3"/>
  <c r="E719" i="3"/>
  <c r="S719" i="3"/>
  <c r="W719" i="3"/>
  <c r="AM719" i="3"/>
  <c r="AQ719" i="3"/>
  <c r="E720" i="3" l="1"/>
  <c r="Q720" i="3"/>
  <c r="U720" i="3"/>
  <c r="Y720" i="3"/>
  <c r="AO720" i="3"/>
  <c r="AW720" i="3"/>
  <c r="F720" i="3"/>
  <c r="AF720" i="3"/>
  <c r="AJ720" i="3"/>
  <c r="AT720" i="3"/>
  <c r="AX720" i="3"/>
  <c r="K720" i="3"/>
  <c r="S720" i="3"/>
  <c r="W720" i="3"/>
  <c r="AM720" i="3"/>
  <c r="AQ720" i="3"/>
  <c r="A721" i="3"/>
  <c r="AB720" i="3"/>
  <c r="AH720" i="3"/>
  <c r="D720" i="3"/>
  <c r="L720" i="3"/>
  <c r="O719" i="3"/>
  <c r="P719" i="3" s="1"/>
  <c r="M719" i="3"/>
  <c r="N719" i="3" s="1"/>
  <c r="AV719" i="3"/>
  <c r="AU719" i="3"/>
  <c r="M720" i="3" l="1"/>
  <c r="N720" i="3" s="1"/>
  <c r="AU720" i="3"/>
  <c r="O720" i="3"/>
  <c r="P720" i="3" s="1"/>
  <c r="AV720" i="3"/>
  <c r="D721" i="3"/>
  <c r="L721" i="3"/>
  <c r="AF721" i="3"/>
  <c r="AJ721" i="3"/>
  <c r="AX721" i="3"/>
  <c r="A722" i="3"/>
  <c r="Q721" i="3"/>
  <c r="U721" i="3"/>
  <c r="Y721" i="3"/>
  <c r="AO721" i="3"/>
  <c r="AW721" i="3"/>
  <c r="F721" i="3"/>
  <c r="AB721" i="3"/>
  <c r="AH721" i="3"/>
  <c r="AT721" i="3"/>
  <c r="K721" i="3"/>
  <c r="E721" i="3"/>
  <c r="S721" i="3"/>
  <c r="W721" i="3"/>
  <c r="AM721" i="3"/>
  <c r="AQ721" i="3"/>
  <c r="E722" i="3" l="1"/>
  <c r="Q722" i="3"/>
  <c r="U722" i="3"/>
  <c r="Y722" i="3"/>
  <c r="AO722" i="3"/>
  <c r="AW722" i="3"/>
  <c r="F722" i="3"/>
  <c r="AF722" i="3"/>
  <c r="AJ722" i="3"/>
  <c r="AT722" i="3"/>
  <c r="AX722" i="3"/>
  <c r="K722" i="3"/>
  <c r="S722" i="3"/>
  <c r="W722" i="3"/>
  <c r="AM722" i="3"/>
  <c r="AQ722" i="3"/>
  <c r="A723" i="3"/>
  <c r="AB722" i="3"/>
  <c r="AH722" i="3"/>
  <c r="D722" i="3"/>
  <c r="L722" i="3"/>
  <c r="O721" i="3"/>
  <c r="P721" i="3" s="1"/>
  <c r="M721" i="3"/>
  <c r="N721" i="3" s="1"/>
  <c r="AV721" i="3"/>
  <c r="AU721" i="3"/>
  <c r="M722" i="3" l="1"/>
  <c r="N722" i="3" s="1"/>
  <c r="AU722" i="3"/>
  <c r="O722" i="3"/>
  <c r="P722" i="3" s="1"/>
  <c r="AV722" i="3"/>
  <c r="D723" i="3"/>
  <c r="L723" i="3"/>
  <c r="AF723" i="3"/>
  <c r="AJ723" i="3"/>
  <c r="AX723" i="3"/>
  <c r="A724" i="3"/>
  <c r="Q723" i="3"/>
  <c r="U723" i="3"/>
  <c r="Y723" i="3"/>
  <c r="AO723" i="3"/>
  <c r="AW723" i="3"/>
  <c r="F723" i="3"/>
  <c r="AB723" i="3"/>
  <c r="AH723" i="3"/>
  <c r="AT723" i="3"/>
  <c r="K723" i="3"/>
  <c r="E723" i="3"/>
  <c r="S723" i="3"/>
  <c r="W723" i="3"/>
  <c r="AM723" i="3"/>
  <c r="AQ723" i="3"/>
  <c r="E724" i="3" l="1"/>
  <c r="Q724" i="3"/>
  <c r="U724" i="3"/>
  <c r="Y724" i="3"/>
  <c r="AO724" i="3"/>
  <c r="AW724" i="3"/>
  <c r="F724" i="3"/>
  <c r="AF724" i="3"/>
  <c r="AJ724" i="3"/>
  <c r="AT724" i="3"/>
  <c r="AX724" i="3"/>
  <c r="K724" i="3"/>
  <c r="S724" i="3"/>
  <c r="W724" i="3"/>
  <c r="AM724" i="3"/>
  <c r="AQ724" i="3"/>
  <c r="A725" i="3"/>
  <c r="AB724" i="3"/>
  <c r="AH724" i="3"/>
  <c r="D724" i="3"/>
  <c r="L724" i="3"/>
  <c r="O723" i="3"/>
  <c r="P723" i="3" s="1"/>
  <c r="M723" i="3"/>
  <c r="N723" i="3" s="1"/>
  <c r="AV723" i="3"/>
  <c r="AU723" i="3"/>
  <c r="M724" i="3" l="1"/>
  <c r="N724" i="3" s="1"/>
  <c r="AU724" i="3"/>
  <c r="O724" i="3"/>
  <c r="P724" i="3" s="1"/>
  <c r="AV724" i="3"/>
  <c r="D725" i="3"/>
  <c r="L725" i="3"/>
  <c r="AF725" i="3"/>
  <c r="AJ725" i="3"/>
  <c r="AX725" i="3"/>
  <c r="A726" i="3"/>
  <c r="Q725" i="3"/>
  <c r="U725" i="3"/>
  <c r="Y725" i="3"/>
  <c r="AO725" i="3"/>
  <c r="AW725" i="3"/>
  <c r="F725" i="3"/>
  <c r="AB725" i="3"/>
  <c r="AH725" i="3"/>
  <c r="AT725" i="3"/>
  <c r="K725" i="3"/>
  <c r="E725" i="3"/>
  <c r="S725" i="3"/>
  <c r="W725" i="3"/>
  <c r="AM725" i="3"/>
  <c r="AQ725" i="3"/>
  <c r="E726" i="3" l="1"/>
  <c r="Q726" i="3"/>
  <c r="U726" i="3"/>
  <c r="Y726" i="3"/>
  <c r="AO726" i="3"/>
  <c r="AW726" i="3"/>
  <c r="F726" i="3"/>
  <c r="AF726" i="3"/>
  <c r="AJ726" i="3"/>
  <c r="AT726" i="3"/>
  <c r="AX726" i="3"/>
  <c r="K726" i="3"/>
  <c r="S726" i="3"/>
  <c r="W726" i="3"/>
  <c r="AM726" i="3"/>
  <c r="AQ726" i="3"/>
  <c r="A727" i="3"/>
  <c r="AB726" i="3"/>
  <c r="AH726" i="3"/>
  <c r="D726" i="3"/>
  <c r="L726" i="3"/>
  <c r="O725" i="3"/>
  <c r="P725" i="3" s="1"/>
  <c r="M725" i="3"/>
  <c r="N725" i="3" s="1"/>
  <c r="AV725" i="3"/>
  <c r="AU725" i="3"/>
  <c r="M726" i="3" l="1"/>
  <c r="N726" i="3" s="1"/>
  <c r="AU726" i="3"/>
  <c r="O726" i="3"/>
  <c r="P726" i="3" s="1"/>
  <c r="AV726" i="3"/>
  <c r="D727" i="3"/>
  <c r="L727" i="3"/>
  <c r="AF727" i="3"/>
  <c r="AJ727" i="3"/>
  <c r="AX727" i="3"/>
  <c r="A728" i="3"/>
  <c r="Q727" i="3"/>
  <c r="U727" i="3"/>
  <c r="Y727" i="3"/>
  <c r="AO727" i="3"/>
  <c r="AW727" i="3"/>
  <c r="F727" i="3"/>
  <c r="AB727" i="3"/>
  <c r="AH727" i="3"/>
  <c r="AT727" i="3"/>
  <c r="K727" i="3"/>
  <c r="E727" i="3"/>
  <c r="S727" i="3"/>
  <c r="W727" i="3"/>
  <c r="AM727" i="3"/>
  <c r="AQ727" i="3"/>
  <c r="E728" i="3" l="1"/>
  <c r="Q728" i="3"/>
  <c r="U728" i="3"/>
  <c r="Y728" i="3"/>
  <c r="AO728" i="3"/>
  <c r="AW728" i="3"/>
  <c r="F728" i="3"/>
  <c r="AF728" i="3"/>
  <c r="AJ728" i="3"/>
  <c r="AT728" i="3"/>
  <c r="AX728" i="3"/>
  <c r="K728" i="3"/>
  <c r="S728" i="3"/>
  <c r="W728" i="3"/>
  <c r="AM728" i="3"/>
  <c r="AQ728" i="3"/>
  <c r="A729" i="3"/>
  <c r="AB728" i="3"/>
  <c r="AH728" i="3"/>
  <c r="D728" i="3"/>
  <c r="L728" i="3"/>
  <c r="O727" i="3"/>
  <c r="P727" i="3" s="1"/>
  <c r="M727" i="3"/>
  <c r="N727" i="3" s="1"/>
  <c r="AV727" i="3"/>
  <c r="AU727" i="3"/>
  <c r="M728" i="3" l="1"/>
  <c r="N728" i="3" s="1"/>
  <c r="AU728" i="3"/>
  <c r="O728" i="3"/>
  <c r="P728" i="3" s="1"/>
  <c r="AV728" i="3"/>
  <c r="D729" i="3"/>
  <c r="L729" i="3"/>
  <c r="AF729" i="3"/>
  <c r="AJ729" i="3"/>
  <c r="AX729" i="3"/>
  <c r="A730" i="3"/>
  <c r="Q729" i="3"/>
  <c r="U729" i="3"/>
  <c r="Y729" i="3"/>
  <c r="AO729" i="3"/>
  <c r="AW729" i="3"/>
  <c r="F729" i="3"/>
  <c r="AB729" i="3"/>
  <c r="AH729" i="3"/>
  <c r="AT729" i="3"/>
  <c r="K729" i="3"/>
  <c r="E729" i="3"/>
  <c r="S729" i="3"/>
  <c r="W729" i="3"/>
  <c r="AM729" i="3"/>
  <c r="AQ729" i="3"/>
  <c r="E730" i="3" l="1"/>
  <c r="Q730" i="3"/>
  <c r="U730" i="3"/>
  <c r="Y730" i="3"/>
  <c r="AO730" i="3"/>
  <c r="AW730" i="3"/>
  <c r="F730" i="3"/>
  <c r="AF730" i="3"/>
  <c r="AJ730" i="3"/>
  <c r="AT730" i="3"/>
  <c r="AX730" i="3"/>
  <c r="K730" i="3"/>
  <c r="S730" i="3"/>
  <c r="W730" i="3"/>
  <c r="AM730" i="3"/>
  <c r="AQ730" i="3"/>
  <c r="A731" i="3"/>
  <c r="AB730" i="3"/>
  <c r="AH730" i="3"/>
  <c r="D730" i="3"/>
  <c r="L730" i="3"/>
  <c r="O729" i="3"/>
  <c r="P729" i="3" s="1"/>
  <c r="M729" i="3"/>
  <c r="N729" i="3" s="1"/>
  <c r="AV729" i="3"/>
  <c r="AU729" i="3"/>
  <c r="M730" i="3" l="1"/>
  <c r="N730" i="3" s="1"/>
  <c r="AU730" i="3"/>
  <c r="O730" i="3"/>
  <c r="P730" i="3" s="1"/>
  <c r="AV730" i="3"/>
  <c r="D731" i="3"/>
  <c r="L731" i="3"/>
  <c r="AF731" i="3"/>
  <c r="AJ731" i="3"/>
  <c r="AX731" i="3"/>
  <c r="A732" i="3"/>
  <c r="Q731" i="3"/>
  <c r="U731" i="3"/>
  <c r="Y731" i="3"/>
  <c r="AO731" i="3"/>
  <c r="AW731" i="3"/>
  <c r="F731" i="3"/>
  <c r="AB731" i="3"/>
  <c r="AH731" i="3"/>
  <c r="AT731" i="3"/>
  <c r="K731" i="3"/>
  <c r="E731" i="3"/>
  <c r="S731" i="3"/>
  <c r="W731" i="3"/>
  <c r="AM731" i="3"/>
  <c r="AQ731" i="3"/>
  <c r="E732" i="3" l="1"/>
  <c r="Q732" i="3"/>
  <c r="U732" i="3"/>
  <c r="Y732" i="3"/>
  <c r="AO732" i="3"/>
  <c r="AW732" i="3"/>
  <c r="F732" i="3"/>
  <c r="AF732" i="3"/>
  <c r="AJ732" i="3"/>
  <c r="AT732" i="3"/>
  <c r="AX732" i="3"/>
  <c r="K732" i="3"/>
  <c r="S732" i="3"/>
  <c r="W732" i="3"/>
  <c r="AM732" i="3"/>
  <c r="AQ732" i="3"/>
  <c r="A733" i="3"/>
  <c r="AB732" i="3"/>
  <c r="AH732" i="3"/>
  <c r="D732" i="3"/>
  <c r="L732" i="3"/>
  <c r="O731" i="3"/>
  <c r="P731" i="3" s="1"/>
  <c r="M731" i="3"/>
  <c r="N731" i="3" s="1"/>
  <c r="AV731" i="3"/>
  <c r="AU731" i="3"/>
  <c r="M732" i="3" l="1"/>
  <c r="N732" i="3" s="1"/>
  <c r="AU732" i="3"/>
  <c r="O732" i="3"/>
  <c r="P732" i="3" s="1"/>
  <c r="AV732" i="3"/>
  <c r="D733" i="3"/>
  <c r="L733" i="3"/>
  <c r="AF733" i="3"/>
  <c r="AJ733" i="3"/>
  <c r="AX733" i="3"/>
  <c r="A734" i="3"/>
  <c r="Q733" i="3"/>
  <c r="U733" i="3"/>
  <c r="Y733" i="3"/>
  <c r="AO733" i="3"/>
  <c r="AW733" i="3"/>
  <c r="F733" i="3"/>
  <c r="AB733" i="3"/>
  <c r="AH733" i="3"/>
  <c r="AT733" i="3"/>
  <c r="K733" i="3"/>
  <c r="E733" i="3"/>
  <c r="S733" i="3"/>
  <c r="W733" i="3"/>
  <c r="AM733" i="3"/>
  <c r="AQ733" i="3"/>
  <c r="E734" i="3" l="1"/>
  <c r="Q734" i="3"/>
  <c r="U734" i="3"/>
  <c r="Y734" i="3"/>
  <c r="AO734" i="3"/>
  <c r="AW734" i="3"/>
  <c r="F734" i="3"/>
  <c r="AF734" i="3"/>
  <c r="AJ734" i="3"/>
  <c r="AT734" i="3"/>
  <c r="AX734" i="3"/>
  <c r="K734" i="3"/>
  <c r="S734" i="3"/>
  <c r="W734" i="3"/>
  <c r="AM734" i="3"/>
  <c r="AQ734" i="3"/>
  <c r="A735" i="3"/>
  <c r="AB734" i="3"/>
  <c r="AH734" i="3"/>
  <c r="D734" i="3"/>
  <c r="L734" i="3"/>
  <c r="O733" i="3"/>
  <c r="P733" i="3" s="1"/>
  <c r="M733" i="3"/>
  <c r="N733" i="3" s="1"/>
  <c r="AV733" i="3"/>
  <c r="AU733" i="3"/>
  <c r="M734" i="3" l="1"/>
  <c r="N734" i="3" s="1"/>
  <c r="AU734" i="3"/>
  <c r="O734" i="3"/>
  <c r="P734" i="3" s="1"/>
  <c r="AV734" i="3"/>
  <c r="D735" i="3"/>
  <c r="L735" i="3"/>
  <c r="AF735" i="3"/>
  <c r="AJ735" i="3"/>
  <c r="AX735" i="3"/>
  <c r="A736" i="3"/>
  <c r="Q735" i="3"/>
  <c r="U735" i="3"/>
  <c r="Y735" i="3"/>
  <c r="AO735" i="3"/>
  <c r="AW735" i="3"/>
  <c r="F735" i="3"/>
  <c r="AB735" i="3"/>
  <c r="AH735" i="3"/>
  <c r="AT735" i="3"/>
  <c r="K735" i="3"/>
  <c r="E735" i="3"/>
  <c r="S735" i="3"/>
  <c r="W735" i="3"/>
  <c r="AM735" i="3"/>
  <c r="AQ735" i="3"/>
  <c r="E736" i="3" l="1"/>
  <c r="Q736" i="3"/>
  <c r="U736" i="3"/>
  <c r="Y736" i="3"/>
  <c r="AO736" i="3"/>
  <c r="AW736" i="3"/>
  <c r="F736" i="3"/>
  <c r="AF736" i="3"/>
  <c r="AJ736" i="3"/>
  <c r="AT736" i="3"/>
  <c r="AX736" i="3"/>
  <c r="K736" i="3"/>
  <c r="S736" i="3"/>
  <c r="W736" i="3"/>
  <c r="AM736" i="3"/>
  <c r="AQ736" i="3"/>
  <c r="A737" i="3"/>
  <c r="AB736" i="3"/>
  <c r="AH736" i="3"/>
  <c r="D736" i="3"/>
  <c r="L736" i="3"/>
  <c r="O735" i="3"/>
  <c r="P735" i="3" s="1"/>
  <c r="M735" i="3"/>
  <c r="N735" i="3" s="1"/>
  <c r="AV735" i="3"/>
  <c r="AU735" i="3"/>
  <c r="M736" i="3" l="1"/>
  <c r="N736" i="3" s="1"/>
  <c r="AU736" i="3"/>
  <c r="O736" i="3"/>
  <c r="P736" i="3" s="1"/>
  <c r="AV736" i="3"/>
  <c r="D737" i="3"/>
  <c r="L737" i="3"/>
  <c r="AF737" i="3"/>
  <c r="AJ737" i="3"/>
  <c r="AX737" i="3"/>
  <c r="A738" i="3"/>
  <c r="Q737" i="3"/>
  <c r="U737" i="3"/>
  <c r="Y737" i="3"/>
  <c r="AO737" i="3"/>
  <c r="AW737" i="3"/>
  <c r="F737" i="3"/>
  <c r="AB737" i="3"/>
  <c r="AH737" i="3"/>
  <c r="AT737" i="3"/>
  <c r="K737" i="3"/>
  <c r="E737" i="3"/>
  <c r="S737" i="3"/>
  <c r="W737" i="3"/>
  <c r="AM737" i="3"/>
  <c r="AQ737" i="3"/>
  <c r="E738" i="3" l="1"/>
  <c r="Q738" i="3"/>
  <c r="U738" i="3"/>
  <c r="Y738" i="3"/>
  <c r="AO738" i="3"/>
  <c r="AW738" i="3"/>
  <c r="F738" i="3"/>
  <c r="AF738" i="3"/>
  <c r="AJ738" i="3"/>
  <c r="AT738" i="3"/>
  <c r="AX738" i="3"/>
  <c r="K738" i="3"/>
  <c r="S738" i="3"/>
  <c r="W738" i="3"/>
  <c r="AM738" i="3"/>
  <c r="AQ738" i="3"/>
  <c r="A739" i="3"/>
  <c r="AB738" i="3"/>
  <c r="AH738" i="3"/>
  <c r="D738" i="3"/>
  <c r="L738" i="3"/>
  <c r="O737" i="3"/>
  <c r="P737" i="3" s="1"/>
  <c r="M737" i="3"/>
  <c r="N737" i="3" s="1"/>
  <c r="AV737" i="3"/>
  <c r="AU737" i="3"/>
  <c r="M738" i="3" l="1"/>
  <c r="N738" i="3" s="1"/>
  <c r="AU738" i="3"/>
  <c r="O738" i="3"/>
  <c r="P738" i="3" s="1"/>
  <c r="AV738" i="3"/>
  <c r="D739" i="3"/>
  <c r="L739" i="3"/>
  <c r="AF739" i="3"/>
  <c r="AJ739" i="3"/>
  <c r="AX739" i="3"/>
  <c r="A740" i="3"/>
  <c r="Q739" i="3"/>
  <c r="U739" i="3"/>
  <c r="Y739" i="3"/>
  <c r="AO739" i="3"/>
  <c r="AW739" i="3"/>
  <c r="F739" i="3"/>
  <c r="AB739" i="3"/>
  <c r="AH739" i="3"/>
  <c r="AT739" i="3"/>
  <c r="K739" i="3"/>
  <c r="E739" i="3"/>
  <c r="S739" i="3"/>
  <c r="W739" i="3"/>
  <c r="AM739" i="3"/>
  <c r="AQ739" i="3"/>
  <c r="E740" i="3" l="1"/>
  <c r="Q740" i="3"/>
  <c r="U740" i="3"/>
  <c r="Y740" i="3"/>
  <c r="AO740" i="3"/>
  <c r="AW740" i="3"/>
  <c r="F740" i="3"/>
  <c r="AF740" i="3"/>
  <c r="AJ740" i="3"/>
  <c r="AT740" i="3"/>
  <c r="AX740" i="3"/>
  <c r="K740" i="3"/>
  <c r="S740" i="3"/>
  <c r="W740" i="3"/>
  <c r="AM740" i="3"/>
  <c r="AQ740" i="3"/>
  <c r="A741" i="3"/>
  <c r="AB740" i="3"/>
  <c r="AH740" i="3"/>
  <c r="D740" i="3"/>
  <c r="L740" i="3"/>
  <c r="O739" i="3"/>
  <c r="P739" i="3" s="1"/>
  <c r="M739" i="3"/>
  <c r="N739" i="3" s="1"/>
  <c r="AV739" i="3"/>
  <c r="AU739" i="3"/>
  <c r="M740" i="3" l="1"/>
  <c r="N740" i="3" s="1"/>
  <c r="AU740" i="3"/>
  <c r="O740" i="3"/>
  <c r="P740" i="3" s="1"/>
  <c r="AV740" i="3"/>
  <c r="D741" i="3"/>
  <c r="L741" i="3"/>
  <c r="AF741" i="3"/>
  <c r="AJ741" i="3"/>
  <c r="AX741" i="3"/>
  <c r="A742" i="3"/>
  <c r="Q741" i="3"/>
  <c r="U741" i="3"/>
  <c r="Y741" i="3"/>
  <c r="AO741" i="3"/>
  <c r="AW741" i="3"/>
  <c r="F741" i="3"/>
  <c r="AB741" i="3"/>
  <c r="AH741" i="3"/>
  <c r="AT741" i="3"/>
  <c r="K741" i="3"/>
  <c r="E741" i="3"/>
  <c r="S741" i="3"/>
  <c r="W741" i="3"/>
  <c r="AM741" i="3"/>
  <c r="AQ741" i="3"/>
  <c r="E742" i="3" l="1"/>
  <c r="Q742" i="3"/>
  <c r="U742" i="3"/>
  <c r="Y742" i="3"/>
  <c r="AO742" i="3"/>
  <c r="AW742" i="3"/>
  <c r="F742" i="3"/>
  <c r="AF742" i="3"/>
  <c r="AJ742" i="3"/>
  <c r="AT742" i="3"/>
  <c r="AX742" i="3"/>
  <c r="K742" i="3"/>
  <c r="S742" i="3"/>
  <c r="W742" i="3"/>
  <c r="AM742" i="3"/>
  <c r="AQ742" i="3"/>
  <c r="A743" i="3"/>
  <c r="AB742" i="3"/>
  <c r="AH742" i="3"/>
  <c r="D742" i="3"/>
  <c r="L742" i="3"/>
  <c r="O741" i="3"/>
  <c r="P741" i="3" s="1"/>
  <c r="M741" i="3"/>
  <c r="N741" i="3" s="1"/>
  <c r="AV741" i="3"/>
  <c r="AU741" i="3"/>
  <c r="M742" i="3" l="1"/>
  <c r="N742" i="3" s="1"/>
  <c r="AU742" i="3"/>
  <c r="O742" i="3"/>
  <c r="P742" i="3" s="1"/>
  <c r="AV742" i="3"/>
  <c r="D743" i="3"/>
  <c r="L743" i="3"/>
  <c r="AF743" i="3"/>
  <c r="AJ743" i="3"/>
  <c r="AX743" i="3"/>
  <c r="A744" i="3"/>
  <c r="Q743" i="3"/>
  <c r="U743" i="3"/>
  <c r="Y743" i="3"/>
  <c r="AO743" i="3"/>
  <c r="AW743" i="3"/>
  <c r="F743" i="3"/>
  <c r="AB743" i="3"/>
  <c r="AH743" i="3"/>
  <c r="AT743" i="3"/>
  <c r="K743" i="3"/>
  <c r="E743" i="3"/>
  <c r="S743" i="3"/>
  <c r="W743" i="3"/>
  <c r="AM743" i="3"/>
  <c r="AQ743" i="3"/>
  <c r="E744" i="3" l="1"/>
  <c r="Q744" i="3"/>
  <c r="U744" i="3"/>
  <c r="Y744" i="3"/>
  <c r="AO744" i="3"/>
  <c r="AW744" i="3"/>
  <c r="F744" i="3"/>
  <c r="AF744" i="3"/>
  <c r="AJ744" i="3"/>
  <c r="AT744" i="3"/>
  <c r="AX744" i="3"/>
  <c r="K744" i="3"/>
  <c r="S744" i="3"/>
  <c r="W744" i="3"/>
  <c r="AM744" i="3"/>
  <c r="AQ744" i="3"/>
  <c r="A745" i="3"/>
  <c r="AB744" i="3"/>
  <c r="AH744" i="3"/>
  <c r="D744" i="3"/>
  <c r="L744" i="3"/>
  <c r="O743" i="3"/>
  <c r="P743" i="3" s="1"/>
  <c r="M743" i="3"/>
  <c r="N743" i="3" s="1"/>
  <c r="AV743" i="3"/>
  <c r="AU743" i="3"/>
  <c r="M744" i="3" l="1"/>
  <c r="N744" i="3" s="1"/>
  <c r="AU744" i="3"/>
  <c r="O744" i="3"/>
  <c r="P744" i="3" s="1"/>
  <c r="AV744" i="3"/>
  <c r="D745" i="3"/>
  <c r="L745" i="3"/>
  <c r="AF745" i="3"/>
  <c r="AJ745" i="3"/>
  <c r="AX745" i="3"/>
  <c r="A746" i="3"/>
  <c r="Q745" i="3"/>
  <c r="U745" i="3"/>
  <c r="Y745" i="3"/>
  <c r="AO745" i="3"/>
  <c r="AW745" i="3"/>
  <c r="F745" i="3"/>
  <c r="AB745" i="3"/>
  <c r="AH745" i="3"/>
  <c r="AT745" i="3"/>
  <c r="K745" i="3"/>
  <c r="E745" i="3"/>
  <c r="S745" i="3"/>
  <c r="W745" i="3"/>
  <c r="AM745" i="3"/>
  <c r="AQ745" i="3"/>
  <c r="E746" i="3" l="1"/>
  <c r="Q746" i="3"/>
  <c r="U746" i="3"/>
  <c r="Y746" i="3"/>
  <c r="AO746" i="3"/>
  <c r="AW746" i="3"/>
  <c r="F746" i="3"/>
  <c r="AF746" i="3"/>
  <c r="AJ746" i="3"/>
  <c r="AT746" i="3"/>
  <c r="AX746" i="3"/>
  <c r="K746" i="3"/>
  <c r="S746" i="3"/>
  <c r="W746" i="3"/>
  <c r="AM746" i="3"/>
  <c r="AQ746" i="3"/>
  <c r="A747" i="3"/>
  <c r="AB746" i="3"/>
  <c r="AH746" i="3"/>
  <c r="D746" i="3"/>
  <c r="L746" i="3"/>
  <c r="O745" i="3"/>
  <c r="P745" i="3" s="1"/>
  <c r="M745" i="3"/>
  <c r="N745" i="3" s="1"/>
  <c r="AV745" i="3"/>
  <c r="AU745" i="3"/>
  <c r="M746" i="3" l="1"/>
  <c r="N746" i="3" s="1"/>
  <c r="AU746" i="3"/>
  <c r="O746" i="3"/>
  <c r="P746" i="3" s="1"/>
  <c r="AV746" i="3"/>
  <c r="D747" i="3"/>
  <c r="L747" i="3"/>
  <c r="AF747" i="3"/>
  <c r="AJ747" i="3"/>
  <c r="AX747" i="3"/>
  <c r="A748" i="3"/>
  <c r="Q747" i="3"/>
  <c r="U747" i="3"/>
  <c r="Y747" i="3"/>
  <c r="AO747" i="3"/>
  <c r="AW747" i="3"/>
  <c r="F747" i="3"/>
  <c r="AB747" i="3"/>
  <c r="AH747" i="3"/>
  <c r="AT747" i="3"/>
  <c r="K747" i="3"/>
  <c r="E747" i="3"/>
  <c r="S747" i="3"/>
  <c r="W747" i="3"/>
  <c r="AM747" i="3"/>
  <c r="AQ747" i="3"/>
  <c r="E748" i="3" l="1"/>
  <c r="Q748" i="3"/>
  <c r="U748" i="3"/>
  <c r="Y748" i="3"/>
  <c r="AO748" i="3"/>
  <c r="AW748" i="3"/>
  <c r="F748" i="3"/>
  <c r="AF748" i="3"/>
  <c r="AJ748" i="3"/>
  <c r="AT748" i="3"/>
  <c r="AX748" i="3"/>
  <c r="K748" i="3"/>
  <c r="S748" i="3"/>
  <c r="W748" i="3"/>
  <c r="AM748" i="3"/>
  <c r="AQ748" i="3"/>
  <c r="A749" i="3"/>
  <c r="AB748" i="3"/>
  <c r="AH748" i="3"/>
  <c r="D748" i="3"/>
  <c r="L748" i="3"/>
  <c r="O747" i="3"/>
  <c r="P747" i="3" s="1"/>
  <c r="M747" i="3"/>
  <c r="N747" i="3" s="1"/>
  <c r="AV747" i="3"/>
  <c r="AU747" i="3"/>
  <c r="M748" i="3" l="1"/>
  <c r="N748" i="3" s="1"/>
  <c r="AU748" i="3"/>
  <c r="O748" i="3"/>
  <c r="P748" i="3" s="1"/>
  <c r="AV748" i="3"/>
  <c r="D749" i="3"/>
  <c r="L749" i="3"/>
  <c r="AF749" i="3"/>
  <c r="AJ749" i="3"/>
  <c r="AX749" i="3"/>
  <c r="A750" i="3"/>
  <c r="Q749" i="3"/>
  <c r="U749" i="3"/>
  <c r="Y749" i="3"/>
  <c r="AO749" i="3"/>
  <c r="AW749" i="3"/>
  <c r="F749" i="3"/>
  <c r="AB749" i="3"/>
  <c r="AH749" i="3"/>
  <c r="AT749" i="3"/>
  <c r="K749" i="3"/>
  <c r="E749" i="3"/>
  <c r="S749" i="3"/>
  <c r="W749" i="3"/>
  <c r="AM749" i="3"/>
  <c r="AQ749" i="3"/>
  <c r="E750" i="3" l="1"/>
  <c r="Q750" i="3"/>
  <c r="U750" i="3"/>
  <c r="Y750" i="3"/>
  <c r="AO750" i="3"/>
  <c r="AW750" i="3"/>
  <c r="F750" i="3"/>
  <c r="AF750" i="3"/>
  <c r="AJ750" i="3"/>
  <c r="AT750" i="3"/>
  <c r="AX750" i="3"/>
  <c r="K750" i="3"/>
  <c r="S750" i="3"/>
  <c r="W750" i="3"/>
  <c r="AM750" i="3"/>
  <c r="AQ750" i="3"/>
  <c r="A751" i="3"/>
  <c r="AB750" i="3"/>
  <c r="AH750" i="3"/>
  <c r="D750" i="3"/>
  <c r="L750" i="3"/>
  <c r="O749" i="3"/>
  <c r="P749" i="3" s="1"/>
  <c r="M749" i="3"/>
  <c r="N749" i="3" s="1"/>
  <c r="AV749" i="3"/>
  <c r="AU749" i="3"/>
  <c r="M750" i="3" l="1"/>
  <c r="N750" i="3" s="1"/>
  <c r="AU750" i="3"/>
  <c r="O750" i="3"/>
  <c r="P750" i="3" s="1"/>
  <c r="AV750" i="3"/>
  <c r="D751" i="3"/>
  <c r="L751" i="3"/>
  <c r="AF751" i="3"/>
  <c r="AJ751" i="3"/>
  <c r="AX751" i="3"/>
  <c r="A752" i="3"/>
  <c r="Q751" i="3"/>
  <c r="U751" i="3"/>
  <c r="Y751" i="3"/>
  <c r="AO751" i="3"/>
  <c r="AW751" i="3"/>
  <c r="F751" i="3"/>
  <c r="AB751" i="3"/>
  <c r="AH751" i="3"/>
  <c r="AT751" i="3"/>
  <c r="K751" i="3"/>
  <c r="E751" i="3"/>
  <c r="S751" i="3"/>
  <c r="W751" i="3"/>
  <c r="AM751" i="3"/>
  <c r="AQ751" i="3"/>
  <c r="E752" i="3" l="1"/>
  <c r="Q752" i="3"/>
  <c r="U752" i="3"/>
  <c r="Y752" i="3"/>
  <c r="AO752" i="3"/>
  <c r="AW752" i="3"/>
  <c r="F752" i="3"/>
  <c r="AF752" i="3"/>
  <c r="AJ752" i="3"/>
  <c r="AT752" i="3"/>
  <c r="AX752" i="3"/>
  <c r="K752" i="3"/>
  <c r="S752" i="3"/>
  <c r="W752" i="3"/>
  <c r="AM752" i="3"/>
  <c r="AQ752" i="3"/>
  <c r="A753" i="3"/>
  <c r="AB752" i="3"/>
  <c r="AH752" i="3"/>
  <c r="D752" i="3"/>
  <c r="L752" i="3"/>
  <c r="O751" i="3"/>
  <c r="P751" i="3" s="1"/>
  <c r="M751" i="3"/>
  <c r="N751" i="3" s="1"/>
  <c r="AV751" i="3"/>
  <c r="AU751" i="3"/>
  <c r="M752" i="3" l="1"/>
  <c r="N752" i="3" s="1"/>
  <c r="AU752" i="3"/>
  <c r="O752" i="3"/>
  <c r="P752" i="3" s="1"/>
  <c r="AV752" i="3"/>
  <c r="D753" i="3"/>
  <c r="L753" i="3"/>
  <c r="AF753" i="3"/>
  <c r="AJ753" i="3"/>
  <c r="AX753" i="3"/>
  <c r="A754" i="3"/>
  <c r="Q753" i="3"/>
  <c r="U753" i="3"/>
  <c r="Y753" i="3"/>
  <c r="AO753" i="3"/>
  <c r="AW753" i="3"/>
  <c r="F753" i="3"/>
  <c r="AB753" i="3"/>
  <c r="AH753" i="3"/>
  <c r="AT753" i="3"/>
  <c r="K753" i="3"/>
  <c r="E753" i="3"/>
  <c r="S753" i="3"/>
  <c r="W753" i="3"/>
  <c r="AM753" i="3"/>
  <c r="AQ753" i="3"/>
  <c r="E754" i="3" l="1"/>
  <c r="Q754" i="3"/>
  <c r="U754" i="3"/>
  <c r="Y754" i="3"/>
  <c r="AO754" i="3"/>
  <c r="AW754" i="3"/>
  <c r="F754" i="3"/>
  <c r="AF754" i="3"/>
  <c r="AJ754" i="3"/>
  <c r="AT754" i="3"/>
  <c r="AX754" i="3"/>
  <c r="K754" i="3"/>
  <c r="S754" i="3"/>
  <c r="W754" i="3"/>
  <c r="AM754" i="3"/>
  <c r="AQ754" i="3"/>
  <c r="A755" i="3"/>
  <c r="AB754" i="3"/>
  <c r="AH754" i="3"/>
  <c r="D754" i="3"/>
  <c r="L754" i="3"/>
  <c r="O753" i="3"/>
  <c r="P753" i="3" s="1"/>
  <c r="M753" i="3"/>
  <c r="N753" i="3" s="1"/>
  <c r="AV753" i="3"/>
  <c r="AU753" i="3"/>
  <c r="M754" i="3" l="1"/>
  <c r="N754" i="3" s="1"/>
  <c r="AU754" i="3"/>
  <c r="O754" i="3"/>
  <c r="P754" i="3" s="1"/>
  <c r="AV754" i="3"/>
  <c r="D755" i="3"/>
  <c r="L755" i="3"/>
  <c r="AF755" i="3"/>
  <c r="AJ755" i="3"/>
  <c r="AX755" i="3"/>
  <c r="A756" i="3"/>
  <c r="Q755" i="3"/>
  <c r="U755" i="3"/>
  <c r="Y755" i="3"/>
  <c r="AO755" i="3"/>
  <c r="AW755" i="3"/>
  <c r="F755" i="3"/>
  <c r="AB755" i="3"/>
  <c r="AH755" i="3"/>
  <c r="AT755" i="3"/>
  <c r="K755" i="3"/>
  <c r="E755" i="3"/>
  <c r="S755" i="3"/>
  <c r="W755" i="3"/>
  <c r="AM755" i="3"/>
  <c r="AQ755" i="3"/>
  <c r="E756" i="3" l="1"/>
  <c r="Q756" i="3"/>
  <c r="U756" i="3"/>
  <c r="Y756" i="3"/>
  <c r="AO756" i="3"/>
  <c r="AW756" i="3"/>
  <c r="F756" i="3"/>
  <c r="AF756" i="3"/>
  <c r="AJ756" i="3"/>
  <c r="AT756" i="3"/>
  <c r="AX756" i="3"/>
  <c r="K756" i="3"/>
  <c r="S756" i="3"/>
  <c r="W756" i="3"/>
  <c r="AM756" i="3"/>
  <c r="AQ756" i="3"/>
  <c r="A757" i="3"/>
  <c r="AB756" i="3"/>
  <c r="AH756" i="3"/>
  <c r="D756" i="3"/>
  <c r="L756" i="3"/>
  <c r="O755" i="3"/>
  <c r="P755" i="3" s="1"/>
  <c r="M755" i="3"/>
  <c r="N755" i="3" s="1"/>
  <c r="AV755" i="3"/>
  <c r="AU755" i="3"/>
  <c r="M756" i="3" l="1"/>
  <c r="N756" i="3" s="1"/>
  <c r="AU756" i="3"/>
  <c r="O756" i="3"/>
  <c r="P756" i="3" s="1"/>
  <c r="AV756" i="3"/>
  <c r="D757" i="3"/>
  <c r="L757" i="3"/>
  <c r="AF757" i="3"/>
  <c r="AJ757" i="3"/>
  <c r="AX757" i="3"/>
  <c r="A758" i="3"/>
  <c r="Q757" i="3"/>
  <c r="U757" i="3"/>
  <c r="Y757" i="3"/>
  <c r="AO757" i="3"/>
  <c r="AW757" i="3"/>
  <c r="F757" i="3"/>
  <c r="AB757" i="3"/>
  <c r="AH757" i="3"/>
  <c r="AT757" i="3"/>
  <c r="K757" i="3"/>
  <c r="E757" i="3"/>
  <c r="S757" i="3"/>
  <c r="W757" i="3"/>
  <c r="AM757" i="3"/>
  <c r="AQ757" i="3"/>
  <c r="E758" i="3" l="1"/>
  <c r="Q758" i="3"/>
  <c r="U758" i="3"/>
  <c r="Y758" i="3"/>
  <c r="AO758" i="3"/>
  <c r="AW758" i="3"/>
  <c r="F758" i="3"/>
  <c r="AF758" i="3"/>
  <c r="AJ758" i="3"/>
  <c r="AT758" i="3"/>
  <c r="AX758" i="3"/>
  <c r="K758" i="3"/>
  <c r="S758" i="3"/>
  <c r="W758" i="3"/>
  <c r="AM758" i="3"/>
  <c r="AQ758" i="3"/>
  <c r="A759" i="3"/>
  <c r="AB758" i="3"/>
  <c r="AH758" i="3"/>
  <c r="D758" i="3"/>
  <c r="L758" i="3"/>
  <c r="O757" i="3"/>
  <c r="P757" i="3" s="1"/>
  <c r="M757" i="3"/>
  <c r="N757" i="3" s="1"/>
  <c r="AV757" i="3"/>
  <c r="AU757" i="3"/>
  <c r="M758" i="3" l="1"/>
  <c r="N758" i="3" s="1"/>
  <c r="AU758" i="3"/>
  <c r="O758" i="3"/>
  <c r="P758" i="3" s="1"/>
  <c r="AV758" i="3"/>
  <c r="D759" i="3"/>
  <c r="L759" i="3"/>
  <c r="AF759" i="3"/>
  <c r="AJ759" i="3"/>
  <c r="AX759" i="3"/>
  <c r="A760" i="3"/>
  <c r="Q759" i="3"/>
  <c r="U759" i="3"/>
  <c r="Y759" i="3"/>
  <c r="AO759" i="3"/>
  <c r="AW759" i="3"/>
  <c r="F759" i="3"/>
  <c r="AB759" i="3"/>
  <c r="AH759" i="3"/>
  <c r="AT759" i="3"/>
  <c r="K759" i="3"/>
  <c r="E759" i="3"/>
  <c r="S759" i="3"/>
  <c r="W759" i="3"/>
  <c r="AM759" i="3"/>
  <c r="AQ759" i="3"/>
  <c r="E760" i="3" l="1"/>
  <c r="Q760" i="3"/>
  <c r="U760" i="3"/>
  <c r="Y760" i="3"/>
  <c r="AO760" i="3"/>
  <c r="AW760" i="3"/>
  <c r="F760" i="3"/>
  <c r="AF760" i="3"/>
  <c r="AJ760" i="3"/>
  <c r="AT760" i="3"/>
  <c r="AX760" i="3"/>
  <c r="K760" i="3"/>
  <c r="S760" i="3"/>
  <c r="W760" i="3"/>
  <c r="AM760" i="3"/>
  <c r="AQ760" i="3"/>
  <c r="A761" i="3"/>
  <c r="AB760" i="3"/>
  <c r="AH760" i="3"/>
  <c r="D760" i="3"/>
  <c r="L760" i="3"/>
  <c r="O759" i="3"/>
  <c r="P759" i="3" s="1"/>
  <c r="M759" i="3"/>
  <c r="N759" i="3" s="1"/>
  <c r="AV759" i="3"/>
  <c r="AU759" i="3"/>
  <c r="M760" i="3" l="1"/>
  <c r="N760" i="3" s="1"/>
  <c r="AU760" i="3"/>
  <c r="O760" i="3"/>
  <c r="P760" i="3" s="1"/>
  <c r="AV760" i="3"/>
  <c r="D761" i="3"/>
  <c r="L761" i="3"/>
  <c r="AF761" i="3"/>
  <c r="AJ761" i="3"/>
  <c r="AX761" i="3"/>
  <c r="A762" i="3"/>
  <c r="Q761" i="3"/>
  <c r="U761" i="3"/>
  <c r="Y761" i="3"/>
  <c r="AO761" i="3"/>
  <c r="AW761" i="3"/>
  <c r="F761" i="3"/>
  <c r="AB761" i="3"/>
  <c r="AH761" i="3"/>
  <c r="AT761" i="3"/>
  <c r="K761" i="3"/>
  <c r="E761" i="3"/>
  <c r="S761" i="3"/>
  <c r="W761" i="3"/>
  <c r="AM761" i="3"/>
  <c r="AQ761" i="3"/>
  <c r="E762" i="3" l="1"/>
  <c r="Q762" i="3"/>
  <c r="U762" i="3"/>
  <c r="Y762" i="3"/>
  <c r="AO762" i="3"/>
  <c r="AW762" i="3"/>
  <c r="F762" i="3"/>
  <c r="AF762" i="3"/>
  <c r="AJ762" i="3"/>
  <c r="AT762" i="3"/>
  <c r="AX762" i="3"/>
  <c r="K762" i="3"/>
  <c r="S762" i="3"/>
  <c r="W762" i="3"/>
  <c r="AM762" i="3"/>
  <c r="AQ762" i="3"/>
  <c r="A763" i="3"/>
  <c r="AB762" i="3"/>
  <c r="AH762" i="3"/>
  <c r="D762" i="3"/>
  <c r="L762" i="3"/>
  <c r="O761" i="3"/>
  <c r="P761" i="3" s="1"/>
  <c r="M761" i="3"/>
  <c r="N761" i="3" s="1"/>
  <c r="AV761" i="3"/>
  <c r="AU761" i="3"/>
  <c r="M762" i="3" l="1"/>
  <c r="N762" i="3" s="1"/>
  <c r="AU762" i="3"/>
  <c r="O762" i="3"/>
  <c r="P762" i="3" s="1"/>
  <c r="AV762" i="3"/>
  <c r="D763" i="3"/>
  <c r="L763" i="3"/>
  <c r="AF763" i="3"/>
  <c r="AJ763" i="3"/>
  <c r="AX763" i="3"/>
  <c r="A764" i="3"/>
  <c r="Q763" i="3"/>
  <c r="U763" i="3"/>
  <c r="Y763" i="3"/>
  <c r="AO763" i="3"/>
  <c r="AW763" i="3"/>
  <c r="F763" i="3"/>
  <c r="AB763" i="3"/>
  <c r="AH763" i="3"/>
  <c r="AT763" i="3"/>
  <c r="K763" i="3"/>
  <c r="E763" i="3"/>
  <c r="S763" i="3"/>
  <c r="W763" i="3"/>
  <c r="AM763" i="3"/>
  <c r="AQ763" i="3"/>
  <c r="E764" i="3" l="1"/>
  <c r="Q764" i="3"/>
  <c r="U764" i="3"/>
  <c r="Y764" i="3"/>
  <c r="AO764" i="3"/>
  <c r="AW764" i="3"/>
  <c r="F764" i="3"/>
  <c r="AF764" i="3"/>
  <c r="AJ764" i="3"/>
  <c r="AT764" i="3"/>
  <c r="AX764" i="3"/>
  <c r="K764" i="3"/>
  <c r="S764" i="3"/>
  <c r="W764" i="3"/>
  <c r="AM764" i="3"/>
  <c r="AQ764" i="3"/>
  <c r="A765" i="3"/>
  <c r="AB764" i="3"/>
  <c r="AH764" i="3"/>
  <c r="D764" i="3"/>
  <c r="L764" i="3"/>
  <c r="O763" i="3"/>
  <c r="P763" i="3" s="1"/>
  <c r="M763" i="3"/>
  <c r="N763" i="3" s="1"/>
  <c r="AV763" i="3"/>
  <c r="AU763" i="3"/>
  <c r="M764" i="3" l="1"/>
  <c r="N764" i="3" s="1"/>
  <c r="AU764" i="3"/>
  <c r="O764" i="3"/>
  <c r="P764" i="3" s="1"/>
  <c r="AV764" i="3"/>
  <c r="D765" i="3"/>
  <c r="L765" i="3"/>
  <c r="AF765" i="3"/>
  <c r="AJ765" i="3"/>
  <c r="AX765" i="3"/>
  <c r="A766" i="3"/>
  <c r="Q765" i="3"/>
  <c r="U765" i="3"/>
  <c r="Y765" i="3"/>
  <c r="AO765" i="3"/>
  <c r="AW765" i="3"/>
  <c r="F765" i="3"/>
  <c r="AB765" i="3"/>
  <c r="AH765" i="3"/>
  <c r="AT765" i="3"/>
  <c r="K765" i="3"/>
  <c r="E765" i="3"/>
  <c r="S765" i="3"/>
  <c r="W765" i="3"/>
  <c r="AM765" i="3"/>
  <c r="AQ765" i="3"/>
  <c r="E766" i="3" l="1"/>
  <c r="Q766" i="3"/>
  <c r="U766" i="3"/>
  <c r="Y766" i="3"/>
  <c r="AO766" i="3"/>
  <c r="AW766" i="3"/>
  <c r="F766" i="3"/>
  <c r="AF766" i="3"/>
  <c r="AJ766" i="3"/>
  <c r="AT766" i="3"/>
  <c r="AX766" i="3"/>
  <c r="K766" i="3"/>
  <c r="S766" i="3"/>
  <c r="W766" i="3"/>
  <c r="AM766" i="3"/>
  <c r="AQ766" i="3"/>
  <c r="A767" i="3"/>
  <c r="AB766" i="3"/>
  <c r="AH766" i="3"/>
  <c r="D766" i="3"/>
  <c r="L766" i="3"/>
  <c r="O765" i="3"/>
  <c r="P765" i="3" s="1"/>
  <c r="M765" i="3"/>
  <c r="N765" i="3" s="1"/>
  <c r="AV765" i="3"/>
  <c r="AU765" i="3"/>
  <c r="M766" i="3" l="1"/>
  <c r="N766" i="3" s="1"/>
  <c r="AU766" i="3"/>
  <c r="O766" i="3"/>
  <c r="P766" i="3" s="1"/>
  <c r="AV766" i="3"/>
  <c r="D767" i="3"/>
  <c r="L767" i="3"/>
  <c r="AF767" i="3"/>
  <c r="AJ767" i="3"/>
  <c r="AX767" i="3"/>
  <c r="A768" i="3"/>
  <c r="Q767" i="3"/>
  <c r="U767" i="3"/>
  <c r="Y767" i="3"/>
  <c r="AO767" i="3"/>
  <c r="AW767" i="3"/>
  <c r="F767" i="3"/>
  <c r="AB767" i="3"/>
  <c r="AH767" i="3"/>
  <c r="AT767" i="3"/>
  <c r="K767" i="3"/>
  <c r="E767" i="3"/>
  <c r="S767" i="3"/>
  <c r="W767" i="3"/>
  <c r="AM767" i="3"/>
  <c r="AQ767" i="3"/>
  <c r="E768" i="3" l="1"/>
  <c r="Q768" i="3"/>
  <c r="U768" i="3"/>
  <c r="Y768" i="3"/>
  <c r="AO768" i="3"/>
  <c r="AW768" i="3"/>
  <c r="F768" i="3"/>
  <c r="AF768" i="3"/>
  <c r="AJ768" i="3"/>
  <c r="AT768" i="3"/>
  <c r="AX768" i="3"/>
  <c r="K768" i="3"/>
  <c r="S768" i="3"/>
  <c r="W768" i="3"/>
  <c r="AM768" i="3"/>
  <c r="AQ768" i="3"/>
  <c r="A769" i="3"/>
  <c r="AB768" i="3"/>
  <c r="AH768" i="3"/>
  <c r="D768" i="3"/>
  <c r="L768" i="3"/>
  <c r="O767" i="3"/>
  <c r="P767" i="3" s="1"/>
  <c r="M767" i="3"/>
  <c r="N767" i="3" s="1"/>
  <c r="AV767" i="3"/>
  <c r="AU767" i="3"/>
  <c r="M768" i="3" l="1"/>
  <c r="N768" i="3" s="1"/>
  <c r="AU768" i="3"/>
  <c r="O768" i="3"/>
  <c r="P768" i="3" s="1"/>
  <c r="AV768" i="3"/>
  <c r="A770" i="3"/>
  <c r="D769" i="3"/>
  <c r="L769" i="3"/>
  <c r="AF769" i="3"/>
  <c r="AJ769" i="3"/>
  <c r="AX769" i="3"/>
  <c r="E769" i="3"/>
  <c r="S769" i="3"/>
  <c r="W769" i="3"/>
  <c r="AM769" i="3"/>
  <c r="AQ769" i="3"/>
  <c r="F769" i="3"/>
  <c r="AB769" i="3"/>
  <c r="AH769" i="3"/>
  <c r="AT769" i="3"/>
  <c r="K769" i="3"/>
  <c r="Q769" i="3"/>
  <c r="U769" i="3"/>
  <c r="Y769" i="3"/>
  <c r="AO769" i="3"/>
  <c r="AW769" i="3"/>
  <c r="AV769" i="3" l="1"/>
  <c r="AU769" i="3"/>
  <c r="O769" i="3"/>
  <c r="P769" i="3" s="1"/>
  <c r="M769" i="3"/>
  <c r="N769" i="3" s="1"/>
  <c r="A771" i="3"/>
  <c r="E770" i="3"/>
  <c r="Q770" i="3"/>
  <c r="U770" i="3"/>
  <c r="Y770" i="3"/>
  <c r="AO770" i="3"/>
  <c r="AW770" i="3"/>
  <c r="AB770" i="3"/>
  <c r="AH770" i="3"/>
  <c r="D770" i="3"/>
  <c r="L770" i="3"/>
  <c r="K770" i="3"/>
  <c r="S770" i="3"/>
  <c r="W770" i="3"/>
  <c r="AM770" i="3"/>
  <c r="AQ770" i="3"/>
  <c r="F770" i="3"/>
  <c r="AF770" i="3"/>
  <c r="AJ770" i="3"/>
  <c r="AT770" i="3"/>
  <c r="AX770" i="3"/>
  <c r="M770" i="3" l="1"/>
  <c r="N770" i="3" s="1"/>
  <c r="AU770" i="3"/>
  <c r="O770" i="3"/>
  <c r="P770" i="3" s="1"/>
  <c r="AV770" i="3"/>
  <c r="A772" i="3"/>
  <c r="D771" i="3"/>
  <c r="L771" i="3"/>
  <c r="AF771" i="3"/>
  <c r="AJ771" i="3"/>
  <c r="AX771" i="3"/>
  <c r="E771" i="3"/>
  <c r="S771" i="3"/>
  <c r="W771" i="3"/>
  <c r="AM771" i="3"/>
  <c r="AQ771" i="3"/>
  <c r="F771" i="3"/>
  <c r="AB771" i="3"/>
  <c r="AH771" i="3"/>
  <c r="AT771" i="3"/>
  <c r="K771" i="3"/>
  <c r="Q771" i="3"/>
  <c r="U771" i="3"/>
  <c r="Y771" i="3"/>
  <c r="AO771" i="3"/>
  <c r="AW771" i="3"/>
  <c r="AV771" i="3" l="1"/>
  <c r="AU771" i="3"/>
  <c r="O771" i="3"/>
  <c r="P771" i="3" s="1"/>
  <c r="M771" i="3"/>
  <c r="N771" i="3" s="1"/>
  <c r="A773" i="3"/>
  <c r="E772" i="3"/>
  <c r="Q772" i="3"/>
  <c r="U772" i="3"/>
  <c r="Y772" i="3"/>
  <c r="AO772" i="3"/>
  <c r="AW772" i="3"/>
  <c r="AB772" i="3"/>
  <c r="AH772" i="3"/>
  <c r="D772" i="3"/>
  <c r="L772" i="3"/>
  <c r="K772" i="3"/>
  <c r="S772" i="3"/>
  <c r="W772" i="3"/>
  <c r="AM772" i="3"/>
  <c r="AQ772" i="3"/>
  <c r="F772" i="3"/>
  <c r="AF772" i="3"/>
  <c r="AJ772" i="3"/>
  <c r="AT772" i="3"/>
  <c r="AX772" i="3"/>
  <c r="M772" i="3" l="1"/>
  <c r="N772" i="3" s="1"/>
  <c r="AU772" i="3"/>
  <c r="O772" i="3"/>
  <c r="P772" i="3" s="1"/>
  <c r="AV772" i="3"/>
  <c r="A774" i="3"/>
  <c r="D773" i="3"/>
  <c r="AB773" i="3"/>
  <c r="AH773" i="3"/>
  <c r="AT773" i="3"/>
  <c r="Q773" i="3"/>
  <c r="U773" i="3"/>
  <c r="Y773" i="3"/>
  <c r="AO773" i="3"/>
  <c r="F773" i="3"/>
  <c r="AF773" i="3"/>
  <c r="AJ773" i="3"/>
  <c r="E773" i="3"/>
  <c r="S773" i="3"/>
  <c r="W773" i="3"/>
  <c r="AM773" i="3"/>
  <c r="AQ773" i="3"/>
  <c r="AX773" i="3"/>
  <c r="K773" i="3" l="1"/>
  <c r="L773" i="3" s="1"/>
  <c r="AV773" i="3"/>
  <c r="AU773" i="3"/>
  <c r="AW773" i="3" s="1"/>
  <c r="O773" i="3"/>
  <c r="P773" i="3" s="1"/>
  <c r="M773" i="3"/>
  <c r="N773" i="3" s="1"/>
  <c r="A775" i="3"/>
  <c r="S774" i="3"/>
  <c r="W774" i="3"/>
  <c r="AM774" i="3"/>
  <c r="AQ774" i="3"/>
  <c r="AB774" i="3"/>
  <c r="AH774" i="3"/>
  <c r="D774" i="3"/>
  <c r="E774" i="3"/>
  <c r="U774" i="3"/>
  <c r="Y774" i="3"/>
  <c r="AO774" i="3"/>
  <c r="F774" i="3"/>
  <c r="AF774" i="3"/>
  <c r="AJ774" i="3"/>
  <c r="AT774" i="3"/>
  <c r="Q774" i="3"/>
  <c r="L774" i="3" s="1"/>
  <c r="AX774" i="3" s="1"/>
  <c r="A776" i="3" l="1"/>
  <c r="F775" i="3"/>
  <c r="AF775" i="3"/>
  <c r="AJ775" i="3"/>
  <c r="AT775" i="3"/>
  <c r="S775" i="3"/>
  <c r="W775" i="3"/>
  <c r="AM775" i="3"/>
  <c r="AQ775" i="3"/>
  <c r="D775" i="3"/>
  <c r="AB775" i="3"/>
  <c r="AH775" i="3"/>
  <c r="K775" i="3"/>
  <c r="E775" i="3"/>
  <c r="U775" i="3"/>
  <c r="Y775" i="3"/>
  <c r="AO775" i="3"/>
  <c r="L775" i="3"/>
  <c r="K774" i="3"/>
  <c r="O774" i="3"/>
  <c r="P774" i="3" s="1"/>
  <c r="AV774" i="3"/>
  <c r="M774" i="3"/>
  <c r="N774" i="3" s="1"/>
  <c r="AU774" i="3"/>
  <c r="AW774" i="3" s="1"/>
  <c r="Q775" i="3" l="1"/>
  <c r="O775" i="3"/>
  <c r="P775" i="3" s="1"/>
  <c r="M775" i="3"/>
  <c r="N775" i="3" s="1"/>
  <c r="AV775" i="3"/>
  <c r="AX775" i="3" s="1"/>
  <c r="AU775" i="3"/>
  <c r="AW775" i="3" s="1"/>
  <c r="A777" i="3"/>
  <c r="F776" i="3"/>
  <c r="E776" i="3"/>
  <c r="U776" i="3"/>
  <c r="Y776" i="3"/>
  <c r="AO776" i="3"/>
  <c r="D776" i="3"/>
  <c r="AB776" i="3"/>
  <c r="AH776" i="3"/>
  <c r="S776" i="3"/>
  <c r="W776" i="3"/>
  <c r="AM776" i="3"/>
  <c r="AQ776" i="3"/>
  <c r="AT776" i="3"/>
  <c r="AF776" i="3"/>
  <c r="AJ776" i="3"/>
  <c r="Q776" i="3"/>
  <c r="L776" i="3" s="1"/>
  <c r="AX776" i="3"/>
  <c r="K776" i="3" l="1"/>
  <c r="O776" i="3"/>
  <c r="P776" i="3" s="1"/>
  <c r="AV776" i="3"/>
  <c r="M776" i="3"/>
  <c r="N776" i="3" s="1"/>
  <c r="AU776" i="3"/>
  <c r="AW776" i="3" s="1"/>
  <c r="A778" i="3"/>
  <c r="F777" i="3"/>
  <c r="E777" i="3"/>
  <c r="L777" i="3"/>
  <c r="AF777" i="3"/>
  <c r="AJ777" i="3"/>
  <c r="AX777" i="3"/>
  <c r="S777" i="3"/>
  <c r="W777" i="3"/>
  <c r="AM777" i="3"/>
  <c r="AQ777" i="3"/>
  <c r="K777" i="3"/>
  <c r="D777" i="3"/>
  <c r="AB777" i="3"/>
  <c r="AH777" i="3"/>
  <c r="AT777" i="3"/>
  <c r="Q777" i="3"/>
  <c r="U777" i="3"/>
  <c r="Y777" i="3"/>
  <c r="AO777" i="3"/>
  <c r="AW777" i="3"/>
  <c r="M777" i="3" l="1"/>
  <c r="N777" i="3" s="1"/>
  <c r="AU777" i="3"/>
  <c r="AV777" i="3"/>
  <c r="O777" i="3"/>
  <c r="P777" i="3" s="1"/>
  <c r="A779" i="3"/>
  <c r="F778" i="3"/>
  <c r="E778" i="3"/>
  <c r="Q778" i="3"/>
  <c r="U778" i="3"/>
  <c r="Y778" i="3"/>
  <c r="AO778" i="3"/>
  <c r="AW778" i="3"/>
  <c r="L778" i="3"/>
  <c r="AX778" i="3"/>
  <c r="AF778" i="3"/>
  <c r="AJ778" i="3"/>
  <c r="K778" i="3"/>
  <c r="S778" i="3"/>
  <c r="W778" i="3"/>
  <c r="AM778" i="3"/>
  <c r="AQ778" i="3"/>
  <c r="D778" i="3"/>
  <c r="AT778" i="3"/>
  <c r="AB778" i="3"/>
  <c r="AH778" i="3"/>
  <c r="M778" i="3" l="1"/>
  <c r="N778" i="3" s="1"/>
  <c r="AU778" i="3"/>
  <c r="O778" i="3"/>
  <c r="P778" i="3" s="1"/>
  <c r="AV778" i="3"/>
  <c r="A780" i="3"/>
  <c r="F779" i="3"/>
  <c r="E779" i="3"/>
  <c r="D779" i="3"/>
  <c r="AF779" i="3"/>
  <c r="AJ779" i="3"/>
  <c r="Q779" i="3"/>
  <c r="U779" i="3"/>
  <c r="Y779" i="3"/>
  <c r="AO779" i="3"/>
  <c r="K779" i="3"/>
  <c r="L779" i="3" s="1"/>
  <c r="AB779" i="3"/>
  <c r="AH779" i="3"/>
  <c r="AT779" i="3"/>
  <c r="S779" i="3"/>
  <c r="W779" i="3"/>
  <c r="AM779" i="3"/>
  <c r="AQ779" i="3"/>
  <c r="M779" i="3" l="1"/>
  <c r="N779" i="3" s="1"/>
  <c r="AU779" i="3"/>
  <c r="AW779" i="3" s="1"/>
  <c r="AV779" i="3"/>
  <c r="AX779" i="3" s="1"/>
  <c r="O779" i="3"/>
  <c r="P779" i="3" s="1"/>
  <c r="D780" i="3"/>
  <c r="F780" i="3"/>
  <c r="E780" i="3"/>
  <c r="A781" i="3"/>
  <c r="S780" i="3"/>
  <c r="W780" i="3"/>
  <c r="AM780" i="3"/>
  <c r="AQ780" i="3"/>
  <c r="AT780" i="3"/>
  <c r="AF780" i="3"/>
  <c r="AJ780" i="3"/>
  <c r="U780" i="3"/>
  <c r="Y780" i="3"/>
  <c r="AO780" i="3"/>
  <c r="Q780" i="3"/>
  <c r="AB780" i="3"/>
  <c r="AH780" i="3"/>
  <c r="K780" i="3"/>
  <c r="L780" i="3" s="1"/>
  <c r="AX780" i="3"/>
  <c r="A782" i="3" l="1"/>
  <c r="D781" i="3"/>
  <c r="F781" i="3"/>
  <c r="E781" i="3"/>
  <c r="AF781" i="3"/>
  <c r="AJ781" i="3"/>
  <c r="Q781" i="3"/>
  <c r="U781" i="3"/>
  <c r="Y781" i="3"/>
  <c r="AO781" i="3"/>
  <c r="K781" i="3"/>
  <c r="L781" i="3" s="1"/>
  <c r="AB781" i="3"/>
  <c r="AH781" i="3"/>
  <c r="AT781" i="3"/>
  <c r="S781" i="3"/>
  <c r="W781" i="3"/>
  <c r="AM781" i="3"/>
  <c r="AQ781" i="3"/>
  <c r="O780" i="3"/>
  <c r="P780" i="3" s="1"/>
  <c r="AV780" i="3"/>
  <c r="M780" i="3"/>
  <c r="N780" i="3" s="1"/>
  <c r="AU780" i="3"/>
  <c r="AW780" i="3" s="1"/>
  <c r="AV781" i="3" l="1"/>
  <c r="AX781" i="3" s="1"/>
  <c r="O781" i="3"/>
  <c r="P781" i="3" s="1"/>
  <c r="M781" i="3"/>
  <c r="N781" i="3" s="1"/>
  <c r="AU781" i="3"/>
  <c r="AW781" i="3" s="1"/>
  <c r="A783" i="3"/>
  <c r="D782" i="3"/>
  <c r="F782" i="3"/>
  <c r="E782" i="3"/>
  <c r="U782" i="3"/>
  <c r="Y782" i="3"/>
  <c r="AO782" i="3"/>
  <c r="K782" i="3"/>
  <c r="AB782" i="3"/>
  <c r="AH782" i="3"/>
  <c r="S782" i="3"/>
  <c r="W782" i="3"/>
  <c r="AM782" i="3"/>
  <c r="AQ782" i="3"/>
  <c r="AT782" i="3"/>
  <c r="AF782" i="3"/>
  <c r="AJ782" i="3"/>
  <c r="Q782" i="3"/>
  <c r="L782" i="3" s="1"/>
  <c r="AX782" i="3"/>
  <c r="O782" i="3" l="1"/>
  <c r="P782" i="3" s="1"/>
  <c r="AV782" i="3"/>
  <c r="M782" i="3"/>
  <c r="N782" i="3" s="1"/>
  <c r="AU782" i="3"/>
  <c r="AW782" i="3" s="1"/>
  <c r="A784" i="3"/>
  <c r="D783" i="3"/>
  <c r="F783" i="3"/>
  <c r="E783" i="3"/>
  <c r="AF783" i="3"/>
  <c r="AJ783" i="3"/>
  <c r="Q783" i="3"/>
  <c r="U783" i="3"/>
  <c r="Y783" i="3"/>
  <c r="AO783" i="3"/>
  <c r="K783" i="3"/>
  <c r="L783" i="3" s="1"/>
  <c r="AB783" i="3"/>
  <c r="AH783" i="3"/>
  <c r="AT783" i="3"/>
  <c r="S783" i="3"/>
  <c r="W783" i="3"/>
  <c r="AM783" i="3"/>
  <c r="AQ783" i="3"/>
  <c r="M783" i="3" l="1"/>
  <c r="N783" i="3" s="1"/>
  <c r="AU783" i="3"/>
  <c r="AW783" i="3" s="1"/>
  <c r="AV783" i="3"/>
  <c r="AX783" i="3" s="1"/>
  <c r="O783" i="3"/>
  <c r="P783" i="3" s="1"/>
  <c r="A785" i="3"/>
  <c r="F784" i="3"/>
  <c r="E784" i="3"/>
  <c r="S784" i="3"/>
  <c r="W784" i="3"/>
  <c r="AM784" i="3"/>
  <c r="AQ784" i="3"/>
  <c r="AT784" i="3"/>
  <c r="AF784" i="3"/>
  <c r="AJ784" i="3"/>
  <c r="U784" i="3"/>
  <c r="Y784" i="3"/>
  <c r="AO784" i="3"/>
  <c r="D784" i="3"/>
  <c r="AB784" i="3"/>
  <c r="AH784" i="3"/>
  <c r="L784" i="3"/>
  <c r="AX784" i="3" s="1"/>
  <c r="Q784" i="3"/>
  <c r="K784" i="3" l="1"/>
  <c r="M784" i="3"/>
  <c r="N784" i="3" s="1"/>
  <c r="AU784" i="3"/>
  <c r="AW784" i="3" s="1"/>
  <c r="O784" i="3"/>
  <c r="P784" i="3" s="1"/>
  <c r="AV784" i="3"/>
  <c r="A786" i="3"/>
  <c r="F785" i="3"/>
  <c r="D785" i="3"/>
  <c r="AB785" i="3"/>
  <c r="AH785" i="3"/>
  <c r="AT785" i="3"/>
  <c r="E785" i="3"/>
  <c r="S785" i="3"/>
  <c r="W785" i="3"/>
  <c r="AM785" i="3"/>
  <c r="AQ785" i="3"/>
  <c r="K785" i="3"/>
  <c r="L785" i="3"/>
  <c r="AF785" i="3"/>
  <c r="AJ785" i="3"/>
  <c r="AX785" i="3"/>
  <c r="Q785" i="3"/>
  <c r="U785" i="3"/>
  <c r="Y785" i="3"/>
  <c r="AO785" i="3"/>
  <c r="AW785" i="3"/>
  <c r="M785" i="3" l="1"/>
  <c r="N785" i="3" s="1"/>
  <c r="AU785" i="3"/>
  <c r="AV785" i="3"/>
  <c r="O785" i="3"/>
  <c r="P785" i="3" s="1"/>
  <c r="A787" i="3"/>
  <c r="F786" i="3"/>
  <c r="E786" i="3"/>
  <c r="Q786" i="3"/>
  <c r="U786" i="3"/>
  <c r="Y786" i="3"/>
  <c r="AO786" i="3"/>
  <c r="AW786" i="3"/>
  <c r="L786" i="3"/>
  <c r="AX786" i="3"/>
  <c r="AF786" i="3"/>
  <c r="AJ786" i="3"/>
  <c r="K786" i="3"/>
  <c r="S786" i="3"/>
  <c r="W786" i="3"/>
  <c r="AM786" i="3"/>
  <c r="AQ786" i="3"/>
  <c r="D786" i="3"/>
  <c r="AT786" i="3"/>
  <c r="AB786" i="3"/>
  <c r="AH786" i="3"/>
  <c r="M786" i="3" l="1"/>
  <c r="N786" i="3" s="1"/>
  <c r="AU786" i="3"/>
  <c r="O786" i="3"/>
  <c r="P786" i="3" s="1"/>
  <c r="AV786" i="3"/>
  <c r="A788" i="3"/>
  <c r="F787" i="3"/>
  <c r="D787" i="3"/>
  <c r="AB787" i="3"/>
  <c r="AH787" i="3"/>
  <c r="AT787" i="3"/>
  <c r="E787" i="3"/>
  <c r="S787" i="3"/>
  <c r="W787" i="3"/>
  <c r="AM787" i="3"/>
  <c r="AQ787" i="3"/>
  <c r="K787" i="3"/>
  <c r="L787" i="3"/>
  <c r="AF787" i="3"/>
  <c r="AJ787" i="3"/>
  <c r="AX787" i="3"/>
  <c r="Q787" i="3"/>
  <c r="U787" i="3"/>
  <c r="Y787" i="3"/>
  <c r="AO787" i="3"/>
  <c r="AW787" i="3"/>
  <c r="AV787" i="3" l="1"/>
  <c r="O787" i="3"/>
  <c r="P787" i="3" s="1"/>
  <c r="M787" i="3"/>
  <c r="N787" i="3" s="1"/>
  <c r="AU787" i="3"/>
  <c r="A789" i="3"/>
  <c r="E788" i="3"/>
  <c r="Q788" i="3"/>
  <c r="U788" i="3"/>
  <c r="Y788" i="3"/>
  <c r="AO788" i="3"/>
  <c r="AW788" i="3"/>
  <c r="L788" i="3"/>
  <c r="AX788" i="3"/>
  <c r="AB788" i="3"/>
  <c r="AH788" i="3"/>
  <c r="K788" i="3"/>
  <c r="S788" i="3"/>
  <c r="W788" i="3"/>
  <c r="AM788" i="3"/>
  <c r="AQ788" i="3"/>
  <c r="D788" i="3"/>
  <c r="AT788" i="3"/>
  <c r="F788" i="3"/>
  <c r="AF788" i="3"/>
  <c r="AJ788" i="3"/>
  <c r="M788" i="3" l="1"/>
  <c r="N788" i="3" s="1"/>
  <c r="AU788" i="3"/>
  <c r="O788" i="3"/>
  <c r="P788" i="3" s="1"/>
  <c r="AV788" i="3"/>
  <c r="A790" i="3"/>
  <c r="F789" i="3"/>
  <c r="AB789" i="3"/>
  <c r="AH789" i="3"/>
  <c r="AT789" i="3"/>
  <c r="E789" i="3"/>
  <c r="S789" i="3"/>
  <c r="W789" i="3"/>
  <c r="AM789" i="3"/>
  <c r="AQ789" i="3"/>
  <c r="K789" i="3"/>
  <c r="L789" i="3"/>
  <c r="AF789" i="3"/>
  <c r="AJ789" i="3"/>
  <c r="AX789" i="3"/>
  <c r="Q789" i="3"/>
  <c r="U789" i="3"/>
  <c r="Y789" i="3"/>
  <c r="AO789" i="3"/>
  <c r="AW789" i="3"/>
  <c r="A791" i="3" l="1"/>
  <c r="E790" i="3"/>
  <c r="S790" i="3"/>
  <c r="W790" i="3"/>
  <c r="AM790" i="3"/>
  <c r="AQ790" i="3"/>
  <c r="AT790" i="3"/>
  <c r="AB790" i="3"/>
  <c r="AH790" i="3"/>
  <c r="K790" i="3"/>
  <c r="U790" i="3"/>
  <c r="Y790" i="3"/>
  <c r="AO790" i="3"/>
  <c r="Q790" i="3"/>
  <c r="L790" i="3" s="1"/>
  <c r="F790" i="3"/>
  <c r="AF790" i="3"/>
  <c r="AJ790" i="3"/>
  <c r="AX790" i="3"/>
  <c r="AW790" i="3"/>
  <c r="A792" i="3" l="1"/>
  <c r="D791" i="3"/>
  <c r="L791" i="3"/>
  <c r="AF791" i="3"/>
  <c r="AJ791" i="3"/>
  <c r="AX791" i="3"/>
  <c r="Q791" i="3"/>
  <c r="U791" i="3"/>
  <c r="Y791" i="3"/>
  <c r="AO791" i="3"/>
  <c r="AW791" i="3"/>
  <c r="F791" i="3"/>
  <c r="AB791" i="3"/>
  <c r="AH791" i="3"/>
  <c r="AT791" i="3"/>
  <c r="E791" i="3"/>
  <c r="S791" i="3"/>
  <c r="W791" i="3"/>
  <c r="AM791" i="3"/>
  <c r="AQ791" i="3"/>
  <c r="K791" i="3"/>
  <c r="AV791" i="3" l="1"/>
  <c r="O791" i="3"/>
  <c r="P791" i="3" s="1"/>
  <c r="M791" i="3"/>
  <c r="N791" i="3" s="1"/>
  <c r="AU791" i="3"/>
  <c r="A793" i="3"/>
  <c r="E792" i="3"/>
  <c r="Q792" i="3"/>
  <c r="U792" i="3"/>
  <c r="Y792" i="3"/>
  <c r="AO792" i="3"/>
  <c r="AW792" i="3"/>
  <c r="L792" i="3"/>
  <c r="AX792" i="3"/>
  <c r="AB792" i="3"/>
  <c r="AH792" i="3"/>
  <c r="K792" i="3"/>
  <c r="S792" i="3"/>
  <c r="W792" i="3"/>
  <c r="AM792" i="3"/>
  <c r="AQ792" i="3"/>
  <c r="D792" i="3"/>
  <c r="AT792" i="3"/>
  <c r="F792" i="3"/>
  <c r="AF792" i="3"/>
  <c r="AJ792" i="3"/>
  <c r="M792" i="3" l="1"/>
  <c r="N792" i="3" s="1"/>
  <c r="AU792" i="3"/>
  <c r="O792" i="3"/>
  <c r="P792" i="3" s="1"/>
  <c r="AV792" i="3"/>
  <c r="A794" i="3"/>
  <c r="D793" i="3"/>
  <c r="L793" i="3"/>
  <c r="AF793" i="3"/>
  <c r="AJ793" i="3"/>
  <c r="AX793" i="3"/>
  <c r="Q793" i="3"/>
  <c r="U793" i="3"/>
  <c r="Y793" i="3"/>
  <c r="AO793" i="3"/>
  <c r="AW793" i="3"/>
  <c r="F793" i="3"/>
  <c r="AB793" i="3"/>
  <c r="AH793" i="3"/>
  <c r="AT793" i="3"/>
  <c r="E793" i="3"/>
  <c r="S793" i="3"/>
  <c r="W793" i="3"/>
  <c r="AM793" i="3"/>
  <c r="AQ793" i="3"/>
  <c r="K793" i="3"/>
  <c r="AV793" i="3" l="1"/>
  <c r="O793" i="3"/>
  <c r="P793" i="3" s="1"/>
  <c r="M793" i="3"/>
  <c r="N793" i="3" s="1"/>
  <c r="AU793" i="3"/>
  <c r="A795" i="3"/>
  <c r="E794" i="3"/>
  <c r="Q794" i="3"/>
  <c r="U794" i="3"/>
  <c r="Y794" i="3"/>
  <c r="AO794" i="3"/>
  <c r="AW794" i="3"/>
  <c r="L794" i="3"/>
  <c r="AX794" i="3"/>
  <c r="AB794" i="3"/>
  <c r="AH794" i="3"/>
  <c r="K794" i="3"/>
  <c r="S794" i="3"/>
  <c r="W794" i="3"/>
  <c r="AM794" i="3"/>
  <c r="AQ794" i="3"/>
  <c r="D794" i="3"/>
  <c r="AT794" i="3"/>
  <c r="F794" i="3"/>
  <c r="AF794" i="3"/>
  <c r="AJ794" i="3"/>
  <c r="M794" i="3" l="1"/>
  <c r="N794" i="3" s="1"/>
  <c r="AU794" i="3"/>
  <c r="O794" i="3"/>
  <c r="P794" i="3" s="1"/>
  <c r="AV794" i="3"/>
  <c r="A796" i="3"/>
  <c r="D795" i="3"/>
  <c r="AB795" i="3"/>
  <c r="AH795" i="3"/>
  <c r="AT795" i="3"/>
  <c r="Q795" i="3"/>
  <c r="U795" i="3"/>
  <c r="Y795" i="3"/>
  <c r="AO795" i="3"/>
  <c r="K795" i="3"/>
  <c r="L795" i="3" s="1"/>
  <c r="F795" i="3"/>
  <c r="AF795" i="3"/>
  <c r="AJ795" i="3"/>
  <c r="E795" i="3"/>
  <c r="S795" i="3"/>
  <c r="W795" i="3"/>
  <c r="AM795" i="3"/>
  <c r="AQ795" i="3"/>
  <c r="M795" i="3" l="1"/>
  <c r="N795" i="3" s="1"/>
  <c r="AU795" i="3"/>
  <c r="AW795" i="3" s="1"/>
  <c r="AV795" i="3"/>
  <c r="AX795" i="3" s="1"/>
  <c r="O795" i="3"/>
  <c r="P795" i="3" s="1"/>
  <c r="A797" i="3"/>
  <c r="E796" i="3"/>
  <c r="U796" i="3"/>
  <c r="Y796" i="3"/>
  <c r="AO796" i="3"/>
  <c r="D796" i="3"/>
  <c r="F796" i="3"/>
  <c r="AF796" i="3"/>
  <c r="AJ796" i="3"/>
  <c r="S796" i="3"/>
  <c r="W796" i="3"/>
  <c r="AM796" i="3"/>
  <c r="AQ796" i="3"/>
  <c r="AT796" i="3"/>
  <c r="AB796" i="3"/>
  <c r="AH796" i="3"/>
  <c r="L796" i="3"/>
  <c r="K796" i="3"/>
  <c r="AX796" i="3"/>
  <c r="Q796" i="3" l="1"/>
  <c r="M796" i="3"/>
  <c r="N796" i="3" s="1"/>
  <c r="AU796" i="3"/>
  <c r="AW796" i="3" s="1"/>
  <c r="O796" i="3"/>
  <c r="P796" i="3" s="1"/>
  <c r="AV796" i="3"/>
  <c r="A798" i="3"/>
  <c r="D797" i="3"/>
  <c r="AB797" i="3"/>
  <c r="AH797" i="3"/>
  <c r="AT797" i="3"/>
  <c r="Q797" i="3"/>
  <c r="U797" i="3"/>
  <c r="Y797" i="3"/>
  <c r="AO797" i="3"/>
  <c r="F797" i="3"/>
  <c r="AF797" i="3"/>
  <c r="AJ797" i="3"/>
  <c r="E797" i="3"/>
  <c r="S797" i="3"/>
  <c r="W797" i="3"/>
  <c r="AM797" i="3"/>
  <c r="AQ797" i="3"/>
  <c r="L797" i="3"/>
  <c r="A799" i="3" l="1"/>
  <c r="E798" i="3"/>
  <c r="U798" i="3"/>
  <c r="Y798" i="3"/>
  <c r="AO798" i="3"/>
  <c r="D798" i="3"/>
  <c r="F798" i="3"/>
  <c r="AF798" i="3"/>
  <c r="AJ798" i="3"/>
  <c r="S798" i="3"/>
  <c r="W798" i="3"/>
  <c r="AM798" i="3"/>
  <c r="AQ798" i="3"/>
  <c r="AT798" i="3"/>
  <c r="AB798" i="3"/>
  <c r="AH798" i="3"/>
  <c r="K798" i="3"/>
  <c r="L798" i="3" s="1"/>
  <c r="AX798" i="3"/>
  <c r="K797" i="3"/>
  <c r="M797" i="3"/>
  <c r="N797" i="3" s="1"/>
  <c r="AU797" i="3"/>
  <c r="AW797" i="3" s="1"/>
  <c r="AV797" i="3"/>
  <c r="AX797" i="3" s="1"/>
  <c r="O797" i="3"/>
  <c r="P797" i="3" s="1"/>
  <c r="Q798" i="3" l="1"/>
  <c r="O798" i="3"/>
  <c r="P798" i="3" s="1"/>
  <c r="AV798" i="3"/>
  <c r="M798" i="3"/>
  <c r="N798" i="3" s="1"/>
  <c r="AU798" i="3"/>
  <c r="AW798" i="3" s="1"/>
  <c r="A800" i="3"/>
  <c r="F799" i="3"/>
  <c r="AB799" i="3"/>
  <c r="AH799" i="3"/>
  <c r="AT799" i="3"/>
  <c r="E799" i="3"/>
  <c r="S799" i="3"/>
  <c r="W799" i="3"/>
  <c r="AM799" i="3"/>
  <c r="AQ799" i="3"/>
  <c r="K799" i="3"/>
  <c r="D799" i="3"/>
  <c r="L799" i="3"/>
  <c r="AF799" i="3"/>
  <c r="AJ799" i="3"/>
  <c r="AX799" i="3"/>
  <c r="Q799" i="3"/>
  <c r="U799" i="3"/>
  <c r="Y799" i="3"/>
  <c r="AO799" i="3"/>
  <c r="AW799" i="3"/>
  <c r="A801" i="3" l="1"/>
  <c r="K800" i="3"/>
  <c r="S800" i="3"/>
  <c r="W800" i="3"/>
  <c r="AM800" i="3"/>
  <c r="AQ800" i="3"/>
  <c r="D800" i="3"/>
  <c r="AT800" i="3"/>
  <c r="F800" i="3"/>
  <c r="AF800" i="3"/>
  <c r="AJ800" i="3"/>
  <c r="E800" i="3"/>
  <c r="Q800" i="3"/>
  <c r="U800" i="3"/>
  <c r="Y800" i="3"/>
  <c r="AO800" i="3"/>
  <c r="AW800" i="3"/>
  <c r="L800" i="3"/>
  <c r="AX800" i="3"/>
  <c r="AB800" i="3"/>
  <c r="AH800" i="3"/>
  <c r="M799" i="3"/>
  <c r="N799" i="3" s="1"/>
  <c r="AU799" i="3"/>
  <c r="AV799" i="3"/>
  <c r="O799" i="3"/>
  <c r="P799" i="3" s="1"/>
  <c r="M800" i="3" l="1"/>
  <c r="N800" i="3" s="1"/>
  <c r="AU800" i="3"/>
  <c r="O800" i="3"/>
  <c r="P800" i="3" s="1"/>
  <c r="AV800" i="3"/>
  <c r="A802" i="3"/>
  <c r="D801" i="3"/>
  <c r="AB801" i="3"/>
  <c r="AH801" i="3"/>
  <c r="AT801" i="3"/>
  <c r="Q801" i="3"/>
  <c r="U801" i="3"/>
  <c r="Y801" i="3"/>
  <c r="AO801" i="3"/>
  <c r="K801" i="3"/>
  <c r="L801" i="3" s="1"/>
  <c r="F801" i="3"/>
  <c r="AF801" i="3"/>
  <c r="AJ801" i="3"/>
  <c r="E801" i="3"/>
  <c r="S801" i="3"/>
  <c r="W801" i="3"/>
  <c r="AM801" i="3"/>
  <c r="AQ801" i="3"/>
  <c r="M801" i="3" l="1"/>
  <c r="N801" i="3" s="1"/>
  <c r="AU801" i="3"/>
  <c r="AW801" i="3" s="1"/>
  <c r="AV801" i="3"/>
  <c r="AX801" i="3" s="1"/>
  <c r="O801" i="3"/>
  <c r="P801" i="3" s="1"/>
  <c r="A803" i="3"/>
  <c r="E802" i="3"/>
  <c r="U802" i="3"/>
  <c r="Y802" i="3"/>
  <c r="AO802" i="3"/>
  <c r="D802" i="3"/>
  <c r="F802" i="3"/>
  <c r="AF802" i="3"/>
  <c r="AJ802" i="3"/>
  <c r="S802" i="3"/>
  <c r="W802" i="3"/>
  <c r="AM802" i="3"/>
  <c r="AQ802" i="3"/>
  <c r="AT802" i="3"/>
  <c r="AB802" i="3"/>
  <c r="AH802" i="3"/>
  <c r="K802" i="3"/>
  <c r="L802" i="3" s="1"/>
  <c r="AX802" i="3"/>
  <c r="Q802" i="3" l="1"/>
  <c r="O802" i="3"/>
  <c r="P802" i="3" s="1"/>
  <c r="AV802" i="3"/>
  <c r="M802" i="3"/>
  <c r="N802" i="3" s="1"/>
  <c r="AU802" i="3"/>
  <c r="AW802" i="3" s="1"/>
  <c r="A804" i="3"/>
  <c r="F803" i="3"/>
  <c r="AF803" i="3"/>
  <c r="AJ803" i="3"/>
  <c r="E803" i="3"/>
  <c r="S803" i="3"/>
  <c r="W803" i="3"/>
  <c r="AM803" i="3"/>
  <c r="AQ803" i="3"/>
  <c r="D803" i="3"/>
  <c r="AB803" i="3"/>
  <c r="AH803" i="3"/>
  <c r="AT803" i="3"/>
  <c r="Q803" i="3"/>
  <c r="U803" i="3"/>
  <c r="Y803" i="3"/>
  <c r="AO803" i="3"/>
  <c r="K803" i="3"/>
  <c r="L803" i="3" s="1"/>
  <c r="A805" i="3" l="1"/>
  <c r="S804" i="3"/>
  <c r="W804" i="3"/>
  <c r="AM804" i="3"/>
  <c r="AQ804" i="3"/>
  <c r="AT804" i="3"/>
  <c r="AB804" i="3"/>
  <c r="AH804" i="3"/>
  <c r="E804" i="3"/>
  <c r="U804" i="3"/>
  <c r="Y804" i="3"/>
  <c r="AO804" i="3"/>
  <c r="D804" i="3"/>
  <c r="F804" i="3"/>
  <c r="AF804" i="3"/>
  <c r="AJ804" i="3"/>
  <c r="Q804" i="3"/>
  <c r="L804" i="3" s="1"/>
  <c r="AX804" i="3"/>
  <c r="AV803" i="3"/>
  <c r="AX803" i="3" s="1"/>
  <c r="O803" i="3"/>
  <c r="P803" i="3" s="1"/>
  <c r="M803" i="3"/>
  <c r="N803" i="3" s="1"/>
  <c r="AU803" i="3"/>
  <c r="AW803" i="3" s="1"/>
  <c r="K804" i="3" l="1"/>
  <c r="O804" i="3"/>
  <c r="P804" i="3" s="1"/>
  <c r="AV804" i="3"/>
  <c r="M804" i="3"/>
  <c r="N804" i="3" s="1"/>
  <c r="AU804" i="3"/>
  <c r="AW804" i="3" s="1"/>
  <c r="A806" i="3"/>
  <c r="F805" i="3"/>
  <c r="AF805" i="3"/>
  <c r="AJ805" i="3"/>
  <c r="E805" i="3"/>
  <c r="S805" i="3"/>
  <c r="W805" i="3"/>
  <c r="AM805" i="3"/>
  <c r="AQ805" i="3"/>
  <c r="D805" i="3"/>
  <c r="AB805" i="3"/>
  <c r="AH805" i="3"/>
  <c r="AT805" i="3"/>
  <c r="Q805" i="3"/>
  <c r="U805" i="3"/>
  <c r="Y805" i="3"/>
  <c r="AO805" i="3"/>
  <c r="K805" i="3"/>
  <c r="L805" i="3" s="1"/>
  <c r="A807" i="3" l="1"/>
  <c r="K806" i="3"/>
  <c r="S806" i="3"/>
  <c r="W806" i="3"/>
  <c r="AM806" i="3"/>
  <c r="AQ806" i="3"/>
  <c r="D806" i="3"/>
  <c r="AT806" i="3"/>
  <c r="F806" i="3"/>
  <c r="AF806" i="3"/>
  <c r="AJ806" i="3"/>
  <c r="E806" i="3"/>
  <c r="Q806" i="3"/>
  <c r="U806" i="3"/>
  <c r="Y806" i="3"/>
  <c r="AO806" i="3"/>
  <c r="AW806" i="3"/>
  <c r="L806" i="3"/>
  <c r="AX806" i="3"/>
  <c r="AB806" i="3"/>
  <c r="AH806" i="3"/>
  <c r="M805" i="3"/>
  <c r="N805" i="3" s="1"/>
  <c r="AU805" i="3"/>
  <c r="AW805" i="3" s="1"/>
  <c r="AV805" i="3"/>
  <c r="AX805" i="3" s="1"/>
  <c r="O805" i="3"/>
  <c r="P805" i="3" s="1"/>
  <c r="M806" i="3" l="1"/>
  <c r="N806" i="3" s="1"/>
  <c r="AU806" i="3"/>
  <c r="O806" i="3"/>
  <c r="P806" i="3" s="1"/>
  <c r="AV806" i="3"/>
  <c r="A808" i="3"/>
  <c r="D807" i="3"/>
  <c r="L807" i="3"/>
  <c r="AF807" i="3"/>
  <c r="AJ807" i="3"/>
  <c r="AX807" i="3"/>
  <c r="Q807" i="3"/>
  <c r="U807" i="3"/>
  <c r="Y807" i="3"/>
  <c r="AO807" i="3"/>
  <c r="AW807" i="3"/>
  <c r="F807" i="3"/>
  <c r="AB807" i="3"/>
  <c r="AH807" i="3"/>
  <c r="AT807" i="3"/>
  <c r="E807" i="3"/>
  <c r="S807" i="3"/>
  <c r="W807" i="3"/>
  <c r="AM807" i="3"/>
  <c r="AQ807" i="3"/>
  <c r="K807" i="3"/>
  <c r="A809" i="3" l="1"/>
  <c r="E808" i="3"/>
  <c r="Q808" i="3"/>
  <c r="U808" i="3"/>
  <c r="Y808" i="3"/>
  <c r="AO808" i="3"/>
  <c r="AW808" i="3"/>
  <c r="L808" i="3"/>
  <c r="AX808" i="3"/>
  <c r="AB808" i="3"/>
  <c r="AH808" i="3"/>
  <c r="K808" i="3"/>
  <c r="S808" i="3"/>
  <c r="W808" i="3"/>
  <c r="AM808" i="3"/>
  <c r="AQ808" i="3"/>
  <c r="D808" i="3"/>
  <c r="AT808" i="3"/>
  <c r="F808" i="3"/>
  <c r="AF808" i="3"/>
  <c r="AJ808" i="3"/>
  <c r="AV807" i="3"/>
  <c r="O807" i="3"/>
  <c r="P807" i="3" s="1"/>
  <c r="M807" i="3"/>
  <c r="N807" i="3" s="1"/>
  <c r="AU807" i="3"/>
  <c r="M808" i="3" l="1"/>
  <c r="N808" i="3" s="1"/>
  <c r="AU808" i="3"/>
  <c r="O808" i="3"/>
  <c r="P808" i="3" s="1"/>
  <c r="AV808" i="3"/>
  <c r="A810" i="3"/>
  <c r="D809" i="3"/>
  <c r="L809" i="3"/>
  <c r="AF809" i="3"/>
  <c r="AJ809" i="3"/>
  <c r="AX809" i="3"/>
  <c r="Q809" i="3"/>
  <c r="U809" i="3"/>
  <c r="Y809" i="3"/>
  <c r="AO809" i="3"/>
  <c r="AW809" i="3"/>
  <c r="F809" i="3"/>
  <c r="AB809" i="3"/>
  <c r="AH809" i="3"/>
  <c r="AT809" i="3"/>
  <c r="E809" i="3"/>
  <c r="S809" i="3"/>
  <c r="W809" i="3"/>
  <c r="AM809" i="3"/>
  <c r="AQ809" i="3"/>
  <c r="K809" i="3"/>
  <c r="AV809" i="3" l="1"/>
  <c r="O809" i="3"/>
  <c r="P809" i="3" s="1"/>
  <c r="M809" i="3"/>
  <c r="N809" i="3" s="1"/>
  <c r="AU809" i="3"/>
  <c r="A811" i="3"/>
  <c r="E810" i="3"/>
  <c r="Q810" i="3"/>
  <c r="U810" i="3"/>
  <c r="Y810" i="3"/>
  <c r="AO810" i="3"/>
  <c r="AW810" i="3"/>
  <c r="L810" i="3"/>
  <c r="AX810" i="3"/>
  <c r="AB810" i="3"/>
  <c r="AH810" i="3"/>
  <c r="K810" i="3"/>
  <c r="S810" i="3"/>
  <c r="W810" i="3"/>
  <c r="AM810" i="3"/>
  <c r="AQ810" i="3"/>
  <c r="D810" i="3"/>
  <c r="AT810" i="3"/>
  <c r="F810" i="3"/>
  <c r="AF810" i="3"/>
  <c r="AJ810" i="3"/>
  <c r="M810" i="3" l="1"/>
  <c r="N810" i="3" s="1"/>
  <c r="AU810" i="3"/>
  <c r="O810" i="3"/>
  <c r="P810" i="3" s="1"/>
  <c r="AV810" i="3"/>
  <c r="A812" i="3"/>
  <c r="D811" i="3"/>
  <c r="L811" i="3"/>
  <c r="AF811" i="3"/>
  <c r="AJ811" i="3"/>
  <c r="AX811" i="3"/>
  <c r="Q811" i="3"/>
  <c r="U811" i="3"/>
  <c r="Y811" i="3"/>
  <c r="AO811" i="3"/>
  <c r="AW811" i="3"/>
  <c r="F811" i="3"/>
  <c r="AB811" i="3"/>
  <c r="AH811" i="3"/>
  <c r="AT811" i="3"/>
  <c r="E811" i="3"/>
  <c r="S811" i="3"/>
  <c r="W811" i="3"/>
  <c r="AM811" i="3"/>
  <c r="AQ811" i="3"/>
  <c r="K811" i="3"/>
  <c r="M811" i="3" l="1"/>
  <c r="N811" i="3" s="1"/>
  <c r="AU811" i="3"/>
  <c r="AV811" i="3"/>
  <c r="O811" i="3"/>
  <c r="P811" i="3" s="1"/>
  <c r="E812" i="3"/>
  <c r="Q812" i="3"/>
  <c r="U812" i="3"/>
  <c r="Y812" i="3"/>
  <c r="AO812" i="3"/>
  <c r="AW812" i="3"/>
  <c r="D812" i="3"/>
  <c r="AT812" i="3"/>
  <c r="F812" i="3"/>
  <c r="AF812" i="3"/>
  <c r="AJ812" i="3"/>
  <c r="K812" i="3"/>
  <c r="S812" i="3"/>
  <c r="W812" i="3"/>
  <c r="AM812" i="3"/>
  <c r="AQ812" i="3"/>
  <c r="A813" i="3"/>
  <c r="L812" i="3"/>
  <c r="AX812" i="3"/>
  <c r="AB812" i="3"/>
  <c r="AH812" i="3"/>
  <c r="D813" i="3" l="1"/>
  <c r="L813" i="3"/>
  <c r="AF813" i="3"/>
  <c r="AJ813" i="3"/>
  <c r="AX813" i="3"/>
  <c r="Q813" i="3"/>
  <c r="U813" i="3"/>
  <c r="Y813" i="3"/>
  <c r="AO813" i="3"/>
  <c r="AW813" i="3"/>
  <c r="A814" i="3"/>
  <c r="F813" i="3"/>
  <c r="AB813" i="3"/>
  <c r="AH813" i="3"/>
  <c r="AT813" i="3"/>
  <c r="E813" i="3"/>
  <c r="S813" i="3"/>
  <c r="W813" i="3"/>
  <c r="AM813" i="3"/>
  <c r="AQ813" i="3"/>
  <c r="K813" i="3"/>
  <c r="M812" i="3"/>
  <c r="N812" i="3" s="1"/>
  <c r="AU812" i="3"/>
  <c r="O812" i="3"/>
  <c r="P812" i="3" s="1"/>
  <c r="AV812" i="3"/>
  <c r="E814" i="3" l="1"/>
  <c r="Q814" i="3"/>
  <c r="U814" i="3"/>
  <c r="Y814" i="3"/>
  <c r="AO814" i="3"/>
  <c r="AW814" i="3"/>
  <c r="D814" i="3"/>
  <c r="AT814" i="3"/>
  <c r="F814" i="3"/>
  <c r="AF814" i="3"/>
  <c r="AJ814" i="3"/>
  <c r="K814" i="3"/>
  <c r="S814" i="3"/>
  <c r="W814" i="3"/>
  <c r="AM814" i="3"/>
  <c r="AQ814" i="3"/>
  <c r="A815" i="3"/>
  <c r="L814" i="3"/>
  <c r="AX814" i="3"/>
  <c r="AB814" i="3"/>
  <c r="AH814" i="3"/>
  <c r="M813" i="3"/>
  <c r="N813" i="3" s="1"/>
  <c r="AU813" i="3"/>
  <c r="AV813" i="3"/>
  <c r="O813" i="3"/>
  <c r="P813" i="3" s="1"/>
  <c r="D815" i="3" l="1"/>
  <c r="L815" i="3"/>
  <c r="AF815" i="3"/>
  <c r="AJ815" i="3"/>
  <c r="AX815" i="3"/>
  <c r="Q815" i="3"/>
  <c r="U815" i="3"/>
  <c r="Y815" i="3"/>
  <c r="AO815" i="3"/>
  <c r="AW815" i="3"/>
  <c r="A816" i="3"/>
  <c r="F815" i="3"/>
  <c r="AB815" i="3"/>
  <c r="AH815" i="3"/>
  <c r="AT815" i="3"/>
  <c r="E815" i="3"/>
  <c r="S815" i="3"/>
  <c r="W815" i="3"/>
  <c r="AM815" i="3"/>
  <c r="AQ815" i="3"/>
  <c r="K815" i="3"/>
  <c r="M814" i="3"/>
  <c r="N814" i="3" s="1"/>
  <c r="AU814" i="3"/>
  <c r="O814" i="3"/>
  <c r="P814" i="3" s="1"/>
  <c r="AV814" i="3"/>
  <c r="E816" i="3" l="1"/>
  <c r="Q816" i="3"/>
  <c r="U816" i="3"/>
  <c r="Y816" i="3"/>
  <c r="AO816" i="3"/>
  <c r="AW816" i="3"/>
  <c r="D816" i="3"/>
  <c r="AT816" i="3"/>
  <c r="F816" i="3"/>
  <c r="AF816" i="3"/>
  <c r="AJ816" i="3"/>
  <c r="K816" i="3"/>
  <c r="S816" i="3"/>
  <c r="W816" i="3"/>
  <c r="AM816" i="3"/>
  <c r="AQ816" i="3"/>
  <c r="A817" i="3"/>
  <c r="L816" i="3"/>
  <c r="AX816" i="3"/>
  <c r="AB816" i="3"/>
  <c r="AH816" i="3"/>
  <c r="M815" i="3"/>
  <c r="N815" i="3" s="1"/>
  <c r="AU815" i="3"/>
  <c r="AV815" i="3"/>
  <c r="O815" i="3"/>
  <c r="P815" i="3" s="1"/>
  <c r="D817" i="3" l="1"/>
  <c r="L817" i="3"/>
  <c r="AF817" i="3"/>
  <c r="AJ817" i="3"/>
  <c r="AX817" i="3"/>
  <c r="Q817" i="3"/>
  <c r="U817" i="3"/>
  <c r="Y817" i="3"/>
  <c r="AO817" i="3"/>
  <c r="AW817" i="3"/>
  <c r="A818" i="3"/>
  <c r="F817" i="3"/>
  <c r="AB817" i="3"/>
  <c r="AH817" i="3"/>
  <c r="AT817" i="3"/>
  <c r="E817" i="3"/>
  <c r="S817" i="3"/>
  <c r="W817" i="3"/>
  <c r="AM817" i="3"/>
  <c r="AQ817" i="3"/>
  <c r="K817" i="3"/>
  <c r="M816" i="3"/>
  <c r="N816" i="3" s="1"/>
  <c r="AU816" i="3"/>
  <c r="O816" i="3"/>
  <c r="P816" i="3" s="1"/>
  <c r="AV816" i="3"/>
  <c r="E818" i="3" l="1"/>
  <c r="Q818" i="3"/>
  <c r="U818" i="3"/>
  <c r="Y818" i="3"/>
  <c r="AO818" i="3"/>
  <c r="AW818" i="3"/>
  <c r="D818" i="3"/>
  <c r="AT818" i="3"/>
  <c r="F818" i="3"/>
  <c r="AF818" i="3"/>
  <c r="AJ818" i="3"/>
  <c r="K818" i="3"/>
  <c r="S818" i="3"/>
  <c r="W818" i="3"/>
  <c r="AM818" i="3"/>
  <c r="AQ818" i="3"/>
  <c r="A819" i="3"/>
  <c r="L818" i="3"/>
  <c r="AX818" i="3"/>
  <c r="AB818" i="3"/>
  <c r="AH818" i="3"/>
  <c r="M817" i="3"/>
  <c r="N817" i="3" s="1"/>
  <c r="AU817" i="3"/>
  <c r="AV817" i="3"/>
  <c r="O817" i="3"/>
  <c r="P817" i="3" s="1"/>
  <c r="D819" i="3" l="1"/>
  <c r="L819" i="3"/>
  <c r="AF819" i="3"/>
  <c r="AJ819" i="3"/>
  <c r="AX819" i="3"/>
  <c r="Q819" i="3"/>
  <c r="U819" i="3"/>
  <c r="Y819" i="3"/>
  <c r="AO819" i="3"/>
  <c r="AW819" i="3"/>
  <c r="A820" i="3"/>
  <c r="F819" i="3"/>
  <c r="AB819" i="3"/>
  <c r="AH819" i="3"/>
  <c r="AT819" i="3"/>
  <c r="E819" i="3"/>
  <c r="S819" i="3"/>
  <c r="W819" i="3"/>
  <c r="AM819" i="3"/>
  <c r="AQ819" i="3"/>
  <c r="K819" i="3"/>
  <c r="M818" i="3"/>
  <c r="N818" i="3" s="1"/>
  <c r="AU818" i="3"/>
  <c r="O818" i="3"/>
  <c r="P818" i="3" s="1"/>
  <c r="AV818" i="3"/>
  <c r="E820" i="3" l="1"/>
  <c r="Q820" i="3"/>
  <c r="U820" i="3"/>
  <c r="Y820" i="3"/>
  <c r="AO820" i="3"/>
  <c r="AW820" i="3"/>
  <c r="D820" i="3"/>
  <c r="AT820" i="3"/>
  <c r="F820" i="3"/>
  <c r="AF820" i="3"/>
  <c r="AJ820" i="3"/>
  <c r="K820" i="3"/>
  <c r="S820" i="3"/>
  <c r="W820" i="3"/>
  <c r="AM820" i="3"/>
  <c r="AQ820" i="3"/>
  <c r="A821" i="3"/>
  <c r="L820" i="3"/>
  <c r="AX820" i="3"/>
  <c r="AB820" i="3"/>
  <c r="AH820" i="3"/>
  <c r="M819" i="3"/>
  <c r="N819" i="3" s="1"/>
  <c r="AU819" i="3"/>
  <c r="AV819" i="3"/>
  <c r="O819" i="3"/>
  <c r="P819" i="3" s="1"/>
  <c r="D821" i="3" l="1"/>
  <c r="L821" i="3"/>
  <c r="AF821" i="3"/>
  <c r="AJ821" i="3"/>
  <c r="AX821" i="3"/>
  <c r="Q821" i="3"/>
  <c r="U821" i="3"/>
  <c r="Y821" i="3"/>
  <c r="AO821" i="3"/>
  <c r="AW821" i="3"/>
  <c r="A822" i="3"/>
  <c r="F821" i="3"/>
  <c r="AB821" i="3"/>
  <c r="AH821" i="3"/>
  <c r="AT821" i="3"/>
  <c r="E821" i="3"/>
  <c r="S821" i="3"/>
  <c r="W821" i="3"/>
  <c r="AM821" i="3"/>
  <c r="AQ821" i="3"/>
  <c r="K821" i="3"/>
  <c r="M820" i="3"/>
  <c r="N820" i="3" s="1"/>
  <c r="AU820" i="3"/>
  <c r="O820" i="3"/>
  <c r="P820" i="3" s="1"/>
  <c r="AV820" i="3"/>
  <c r="E822" i="3" l="1"/>
  <c r="Q822" i="3"/>
  <c r="U822" i="3"/>
  <c r="Y822" i="3"/>
  <c r="AO822" i="3"/>
  <c r="AW822" i="3"/>
  <c r="D822" i="3"/>
  <c r="AT822" i="3"/>
  <c r="F822" i="3"/>
  <c r="AF822" i="3"/>
  <c r="AJ822" i="3"/>
  <c r="K822" i="3"/>
  <c r="S822" i="3"/>
  <c r="W822" i="3"/>
  <c r="AM822" i="3"/>
  <c r="AQ822" i="3"/>
  <c r="A823" i="3"/>
  <c r="L822" i="3"/>
  <c r="AX822" i="3"/>
  <c r="AB822" i="3"/>
  <c r="AH822" i="3"/>
  <c r="M821" i="3"/>
  <c r="N821" i="3" s="1"/>
  <c r="AU821" i="3"/>
  <c r="AV821" i="3"/>
  <c r="O821" i="3"/>
  <c r="P821" i="3" s="1"/>
  <c r="D823" i="3" l="1"/>
  <c r="L823" i="3"/>
  <c r="AF823" i="3"/>
  <c r="AJ823" i="3"/>
  <c r="AX823" i="3"/>
  <c r="Q823" i="3"/>
  <c r="U823" i="3"/>
  <c r="Y823" i="3"/>
  <c r="AO823" i="3"/>
  <c r="AW823" i="3"/>
  <c r="A824" i="3"/>
  <c r="F823" i="3"/>
  <c r="AB823" i="3"/>
  <c r="AH823" i="3"/>
  <c r="AT823" i="3"/>
  <c r="E823" i="3"/>
  <c r="S823" i="3"/>
  <c r="W823" i="3"/>
  <c r="AM823" i="3"/>
  <c r="AQ823" i="3"/>
  <c r="K823" i="3"/>
  <c r="M822" i="3"/>
  <c r="N822" i="3" s="1"/>
  <c r="AU822" i="3"/>
  <c r="O822" i="3"/>
  <c r="P822" i="3" s="1"/>
  <c r="AV822" i="3"/>
  <c r="E824" i="3" l="1"/>
  <c r="Q824" i="3"/>
  <c r="U824" i="3"/>
  <c r="Y824" i="3"/>
  <c r="AO824" i="3"/>
  <c r="AW824" i="3"/>
  <c r="D824" i="3"/>
  <c r="AT824" i="3"/>
  <c r="F824" i="3"/>
  <c r="AF824" i="3"/>
  <c r="AJ824" i="3"/>
  <c r="K824" i="3"/>
  <c r="S824" i="3"/>
  <c r="W824" i="3"/>
  <c r="AM824" i="3"/>
  <c r="AQ824" i="3"/>
  <c r="A825" i="3"/>
  <c r="L824" i="3"/>
  <c r="AX824" i="3"/>
  <c r="AB824" i="3"/>
  <c r="AH824" i="3"/>
  <c r="M823" i="3"/>
  <c r="N823" i="3" s="1"/>
  <c r="AU823" i="3"/>
  <c r="AV823" i="3"/>
  <c r="O823" i="3"/>
  <c r="P823" i="3" s="1"/>
  <c r="D825" i="3" l="1"/>
  <c r="L825" i="3"/>
  <c r="AF825" i="3"/>
  <c r="AJ825" i="3"/>
  <c r="AX825" i="3"/>
  <c r="Q825" i="3"/>
  <c r="U825" i="3"/>
  <c r="Y825" i="3"/>
  <c r="AO825" i="3"/>
  <c r="AW825" i="3"/>
  <c r="A826" i="3"/>
  <c r="F825" i="3"/>
  <c r="AB825" i="3"/>
  <c r="AH825" i="3"/>
  <c r="AT825" i="3"/>
  <c r="E825" i="3"/>
  <c r="S825" i="3"/>
  <c r="W825" i="3"/>
  <c r="AM825" i="3"/>
  <c r="AQ825" i="3"/>
  <c r="K825" i="3"/>
  <c r="M824" i="3"/>
  <c r="N824" i="3" s="1"/>
  <c r="AU824" i="3"/>
  <c r="O824" i="3"/>
  <c r="P824" i="3" s="1"/>
  <c r="AV824" i="3"/>
  <c r="E826" i="3" l="1"/>
  <c r="Q826" i="3"/>
  <c r="U826" i="3"/>
  <c r="Y826" i="3"/>
  <c r="AO826" i="3"/>
  <c r="AW826" i="3"/>
  <c r="D826" i="3"/>
  <c r="AT826" i="3"/>
  <c r="F826" i="3"/>
  <c r="AF826" i="3"/>
  <c r="AJ826" i="3"/>
  <c r="K826" i="3"/>
  <c r="S826" i="3"/>
  <c r="W826" i="3"/>
  <c r="AM826" i="3"/>
  <c r="AQ826" i="3"/>
  <c r="A827" i="3"/>
  <c r="L826" i="3"/>
  <c r="AX826" i="3"/>
  <c r="AB826" i="3"/>
  <c r="AH826" i="3"/>
  <c r="M825" i="3"/>
  <c r="N825" i="3" s="1"/>
  <c r="AU825" i="3"/>
  <c r="AV825" i="3"/>
  <c r="O825" i="3"/>
  <c r="P825" i="3" s="1"/>
  <c r="D827" i="3" l="1"/>
  <c r="L827" i="3"/>
  <c r="AF827" i="3"/>
  <c r="AJ827" i="3"/>
  <c r="AX827" i="3"/>
  <c r="Q827" i="3"/>
  <c r="U827" i="3"/>
  <c r="Y827" i="3"/>
  <c r="AO827" i="3"/>
  <c r="AW827" i="3"/>
  <c r="A828" i="3"/>
  <c r="F827" i="3"/>
  <c r="AB827" i="3"/>
  <c r="AH827" i="3"/>
  <c r="AT827" i="3"/>
  <c r="E827" i="3"/>
  <c r="S827" i="3"/>
  <c r="W827" i="3"/>
  <c r="AM827" i="3"/>
  <c r="AQ827" i="3"/>
  <c r="K827" i="3"/>
  <c r="M826" i="3"/>
  <c r="N826" i="3" s="1"/>
  <c r="AU826" i="3"/>
  <c r="O826" i="3"/>
  <c r="P826" i="3" s="1"/>
  <c r="AV826" i="3"/>
  <c r="E828" i="3" l="1"/>
  <c r="Q828" i="3"/>
  <c r="U828" i="3"/>
  <c r="Y828" i="3"/>
  <c r="AO828" i="3"/>
  <c r="AW828" i="3"/>
  <c r="D828" i="3"/>
  <c r="AT828" i="3"/>
  <c r="F828" i="3"/>
  <c r="AF828" i="3"/>
  <c r="AJ828" i="3"/>
  <c r="K828" i="3"/>
  <c r="S828" i="3"/>
  <c r="W828" i="3"/>
  <c r="AM828" i="3"/>
  <c r="AQ828" i="3"/>
  <c r="A829" i="3"/>
  <c r="L828" i="3"/>
  <c r="AX828" i="3"/>
  <c r="AB828" i="3"/>
  <c r="AH828" i="3"/>
  <c r="M827" i="3"/>
  <c r="N827" i="3" s="1"/>
  <c r="AU827" i="3"/>
  <c r="AV827" i="3"/>
  <c r="O827" i="3"/>
  <c r="P827" i="3" s="1"/>
  <c r="D829" i="3" l="1"/>
  <c r="L829" i="3"/>
  <c r="AF829" i="3"/>
  <c r="AJ829" i="3"/>
  <c r="AX829" i="3"/>
  <c r="Q829" i="3"/>
  <c r="U829" i="3"/>
  <c r="Y829" i="3"/>
  <c r="AO829" i="3"/>
  <c r="AW829" i="3"/>
  <c r="A830" i="3"/>
  <c r="F829" i="3"/>
  <c r="AB829" i="3"/>
  <c r="AH829" i="3"/>
  <c r="AT829" i="3"/>
  <c r="E829" i="3"/>
  <c r="S829" i="3"/>
  <c r="W829" i="3"/>
  <c r="AM829" i="3"/>
  <c r="AQ829" i="3"/>
  <c r="K829" i="3"/>
  <c r="M828" i="3"/>
  <c r="N828" i="3" s="1"/>
  <c r="AU828" i="3"/>
  <c r="O828" i="3"/>
  <c r="P828" i="3" s="1"/>
  <c r="AV828" i="3"/>
  <c r="E830" i="3" l="1"/>
  <c r="Q830" i="3"/>
  <c r="U830" i="3"/>
  <c r="Y830" i="3"/>
  <c r="AO830" i="3"/>
  <c r="AW830" i="3"/>
  <c r="D830" i="3"/>
  <c r="AT830" i="3"/>
  <c r="F830" i="3"/>
  <c r="AF830" i="3"/>
  <c r="AJ830" i="3"/>
  <c r="K830" i="3"/>
  <c r="S830" i="3"/>
  <c r="W830" i="3"/>
  <c r="AM830" i="3"/>
  <c r="AQ830" i="3"/>
  <c r="A831" i="3"/>
  <c r="L830" i="3"/>
  <c r="AX830" i="3"/>
  <c r="AB830" i="3"/>
  <c r="AH830" i="3"/>
  <c r="M829" i="3"/>
  <c r="N829" i="3" s="1"/>
  <c r="AU829" i="3"/>
  <c r="AV829" i="3"/>
  <c r="O829" i="3"/>
  <c r="P829" i="3" s="1"/>
  <c r="D831" i="3" l="1"/>
  <c r="L831" i="3"/>
  <c r="AF831" i="3"/>
  <c r="AJ831" i="3"/>
  <c r="AX831" i="3"/>
  <c r="Q831" i="3"/>
  <c r="U831" i="3"/>
  <c r="Y831" i="3"/>
  <c r="AO831" i="3"/>
  <c r="AW831" i="3"/>
  <c r="A832" i="3"/>
  <c r="F831" i="3"/>
  <c r="AB831" i="3"/>
  <c r="AH831" i="3"/>
  <c r="AT831" i="3"/>
  <c r="E831" i="3"/>
  <c r="S831" i="3"/>
  <c r="W831" i="3"/>
  <c r="AM831" i="3"/>
  <c r="AQ831" i="3"/>
  <c r="K831" i="3"/>
  <c r="M830" i="3"/>
  <c r="N830" i="3" s="1"/>
  <c r="AU830" i="3"/>
  <c r="O830" i="3"/>
  <c r="P830" i="3" s="1"/>
  <c r="AV830" i="3"/>
  <c r="E832" i="3" l="1"/>
  <c r="Q832" i="3"/>
  <c r="U832" i="3"/>
  <c r="Y832" i="3"/>
  <c r="AO832" i="3"/>
  <c r="AW832" i="3"/>
  <c r="D832" i="3"/>
  <c r="AT832" i="3"/>
  <c r="F832" i="3"/>
  <c r="AF832" i="3"/>
  <c r="AJ832" i="3"/>
  <c r="K832" i="3"/>
  <c r="S832" i="3"/>
  <c r="W832" i="3"/>
  <c r="AM832" i="3"/>
  <c r="AQ832" i="3"/>
  <c r="A833" i="3"/>
  <c r="L832" i="3"/>
  <c r="AX832" i="3"/>
  <c r="AB832" i="3"/>
  <c r="AH832" i="3"/>
  <c r="M831" i="3"/>
  <c r="N831" i="3" s="1"/>
  <c r="AU831" i="3"/>
  <c r="AV831" i="3"/>
  <c r="O831" i="3"/>
  <c r="P831" i="3" s="1"/>
  <c r="D833" i="3" l="1"/>
  <c r="L833" i="3"/>
  <c r="AF833" i="3"/>
  <c r="AJ833" i="3"/>
  <c r="AX833" i="3"/>
  <c r="Q833" i="3"/>
  <c r="U833" i="3"/>
  <c r="Y833" i="3"/>
  <c r="AO833" i="3"/>
  <c r="AW833" i="3"/>
  <c r="A834" i="3"/>
  <c r="F833" i="3"/>
  <c r="AB833" i="3"/>
  <c r="AH833" i="3"/>
  <c r="AT833" i="3"/>
  <c r="E833" i="3"/>
  <c r="S833" i="3"/>
  <c r="W833" i="3"/>
  <c r="AM833" i="3"/>
  <c r="AQ833" i="3"/>
  <c r="K833" i="3"/>
  <c r="M832" i="3"/>
  <c r="N832" i="3" s="1"/>
  <c r="AU832" i="3"/>
  <c r="O832" i="3"/>
  <c r="P832" i="3" s="1"/>
  <c r="AV832" i="3"/>
  <c r="E834" i="3" l="1"/>
  <c r="Q834" i="3"/>
  <c r="U834" i="3"/>
  <c r="Y834" i="3"/>
  <c r="AO834" i="3"/>
  <c r="AW834" i="3"/>
  <c r="D834" i="3"/>
  <c r="AT834" i="3"/>
  <c r="F834" i="3"/>
  <c r="AF834" i="3"/>
  <c r="AJ834" i="3"/>
  <c r="K834" i="3"/>
  <c r="S834" i="3"/>
  <c r="W834" i="3"/>
  <c r="AM834" i="3"/>
  <c r="AQ834" i="3"/>
  <c r="A835" i="3"/>
  <c r="L834" i="3"/>
  <c r="AX834" i="3"/>
  <c r="AB834" i="3"/>
  <c r="AH834" i="3"/>
  <c r="M833" i="3"/>
  <c r="N833" i="3" s="1"/>
  <c r="AU833" i="3"/>
  <c r="AV833" i="3"/>
  <c r="O833" i="3"/>
  <c r="P833" i="3" s="1"/>
  <c r="D835" i="3" l="1"/>
  <c r="L835" i="3"/>
  <c r="AF835" i="3"/>
  <c r="AJ835" i="3"/>
  <c r="AX835" i="3"/>
  <c r="Q835" i="3"/>
  <c r="U835" i="3"/>
  <c r="Y835" i="3"/>
  <c r="AO835" i="3"/>
  <c r="AW835" i="3"/>
  <c r="A836" i="3"/>
  <c r="F835" i="3"/>
  <c r="AB835" i="3"/>
  <c r="AH835" i="3"/>
  <c r="AT835" i="3"/>
  <c r="E835" i="3"/>
  <c r="S835" i="3"/>
  <c r="W835" i="3"/>
  <c r="AM835" i="3"/>
  <c r="AQ835" i="3"/>
  <c r="K835" i="3"/>
  <c r="M834" i="3"/>
  <c r="N834" i="3" s="1"/>
  <c r="AU834" i="3"/>
  <c r="O834" i="3"/>
  <c r="P834" i="3" s="1"/>
  <c r="AV834" i="3"/>
  <c r="E836" i="3" l="1"/>
  <c r="Q836" i="3"/>
  <c r="U836" i="3"/>
  <c r="Y836" i="3"/>
  <c r="AO836" i="3"/>
  <c r="AW836" i="3"/>
  <c r="D836" i="3"/>
  <c r="AT836" i="3"/>
  <c r="F836" i="3"/>
  <c r="AF836" i="3"/>
  <c r="AJ836" i="3"/>
  <c r="K836" i="3"/>
  <c r="S836" i="3"/>
  <c r="W836" i="3"/>
  <c r="AM836" i="3"/>
  <c r="AQ836" i="3"/>
  <c r="A837" i="3"/>
  <c r="L836" i="3"/>
  <c r="AX836" i="3"/>
  <c r="AB836" i="3"/>
  <c r="AH836" i="3"/>
  <c r="M835" i="3"/>
  <c r="N835" i="3" s="1"/>
  <c r="AU835" i="3"/>
  <c r="AV835" i="3"/>
  <c r="O835" i="3"/>
  <c r="P835" i="3" s="1"/>
  <c r="D837" i="3" l="1"/>
  <c r="L837" i="3"/>
  <c r="AF837" i="3"/>
  <c r="AJ837" i="3"/>
  <c r="AX837" i="3"/>
  <c r="Q837" i="3"/>
  <c r="U837" i="3"/>
  <c r="Y837" i="3"/>
  <c r="AO837" i="3"/>
  <c r="AW837" i="3"/>
  <c r="A838" i="3"/>
  <c r="F837" i="3"/>
  <c r="AB837" i="3"/>
  <c r="AH837" i="3"/>
  <c r="AT837" i="3"/>
  <c r="E837" i="3"/>
  <c r="S837" i="3"/>
  <c r="W837" i="3"/>
  <c r="AM837" i="3"/>
  <c r="AQ837" i="3"/>
  <c r="K837" i="3"/>
  <c r="M836" i="3"/>
  <c r="N836" i="3" s="1"/>
  <c r="AU836" i="3"/>
  <c r="O836" i="3"/>
  <c r="P836" i="3" s="1"/>
  <c r="AV836" i="3"/>
  <c r="E838" i="3" l="1"/>
  <c r="Q838" i="3"/>
  <c r="U838" i="3"/>
  <c r="Y838" i="3"/>
  <c r="AO838" i="3"/>
  <c r="AW838" i="3"/>
  <c r="D838" i="3"/>
  <c r="AT838" i="3"/>
  <c r="F838" i="3"/>
  <c r="AF838" i="3"/>
  <c r="AJ838" i="3"/>
  <c r="K838" i="3"/>
  <c r="S838" i="3"/>
  <c r="W838" i="3"/>
  <c r="AM838" i="3"/>
  <c r="AQ838" i="3"/>
  <c r="A839" i="3"/>
  <c r="L838" i="3"/>
  <c r="AX838" i="3"/>
  <c r="AB838" i="3"/>
  <c r="AH838" i="3"/>
  <c r="M837" i="3"/>
  <c r="N837" i="3" s="1"/>
  <c r="AU837" i="3"/>
  <c r="AV837" i="3"/>
  <c r="O837" i="3"/>
  <c r="P837" i="3" s="1"/>
  <c r="D839" i="3" l="1"/>
  <c r="L839" i="3"/>
  <c r="AF839" i="3"/>
  <c r="AJ839" i="3"/>
  <c r="AX839" i="3"/>
  <c r="Q839" i="3"/>
  <c r="U839" i="3"/>
  <c r="Y839" i="3"/>
  <c r="AO839" i="3"/>
  <c r="AW839" i="3"/>
  <c r="A840" i="3"/>
  <c r="F839" i="3"/>
  <c r="AB839" i="3"/>
  <c r="AH839" i="3"/>
  <c r="AT839" i="3"/>
  <c r="E839" i="3"/>
  <c r="S839" i="3"/>
  <c r="W839" i="3"/>
  <c r="AM839" i="3"/>
  <c r="AQ839" i="3"/>
  <c r="K839" i="3"/>
  <c r="M838" i="3"/>
  <c r="N838" i="3" s="1"/>
  <c r="AU838" i="3"/>
  <c r="O838" i="3"/>
  <c r="P838" i="3" s="1"/>
  <c r="AV838" i="3"/>
  <c r="E840" i="3" l="1"/>
  <c r="Q840" i="3"/>
  <c r="U840" i="3"/>
  <c r="Y840" i="3"/>
  <c r="AO840" i="3"/>
  <c r="AW840" i="3"/>
  <c r="D840" i="3"/>
  <c r="AT840" i="3"/>
  <c r="F840" i="3"/>
  <c r="AF840" i="3"/>
  <c r="AJ840" i="3"/>
  <c r="K840" i="3"/>
  <c r="S840" i="3"/>
  <c r="W840" i="3"/>
  <c r="AM840" i="3"/>
  <c r="AQ840" i="3"/>
  <c r="A841" i="3"/>
  <c r="L840" i="3"/>
  <c r="AX840" i="3"/>
  <c r="AB840" i="3"/>
  <c r="AH840" i="3"/>
  <c r="M839" i="3"/>
  <c r="N839" i="3" s="1"/>
  <c r="AU839" i="3"/>
  <c r="AV839" i="3"/>
  <c r="O839" i="3"/>
  <c r="P839" i="3" s="1"/>
  <c r="D841" i="3" l="1"/>
  <c r="L841" i="3"/>
  <c r="AF841" i="3"/>
  <c r="AJ841" i="3"/>
  <c r="AX841" i="3"/>
  <c r="Q841" i="3"/>
  <c r="U841" i="3"/>
  <c r="Y841" i="3"/>
  <c r="AO841" i="3"/>
  <c r="AW841" i="3"/>
  <c r="A842" i="3"/>
  <c r="F841" i="3"/>
  <c r="AB841" i="3"/>
  <c r="AH841" i="3"/>
  <c r="AT841" i="3"/>
  <c r="E841" i="3"/>
  <c r="S841" i="3"/>
  <c r="W841" i="3"/>
  <c r="AM841" i="3"/>
  <c r="AQ841" i="3"/>
  <c r="K841" i="3"/>
  <c r="M840" i="3"/>
  <c r="N840" i="3" s="1"/>
  <c r="AU840" i="3"/>
  <c r="O840" i="3"/>
  <c r="P840" i="3" s="1"/>
  <c r="AV840" i="3"/>
  <c r="E842" i="3" l="1"/>
  <c r="Q842" i="3"/>
  <c r="U842" i="3"/>
  <c r="Y842" i="3"/>
  <c r="AO842" i="3"/>
  <c r="AW842" i="3"/>
  <c r="D842" i="3"/>
  <c r="AT842" i="3"/>
  <c r="F842" i="3"/>
  <c r="AF842" i="3"/>
  <c r="AJ842" i="3"/>
  <c r="K842" i="3"/>
  <c r="S842" i="3"/>
  <c r="W842" i="3"/>
  <c r="AM842" i="3"/>
  <c r="AQ842" i="3"/>
  <c r="A843" i="3"/>
  <c r="L842" i="3"/>
  <c r="AX842" i="3"/>
  <c r="AB842" i="3"/>
  <c r="AH842" i="3"/>
  <c r="M841" i="3"/>
  <c r="N841" i="3" s="1"/>
  <c r="AU841" i="3"/>
  <c r="AV841" i="3"/>
  <c r="O841" i="3"/>
  <c r="P841" i="3" s="1"/>
  <c r="D843" i="3" l="1"/>
  <c r="L843" i="3"/>
  <c r="AF843" i="3"/>
  <c r="AJ843" i="3"/>
  <c r="AX843" i="3"/>
  <c r="Q843" i="3"/>
  <c r="U843" i="3"/>
  <c r="Y843" i="3"/>
  <c r="AO843" i="3"/>
  <c r="AW843" i="3"/>
  <c r="A844" i="3"/>
  <c r="F843" i="3"/>
  <c r="AB843" i="3"/>
  <c r="AH843" i="3"/>
  <c r="AT843" i="3"/>
  <c r="E843" i="3"/>
  <c r="S843" i="3"/>
  <c r="W843" i="3"/>
  <c r="AM843" i="3"/>
  <c r="AQ843" i="3"/>
  <c r="K843" i="3"/>
  <c r="M842" i="3"/>
  <c r="N842" i="3" s="1"/>
  <c r="AU842" i="3"/>
  <c r="O842" i="3"/>
  <c r="P842" i="3" s="1"/>
  <c r="AV842" i="3"/>
  <c r="E844" i="3" l="1"/>
  <c r="Q844" i="3"/>
  <c r="U844" i="3"/>
  <c r="Y844" i="3"/>
  <c r="AO844" i="3"/>
  <c r="AW844" i="3"/>
  <c r="D844" i="3"/>
  <c r="AT844" i="3"/>
  <c r="F844" i="3"/>
  <c r="AF844" i="3"/>
  <c r="AJ844" i="3"/>
  <c r="K844" i="3"/>
  <c r="S844" i="3"/>
  <c r="W844" i="3"/>
  <c r="AM844" i="3"/>
  <c r="AQ844" i="3"/>
  <c r="A845" i="3"/>
  <c r="L844" i="3"/>
  <c r="AX844" i="3"/>
  <c r="AB844" i="3"/>
  <c r="AH844" i="3"/>
  <c r="M843" i="3"/>
  <c r="N843" i="3" s="1"/>
  <c r="AU843" i="3"/>
  <c r="AV843" i="3"/>
  <c r="O843" i="3"/>
  <c r="P843" i="3" s="1"/>
  <c r="D845" i="3" l="1"/>
  <c r="L845" i="3"/>
  <c r="AF845" i="3"/>
  <c r="AJ845" i="3"/>
  <c r="AX845" i="3"/>
  <c r="Q845" i="3"/>
  <c r="U845" i="3"/>
  <c r="Y845" i="3"/>
  <c r="AO845" i="3"/>
  <c r="AW845" i="3"/>
  <c r="A846" i="3"/>
  <c r="F845" i="3"/>
  <c r="AB845" i="3"/>
  <c r="AH845" i="3"/>
  <c r="AT845" i="3"/>
  <c r="E845" i="3"/>
  <c r="S845" i="3"/>
  <c r="W845" i="3"/>
  <c r="AM845" i="3"/>
  <c r="AQ845" i="3"/>
  <c r="K845" i="3"/>
  <c r="M844" i="3"/>
  <c r="N844" i="3" s="1"/>
  <c r="AU844" i="3"/>
  <c r="O844" i="3"/>
  <c r="P844" i="3" s="1"/>
  <c r="AV844" i="3"/>
  <c r="E846" i="3" l="1"/>
  <c r="Q846" i="3"/>
  <c r="U846" i="3"/>
  <c r="Y846" i="3"/>
  <c r="AO846" i="3"/>
  <c r="AW846" i="3"/>
  <c r="D846" i="3"/>
  <c r="AT846" i="3"/>
  <c r="F846" i="3"/>
  <c r="AF846" i="3"/>
  <c r="AJ846" i="3"/>
  <c r="K846" i="3"/>
  <c r="S846" i="3"/>
  <c r="W846" i="3"/>
  <c r="AM846" i="3"/>
  <c r="AQ846" i="3"/>
  <c r="A847" i="3"/>
  <c r="L846" i="3"/>
  <c r="AX846" i="3"/>
  <c r="AB846" i="3"/>
  <c r="AH846" i="3"/>
  <c r="M845" i="3"/>
  <c r="N845" i="3" s="1"/>
  <c r="AU845" i="3"/>
  <c r="AV845" i="3"/>
  <c r="O845" i="3"/>
  <c r="P845" i="3" s="1"/>
  <c r="D847" i="3" l="1"/>
  <c r="L847" i="3"/>
  <c r="AF847" i="3"/>
  <c r="AJ847" i="3"/>
  <c r="AX847" i="3"/>
  <c r="Q847" i="3"/>
  <c r="U847" i="3"/>
  <c r="Y847" i="3"/>
  <c r="AO847" i="3"/>
  <c r="AW847" i="3"/>
  <c r="A848" i="3"/>
  <c r="F847" i="3"/>
  <c r="AB847" i="3"/>
  <c r="AH847" i="3"/>
  <c r="AT847" i="3"/>
  <c r="E847" i="3"/>
  <c r="S847" i="3"/>
  <c r="W847" i="3"/>
  <c r="AM847" i="3"/>
  <c r="AQ847" i="3"/>
  <c r="K847" i="3"/>
  <c r="M846" i="3"/>
  <c r="N846" i="3" s="1"/>
  <c r="AU846" i="3"/>
  <c r="O846" i="3"/>
  <c r="P846" i="3" s="1"/>
  <c r="AV846" i="3"/>
  <c r="E848" i="3" l="1"/>
  <c r="Q848" i="3"/>
  <c r="U848" i="3"/>
  <c r="Y848" i="3"/>
  <c r="AO848" i="3"/>
  <c r="AW848" i="3"/>
  <c r="D848" i="3"/>
  <c r="AT848" i="3"/>
  <c r="F848" i="3"/>
  <c r="AF848" i="3"/>
  <c r="AJ848" i="3"/>
  <c r="K848" i="3"/>
  <c r="S848" i="3"/>
  <c r="W848" i="3"/>
  <c r="AM848" i="3"/>
  <c r="AQ848" i="3"/>
  <c r="A849" i="3"/>
  <c r="L848" i="3"/>
  <c r="AX848" i="3"/>
  <c r="AB848" i="3"/>
  <c r="AH848" i="3"/>
  <c r="M847" i="3"/>
  <c r="N847" i="3" s="1"/>
  <c r="AU847" i="3"/>
  <c r="AV847" i="3"/>
  <c r="O847" i="3"/>
  <c r="P847" i="3" s="1"/>
  <c r="D849" i="3" l="1"/>
  <c r="L849" i="3"/>
  <c r="AF849" i="3"/>
  <c r="AJ849" i="3"/>
  <c r="AX849" i="3"/>
  <c r="Q849" i="3"/>
  <c r="U849" i="3"/>
  <c r="Y849" i="3"/>
  <c r="AO849" i="3"/>
  <c r="AW849" i="3"/>
  <c r="A850" i="3"/>
  <c r="F849" i="3"/>
  <c r="AB849" i="3"/>
  <c r="AH849" i="3"/>
  <c r="AT849" i="3"/>
  <c r="E849" i="3"/>
  <c r="S849" i="3"/>
  <c r="W849" i="3"/>
  <c r="AM849" i="3"/>
  <c r="AQ849" i="3"/>
  <c r="K849" i="3"/>
  <c r="M848" i="3"/>
  <c r="N848" i="3" s="1"/>
  <c r="AU848" i="3"/>
  <c r="O848" i="3"/>
  <c r="P848" i="3" s="1"/>
  <c r="AV848" i="3"/>
  <c r="E850" i="3" l="1"/>
  <c r="Q850" i="3"/>
  <c r="U850" i="3"/>
  <c r="Y850" i="3"/>
  <c r="AO850" i="3"/>
  <c r="AW850" i="3"/>
  <c r="D850" i="3"/>
  <c r="AT850" i="3"/>
  <c r="F850" i="3"/>
  <c r="AF850" i="3"/>
  <c r="AJ850" i="3"/>
  <c r="K850" i="3"/>
  <c r="S850" i="3"/>
  <c r="W850" i="3"/>
  <c r="AM850" i="3"/>
  <c r="AQ850" i="3"/>
  <c r="A851" i="3"/>
  <c r="L850" i="3"/>
  <c r="AX850" i="3"/>
  <c r="AB850" i="3"/>
  <c r="AH850" i="3"/>
  <c r="M849" i="3"/>
  <c r="N849" i="3" s="1"/>
  <c r="AU849" i="3"/>
  <c r="AV849" i="3"/>
  <c r="O849" i="3"/>
  <c r="P849" i="3" s="1"/>
  <c r="D851" i="3" l="1"/>
  <c r="L851" i="3"/>
  <c r="AF851" i="3"/>
  <c r="AJ851" i="3"/>
  <c r="AX851" i="3"/>
  <c r="Q851" i="3"/>
  <c r="U851" i="3"/>
  <c r="Y851" i="3"/>
  <c r="AO851" i="3"/>
  <c r="AW851" i="3"/>
  <c r="A852" i="3"/>
  <c r="F851" i="3"/>
  <c r="AB851" i="3"/>
  <c r="AH851" i="3"/>
  <c r="AT851" i="3"/>
  <c r="E851" i="3"/>
  <c r="S851" i="3"/>
  <c r="W851" i="3"/>
  <c r="AM851" i="3"/>
  <c r="AQ851" i="3"/>
  <c r="K851" i="3"/>
  <c r="M850" i="3"/>
  <c r="N850" i="3" s="1"/>
  <c r="AU850" i="3"/>
  <c r="O850" i="3"/>
  <c r="P850" i="3" s="1"/>
  <c r="AV850" i="3"/>
  <c r="E852" i="3" l="1"/>
  <c r="Q852" i="3"/>
  <c r="U852" i="3"/>
  <c r="Y852" i="3"/>
  <c r="AO852" i="3"/>
  <c r="AW852" i="3"/>
  <c r="D852" i="3"/>
  <c r="AT852" i="3"/>
  <c r="F852" i="3"/>
  <c r="AF852" i="3"/>
  <c r="AJ852" i="3"/>
  <c r="K852" i="3"/>
  <c r="S852" i="3"/>
  <c r="W852" i="3"/>
  <c r="AM852" i="3"/>
  <c r="AQ852" i="3"/>
  <c r="A853" i="3"/>
  <c r="L852" i="3"/>
  <c r="AX852" i="3"/>
  <c r="AB852" i="3"/>
  <c r="AH852" i="3"/>
  <c r="M851" i="3"/>
  <c r="N851" i="3" s="1"/>
  <c r="AU851" i="3"/>
  <c r="AV851" i="3"/>
  <c r="O851" i="3"/>
  <c r="P851" i="3" s="1"/>
  <c r="D853" i="3" l="1"/>
  <c r="L853" i="3"/>
  <c r="AF853" i="3"/>
  <c r="AJ853" i="3"/>
  <c r="AX853" i="3"/>
  <c r="Q853" i="3"/>
  <c r="U853" i="3"/>
  <c r="Y853" i="3"/>
  <c r="AO853" i="3"/>
  <c r="AW853" i="3"/>
  <c r="A854" i="3"/>
  <c r="F853" i="3"/>
  <c r="AB853" i="3"/>
  <c r="AH853" i="3"/>
  <c r="AT853" i="3"/>
  <c r="E853" i="3"/>
  <c r="S853" i="3"/>
  <c r="W853" i="3"/>
  <c r="AM853" i="3"/>
  <c r="AQ853" i="3"/>
  <c r="K853" i="3"/>
  <c r="M852" i="3"/>
  <c r="N852" i="3" s="1"/>
  <c r="AU852" i="3"/>
  <c r="O852" i="3"/>
  <c r="P852" i="3" s="1"/>
  <c r="AV852" i="3"/>
  <c r="E854" i="3" l="1"/>
  <c r="Q854" i="3"/>
  <c r="U854" i="3"/>
  <c r="Y854" i="3"/>
  <c r="AO854" i="3"/>
  <c r="AW854" i="3"/>
  <c r="D854" i="3"/>
  <c r="AT854" i="3"/>
  <c r="F854" i="3"/>
  <c r="AF854" i="3"/>
  <c r="AJ854" i="3"/>
  <c r="K854" i="3"/>
  <c r="S854" i="3"/>
  <c r="W854" i="3"/>
  <c r="AM854" i="3"/>
  <c r="AQ854" i="3"/>
  <c r="A855" i="3"/>
  <c r="L854" i="3"/>
  <c r="AX854" i="3"/>
  <c r="AB854" i="3"/>
  <c r="AH854" i="3"/>
  <c r="M853" i="3"/>
  <c r="N853" i="3" s="1"/>
  <c r="AU853" i="3"/>
  <c r="AV853" i="3"/>
  <c r="O853" i="3"/>
  <c r="P853" i="3" s="1"/>
  <c r="D855" i="3" l="1"/>
  <c r="L855" i="3"/>
  <c r="AF855" i="3"/>
  <c r="AJ855" i="3"/>
  <c r="AX855" i="3"/>
  <c r="Q855" i="3"/>
  <c r="U855" i="3"/>
  <c r="Y855" i="3"/>
  <c r="AO855" i="3"/>
  <c r="AW855" i="3"/>
  <c r="A856" i="3"/>
  <c r="F855" i="3"/>
  <c r="AB855" i="3"/>
  <c r="AH855" i="3"/>
  <c r="AT855" i="3"/>
  <c r="E855" i="3"/>
  <c r="S855" i="3"/>
  <c r="W855" i="3"/>
  <c r="AM855" i="3"/>
  <c r="AQ855" i="3"/>
  <c r="K855" i="3"/>
  <c r="M854" i="3"/>
  <c r="N854" i="3" s="1"/>
  <c r="AU854" i="3"/>
  <c r="O854" i="3"/>
  <c r="P854" i="3" s="1"/>
  <c r="AV854" i="3"/>
  <c r="E856" i="3" l="1"/>
  <c r="Q856" i="3"/>
  <c r="U856" i="3"/>
  <c r="Y856" i="3"/>
  <c r="AO856" i="3"/>
  <c r="AW856" i="3"/>
  <c r="D856" i="3"/>
  <c r="AT856" i="3"/>
  <c r="F856" i="3"/>
  <c r="AF856" i="3"/>
  <c r="AJ856" i="3"/>
  <c r="K856" i="3"/>
  <c r="S856" i="3"/>
  <c r="W856" i="3"/>
  <c r="AM856" i="3"/>
  <c r="AQ856" i="3"/>
  <c r="A857" i="3"/>
  <c r="L856" i="3"/>
  <c r="AX856" i="3"/>
  <c r="AB856" i="3"/>
  <c r="AH856" i="3"/>
  <c r="M855" i="3"/>
  <c r="N855" i="3" s="1"/>
  <c r="AU855" i="3"/>
  <c r="AV855" i="3"/>
  <c r="O855" i="3"/>
  <c r="P855" i="3" s="1"/>
  <c r="D857" i="3" l="1"/>
  <c r="L857" i="3"/>
  <c r="AF857" i="3"/>
  <c r="AJ857" i="3"/>
  <c r="AX857" i="3"/>
  <c r="Q857" i="3"/>
  <c r="U857" i="3"/>
  <c r="Y857" i="3"/>
  <c r="AO857" i="3"/>
  <c r="AW857" i="3"/>
  <c r="A858" i="3"/>
  <c r="F857" i="3"/>
  <c r="AB857" i="3"/>
  <c r="AH857" i="3"/>
  <c r="AT857" i="3"/>
  <c r="E857" i="3"/>
  <c r="S857" i="3"/>
  <c r="W857" i="3"/>
  <c r="AM857" i="3"/>
  <c r="AQ857" i="3"/>
  <c r="K857" i="3"/>
  <c r="M856" i="3"/>
  <c r="N856" i="3" s="1"/>
  <c r="AU856" i="3"/>
  <c r="O856" i="3"/>
  <c r="P856" i="3" s="1"/>
  <c r="AV856" i="3"/>
  <c r="E858" i="3" l="1"/>
  <c r="Q858" i="3"/>
  <c r="U858" i="3"/>
  <c r="Y858" i="3"/>
  <c r="AO858" i="3"/>
  <c r="AW858" i="3"/>
  <c r="D858" i="3"/>
  <c r="AT858" i="3"/>
  <c r="F858" i="3"/>
  <c r="AF858" i="3"/>
  <c r="AJ858" i="3"/>
  <c r="K858" i="3"/>
  <c r="S858" i="3"/>
  <c r="W858" i="3"/>
  <c r="AM858" i="3"/>
  <c r="AQ858" i="3"/>
  <c r="A859" i="3"/>
  <c r="L858" i="3"/>
  <c r="AX858" i="3"/>
  <c r="AB858" i="3"/>
  <c r="AH858" i="3"/>
  <c r="M857" i="3"/>
  <c r="N857" i="3" s="1"/>
  <c r="AU857" i="3"/>
  <c r="AV857" i="3"/>
  <c r="O857" i="3"/>
  <c r="P857" i="3" s="1"/>
  <c r="D859" i="3" l="1"/>
  <c r="L859" i="3"/>
  <c r="AF859" i="3"/>
  <c r="AJ859" i="3"/>
  <c r="AX859" i="3"/>
  <c r="Q859" i="3"/>
  <c r="U859" i="3"/>
  <c r="Y859" i="3"/>
  <c r="AO859" i="3"/>
  <c r="AW859" i="3"/>
  <c r="A860" i="3"/>
  <c r="F859" i="3"/>
  <c r="AB859" i="3"/>
  <c r="AH859" i="3"/>
  <c r="AT859" i="3"/>
  <c r="E859" i="3"/>
  <c r="S859" i="3"/>
  <c r="W859" i="3"/>
  <c r="AM859" i="3"/>
  <c r="AQ859" i="3"/>
  <c r="K859" i="3"/>
  <c r="M858" i="3"/>
  <c r="N858" i="3" s="1"/>
  <c r="AU858" i="3"/>
  <c r="O858" i="3"/>
  <c r="P858" i="3" s="1"/>
  <c r="AV858" i="3"/>
  <c r="E860" i="3" l="1"/>
  <c r="Q860" i="3"/>
  <c r="U860" i="3"/>
  <c r="Y860" i="3"/>
  <c r="AO860" i="3"/>
  <c r="AW860" i="3"/>
  <c r="D860" i="3"/>
  <c r="AT860" i="3"/>
  <c r="F860" i="3"/>
  <c r="AF860" i="3"/>
  <c r="AJ860" i="3"/>
  <c r="K860" i="3"/>
  <c r="S860" i="3"/>
  <c r="W860" i="3"/>
  <c r="AM860" i="3"/>
  <c r="AQ860" i="3"/>
  <c r="A861" i="3"/>
  <c r="L860" i="3"/>
  <c r="AX860" i="3"/>
  <c r="AB860" i="3"/>
  <c r="AH860" i="3"/>
  <c r="M859" i="3"/>
  <c r="N859" i="3" s="1"/>
  <c r="AU859" i="3"/>
  <c r="AV859" i="3"/>
  <c r="O859" i="3"/>
  <c r="P859" i="3" s="1"/>
  <c r="D861" i="3" l="1"/>
  <c r="L861" i="3"/>
  <c r="AF861" i="3"/>
  <c r="AJ861" i="3"/>
  <c r="AX861" i="3"/>
  <c r="Q861" i="3"/>
  <c r="U861" i="3"/>
  <c r="Y861" i="3"/>
  <c r="AO861" i="3"/>
  <c r="AW861" i="3"/>
  <c r="A862" i="3"/>
  <c r="F861" i="3"/>
  <c r="AB861" i="3"/>
  <c r="AH861" i="3"/>
  <c r="AT861" i="3"/>
  <c r="E861" i="3"/>
  <c r="S861" i="3"/>
  <c r="W861" i="3"/>
  <c r="AM861" i="3"/>
  <c r="AQ861" i="3"/>
  <c r="K861" i="3"/>
  <c r="M860" i="3"/>
  <c r="N860" i="3" s="1"/>
  <c r="AU860" i="3"/>
  <c r="O860" i="3"/>
  <c r="P860" i="3" s="1"/>
  <c r="AV860" i="3"/>
  <c r="E862" i="3" l="1"/>
  <c r="Q862" i="3"/>
  <c r="U862" i="3"/>
  <c r="Y862" i="3"/>
  <c r="AO862" i="3"/>
  <c r="AW862" i="3"/>
  <c r="D862" i="3"/>
  <c r="AT862" i="3"/>
  <c r="F862" i="3"/>
  <c r="AF862" i="3"/>
  <c r="AJ862" i="3"/>
  <c r="K862" i="3"/>
  <c r="S862" i="3"/>
  <c r="W862" i="3"/>
  <c r="AM862" i="3"/>
  <c r="AQ862" i="3"/>
  <c r="A863" i="3"/>
  <c r="L862" i="3"/>
  <c r="AX862" i="3"/>
  <c r="AB862" i="3"/>
  <c r="AH862" i="3"/>
  <c r="M861" i="3"/>
  <c r="N861" i="3" s="1"/>
  <c r="AU861" i="3"/>
  <c r="AV861" i="3"/>
  <c r="O861" i="3"/>
  <c r="P861" i="3" s="1"/>
  <c r="D863" i="3" l="1"/>
  <c r="L863" i="3"/>
  <c r="AF863" i="3"/>
  <c r="AJ863" i="3"/>
  <c r="AX863" i="3"/>
  <c r="Q863" i="3"/>
  <c r="U863" i="3"/>
  <c r="Y863" i="3"/>
  <c r="AO863" i="3"/>
  <c r="AW863" i="3"/>
  <c r="A864" i="3"/>
  <c r="F863" i="3"/>
  <c r="AB863" i="3"/>
  <c r="AH863" i="3"/>
  <c r="AT863" i="3"/>
  <c r="E863" i="3"/>
  <c r="S863" i="3"/>
  <c r="W863" i="3"/>
  <c r="AM863" i="3"/>
  <c r="AQ863" i="3"/>
  <c r="K863" i="3"/>
  <c r="M862" i="3"/>
  <c r="N862" i="3" s="1"/>
  <c r="AU862" i="3"/>
  <c r="O862" i="3"/>
  <c r="P862" i="3" s="1"/>
  <c r="AV862" i="3"/>
  <c r="E864" i="3" l="1"/>
  <c r="Q864" i="3"/>
  <c r="U864" i="3"/>
  <c r="Y864" i="3"/>
  <c r="AO864" i="3"/>
  <c r="AW864" i="3"/>
  <c r="D864" i="3"/>
  <c r="AT864" i="3"/>
  <c r="F864" i="3"/>
  <c r="AF864" i="3"/>
  <c r="AJ864" i="3"/>
  <c r="K864" i="3"/>
  <c r="S864" i="3"/>
  <c r="W864" i="3"/>
  <c r="AM864" i="3"/>
  <c r="AQ864" i="3"/>
  <c r="A865" i="3"/>
  <c r="L864" i="3"/>
  <c r="AX864" i="3"/>
  <c r="AB864" i="3"/>
  <c r="AH864" i="3"/>
  <c r="M863" i="3"/>
  <c r="N863" i="3" s="1"/>
  <c r="AU863" i="3"/>
  <c r="AV863" i="3"/>
  <c r="O863" i="3"/>
  <c r="P863" i="3" s="1"/>
  <c r="D865" i="3" l="1"/>
  <c r="L865" i="3"/>
  <c r="AF865" i="3"/>
  <c r="AJ865" i="3"/>
  <c r="AX865" i="3"/>
  <c r="Q865" i="3"/>
  <c r="U865" i="3"/>
  <c r="Y865" i="3"/>
  <c r="AO865" i="3"/>
  <c r="AW865" i="3"/>
  <c r="A866" i="3"/>
  <c r="F865" i="3"/>
  <c r="AB865" i="3"/>
  <c r="AH865" i="3"/>
  <c r="AT865" i="3"/>
  <c r="E865" i="3"/>
  <c r="S865" i="3"/>
  <c r="W865" i="3"/>
  <c r="AM865" i="3"/>
  <c r="AQ865" i="3"/>
  <c r="K865" i="3"/>
  <c r="M864" i="3"/>
  <c r="N864" i="3" s="1"/>
  <c r="AU864" i="3"/>
  <c r="O864" i="3"/>
  <c r="P864" i="3" s="1"/>
  <c r="AV864" i="3"/>
  <c r="E866" i="3" l="1"/>
  <c r="Q866" i="3"/>
  <c r="U866" i="3"/>
  <c r="Y866" i="3"/>
  <c r="AO866" i="3"/>
  <c r="AW866" i="3"/>
  <c r="D866" i="3"/>
  <c r="AT866" i="3"/>
  <c r="F866" i="3"/>
  <c r="AF866" i="3"/>
  <c r="AJ866" i="3"/>
  <c r="K866" i="3"/>
  <c r="S866" i="3"/>
  <c r="W866" i="3"/>
  <c r="AM866" i="3"/>
  <c r="AQ866" i="3"/>
  <c r="A867" i="3"/>
  <c r="L866" i="3"/>
  <c r="AX866" i="3"/>
  <c r="AB866" i="3"/>
  <c r="AH866" i="3"/>
  <c r="M865" i="3"/>
  <c r="N865" i="3" s="1"/>
  <c r="AU865" i="3"/>
  <c r="AV865" i="3"/>
  <c r="O865" i="3"/>
  <c r="P865" i="3" s="1"/>
  <c r="D867" i="3" l="1"/>
  <c r="L867" i="3"/>
  <c r="AF867" i="3"/>
  <c r="AJ867" i="3"/>
  <c r="AX867" i="3"/>
  <c r="Q867" i="3"/>
  <c r="U867" i="3"/>
  <c r="Y867" i="3"/>
  <c r="AO867" i="3"/>
  <c r="AW867" i="3"/>
  <c r="A868" i="3"/>
  <c r="F867" i="3"/>
  <c r="AB867" i="3"/>
  <c r="AH867" i="3"/>
  <c r="AT867" i="3"/>
  <c r="E867" i="3"/>
  <c r="S867" i="3"/>
  <c r="W867" i="3"/>
  <c r="AM867" i="3"/>
  <c r="AQ867" i="3"/>
  <c r="K867" i="3"/>
  <c r="M866" i="3"/>
  <c r="N866" i="3" s="1"/>
  <c r="AU866" i="3"/>
  <c r="O866" i="3"/>
  <c r="P866" i="3" s="1"/>
  <c r="AV866" i="3"/>
  <c r="E868" i="3" l="1"/>
  <c r="Q868" i="3"/>
  <c r="U868" i="3"/>
  <c r="Y868" i="3"/>
  <c r="AO868" i="3"/>
  <c r="AW868" i="3"/>
  <c r="D868" i="3"/>
  <c r="AT868" i="3"/>
  <c r="F868" i="3"/>
  <c r="AF868" i="3"/>
  <c r="AJ868" i="3"/>
  <c r="K868" i="3"/>
  <c r="S868" i="3"/>
  <c r="W868" i="3"/>
  <c r="AM868" i="3"/>
  <c r="AQ868" i="3"/>
  <c r="A869" i="3"/>
  <c r="L868" i="3"/>
  <c r="AX868" i="3"/>
  <c r="AB868" i="3"/>
  <c r="AH868" i="3"/>
  <c r="M867" i="3"/>
  <c r="N867" i="3" s="1"/>
  <c r="AU867" i="3"/>
  <c r="AV867" i="3"/>
  <c r="O867" i="3"/>
  <c r="P867" i="3" s="1"/>
  <c r="D869" i="3" l="1"/>
  <c r="L869" i="3"/>
  <c r="AF869" i="3"/>
  <c r="AJ869" i="3"/>
  <c r="AX869" i="3"/>
  <c r="Q869" i="3"/>
  <c r="U869" i="3"/>
  <c r="Y869" i="3"/>
  <c r="AO869" i="3"/>
  <c r="AW869" i="3"/>
  <c r="A870" i="3"/>
  <c r="F869" i="3"/>
  <c r="AB869" i="3"/>
  <c r="AH869" i="3"/>
  <c r="AT869" i="3"/>
  <c r="E869" i="3"/>
  <c r="S869" i="3"/>
  <c r="W869" i="3"/>
  <c r="AM869" i="3"/>
  <c r="AQ869" i="3"/>
  <c r="K869" i="3"/>
  <c r="M868" i="3"/>
  <c r="N868" i="3" s="1"/>
  <c r="AU868" i="3"/>
  <c r="O868" i="3"/>
  <c r="P868" i="3" s="1"/>
  <c r="AV868" i="3"/>
  <c r="E870" i="3" l="1"/>
  <c r="Q870" i="3"/>
  <c r="U870" i="3"/>
  <c r="Y870" i="3"/>
  <c r="AO870" i="3"/>
  <c r="AW870" i="3"/>
  <c r="D870" i="3"/>
  <c r="AT870" i="3"/>
  <c r="F870" i="3"/>
  <c r="AF870" i="3"/>
  <c r="AJ870" i="3"/>
  <c r="K870" i="3"/>
  <c r="S870" i="3"/>
  <c r="W870" i="3"/>
  <c r="AM870" i="3"/>
  <c r="AQ870" i="3"/>
  <c r="A871" i="3"/>
  <c r="L870" i="3"/>
  <c r="AX870" i="3"/>
  <c r="AB870" i="3"/>
  <c r="AH870" i="3"/>
  <c r="M869" i="3"/>
  <c r="N869" i="3" s="1"/>
  <c r="AU869" i="3"/>
  <c r="AV869" i="3"/>
  <c r="O869" i="3"/>
  <c r="P869" i="3" s="1"/>
  <c r="D871" i="3" l="1"/>
  <c r="L871" i="3"/>
  <c r="AF871" i="3"/>
  <c r="AJ871" i="3"/>
  <c r="AX871" i="3"/>
  <c r="Q871" i="3"/>
  <c r="U871" i="3"/>
  <c r="Y871" i="3"/>
  <c r="AO871" i="3"/>
  <c r="AW871" i="3"/>
  <c r="A872" i="3"/>
  <c r="F871" i="3"/>
  <c r="AB871" i="3"/>
  <c r="AH871" i="3"/>
  <c r="AT871" i="3"/>
  <c r="E871" i="3"/>
  <c r="S871" i="3"/>
  <c r="W871" i="3"/>
  <c r="AM871" i="3"/>
  <c r="AQ871" i="3"/>
  <c r="K871" i="3"/>
  <c r="M870" i="3"/>
  <c r="N870" i="3" s="1"/>
  <c r="AU870" i="3"/>
  <c r="O870" i="3"/>
  <c r="P870" i="3" s="1"/>
  <c r="AV870" i="3"/>
  <c r="E872" i="3" l="1"/>
  <c r="Q872" i="3"/>
  <c r="U872" i="3"/>
  <c r="Y872" i="3"/>
  <c r="AO872" i="3"/>
  <c r="AW872" i="3"/>
  <c r="D872" i="3"/>
  <c r="AT872" i="3"/>
  <c r="F872" i="3"/>
  <c r="AF872" i="3"/>
  <c r="AJ872" i="3"/>
  <c r="K872" i="3"/>
  <c r="S872" i="3"/>
  <c r="W872" i="3"/>
  <c r="AM872" i="3"/>
  <c r="AQ872" i="3"/>
  <c r="A873" i="3"/>
  <c r="L872" i="3"/>
  <c r="AX872" i="3"/>
  <c r="AB872" i="3"/>
  <c r="AH872" i="3"/>
  <c r="M871" i="3"/>
  <c r="N871" i="3" s="1"/>
  <c r="AU871" i="3"/>
  <c r="AV871" i="3"/>
  <c r="O871" i="3"/>
  <c r="P871" i="3" s="1"/>
  <c r="D873" i="3" l="1"/>
  <c r="L873" i="3"/>
  <c r="AF873" i="3"/>
  <c r="AJ873" i="3"/>
  <c r="AX873" i="3"/>
  <c r="Q873" i="3"/>
  <c r="U873" i="3"/>
  <c r="Y873" i="3"/>
  <c r="AO873" i="3"/>
  <c r="AW873" i="3"/>
  <c r="A874" i="3"/>
  <c r="F873" i="3"/>
  <c r="AB873" i="3"/>
  <c r="AH873" i="3"/>
  <c r="AT873" i="3"/>
  <c r="E873" i="3"/>
  <c r="S873" i="3"/>
  <c r="W873" i="3"/>
  <c r="AM873" i="3"/>
  <c r="AQ873" i="3"/>
  <c r="K873" i="3"/>
  <c r="M872" i="3"/>
  <c r="N872" i="3" s="1"/>
  <c r="AU872" i="3"/>
  <c r="O872" i="3"/>
  <c r="P872" i="3" s="1"/>
  <c r="AV872" i="3"/>
  <c r="E874" i="3" l="1"/>
  <c r="Q874" i="3"/>
  <c r="U874" i="3"/>
  <c r="Y874" i="3"/>
  <c r="AO874" i="3"/>
  <c r="AW874" i="3"/>
  <c r="D874" i="3"/>
  <c r="AT874" i="3"/>
  <c r="F874" i="3"/>
  <c r="AF874" i="3"/>
  <c r="AJ874" i="3"/>
  <c r="K874" i="3"/>
  <c r="S874" i="3"/>
  <c r="W874" i="3"/>
  <c r="AM874" i="3"/>
  <c r="AQ874" i="3"/>
  <c r="A875" i="3"/>
  <c r="L874" i="3"/>
  <c r="AX874" i="3"/>
  <c r="AB874" i="3"/>
  <c r="AH874" i="3"/>
  <c r="M873" i="3"/>
  <c r="N873" i="3" s="1"/>
  <c r="AU873" i="3"/>
  <c r="AV873" i="3"/>
  <c r="O873" i="3"/>
  <c r="P873" i="3" s="1"/>
  <c r="D875" i="3" l="1"/>
  <c r="L875" i="3"/>
  <c r="AF875" i="3"/>
  <c r="AJ875" i="3"/>
  <c r="AX875" i="3"/>
  <c r="Q875" i="3"/>
  <c r="U875" i="3"/>
  <c r="Y875" i="3"/>
  <c r="AO875" i="3"/>
  <c r="AW875" i="3"/>
  <c r="A876" i="3"/>
  <c r="F875" i="3"/>
  <c r="AB875" i="3"/>
  <c r="AH875" i="3"/>
  <c r="AT875" i="3"/>
  <c r="E875" i="3"/>
  <c r="S875" i="3"/>
  <c r="W875" i="3"/>
  <c r="AM875" i="3"/>
  <c r="AQ875" i="3"/>
  <c r="K875" i="3"/>
  <c r="M874" i="3"/>
  <c r="N874" i="3" s="1"/>
  <c r="AU874" i="3"/>
  <c r="O874" i="3"/>
  <c r="P874" i="3" s="1"/>
  <c r="AV874" i="3"/>
  <c r="E876" i="3" l="1"/>
  <c r="Q876" i="3"/>
  <c r="U876" i="3"/>
  <c r="Y876" i="3"/>
  <c r="AO876" i="3"/>
  <c r="AW876" i="3"/>
  <c r="D876" i="3"/>
  <c r="AT876" i="3"/>
  <c r="F876" i="3"/>
  <c r="AF876" i="3"/>
  <c r="AJ876" i="3"/>
  <c r="K876" i="3"/>
  <c r="S876" i="3"/>
  <c r="W876" i="3"/>
  <c r="AM876" i="3"/>
  <c r="AQ876" i="3"/>
  <c r="A877" i="3"/>
  <c r="L876" i="3"/>
  <c r="AX876" i="3"/>
  <c r="AB876" i="3"/>
  <c r="AH876" i="3"/>
  <c r="M875" i="3"/>
  <c r="N875" i="3" s="1"/>
  <c r="AU875" i="3"/>
  <c r="AV875" i="3"/>
  <c r="O875" i="3"/>
  <c r="P875" i="3" s="1"/>
  <c r="D877" i="3" l="1"/>
  <c r="L877" i="3"/>
  <c r="AF877" i="3"/>
  <c r="AJ877" i="3"/>
  <c r="AX877" i="3"/>
  <c r="Q877" i="3"/>
  <c r="U877" i="3"/>
  <c r="Y877" i="3"/>
  <c r="AO877" i="3"/>
  <c r="AW877" i="3"/>
  <c r="A878" i="3"/>
  <c r="F877" i="3"/>
  <c r="AB877" i="3"/>
  <c r="AH877" i="3"/>
  <c r="AT877" i="3"/>
  <c r="E877" i="3"/>
  <c r="S877" i="3"/>
  <c r="W877" i="3"/>
  <c r="AM877" i="3"/>
  <c r="AQ877" i="3"/>
  <c r="K877" i="3"/>
  <c r="M876" i="3"/>
  <c r="N876" i="3" s="1"/>
  <c r="AU876" i="3"/>
  <c r="O876" i="3"/>
  <c r="P876" i="3" s="1"/>
  <c r="AV876" i="3"/>
  <c r="E878" i="3" l="1"/>
  <c r="Q878" i="3"/>
  <c r="U878" i="3"/>
  <c r="Y878" i="3"/>
  <c r="AO878" i="3"/>
  <c r="AW878" i="3"/>
  <c r="D878" i="3"/>
  <c r="AT878" i="3"/>
  <c r="F878" i="3"/>
  <c r="AF878" i="3"/>
  <c r="AJ878" i="3"/>
  <c r="K878" i="3"/>
  <c r="S878" i="3"/>
  <c r="W878" i="3"/>
  <c r="AM878" i="3"/>
  <c r="AQ878" i="3"/>
  <c r="A879" i="3"/>
  <c r="L878" i="3"/>
  <c r="AX878" i="3"/>
  <c r="AB878" i="3"/>
  <c r="AH878" i="3"/>
  <c r="M877" i="3"/>
  <c r="N877" i="3" s="1"/>
  <c r="AU877" i="3"/>
  <c r="AV877" i="3"/>
  <c r="O877" i="3"/>
  <c r="P877" i="3" s="1"/>
  <c r="D879" i="3" l="1"/>
  <c r="L879" i="3"/>
  <c r="AF879" i="3"/>
  <c r="AJ879" i="3"/>
  <c r="AX879" i="3"/>
  <c r="Q879" i="3"/>
  <c r="U879" i="3"/>
  <c r="Y879" i="3"/>
  <c r="AO879" i="3"/>
  <c r="AW879" i="3"/>
  <c r="A880" i="3"/>
  <c r="F879" i="3"/>
  <c r="AB879" i="3"/>
  <c r="AH879" i="3"/>
  <c r="AT879" i="3"/>
  <c r="E879" i="3"/>
  <c r="S879" i="3"/>
  <c r="W879" i="3"/>
  <c r="AM879" i="3"/>
  <c r="AQ879" i="3"/>
  <c r="K879" i="3"/>
  <c r="M878" i="3"/>
  <c r="N878" i="3" s="1"/>
  <c r="AU878" i="3"/>
  <c r="O878" i="3"/>
  <c r="P878" i="3" s="1"/>
  <c r="AV878" i="3"/>
  <c r="E880" i="3" l="1"/>
  <c r="Q880" i="3"/>
  <c r="U880" i="3"/>
  <c r="Y880" i="3"/>
  <c r="AO880" i="3"/>
  <c r="AW880" i="3"/>
  <c r="D880" i="3"/>
  <c r="AT880" i="3"/>
  <c r="F880" i="3"/>
  <c r="AF880" i="3"/>
  <c r="AJ880" i="3"/>
  <c r="K880" i="3"/>
  <c r="S880" i="3"/>
  <c r="W880" i="3"/>
  <c r="AM880" i="3"/>
  <c r="AQ880" i="3"/>
  <c r="A881" i="3"/>
  <c r="L880" i="3"/>
  <c r="AX880" i="3"/>
  <c r="AB880" i="3"/>
  <c r="AH880" i="3"/>
  <c r="M879" i="3"/>
  <c r="N879" i="3" s="1"/>
  <c r="AU879" i="3"/>
  <c r="AV879" i="3"/>
  <c r="O879" i="3"/>
  <c r="P879" i="3" s="1"/>
  <c r="D881" i="3" l="1"/>
  <c r="L881" i="3"/>
  <c r="AF881" i="3"/>
  <c r="AJ881" i="3"/>
  <c r="AX881" i="3"/>
  <c r="Q881" i="3"/>
  <c r="U881" i="3"/>
  <c r="Y881" i="3"/>
  <c r="AO881" i="3"/>
  <c r="AW881" i="3"/>
  <c r="A882" i="3"/>
  <c r="F881" i="3"/>
  <c r="AB881" i="3"/>
  <c r="AH881" i="3"/>
  <c r="AT881" i="3"/>
  <c r="E881" i="3"/>
  <c r="S881" i="3"/>
  <c r="W881" i="3"/>
  <c r="AM881" i="3"/>
  <c r="AQ881" i="3"/>
  <c r="K881" i="3"/>
  <c r="M880" i="3"/>
  <c r="N880" i="3" s="1"/>
  <c r="AU880" i="3"/>
  <c r="O880" i="3"/>
  <c r="P880" i="3" s="1"/>
  <c r="AV880" i="3"/>
  <c r="E882" i="3" l="1"/>
  <c r="Q882" i="3"/>
  <c r="U882" i="3"/>
  <c r="Y882" i="3"/>
  <c r="AO882" i="3"/>
  <c r="AW882" i="3"/>
  <c r="D882" i="3"/>
  <c r="AT882" i="3"/>
  <c r="F882" i="3"/>
  <c r="AF882" i="3"/>
  <c r="AJ882" i="3"/>
  <c r="K882" i="3"/>
  <c r="S882" i="3"/>
  <c r="W882" i="3"/>
  <c r="AM882" i="3"/>
  <c r="AQ882" i="3"/>
  <c r="A883" i="3"/>
  <c r="L882" i="3"/>
  <c r="AX882" i="3"/>
  <c r="AB882" i="3"/>
  <c r="AH882" i="3"/>
  <c r="M881" i="3"/>
  <c r="N881" i="3" s="1"/>
  <c r="AU881" i="3"/>
  <c r="AV881" i="3"/>
  <c r="O881" i="3"/>
  <c r="P881" i="3" s="1"/>
  <c r="D883" i="3" l="1"/>
  <c r="L883" i="3"/>
  <c r="AF883" i="3"/>
  <c r="AJ883" i="3"/>
  <c r="AX883" i="3"/>
  <c r="Q883" i="3"/>
  <c r="U883" i="3"/>
  <c r="Y883" i="3"/>
  <c r="AO883" i="3"/>
  <c r="AW883" i="3"/>
  <c r="A884" i="3"/>
  <c r="F883" i="3"/>
  <c r="AB883" i="3"/>
  <c r="AH883" i="3"/>
  <c r="AT883" i="3"/>
  <c r="E883" i="3"/>
  <c r="S883" i="3"/>
  <c r="W883" i="3"/>
  <c r="AM883" i="3"/>
  <c r="AQ883" i="3"/>
  <c r="K883" i="3"/>
  <c r="M882" i="3"/>
  <c r="N882" i="3" s="1"/>
  <c r="AU882" i="3"/>
  <c r="O882" i="3"/>
  <c r="P882" i="3" s="1"/>
  <c r="AV882" i="3"/>
  <c r="E884" i="3" l="1"/>
  <c r="Q884" i="3"/>
  <c r="U884" i="3"/>
  <c r="Y884" i="3"/>
  <c r="AO884" i="3"/>
  <c r="AW884" i="3"/>
  <c r="D884" i="3"/>
  <c r="AT884" i="3"/>
  <c r="F884" i="3"/>
  <c r="AF884" i="3"/>
  <c r="AJ884" i="3"/>
  <c r="K884" i="3"/>
  <c r="S884" i="3"/>
  <c r="W884" i="3"/>
  <c r="AM884" i="3"/>
  <c r="AQ884" i="3"/>
  <c r="A885" i="3"/>
  <c r="L884" i="3"/>
  <c r="AX884" i="3"/>
  <c r="AB884" i="3"/>
  <c r="AH884" i="3"/>
  <c r="M883" i="3"/>
  <c r="N883" i="3" s="1"/>
  <c r="AU883" i="3"/>
  <c r="AV883" i="3"/>
  <c r="O883" i="3"/>
  <c r="P883" i="3" s="1"/>
  <c r="D885" i="3" l="1"/>
  <c r="L885" i="3"/>
  <c r="AF885" i="3"/>
  <c r="AJ885" i="3"/>
  <c r="AX885" i="3"/>
  <c r="Q885" i="3"/>
  <c r="U885" i="3"/>
  <c r="Y885" i="3"/>
  <c r="AO885" i="3"/>
  <c r="AW885" i="3"/>
  <c r="A886" i="3"/>
  <c r="F885" i="3"/>
  <c r="AB885" i="3"/>
  <c r="AH885" i="3"/>
  <c r="AT885" i="3"/>
  <c r="E885" i="3"/>
  <c r="S885" i="3"/>
  <c r="W885" i="3"/>
  <c r="AM885" i="3"/>
  <c r="AQ885" i="3"/>
  <c r="K885" i="3"/>
  <c r="M884" i="3"/>
  <c r="N884" i="3" s="1"/>
  <c r="AU884" i="3"/>
  <c r="O884" i="3"/>
  <c r="P884" i="3" s="1"/>
  <c r="AV884" i="3"/>
  <c r="E886" i="3" l="1"/>
  <c r="Q886" i="3"/>
  <c r="U886" i="3"/>
  <c r="Y886" i="3"/>
  <c r="AO886" i="3"/>
  <c r="AW886" i="3"/>
  <c r="D886" i="3"/>
  <c r="AT886" i="3"/>
  <c r="F886" i="3"/>
  <c r="AF886" i="3"/>
  <c r="AJ886" i="3"/>
  <c r="K886" i="3"/>
  <c r="S886" i="3"/>
  <c r="W886" i="3"/>
  <c r="AM886" i="3"/>
  <c r="AQ886" i="3"/>
  <c r="A887" i="3"/>
  <c r="L886" i="3"/>
  <c r="AX886" i="3"/>
  <c r="AB886" i="3"/>
  <c r="AH886" i="3"/>
  <c r="M885" i="3"/>
  <c r="N885" i="3" s="1"/>
  <c r="AU885" i="3"/>
  <c r="AV885" i="3"/>
  <c r="O885" i="3"/>
  <c r="P885" i="3" s="1"/>
  <c r="D887" i="3" l="1"/>
  <c r="L887" i="3"/>
  <c r="AF887" i="3"/>
  <c r="AJ887" i="3"/>
  <c r="AX887" i="3"/>
  <c r="Q887" i="3"/>
  <c r="U887" i="3"/>
  <c r="Y887" i="3"/>
  <c r="AO887" i="3"/>
  <c r="AW887" i="3"/>
  <c r="A888" i="3"/>
  <c r="F887" i="3"/>
  <c r="AB887" i="3"/>
  <c r="AH887" i="3"/>
  <c r="AT887" i="3"/>
  <c r="E887" i="3"/>
  <c r="S887" i="3"/>
  <c r="W887" i="3"/>
  <c r="AM887" i="3"/>
  <c r="AQ887" i="3"/>
  <c r="K887" i="3"/>
  <c r="M886" i="3"/>
  <c r="N886" i="3" s="1"/>
  <c r="AU886" i="3"/>
  <c r="O886" i="3"/>
  <c r="P886" i="3" s="1"/>
  <c r="AV886" i="3"/>
  <c r="E888" i="3" l="1"/>
  <c r="Q888" i="3"/>
  <c r="U888" i="3"/>
  <c r="Y888" i="3"/>
  <c r="AO888" i="3"/>
  <c r="AW888" i="3"/>
  <c r="D888" i="3"/>
  <c r="AT888" i="3"/>
  <c r="F888" i="3"/>
  <c r="AF888" i="3"/>
  <c r="AJ888" i="3"/>
  <c r="K888" i="3"/>
  <c r="S888" i="3"/>
  <c r="W888" i="3"/>
  <c r="AM888" i="3"/>
  <c r="AQ888" i="3"/>
  <c r="A889" i="3"/>
  <c r="L888" i="3"/>
  <c r="AX888" i="3"/>
  <c r="AB888" i="3"/>
  <c r="AH888" i="3"/>
  <c r="M887" i="3"/>
  <c r="N887" i="3" s="1"/>
  <c r="AU887" i="3"/>
  <c r="AV887" i="3"/>
  <c r="O887" i="3"/>
  <c r="P887" i="3" s="1"/>
  <c r="D889" i="3" l="1"/>
  <c r="L889" i="3"/>
  <c r="AF889" i="3"/>
  <c r="AJ889" i="3"/>
  <c r="AX889" i="3"/>
  <c r="Q889" i="3"/>
  <c r="U889" i="3"/>
  <c r="Y889" i="3"/>
  <c r="AO889" i="3"/>
  <c r="AW889" i="3"/>
  <c r="A890" i="3"/>
  <c r="F889" i="3"/>
  <c r="AB889" i="3"/>
  <c r="AH889" i="3"/>
  <c r="AT889" i="3"/>
  <c r="E889" i="3"/>
  <c r="S889" i="3"/>
  <c r="W889" i="3"/>
  <c r="AM889" i="3"/>
  <c r="AQ889" i="3"/>
  <c r="K889" i="3"/>
  <c r="M888" i="3"/>
  <c r="N888" i="3" s="1"/>
  <c r="AU888" i="3"/>
  <c r="O888" i="3"/>
  <c r="P888" i="3" s="1"/>
  <c r="AV888" i="3"/>
  <c r="E890" i="3" l="1"/>
  <c r="Q890" i="3"/>
  <c r="U890" i="3"/>
  <c r="Y890" i="3"/>
  <c r="AO890" i="3"/>
  <c r="AW890" i="3"/>
  <c r="D890" i="3"/>
  <c r="AT890" i="3"/>
  <c r="F890" i="3"/>
  <c r="AF890" i="3"/>
  <c r="AJ890" i="3"/>
  <c r="K890" i="3"/>
  <c r="S890" i="3"/>
  <c r="W890" i="3"/>
  <c r="AM890" i="3"/>
  <c r="AQ890" i="3"/>
  <c r="A891" i="3"/>
  <c r="L890" i="3"/>
  <c r="AX890" i="3"/>
  <c r="AB890" i="3"/>
  <c r="AH890" i="3"/>
  <c r="M889" i="3"/>
  <c r="N889" i="3" s="1"/>
  <c r="AU889" i="3"/>
  <c r="AV889" i="3"/>
  <c r="O889" i="3"/>
  <c r="P889" i="3" s="1"/>
  <c r="D891" i="3" l="1"/>
  <c r="L891" i="3"/>
  <c r="AF891" i="3"/>
  <c r="AJ891" i="3"/>
  <c r="AX891" i="3"/>
  <c r="Q891" i="3"/>
  <c r="U891" i="3"/>
  <c r="Y891" i="3"/>
  <c r="AO891" i="3"/>
  <c r="AW891" i="3"/>
  <c r="A892" i="3"/>
  <c r="F891" i="3"/>
  <c r="AB891" i="3"/>
  <c r="AH891" i="3"/>
  <c r="AT891" i="3"/>
  <c r="E891" i="3"/>
  <c r="S891" i="3"/>
  <c r="W891" i="3"/>
  <c r="AM891" i="3"/>
  <c r="AQ891" i="3"/>
  <c r="K891" i="3"/>
  <c r="M890" i="3"/>
  <c r="N890" i="3" s="1"/>
  <c r="AU890" i="3"/>
  <c r="O890" i="3"/>
  <c r="P890" i="3" s="1"/>
  <c r="AV890" i="3"/>
  <c r="K892" i="3" l="1"/>
  <c r="S892" i="3"/>
  <c r="W892" i="3"/>
  <c r="AM892" i="3"/>
  <c r="AQ892" i="3"/>
  <c r="A893" i="3"/>
  <c r="L892" i="3"/>
  <c r="AX892" i="3"/>
  <c r="AB892" i="3"/>
  <c r="AH892" i="3"/>
  <c r="E892" i="3"/>
  <c r="Q892" i="3"/>
  <c r="U892" i="3"/>
  <c r="Y892" i="3"/>
  <c r="AO892" i="3"/>
  <c r="AW892" i="3"/>
  <c r="D892" i="3"/>
  <c r="AT892" i="3"/>
  <c r="F892" i="3"/>
  <c r="AF892" i="3"/>
  <c r="AJ892" i="3"/>
  <c r="AV891" i="3"/>
  <c r="O891" i="3"/>
  <c r="P891" i="3" s="1"/>
  <c r="M891" i="3"/>
  <c r="N891" i="3" s="1"/>
  <c r="AU891" i="3"/>
  <c r="D893" i="3" l="1"/>
  <c r="L893" i="3"/>
  <c r="AF893" i="3"/>
  <c r="AJ893" i="3"/>
  <c r="AX893" i="3"/>
  <c r="Q893" i="3"/>
  <c r="U893" i="3"/>
  <c r="Y893" i="3"/>
  <c r="AO893" i="3"/>
  <c r="AW893" i="3"/>
  <c r="A894" i="3"/>
  <c r="F893" i="3"/>
  <c r="AB893" i="3"/>
  <c r="AH893" i="3"/>
  <c r="AT893" i="3"/>
  <c r="E893" i="3"/>
  <c r="S893" i="3"/>
  <c r="W893" i="3"/>
  <c r="AM893" i="3"/>
  <c r="AQ893" i="3"/>
  <c r="K893" i="3"/>
  <c r="M892" i="3"/>
  <c r="N892" i="3" s="1"/>
  <c r="AU892" i="3"/>
  <c r="O892" i="3"/>
  <c r="P892" i="3" s="1"/>
  <c r="AV892" i="3"/>
  <c r="E894" i="3" l="1"/>
  <c r="Q894" i="3"/>
  <c r="U894" i="3"/>
  <c r="Y894" i="3"/>
  <c r="AO894" i="3"/>
  <c r="AW894" i="3"/>
  <c r="D894" i="3"/>
  <c r="AT894" i="3"/>
  <c r="F894" i="3"/>
  <c r="AF894" i="3"/>
  <c r="AJ894" i="3"/>
  <c r="K894" i="3"/>
  <c r="S894" i="3"/>
  <c r="W894" i="3"/>
  <c r="AM894" i="3"/>
  <c r="AQ894" i="3"/>
  <c r="A895" i="3"/>
  <c r="L894" i="3"/>
  <c r="AX894" i="3"/>
  <c r="AB894" i="3"/>
  <c r="AH894" i="3"/>
  <c r="M893" i="3"/>
  <c r="N893" i="3" s="1"/>
  <c r="AU893" i="3"/>
  <c r="AV893" i="3"/>
  <c r="O893" i="3"/>
  <c r="P893" i="3" s="1"/>
  <c r="A896" i="3" l="1"/>
  <c r="F895" i="3"/>
  <c r="AB895" i="3"/>
  <c r="AH895" i="3"/>
  <c r="AT895" i="3"/>
  <c r="E895" i="3"/>
  <c r="S895" i="3"/>
  <c r="W895" i="3"/>
  <c r="AM895" i="3"/>
  <c r="AQ895" i="3"/>
  <c r="K895" i="3"/>
  <c r="D895" i="3"/>
  <c r="L895" i="3"/>
  <c r="AF895" i="3"/>
  <c r="AJ895" i="3"/>
  <c r="AX895" i="3"/>
  <c r="Q895" i="3"/>
  <c r="U895" i="3"/>
  <c r="Y895" i="3"/>
  <c r="AO895" i="3"/>
  <c r="AW895" i="3"/>
  <c r="O894" i="3"/>
  <c r="P894" i="3" s="1"/>
  <c r="AV894" i="3"/>
  <c r="M894" i="3"/>
  <c r="N894" i="3" s="1"/>
  <c r="AU894" i="3"/>
  <c r="AV895" i="3" l="1"/>
  <c r="O895" i="3"/>
  <c r="P895" i="3" s="1"/>
  <c r="M895" i="3"/>
  <c r="N895" i="3" s="1"/>
  <c r="AU895" i="3"/>
  <c r="E896" i="3"/>
  <c r="D896" i="3"/>
  <c r="F896" i="3"/>
  <c r="S896" i="3"/>
  <c r="W896" i="3"/>
  <c r="AM896" i="3"/>
  <c r="AQ896" i="3"/>
  <c r="K896" i="3"/>
  <c r="AB896" i="3"/>
  <c r="AH896" i="3"/>
  <c r="U896" i="3"/>
  <c r="Y896" i="3"/>
  <c r="AO896" i="3"/>
  <c r="A897" i="3"/>
  <c r="AT896" i="3"/>
  <c r="AF896" i="3"/>
  <c r="AJ896" i="3"/>
  <c r="Q896" i="3"/>
  <c r="L896" i="3" s="1"/>
  <c r="AX896" i="3"/>
  <c r="F897" i="3" l="1"/>
  <c r="AB897" i="3"/>
  <c r="AH897" i="3"/>
  <c r="AT897" i="3"/>
  <c r="E897" i="3"/>
  <c r="S897" i="3"/>
  <c r="W897" i="3"/>
  <c r="AM897" i="3"/>
  <c r="AQ897" i="3"/>
  <c r="K897" i="3"/>
  <c r="D897" i="3"/>
  <c r="L897" i="3"/>
  <c r="AF897" i="3"/>
  <c r="AJ897" i="3"/>
  <c r="AX897" i="3"/>
  <c r="Q897" i="3"/>
  <c r="U897" i="3"/>
  <c r="Y897" i="3"/>
  <c r="AO897" i="3"/>
  <c r="AW897" i="3"/>
  <c r="A898" i="3"/>
  <c r="O896" i="3"/>
  <c r="P896" i="3" s="1"/>
  <c r="AV896" i="3"/>
  <c r="M896" i="3"/>
  <c r="N896" i="3" s="1"/>
  <c r="AU896" i="3"/>
  <c r="AW896" i="3" s="1"/>
  <c r="E898" i="3" l="1"/>
  <c r="Q898" i="3"/>
  <c r="U898" i="3"/>
  <c r="Y898" i="3"/>
  <c r="AO898" i="3"/>
  <c r="AW898" i="3"/>
  <c r="D898" i="3"/>
  <c r="AT898" i="3"/>
  <c r="F898" i="3"/>
  <c r="AF898" i="3"/>
  <c r="AJ898" i="3"/>
  <c r="K898" i="3"/>
  <c r="S898" i="3"/>
  <c r="W898" i="3"/>
  <c r="AM898" i="3"/>
  <c r="AQ898" i="3"/>
  <c r="A899" i="3"/>
  <c r="L898" i="3"/>
  <c r="AX898" i="3"/>
  <c r="AB898" i="3"/>
  <c r="AH898" i="3"/>
  <c r="M897" i="3"/>
  <c r="N897" i="3" s="1"/>
  <c r="AU897" i="3"/>
  <c r="AV897" i="3"/>
  <c r="O897" i="3"/>
  <c r="P897" i="3" s="1"/>
  <c r="D899" i="3" l="1"/>
  <c r="L899" i="3"/>
  <c r="AF899" i="3"/>
  <c r="AJ899" i="3"/>
  <c r="AX899" i="3"/>
  <c r="Q899" i="3"/>
  <c r="U899" i="3"/>
  <c r="Y899" i="3"/>
  <c r="AO899" i="3"/>
  <c r="AW899" i="3"/>
  <c r="A900" i="3"/>
  <c r="F899" i="3"/>
  <c r="AB899" i="3"/>
  <c r="AH899" i="3"/>
  <c r="AT899" i="3"/>
  <c r="E899" i="3"/>
  <c r="S899" i="3"/>
  <c r="W899" i="3"/>
  <c r="AM899" i="3"/>
  <c r="AQ899" i="3"/>
  <c r="K899" i="3"/>
  <c r="M898" i="3"/>
  <c r="N898" i="3" s="1"/>
  <c r="AU898" i="3"/>
  <c r="O898" i="3"/>
  <c r="P898" i="3" s="1"/>
  <c r="AV898" i="3"/>
  <c r="E900" i="3" l="1"/>
  <c r="Q900" i="3"/>
  <c r="U900" i="3"/>
  <c r="Y900" i="3"/>
  <c r="AO900" i="3"/>
  <c r="AW900" i="3"/>
  <c r="D900" i="3"/>
  <c r="AT900" i="3"/>
  <c r="F900" i="3"/>
  <c r="AF900" i="3"/>
  <c r="AJ900" i="3"/>
  <c r="K900" i="3"/>
  <c r="S900" i="3"/>
  <c r="W900" i="3"/>
  <c r="AM900" i="3"/>
  <c r="AQ900" i="3"/>
  <c r="A901" i="3"/>
  <c r="L900" i="3"/>
  <c r="AX900" i="3"/>
  <c r="AB900" i="3"/>
  <c r="AH900" i="3"/>
  <c r="M899" i="3"/>
  <c r="N899" i="3" s="1"/>
  <c r="AU899" i="3"/>
  <c r="AV899" i="3"/>
  <c r="O899" i="3"/>
  <c r="P899" i="3" s="1"/>
  <c r="D901" i="3" l="1"/>
  <c r="L901" i="3"/>
  <c r="AF901" i="3"/>
  <c r="AJ901" i="3"/>
  <c r="AX901" i="3"/>
  <c r="Q901" i="3"/>
  <c r="U901" i="3"/>
  <c r="Y901" i="3"/>
  <c r="AO901" i="3"/>
  <c r="AW901" i="3"/>
  <c r="A902" i="3"/>
  <c r="F901" i="3"/>
  <c r="AB901" i="3"/>
  <c r="AH901" i="3"/>
  <c r="AT901" i="3"/>
  <c r="E901" i="3"/>
  <c r="S901" i="3"/>
  <c r="W901" i="3"/>
  <c r="AM901" i="3"/>
  <c r="AQ901" i="3"/>
  <c r="K901" i="3"/>
  <c r="M900" i="3"/>
  <c r="N900" i="3" s="1"/>
  <c r="AU900" i="3"/>
  <c r="O900" i="3"/>
  <c r="P900" i="3" s="1"/>
  <c r="AV900" i="3"/>
  <c r="E902" i="3" l="1"/>
  <c r="Q902" i="3"/>
  <c r="U902" i="3"/>
  <c r="Y902" i="3"/>
  <c r="AO902" i="3"/>
  <c r="AW902" i="3"/>
  <c r="D902" i="3"/>
  <c r="AT902" i="3"/>
  <c r="F902" i="3"/>
  <c r="AF902" i="3"/>
  <c r="AJ902" i="3"/>
  <c r="K902" i="3"/>
  <c r="S902" i="3"/>
  <c r="W902" i="3"/>
  <c r="AM902" i="3"/>
  <c r="AQ902" i="3"/>
  <c r="A903" i="3"/>
  <c r="L902" i="3"/>
  <c r="AX902" i="3"/>
  <c r="AB902" i="3"/>
  <c r="AH902" i="3"/>
  <c r="M901" i="3"/>
  <c r="N901" i="3" s="1"/>
  <c r="AU901" i="3"/>
  <c r="AV901" i="3"/>
  <c r="O901" i="3"/>
  <c r="P901" i="3" s="1"/>
  <c r="D903" i="3" l="1"/>
  <c r="L903" i="3"/>
  <c r="AF903" i="3"/>
  <c r="AJ903" i="3"/>
  <c r="AX903" i="3"/>
  <c r="Q903" i="3"/>
  <c r="U903" i="3"/>
  <c r="Y903" i="3"/>
  <c r="AO903" i="3"/>
  <c r="AW903" i="3"/>
  <c r="A904" i="3"/>
  <c r="F903" i="3"/>
  <c r="AB903" i="3"/>
  <c r="AH903" i="3"/>
  <c r="AT903" i="3"/>
  <c r="E903" i="3"/>
  <c r="S903" i="3"/>
  <c r="W903" i="3"/>
  <c r="AM903" i="3"/>
  <c r="AQ903" i="3"/>
  <c r="K903" i="3"/>
  <c r="M902" i="3"/>
  <c r="N902" i="3" s="1"/>
  <c r="AU902" i="3"/>
  <c r="O902" i="3"/>
  <c r="P902" i="3" s="1"/>
  <c r="AV902" i="3"/>
  <c r="E904" i="3" l="1"/>
  <c r="Q904" i="3"/>
  <c r="U904" i="3"/>
  <c r="Y904" i="3"/>
  <c r="AO904" i="3"/>
  <c r="AW904" i="3"/>
  <c r="D904" i="3"/>
  <c r="AT904" i="3"/>
  <c r="F904" i="3"/>
  <c r="AF904" i="3"/>
  <c r="AJ904" i="3"/>
  <c r="K904" i="3"/>
  <c r="S904" i="3"/>
  <c r="W904" i="3"/>
  <c r="AM904" i="3"/>
  <c r="AQ904" i="3"/>
  <c r="A905" i="3"/>
  <c r="L904" i="3"/>
  <c r="AX904" i="3"/>
  <c r="AB904" i="3"/>
  <c r="AH904" i="3"/>
  <c r="M903" i="3"/>
  <c r="N903" i="3" s="1"/>
  <c r="AU903" i="3"/>
  <c r="AV903" i="3"/>
  <c r="O903" i="3"/>
  <c r="P903" i="3" s="1"/>
  <c r="D905" i="3" l="1"/>
  <c r="L905" i="3"/>
  <c r="AF905" i="3"/>
  <c r="AJ905" i="3"/>
  <c r="AX905" i="3"/>
  <c r="Q905" i="3"/>
  <c r="U905" i="3"/>
  <c r="Y905" i="3"/>
  <c r="AO905" i="3"/>
  <c r="AW905" i="3"/>
  <c r="A906" i="3"/>
  <c r="F905" i="3"/>
  <c r="AB905" i="3"/>
  <c r="AH905" i="3"/>
  <c r="AT905" i="3"/>
  <c r="E905" i="3"/>
  <c r="S905" i="3"/>
  <c r="W905" i="3"/>
  <c r="AM905" i="3"/>
  <c r="AQ905" i="3"/>
  <c r="K905" i="3"/>
  <c r="M904" i="3"/>
  <c r="N904" i="3" s="1"/>
  <c r="AU904" i="3"/>
  <c r="O904" i="3"/>
  <c r="P904" i="3" s="1"/>
  <c r="AV904" i="3"/>
  <c r="E906" i="3" l="1"/>
  <c r="Q906" i="3"/>
  <c r="U906" i="3"/>
  <c r="Y906" i="3"/>
  <c r="AO906" i="3"/>
  <c r="AW906" i="3"/>
  <c r="D906" i="3"/>
  <c r="AT906" i="3"/>
  <c r="F906" i="3"/>
  <c r="AF906" i="3"/>
  <c r="AJ906" i="3"/>
  <c r="K906" i="3"/>
  <c r="S906" i="3"/>
  <c r="W906" i="3"/>
  <c r="AM906" i="3"/>
  <c r="AQ906" i="3"/>
  <c r="A907" i="3"/>
  <c r="L906" i="3"/>
  <c r="AX906" i="3"/>
  <c r="AB906" i="3"/>
  <c r="AH906" i="3"/>
  <c r="M905" i="3"/>
  <c r="N905" i="3" s="1"/>
  <c r="AU905" i="3"/>
  <c r="AV905" i="3"/>
  <c r="O905" i="3"/>
  <c r="P905" i="3" s="1"/>
  <c r="D907" i="3" l="1"/>
  <c r="L907" i="3"/>
  <c r="AF907" i="3"/>
  <c r="AJ907" i="3"/>
  <c r="AX907" i="3"/>
  <c r="Q907" i="3"/>
  <c r="U907" i="3"/>
  <c r="Y907" i="3"/>
  <c r="AO907" i="3"/>
  <c r="AW907" i="3"/>
  <c r="A908" i="3"/>
  <c r="F907" i="3"/>
  <c r="AB907" i="3"/>
  <c r="AH907" i="3"/>
  <c r="AT907" i="3"/>
  <c r="E907" i="3"/>
  <c r="S907" i="3"/>
  <c r="W907" i="3"/>
  <c r="AM907" i="3"/>
  <c r="AQ907" i="3"/>
  <c r="K907" i="3"/>
  <c r="M906" i="3"/>
  <c r="N906" i="3" s="1"/>
  <c r="AU906" i="3"/>
  <c r="O906" i="3"/>
  <c r="P906" i="3" s="1"/>
  <c r="AV906" i="3"/>
  <c r="E908" i="3" l="1"/>
  <c r="Q908" i="3"/>
  <c r="U908" i="3"/>
  <c r="Y908" i="3"/>
  <c r="AO908" i="3"/>
  <c r="AW908" i="3"/>
  <c r="D908" i="3"/>
  <c r="AT908" i="3"/>
  <c r="F908" i="3"/>
  <c r="AF908" i="3"/>
  <c r="AJ908" i="3"/>
  <c r="K908" i="3"/>
  <c r="S908" i="3"/>
  <c r="W908" i="3"/>
  <c r="AM908" i="3"/>
  <c r="AQ908" i="3"/>
  <c r="A909" i="3"/>
  <c r="L908" i="3"/>
  <c r="AX908" i="3"/>
  <c r="AB908" i="3"/>
  <c r="AH908" i="3"/>
  <c r="M907" i="3"/>
  <c r="N907" i="3" s="1"/>
  <c r="AU907" i="3"/>
  <c r="AV907" i="3"/>
  <c r="O907" i="3"/>
  <c r="P907" i="3" s="1"/>
  <c r="D909" i="3" l="1"/>
  <c r="L909" i="3"/>
  <c r="AF909" i="3"/>
  <c r="AJ909" i="3"/>
  <c r="AX909" i="3"/>
  <c r="Q909" i="3"/>
  <c r="U909" i="3"/>
  <c r="Y909" i="3"/>
  <c r="AO909" i="3"/>
  <c r="AW909" i="3"/>
  <c r="A910" i="3"/>
  <c r="F909" i="3"/>
  <c r="AB909" i="3"/>
  <c r="AH909" i="3"/>
  <c r="AT909" i="3"/>
  <c r="E909" i="3"/>
  <c r="S909" i="3"/>
  <c r="W909" i="3"/>
  <c r="AM909" i="3"/>
  <c r="AQ909" i="3"/>
  <c r="K909" i="3"/>
  <c r="M908" i="3"/>
  <c r="N908" i="3" s="1"/>
  <c r="AU908" i="3"/>
  <c r="O908" i="3"/>
  <c r="P908" i="3" s="1"/>
  <c r="AV908" i="3"/>
  <c r="E910" i="3" l="1"/>
  <c r="Q910" i="3"/>
  <c r="U910" i="3"/>
  <c r="Y910" i="3"/>
  <c r="AO910" i="3"/>
  <c r="AW910" i="3"/>
  <c r="D910" i="3"/>
  <c r="AT910" i="3"/>
  <c r="F910" i="3"/>
  <c r="AF910" i="3"/>
  <c r="AJ910" i="3"/>
  <c r="K910" i="3"/>
  <c r="S910" i="3"/>
  <c r="W910" i="3"/>
  <c r="AM910" i="3"/>
  <c r="AQ910" i="3"/>
  <c r="A911" i="3"/>
  <c r="L910" i="3"/>
  <c r="AX910" i="3"/>
  <c r="AB910" i="3"/>
  <c r="AH910" i="3"/>
  <c r="M909" i="3"/>
  <c r="N909" i="3" s="1"/>
  <c r="AU909" i="3"/>
  <c r="AV909" i="3"/>
  <c r="O909" i="3"/>
  <c r="P909" i="3" s="1"/>
  <c r="D911" i="3" l="1"/>
  <c r="L911" i="3"/>
  <c r="AF911" i="3"/>
  <c r="AJ911" i="3"/>
  <c r="AX911" i="3"/>
  <c r="Q911" i="3"/>
  <c r="U911" i="3"/>
  <c r="Y911" i="3"/>
  <c r="AO911" i="3"/>
  <c r="AW911" i="3"/>
  <c r="A912" i="3"/>
  <c r="F911" i="3"/>
  <c r="AB911" i="3"/>
  <c r="AH911" i="3"/>
  <c r="AT911" i="3"/>
  <c r="E911" i="3"/>
  <c r="S911" i="3"/>
  <c r="W911" i="3"/>
  <c r="AM911" i="3"/>
  <c r="AQ911" i="3"/>
  <c r="K911" i="3"/>
  <c r="M910" i="3"/>
  <c r="N910" i="3" s="1"/>
  <c r="AU910" i="3"/>
  <c r="O910" i="3"/>
  <c r="P910" i="3" s="1"/>
  <c r="AV910" i="3"/>
  <c r="E912" i="3" l="1"/>
  <c r="Q912" i="3"/>
  <c r="U912" i="3"/>
  <c r="Y912" i="3"/>
  <c r="AO912" i="3"/>
  <c r="AW912" i="3"/>
  <c r="D912" i="3"/>
  <c r="AT912" i="3"/>
  <c r="F912" i="3"/>
  <c r="AF912" i="3"/>
  <c r="AJ912" i="3"/>
  <c r="K912" i="3"/>
  <c r="S912" i="3"/>
  <c r="W912" i="3"/>
  <c r="AM912" i="3"/>
  <c r="AQ912" i="3"/>
  <c r="A913" i="3"/>
  <c r="L912" i="3"/>
  <c r="AX912" i="3"/>
  <c r="AB912" i="3"/>
  <c r="AH912" i="3"/>
  <c r="M911" i="3"/>
  <c r="N911" i="3" s="1"/>
  <c r="AU911" i="3"/>
  <c r="AV911" i="3"/>
  <c r="O911" i="3"/>
  <c r="P911" i="3" s="1"/>
  <c r="F913" i="3" l="1"/>
  <c r="AB913" i="3"/>
  <c r="AH913" i="3"/>
  <c r="AT913" i="3"/>
  <c r="E913" i="3"/>
  <c r="S913" i="3"/>
  <c r="W913" i="3"/>
  <c r="AM913" i="3"/>
  <c r="AQ913" i="3"/>
  <c r="K913" i="3"/>
  <c r="D913" i="3"/>
  <c r="L913" i="3"/>
  <c r="AF913" i="3"/>
  <c r="AJ913" i="3"/>
  <c r="AX913" i="3"/>
  <c r="Q913" i="3"/>
  <c r="U913" i="3"/>
  <c r="Y913" i="3"/>
  <c r="AO913" i="3"/>
  <c r="AW913" i="3"/>
  <c r="A914" i="3"/>
  <c r="O912" i="3"/>
  <c r="P912" i="3" s="1"/>
  <c r="AV912" i="3"/>
  <c r="M912" i="3"/>
  <c r="N912" i="3" s="1"/>
  <c r="AU912" i="3"/>
  <c r="E914" i="3" l="1"/>
  <c r="Q914" i="3"/>
  <c r="U914" i="3"/>
  <c r="Y914" i="3"/>
  <c r="AO914" i="3"/>
  <c r="AW914" i="3"/>
  <c r="D914" i="3"/>
  <c r="AT914" i="3"/>
  <c r="F914" i="3"/>
  <c r="AF914" i="3"/>
  <c r="AJ914" i="3"/>
  <c r="K914" i="3"/>
  <c r="S914" i="3"/>
  <c r="W914" i="3"/>
  <c r="AM914" i="3"/>
  <c r="AQ914" i="3"/>
  <c r="A915" i="3"/>
  <c r="L914" i="3"/>
  <c r="AX914" i="3"/>
  <c r="AB914" i="3"/>
  <c r="AH914" i="3"/>
  <c r="M913" i="3"/>
  <c r="N913" i="3" s="1"/>
  <c r="AU913" i="3"/>
  <c r="AV913" i="3"/>
  <c r="O913" i="3"/>
  <c r="P913" i="3" s="1"/>
  <c r="D915" i="3" l="1"/>
  <c r="L915" i="3"/>
  <c r="AF915" i="3"/>
  <c r="AJ915" i="3"/>
  <c r="AX915" i="3"/>
  <c r="Q915" i="3"/>
  <c r="U915" i="3"/>
  <c r="Y915" i="3"/>
  <c r="AO915" i="3"/>
  <c r="AW915" i="3"/>
  <c r="A916" i="3"/>
  <c r="F915" i="3"/>
  <c r="AB915" i="3"/>
  <c r="AH915" i="3"/>
  <c r="AT915" i="3"/>
  <c r="E915" i="3"/>
  <c r="S915" i="3"/>
  <c r="W915" i="3"/>
  <c r="AM915" i="3"/>
  <c r="AQ915" i="3"/>
  <c r="K915" i="3"/>
  <c r="M914" i="3"/>
  <c r="N914" i="3" s="1"/>
  <c r="AU914" i="3"/>
  <c r="O914" i="3"/>
  <c r="P914" i="3" s="1"/>
  <c r="AV914" i="3"/>
  <c r="E916" i="3" l="1"/>
  <c r="Q916" i="3"/>
  <c r="U916" i="3"/>
  <c r="Y916" i="3"/>
  <c r="AO916" i="3"/>
  <c r="AW916" i="3"/>
  <c r="D916" i="3"/>
  <c r="AT916" i="3"/>
  <c r="F916" i="3"/>
  <c r="AF916" i="3"/>
  <c r="AJ916" i="3"/>
  <c r="K916" i="3"/>
  <c r="S916" i="3"/>
  <c r="W916" i="3"/>
  <c r="AM916" i="3"/>
  <c r="AQ916" i="3"/>
  <c r="A917" i="3"/>
  <c r="L916" i="3"/>
  <c r="AX916" i="3"/>
  <c r="AB916" i="3"/>
  <c r="AH916" i="3"/>
  <c r="M915" i="3"/>
  <c r="N915" i="3" s="1"/>
  <c r="AU915" i="3"/>
  <c r="AV915" i="3"/>
  <c r="O915" i="3"/>
  <c r="P915" i="3" s="1"/>
  <c r="D917" i="3" l="1"/>
  <c r="L917" i="3"/>
  <c r="AF917" i="3"/>
  <c r="AJ917" i="3"/>
  <c r="AX917" i="3"/>
  <c r="Q917" i="3"/>
  <c r="U917" i="3"/>
  <c r="Y917" i="3"/>
  <c r="AO917" i="3"/>
  <c r="AW917" i="3"/>
  <c r="A918" i="3"/>
  <c r="F917" i="3"/>
  <c r="AB917" i="3"/>
  <c r="AH917" i="3"/>
  <c r="AT917" i="3"/>
  <c r="E917" i="3"/>
  <c r="S917" i="3"/>
  <c r="W917" i="3"/>
  <c r="AM917" i="3"/>
  <c r="AQ917" i="3"/>
  <c r="K917" i="3"/>
  <c r="M916" i="3"/>
  <c r="N916" i="3" s="1"/>
  <c r="AU916" i="3"/>
  <c r="O916" i="3"/>
  <c r="P916" i="3" s="1"/>
  <c r="AV916" i="3"/>
  <c r="E918" i="3" l="1"/>
  <c r="Q918" i="3"/>
  <c r="U918" i="3"/>
  <c r="Y918" i="3"/>
  <c r="AO918" i="3"/>
  <c r="AW918" i="3"/>
  <c r="D918" i="3"/>
  <c r="AT918" i="3"/>
  <c r="F918" i="3"/>
  <c r="AF918" i="3"/>
  <c r="AJ918" i="3"/>
  <c r="K918" i="3"/>
  <c r="S918" i="3"/>
  <c r="W918" i="3"/>
  <c r="AM918" i="3"/>
  <c r="AQ918" i="3"/>
  <c r="A919" i="3"/>
  <c r="L918" i="3"/>
  <c r="AX918" i="3"/>
  <c r="AB918" i="3"/>
  <c r="AH918" i="3"/>
  <c r="M917" i="3"/>
  <c r="N917" i="3" s="1"/>
  <c r="AU917" i="3"/>
  <c r="AV917" i="3"/>
  <c r="O917" i="3"/>
  <c r="P917" i="3" s="1"/>
  <c r="D919" i="3" l="1"/>
  <c r="L919" i="3"/>
  <c r="AF919" i="3"/>
  <c r="AJ919" i="3"/>
  <c r="AX919" i="3"/>
  <c r="Q919" i="3"/>
  <c r="U919" i="3"/>
  <c r="Y919" i="3"/>
  <c r="AO919" i="3"/>
  <c r="AW919" i="3"/>
  <c r="A920" i="3"/>
  <c r="F919" i="3"/>
  <c r="AB919" i="3"/>
  <c r="AH919" i="3"/>
  <c r="AT919" i="3"/>
  <c r="E919" i="3"/>
  <c r="S919" i="3"/>
  <c r="W919" i="3"/>
  <c r="AM919" i="3"/>
  <c r="AQ919" i="3"/>
  <c r="K919" i="3"/>
  <c r="M918" i="3"/>
  <c r="N918" i="3" s="1"/>
  <c r="AU918" i="3"/>
  <c r="O918" i="3"/>
  <c r="P918" i="3" s="1"/>
  <c r="AV918" i="3"/>
  <c r="E920" i="3" l="1"/>
  <c r="Q920" i="3"/>
  <c r="U920" i="3"/>
  <c r="Y920" i="3"/>
  <c r="AO920" i="3"/>
  <c r="AW920" i="3"/>
  <c r="D920" i="3"/>
  <c r="AT920" i="3"/>
  <c r="F920" i="3"/>
  <c r="AF920" i="3"/>
  <c r="AJ920" i="3"/>
  <c r="K920" i="3"/>
  <c r="S920" i="3"/>
  <c r="W920" i="3"/>
  <c r="AM920" i="3"/>
  <c r="AQ920" i="3"/>
  <c r="A921" i="3"/>
  <c r="L920" i="3"/>
  <c r="AX920" i="3"/>
  <c r="AB920" i="3"/>
  <c r="AH920" i="3"/>
  <c r="M919" i="3"/>
  <c r="N919" i="3" s="1"/>
  <c r="AU919" i="3"/>
  <c r="AV919" i="3"/>
  <c r="O919" i="3"/>
  <c r="P919" i="3" s="1"/>
  <c r="D921" i="3" l="1"/>
  <c r="L921" i="3"/>
  <c r="AF921" i="3"/>
  <c r="AJ921" i="3"/>
  <c r="AX921" i="3"/>
  <c r="Q921" i="3"/>
  <c r="U921" i="3"/>
  <c r="Y921" i="3"/>
  <c r="AO921" i="3"/>
  <c r="AW921" i="3"/>
  <c r="A922" i="3"/>
  <c r="F921" i="3"/>
  <c r="AB921" i="3"/>
  <c r="AH921" i="3"/>
  <c r="AT921" i="3"/>
  <c r="E921" i="3"/>
  <c r="S921" i="3"/>
  <c r="W921" i="3"/>
  <c r="AM921" i="3"/>
  <c r="AQ921" i="3"/>
  <c r="K921" i="3"/>
  <c r="M920" i="3"/>
  <c r="N920" i="3" s="1"/>
  <c r="AU920" i="3"/>
  <c r="O920" i="3"/>
  <c r="P920" i="3" s="1"/>
  <c r="AV920" i="3"/>
  <c r="E922" i="3" l="1"/>
  <c r="Q922" i="3"/>
  <c r="U922" i="3"/>
  <c r="Y922" i="3"/>
  <c r="AO922" i="3"/>
  <c r="AW922" i="3"/>
  <c r="D922" i="3"/>
  <c r="AT922" i="3"/>
  <c r="F922" i="3"/>
  <c r="AF922" i="3"/>
  <c r="AJ922" i="3"/>
  <c r="K922" i="3"/>
  <c r="S922" i="3"/>
  <c r="W922" i="3"/>
  <c r="AM922" i="3"/>
  <c r="AQ922" i="3"/>
  <c r="A923" i="3"/>
  <c r="L922" i="3"/>
  <c r="AX922" i="3"/>
  <c r="AB922" i="3"/>
  <c r="AH922" i="3"/>
  <c r="M921" i="3"/>
  <c r="N921" i="3" s="1"/>
  <c r="AU921" i="3"/>
  <c r="AV921" i="3"/>
  <c r="O921" i="3"/>
  <c r="P921" i="3" s="1"/>
  <c r="D923" i="3" l="1"/>
  <c r="L923" i="3"/>
  <c r="AF923" i="3"/>
  <c r="AJ923" i="3"/>
  <c r="AX923" i="3"/>
  <c r="Q923" i="3"/>
  <c r="U923" i="3"/>
  <c r="Y923" i="3"/>
  <c r="AO923" i="3"/>
  <c r="AW923" i="3"/>
  <c r="A924" i="3"/>
  <c r="F923" i="3"/>
  <c r="AB923" i="3"/>
  <c r="AH923" i="3"/>
  <c r="AT923" i="3"/>
  <c r="E923" i="3"/>
  <c r="S923" i="3"/>
  <c r="W923" i="3"/>
  <c r="AM923" i="3"/>
  <c r="AQ923" i="3"/>
  <c r="K923" i="3"/>
  <c r="M922" i="3"/>
  <c r="N922" i="3" s="1"/>
  <c r="AU922" i="3"/>
  <c r="O922" i="3"/>
  <c r="P922" i="3" s="1"/>
  <c r="AV922" i="3"/>
  <c r="E924" i="3" l="1"/>
  <c r="Q924" i="3"/>
  <c r="U924" i="3"/>
  <c r="Y924" i="3"/>
  <c r="AO924" i="3"/>
  <c r="AW924" i="3"/>
  <c r="D924" i="3"/>
  <c r="AT924" i="3"/>
  <c r="F924" i="3"/>
  <c r="AF924" i="3"/>
  <c r="AJ924" i="3"/>
  <c r="K924" i="3"/>
  <c r="S924" i="3"/>
  <c r="W924" i="3"/>
  <c r="AM924" i="3"/>
  <c r="AQ924" i="3"/>
  <c r="A925" i="3"/>
  <c r="L924" i="3"/>
  <c r="AX924" i="3"/>
  <c r="AB924" i="3"/>
  <c r="AH924" i="3"/>
  <c r="M923" i="3"/>
  <c r="N923" i="3" s="1"/>
  <c r="AU923" i="3"/>
  <c r="AV923" i="3"/>
  <c r="O923" i="3"/>
  <c r="P923" i="3" s="1"/>
  <c r="D925" i="3" l="1"/>
  <c r="L925" i="3"/>
  <c r="AF925" i="3"/>
  <c r="AJ925" i="3"/>
  <c r="AX925" i="3"/>
  <c r="Q925" i="3"/>
  <c r="U925" i="3"/>
  <c r="Y925" i="3"/>
  <c r="AO925" i="3"/>
  <c r="AW925" i="3"/>
  <c r="A926" i="3"/>
  <c r="F925" i="3"/>
  <c r="AB925" i="3"/>
  <c r="AH925" i="3"/>
  <c r="AT925" i="3"/>
  <c r="E925" i="3"/>
  <c r="S925" i="3"/>
  <c r="W925" i="3"/>
  <c r="AM925" i="3"/>
  <c r="AQ925" i="3"/>
  <c r="K925" i="3"/>
  <c r="M924" i="3"/>
  <c r="N924" i="3" s="1"/>
  <c r="AU924" i="3"/>
  <c r="O924" i="3"/>
  <c r="P924" i="3" s="1"/>
  <c r="AV924" i="3"/>
  <c r="E926" i="3" l="1"/>
  <c r="Q926" i="3"/>
  <c r="U926" i="3"/>
  <c r="Y926" i="3"/>
  <c r="AO926" i="3"/>
  <c r="AW926" i="3"/>
  <c r="D926" i="3"/>
  <c r="AT926" i="3"/>
  <c r="F926" i="3"/>
  <c r="AF926" i="3"/>
  <c r="AJ926" i="3"/>
  <c r="K926" i="3"/>
  <c r="S926" i="3"/>
  <c r="W926" i="3"/>
  <c r="AM926" i="3"/>
  <c r="AQ926" i="3"/>
  <c r="A927" i="3"/>
  <c r="L926" i="3"/>
  <c r="AX926" i="3"/>
  <c r="AB926" i="3"/>
  <c r="AH926" i="3"/>
  <c r="M925" i="3"/>
  <c r="N925" i="3" s="1"/>
  <c r="AU925" i="3"/>
  <c r="AV925" i="3"/>
  <c r="O925" i="3"/>
  <c r="P925" i="3" s="1"/>
  <c r="D927" i="3" l="1"/>
  <c r="L927" i="3"/>
  <c r="AF927" i="3"/>
  <c r="AJ927" i="3"/>
  <c r="AX927" i="3"/>
  <c r="Q927" i="3"/>
  <c r="U927" i="3"/>
  <c r="Y927" i="3"/>
  <c r="AO927" i="3"/>
  <c r="AW927" i="3"/>
  <c r="A928" i="3"/>
  <c r="F927" i="3"/>
  <c r="AB927" i="3"/>
  <c r="AH927" i="3"/>
  <c r="AT927" i="3"/>
  <c r="E927" i="3"/>
  <c r="S927" i="3"/>
  <c r="W927" i="3"/>
  <c r="AM927" i="3"/>
  <c r="AQ927" i="3"/>
  <c r="K927" i="3"/>
  <c r="M926" i="3"/>
  <c r="N926" i="3" s="1"/>
  <c r="AU926" i="3"/>
  <c r="O926" i="3"/>
  <c r="P926" i="3" s="1"/>
  <c r="AV926" i="3"/>
  <c r="K928" i="3" l="1"/>
  <c r="S928" i="3"/>
  <c r="W928" i="3"/>
  <c r="AM928" i="3"/>
  <c r="AQ928" i="3"/>
  <c r="A929" i="3"/>
  <c r="L928" i="3"/>
  <c r="AX928" i="3"/>
  <c r="AB928" i="3"/>
  <c r="AH928" i="3"/>
  <c r="E928" i="3"/>
  <c r="Q928" i="3"/>
  <c r="U928" i="3"/>
  <c r="Y928" i="3"/>
  <c r="AO928" i="3"/>
  <c r="AW928" i="3"/>
  <c r="D928" i="3"/>
  <c r="AT928" i="3"/>
  <c r="F928" i="3"/>
  <c r="AF928" i="3"/>
  <c r="AJ928" i="3"/>
  <c r="AV927" i="3"/>
  <c r="O927" i="3"/>
  <c r="P927" i="3" s="1"/>
  <c r="M927" i="3"/>
  <c r="N927" i="3" s="1"/>
  <c r="AU927" i="3"/>
  <c r="AB929" i="3" l="1"/>
  <c r="E929" i="3"/>
  <c r="AM929" i="3"/>
  <c r="K929" i="3"/>
  <c r="D929" i="3"/>
  <c r="L929" i="3"/>
  <c r="AF929" i="3"/>
  <c r="AJ929" i="3"/>
  <c r="AX929" i="3"/>
  <c r="Q929" i="3"/>
  <c r="U929" i="3"/>
  <c r="Y929" i="3"/>
  <c r="AO929" i="3"/>
  <c r="AW929" i="3"/>
  <c r="A930" i="3"/>
  <c r="F929" i="3"/>
  <c r="AH929" i="3"/>
  <c r="AT929" i="3"/>
  <c r="S929" i="3"/>
  <c r="W929" i="3"/>
  <c r="AQ929" i="3"/>
  <c r="M928" i="3"/>
  <c r="N928" i="3" s="1"/>
  <c r="AU928" i="3"/>
  <c r="O928" i="3"/>
  <c r="P928" i="3" s="1"/>
  <c r="AV928" i="3"/>
  <c r="K930" i="3" l="1"/>
  <c r="S930" i="3"/>
  <c r="W930" i="3"/>
  <c r="AM930" i="3"/>
  <c r="AQ930" i="3"/>
  <c r="A931" i="3"/>
  <c r="L930" i="3"/>
  <c r="E930" i="3"/>
  <c r="Q930" i="3"/>
  <c r="U930" i="3"/>
  <c r="Y930" i="3"/>
  <c r="AO930" i="3"/>
  <c r="AW930" i="3"/>
  <c r="D930" i="3"/>
  <c r="AT930" i="3"/>
  <c r="F930" i="3"/>
  <c r="AF930" i="3"/>
  <c r="AJ930" i="3"/>
  <c r="AX930" i="3"/>
  <c r="AB930" i="3"/>
  <c r="AH930" i="3"/>
  <c r="AV929" i="3"/>
  <c r="M929" i="3"/>
  <c r="N929" i="3" s="1"/>
  <c r="AU929" i="3"/>
  <c r="O929" i="3"/>
  <c r="P929" i="3" s="1"/>
  <c r="O930" i="3" l="1"/>
  <c r="P930" i="3" s="1"/>
  <c r="AV930" i="3"/>
  <c r="M930" i="3"/>
  <c r="N930" i="3" s="1"/>
  <c r="AU930" i="3"/>
  <c r="F931" i="3"/>
  <c r="AB931" i="3"/>
  <c r="AH931" i="3"/>
  <c r="AT931" i="3"/>
  <c r="E931" i="3"/>
  <c r="S931" i="3"/>
  <c r="W931" i="3"/>
  <c r="AM931" i="3"/>
  <c r="AQ931" i="3"/>
  <c r="K931" i="3"/>
  <c r="D931" i="3"/>
  <c r="L931" i="3"/>
  <c r="AX931" i="3"/>
  <c r="U931" i="3"/>
  <c r="Y931" i="3"/>
  <c r="AO931" i="3"/>
  <c r="A932" i="3"/>
  <c r="AF931" i="3"/>
  <c r="AJ931" i="3"/>
  <c r="Q931" i="3"/>
  <c r="AW931" i="3"/>
  <c r="K932" i="3" l="1"/>
  <c r="S932" i="3"/>
  <c r="AM932" i="3"/>
  <c r="A933" i="3"/>
  <c r="AX932" i="3"/>
  <c r="AB932" i="3"/>
  <c r="E932" i="3"/>
  <c r="Q932" i="3"/>
  <c r="U932" i="3"/>
  <c r="Y932" i="3"/>
  <c r="AO932" i="3"/>
  <c r="AW932" i="3"/>
  <c r="D932" i="3"/>
  <c r="AT932" i="3"/>
  <c r="F932" i="3"/>
  <c r="AF932" i="3"/>
  <c r="AJ932" i="3"/>
  <c r="W932" i="3"/>
  <c r="AQ932" i="3"/>
  <c r="L932" i="3"/>
  <c r="AH932" i="3"/>
  <c r="AV931" i="3"/>
  <c r="M931" i="3"/>
  <c r="N931" i="3" s="1"/>
  <c r="AU931" i="3"/>
  <c r="O931" i="3"/>
  <c r="P931" i="3" s="1"/>
  <c r="F933" i="3" l="1"/>
  <c r="AB933" i="3"/>
  <c r="AH933" i="3"/>
  <c r="E933" i="3"/>
  <c r="W933" i="3"/>
  <c r="AQ933" i="3"/>
  <c r="D933" i="3"/>
  <c r="L933" i="3"/>
  <c r="AF933" i="3"/>
  <c r="AJ933" i="3"/>
  <c r="AX933" i="3"/>
  <c r="Q933" i="3"/>
  <c r="U933" i="3"/>
  <c r="Y933" i="3"/>
  <c r="AO933" i="3"/>
  <c r="AW933" i="3"/>
  <c r="A934" i="3"/>
  <c r="AT933" i="3"/>
  <c r="S933" i="3"/>
  <c r="AM933" i="3"/>
  <c r="K933" i="3"/>
  <c r="O932" i="3"/>
  <c r="P932" i="3" s="1"/>
  <c r="AV932" i="3"/>
  <c r="M932" i="3"/>
  <c r="N932" i="3" s="1"/>
  <c r="AU932" i="3"/>
  <c r="K934" i="3" l="1"/>
  <c r="S934" i="3"/>
  <c r="W934" i="3"/>
  <c r="AM934" i="3"/>
  <c r="AQ934" i="3"/>
  <c r="A935" i="3"/>
  <c r="L934" i="3"/>
  <c r="AX934" i="3"/>
  <c r="AB934" i="3"/>
  <c r="AH934" i="3"/>
  <c r="AF934" i="3"/>
  <c r="E934" i="3"/>
  <c r="Q934" i="3"/>
  <c r="U934" i="3"/>
  <c r="Y934" i="3"/>
  <c r="AO934" i="3"/>
  <c r="AW934" i="3"/>
  <c r="D934" i="3"/>
  <c r="AT934" i="3"/>
  <c r="F934" i="3"/>
  <c r="AJ934" i="3"/>
  <c r="AV933" i="3"/>
  <c r="O933" i="3"/>
  <c r="P933" i="3" s="1"/>
  <c r="M933" i="3"/>
  <c r="N933" i="3" s="1"/>
  <c r="AU933" i="3"/>
  <c r="O934" i="3" l="1"/>
  <c r="P934" i="3" s="1"/>
  <c r="AV934" i="3"/>
  <c r="M934" i="3"/>
  <c r="N934" i="3" s="1"/>
  <c r="AU934" i="3"/>
  <c r="D935" i="3"/>
  <c r="L935" i="3"/>
  <c r="AF935" i="3"/>
  <c r="AJ935" i="3"/>
  <c r="AX935" i="3"/>
  <c r="Q935" i="3"/>
  <c r="U935" i="3"/>
  <c r="Y935" i="3"/>
  <c r="AO935" i="3"/>
  <c r="AW935" i="3"/>
  <c r="F935" i="3"/>
  <c r="AB935" i="3"/>
  <c r="AH935" i="3"/>
  <c r="AT935" i="3"/>
  <c r="E935" i="3"/>
  <c r="S935" i="3"/>
  <c r="W935" i="3"/>
  <c r="AM935" i="3"/>
  <c r="AQ935" i="3"/>
  <c r="K935" i="3"/>
  <c r="A936" i="3"/>
  <c r="K936" i="3" l="1"/>
  <c r="AQ936" i="3"/>
  <c r="AX936" i="3"/>
  <c r="AB936" i="3"/>
  <c r="E936" i="3"/>
  <c r="Q936" i="3"/>
  <c r="U936" i="3"/>
  <c r="Y936" i="3"/>
  <c r="AO936" i="3"/>
  <c r="AW936" i="3"/>
  <c r="D936" i="3"/>
  <c r="AT936" i="3"/>
  <c r="F936" i="3"/>
  <c r="AF936" i="3"/>
  <c r="AJ936" i="3"/>
  <c r="S936" i="3"/>
  <c r="W936" i="3"/>
  <c r="AM936" i="3"/>
  <c r="A937" i="3"/>
  <c r="L936" i="3"/>
  <c r="AH936" i="3"/>
  <c r="AV935" i="3"/>
  <c r="O935" i="3"/>
  <c r="P935" i="3" s="1"/>
  <c r="M935" i="3"/>
  <c r="N935" i="3" s="1"/>
  <c r="AU935" i="3"/>
  <c r="AB937" i="3" l="1"/>
  <c r="E937" i="3"/>
  <c r="W937" i="3"/>
  <c r="K937" i="3"/>
  <c r="D937" i="3"/>
  <c r="L937" i="3"/>
  <c r="AF937" i="3"/>
  <c r="AJ937" i="3"/>
  <c r="AX937" i="3"/>
  <c r="Q937" i="3"/>
  <c r="U937" i="3"/>
  <c r="Y937" i="3"/>
  <c r="AO937" i="3"/>
  <c r="AW937" i="3"/>
  <c r="A938" i="3"/>
  <c r="F937" i="3"/>
  <c r="AH937" i="3"/>
  <c r="AT937" i="3"/>
  <c r="S937" i="3"/>
  <c r="AM937" i="3"/>
  <c r="AQ937" i="3"/>
  <c r="AV936" i="3"/>
  <c r="M936" i="3"/>
  <c r="N936" i="3" s="1"/>
  <c r="AU936" i="3"/>
  <c r="O936" i="3"/>
  <c r="P936" i="3" s="1"/>
  <c r="E938" i="3" l="1"/>
  <c r="U938" i="3"/>
  <c r="Y938" i="3"/>
  <c r="AW938" i="3"/>
  <c r="AT938" i="3"/>
  <c r="AF938" i="3"/>
  <c r="AJ938" i="3"/>
  <c r="K938" i="3"/>
  <c r="S938" i="3"/>
  <c r="W938" i="3"/>
  <c r="AM938" i="3"/>
  <c r="AQ938" i="3"/>
  <c r="A939" i="3"/>
  <c r="L938" i="3"/>
  <c r="AX938" i="3"/>
  <c r="AB938" i="3"/>
  <c r="AH938" i="3"/>
  <c r="Q938" i="3"/>
  <c r="AO938" i="3"/>
  <c r="D938" i="3"/>
  <c r="F938" i="3"/>
  <c r="AU937" i="3"/>
  <c r="AV937" i="3"/>
  <c r="O937" i="3"/>
  <c r="P937" i="3" s="1"/>
  <c r="M937" i="3"/>
  <c r="N937" i="3" s="1"/>
  <c r="AU938" i="3" l="1"/>
  <c r="O938" i="3"/>
  <c r="P938" i="3" s="1"/>
  <c r="AV938" i="3"/>
  <c r="M938" i="3"/>
  <c r="N938" i="3" s="1"/>
  <c r="L939" i="3"/>
  <c r="Q939" i="3"/>
  <c r="AW939" i="3"/>
  <c r="F939" i="3"/>
  <c r="AB939" i="3"/>
  <c r="AH939" i="3"/>
  <c r="AT939" i="3"/>
  <c r="E939" i="3"/>
  <c r="S939" i="3"/>
  <c r="W939" i="3"/>
  <c r="AM939" i="3"/>
  <c r="AQ939" i="3"/>
  <c r="K939" i="3"/>
  <c r="D939" i="3"/>
  <c r="AF939" i="3"/>
  <c r="AJ939" i="3"/>
  <c r="AX939" i="3"/>
  <c r="U939" i="3"/>
  <c r="Y939" i="3"/>
  <c r="AO939" i="3"/>
  <c r="A940" i="3"/>
  <c r="O939" i="3" l="1"/>
  <c r="P939" i="3" s="1"/>
  <c r="M939" i="3"/>
  <c r="N939" i="3" s="1"/>
  <c r="AU939" i="3"/>
  <c r="AV939" i="3"/>
  <c r="K940" i="3"/>
  <c r="S940" i="3"/>
  <c r="W940" i="3"/>
  <c r="AQ940" i="3"/>
  <c r="L940" i="3"/>
  <c r="AH940" i="3"/>
  <c r="E940" i="3"/>
  <c r="Q940" i="3"/>
  <c r="U940" i="3"/>
  <c r="Y940" i="3"/>
  <c r="AO940" i="3"/>
  <c r="AW940" i="3"/>
  <c r="D940" i="3"/>
  <c r="AT940" i="3"/>
  <c r="F940" i="3"/>
  <c r="AF940" i="3"/>
  <c r="AJ940" i="3"/>
  <c r="AM940" i="3"/>
  <c r="A941" i="3"/>
  <c r="AX940" i="3"/>
  <c r="AB940" i="3"/>
  <c r="D941" i="3" l="1"/>
  <c r="L941" i="3"/>
  <c r="AF941" i="3"/>
  <c r="AJ941" i="3"/>
  <c r="AX941" i="3"/>
  <c r="Q941" i="3"/>
  <c r="U941" i="3"/>
  <c r="Y941" i="3"/>
  <c r="AO941" i="3"/>
  <c r="AW941" i="3"/>
  <c r="A942" i="3"/>
  <c r="F941" i="3"/>
  <c r="AB941" i="3"/>
  <c r="AH941" i="3"/>
  <c r="AT941" i="3"/>
  <c r="E941" i="3"/>
  <c r="S941" i="3"/>
  <c r="W941" i="3"/>
  <c r="AM941" i="3"/>
  <c r="AQ941" i="3"/>
  <c r="K941" i="3"/>
  <c r="M940" i="3"/>
  <c r="N940" i="3" s="1"/>
  <c r="AU940" i="3"/>
  <c r="O940" i="3"/>
  <c r="P940" i="3" s="1"/>
  <c r="AV940" i="3"/>
  <c r="K942" i="3" l="1"/>
  <c r="AQ942" i="3"/>
  <c r="L942" i="3"/>
  <c r="E942" i="3"/>
  <c r="Q942" i="3"/>
  <c r="U942" i="3"/>
  <c r="Y942" i="3"/>
  <c r="AO942" i="3"/>
  <c r="AW942" i="3"/>
  <c r="D942" i="3"/>
  <c r="AT942" i="3"/>
  <c r="F942" i="3"/>
  <c r="AF942" i="3"/>
  <c r="AJ942" i="3"/>
  <c r="S942" i="3"/>
  <c r="W942" i="3"/>
  <c r="AM942" i="3"/>
  <c r="A943" i="3"/>
  <c r="AX942" i="3"/>
  <c r="AB942" i="3"/>
  <c r="AH942" i="3"/>
  <c r="AV941" i="3"/>
  <c r="M941" i="3"/>
  <c r="N941" i="3" s="1"/>
  <c r="AU941" i="3"/>
  <c r="O941" i="3"/>
  <c r="P941" i="3" s="1"/>
  <c r="F943" i="3" l="1"/>
  <c r="AB943" i="3"/>
  <c r="AH943" i="3"/>
  <c r="AT943" i="3"/>
  <c r="E943" i="3"/>
  <c r="S943" i="3"/>
  <c r="W943" i="3"/>
  <c r="AM943" i="3"/>
  <c r="AQ943" i="3"/>
  <c r="K943" i="3"/>
  <c r="A944" i="3"/>
  <c r="D943" i="3"/>
  <c r="L943" i="3"/>
  <c r="AF943" i="3"/>
  <c r="AJ943" i="3"/>
  <c r="AX943" i="3"/>
  <c r="Q943" i="3"/>
  <c r="U943" i="3"/>
  <c r="Y943" i="3"/>
  <c r="AO943" i="3"/>
  <c r="AW943" i="3"/>
  <c r="O942" i="3"/>
  <c r="P942" i="3" s="1"/>
  <c r="AV942" i="3"/>
  <c r="M942" i="3"/>
  <c r="N942" i="3" s="1"/>
  <c r="AU942" i="3"/>
  <c r="AV943" i="3" l="1"/>
  <c r="M943" i="3"/>
  <c r="N943" i="3" s="1"/>
  <c r="AU943" i="3"/>
  <c r="O943" i="3"/>
  <c r="P943" i="3" s="1"/>
  <c r="K944" i="3"/>
  <c r="AM944" i="3"/>
  <c r="A945" i="3"/>
  <c r="AX944" i="3"/>
  <c r="AB944" i="3"/>
  <c r="E944" i="3"/>
  <c r="Q944" i="3"/>
  <c r="U944" i="3"/>
  <c r="Y944" i="3"/>
  <c r="AO944" i="3"/>
  <c r="AW944" i="3"/>
  <c r="D944" i="3"/>
  <c r="AT944" i="3"/>
  <c r="F944" i="3"/>
  <c r="AF944" i="3"/>
  <c r="AJ944" i="3"/>
  <c r="S944" i="3"/>
  <c r="W944" i="3"/>
  <c r="AQ944" i="3"/>
  <c r="L944" i="3"/>
  <c r="AH944" i="3"/>
  <c r="M944" i="3" l="1"/>
  <c r="N944" i="3" s="1"/>
  <c r="AU944" i="3"/>
  <c r="O944" i="3"/>
  <c r="P944" i="3" s="1"/>
  <c r="AV944" i="3"/>
  <c r="AB945" i="3"/>
  <c r="E945" i="3"/>
  <c r="AM945" i="3"/>
  <c r="K945" i="3"/>
  <c r="D945" i="3"/>
  <c r="L945" i="3"/>
  <c r="AF945" i="3"/>
  <c r="AJ945" i="3"/>
  <c r="AX945" i="3"/>
  <c r="Q945" i="3"/>
  <c r="U945" i="3"/>
  <c r="Y945" i="3"/>
  <c r="AO945" i="3"/>
  <c r="AW945" i="3"/>
  <c r="A946" i="3"/>
  <c r="F945" i="3"/>
  <c r="AH945" i="3"/>
  <c r="AT945" i="3"/>
  <c r="S945" i="3"/>
  <c r="W945" i="3"/>
  <c r="AQ945" i="3"/>
  <c r="S946" i="3" l="1"/>
  <c r="AM946" i="3"/>
  <c r="A947" i="3"/>
  <c r="AX946" i="3"/>
  <c r="AH946" i="3"/>
  <c r="E946" i="3"/>
  <c r="Q946" i="3"/>
  <c r="U946" i="3"/>
  <c r="Y946" i="3"/>
  <c r="AO946" i="3"/>
  <c r="AW946" i="3"/>
  <c r="D946" i="3"/>
  <c r="AT946" i="3"/>
  <c r="F946" i="3"/>
  <c r="AF946" i="3"/>
  <c r="AJ946" i="3"/>
  <c r="K946" i="3"/>
  <c r="W946" i="3"/>
  <c r="AQ946" i="3"/>
  <c r="L946" i="3"/>
  <c r="AB946" i="3"/>
  <c r="O945" i="3"/>
  <c r="P945" i="3" s="1"/>
  <c r="M945" i="3"/>
  <c r="N945" i="3" s="1"/>
  <c r="AU945" i="3"/>
  <c r="AV945" i="3"/>
  <c r="O946" i="3" l="1"/>
  <c r="P946" i="3" s="1"/>
  <c r="AV946" i="3"/>
  <c r="M946" i="3"/>
  <c r="N946" i="3" s="1"/>
  <c r="AU946" i="3"/>
  <c r="AB947" i="3"/>
  <c r="AT947" i="3"/>
  <c r="S947" i="3"/>
  <c r="AM947" i="3"/>
  <c r="K947" i="3"/>
  <c r="D947" i="3"/>
  <c r="L947" i="3"/>
  <c r="AF947" i="3"/>
  <c r="AJ947" i="3"/>
  <c r="AX947" i="3"/>
  <c r="Q947" i="3"/>
  <c r="U947" i="3"/>
  <c r="Y947" i="3"/>
  <c r="AO947" i="3"/>
  <c r="AW947" i="3"/>
  <c r="A948" i="3"/>
  <c r="F947" i="3"/>
  <c r="AH947" i="3"/>
  <c r="E947" i="3"/>
  <c r="W947" i="3"/>
  <c r="AQ947" i="3"/>
  <c r="S948" i="3" l="1"/>
  <c r="AQ948" i="3"/>
  <c r="L948" i="3"/>
  <c r="E948" i="3"/>
  <c r="Q948" i="3"/>
  <c r="U948" i="3"/>
  <c r="Y948" i="3"/>
  <c r="AO948" i="3"/>
  <c r="AW948" i="3"/>
  <c r="D948" i="3"/>
  <c r="AT948" i="3"/>
  <c r="F948" i="3"/>
  <c r="AF948" i="3"/>
  <c r="AJ948" i="3"/>
  <c r="K948" i="3"/>
  <c r="W948" i="3"/>
  <c r="AM948" i="3"/>
  <c r="A949" i="3"/>
  <c r="AX948" i="3"/>
  <c r="AB948" i="3"/>
  <c r="AH948" i="3"/>
  <c r="AV947" i="3"/>
  <c r="M947" i="3"/>
  <c r="N947" i="3" s="1"/>
  <c r="AU947" i="3"/>
  <c r="O947" i="3"/>
  <c r="P947" i="3" s="1"/>
  <c r="AB949" i="3" l="1"/>
  <c r="AT949" i="3"/>
  <c r="S949" i="3"/>
  <c r="AM949" i="3"/>
  <c r="K949" i="3"/>
  <c r="D949" i="3"/>
  <c r="L949" i="3"/>
  <c r="AF949" i="3"/>
  <c r="AJ949" i="3"/>
  <c r="AX949" i="3"/>
  <c r="Q949" i="3"/>
  <c r="U949" i="3"/>
  <c r="Y949" i="3"/>
  <c r="AO949" i="3"/>
  <c r="AW949" i="3"/>
  <c r="A950" i="3"/>
  <c r="F949" i="3"/>
  <c r="AH949" i="3"/>
  <c r="E949" i="3"/>
  <c r="W949" i="3"/>
  <c r="AQ949" i="3"/>
  <c r="O948" i="3"/>
  <c r="P948" i="3" s="1"/>
  <c r="AV948" i="3"/>
  <c r="M948" i="3"/>
  <c r="N948" i="3" s="1"/>
  <c r="AU948" i="3"/>
  <c r="S950" i="3" l="1"/>
  <c r="AM950" i="3"/>
  <c r="A951" i="3"/>
  <c r="AX950" i="3"/>
  <c r="AB950" i="3"/>
  <c r="E950" i="3"/>
  <c r="Q950" i="3"/>
  <c r="U950" i="3"/>
  <c r="Y950" i="3"/>
  <c r="AO950" i="3"/>
  <c r="AW950" i="3"/>
  <c r="D950" i="3"/>
  <c r="AT950" i="3"/>
  <c r="F950" i="3"/>
  <c r="AF950" i="3"/>
  <c r="AJ950" i="3"/>
  <c r="K950" i="3"/>
  <c r="W950" i="3"/>
  <c r="AQ950" i="3"/>
  <c r="L950" i="3"/>
  <c r="AH950" i="3"/>
  <c r="AV949" i="3"/>
  <c r="M949" i="3"/>
  <c r="N949" i="3" s="1"/>
  <c r="AU949" i="3"/>
  <c r="O949" i="3"/>
  <c r="P949" i="3" s="1"/>
  <c r="O950" i="3" l="1"/>
  <c r="P950" i="3" s="1"/>
  <c r="AV950" i="3"/>
  <c r="M950" i="3"/>
  <c r="N950" i="3" s="1"/>
  <c r="AU950" i="3"/>
  <c r="F951" i="3"/>
  <c r="AB951" i="3"/>
  <c r="AH951" i="3"/>
  <c r="AT951" i="3"/>
  <c r="E951" i="3"/>
  <c r="S951" i="3"/>
  <c r="W951" i="3"/>
  <c r="AM951" i="3"/>
  <c r="AQ951" i="3"/>
  <c r="K951" i="3"/>
  <c r="D951" i="3"/>
  <c r="L951" i="3"/>
  <c r="AF951" i="3"/>
  <c r="AJ951" i="3"/>
  <c r="AX951" i="3"/>
  <c r="Q951" i="3"/>
  <c r="U951" i="3"/>
  <c r="Y951" i="3"/>
  <c r="AO951" i="3"/>
  <c r="AW951" i="3"/>
  <c r="A952" i="3"/>
  <c r="O951" i="3" l="1"/>
  <c r="P951" i="3" s="1"/>
  <c r="M951" i="3"/>
  <c r="N951" i="3" s="1"/>
  <c r="AU951" i="3"/>
  <c r="AV951" i="3"/>
  <c r="L952" i="3"/>
  <c r="E952" i="3"/>
  <c r="Q952" i="3"/>
  <c r="U952" i="3"/>
  <c r="Y952" i="3"/>
  <c r="AO952" i="3"/>
  <c r="AW952" i="3"/>
  <c r="D952" i="3"/>
  <c r="AT952" i="3"/>
  <c r="F952" i="3"/>
  <c r="AF952" i="3"/>
  <c r="AJ952" i="3"/>
  <c r="K952" i="3"/>
  <c r="S952" i="3"/>
  <c r="W952" i="3"/>
  <c r="AM952" i="3"/>
  <c r="AQ952" i="3"/>
  <c r="A953" i="3"/>
  <c r="AX952" i="3"/>
  <c r="AB952" i="3"/>
  <c r="AH952" i="3"/>
  <c r="F953" i="3" l="1"/>
  <c r="AT953" i="3"/>
  <c r="S953" i="3"/>
  <c r="AM953" i="3"/>
  <c r="K953" i="3"/>
  <c r="D953" i="3"/>
  <c r="L953" i="3"/>
  <c r="AF953" i="3"/>
  <c r="AJ953" i="3"/>
  <c r="AX953" i="3"/>
  <c r="Q953" i="3"/>
  <c r="U953" i="3"/>
  <c r="Y953" i="3"/>
  <c r="AO953" i="3"/>
  <c r="AW953" i="3"/>
  <c r="A954" i="3"/>
  <c r="AB953" i="3"/>
  <c r="AH953" i="3"/>
  <c r="E953" i="3"/>
  <c r="W953" i="3"/>
  <c r="AQ953" i="3"/>
  <c r="M952" i="3"/>
  <c r="N952" i="3" s="1"/>
  <c r="AU952" i="3"/>
  <c r="O952" i="3"/>
  <c r="P952" i="3" s="1"/>
  <c r="AV952" i="3"/>
  <c r="E954" i="3" l="1"/>
  <c r="Q954" i="3"/>
  <c r="U954" i="3"/>
  <c r="Y954" i="3"/>
  <c r="AO954" i="3"/>
  <c r="AW954" i="3"/>
  <c r="D954" i="3"/>
  <c r="AT954" i="3"/>
  <c r="F954" i="3"/>
  <c r="AF954" i="3"/>
  <c r="AJ954" i="3"/>
  <c r="K954" i="3"/>
  <c r="S954" i="3"/>
  <c r="W954" i="3"/>
  <c r="AM954" i="3"/>
  <c r="AQ954" i="3"/>
  <c r="A955" i="3"/>
  <c r="L954" i="3"/>
  <c r="AX954" i="3"/>
  <c r="AB954" i="3"/>
  <c r="AH954" i="3"/>
  <c r="M953" i="3"/>
  <c r="N953" i="3" s="1"/>
  <c r="AU953" i="3"/>
  <c r="AV953" i="3"/>
  <c r="O953" i="3"/>
  <c r="P953" i="3" s="1"/>
  <c r="D955" i="3" l="1"/>
  <c r="L955" i="3"/>
  <c r="AF955" i="3"/>
  <c r="AJ955" i="3"/>
  <c r="AX955" i="3"/>
  <c r="Q955" i="3"/>
  <c r="U955" i="3"/>
  <c r="Y955" i="3"/>
  <c r="AO955" i="3"/>
  <c r="AW955" i="3"/>
  <c r="A956" i="3"/>
  <c r="F955" i="3"/>
  <c r="AB955" i="3"/>
  <c r="AH955" i="3"/>
  <c r="AT955" i="3"/>
  <c r="E955" i="3"/>
  <c r="S955" i="3"/>
  <c r="W955" i="3"/>
  <c r="AM955" i="3"/>
  <c r="AQ955" i="3"/>
  <c r="K955" i="3"/>
  <c r="M954" i="3"/>
  <c r="N954" i="3" s="1"/>
  <c r="AU954" i="3"/>
  <c r="O954" i="3"/>
  <c r="P954" i="3" s="1"/>
  <c r="AV954" i="3"/>
  <c r="E956" i="3" l="1"/>
  <c r="Q956" i="3"/>
  <c r="U956" i="3"/>
  <c r="Y956" i="3"/>
  <c r="AO956" i="3"/>
  <c r="AW956" i="3"/>
  <c r="D956" i="3"/>
  <c r="AT956" i="3"/>
  <c r="F956" i="3"/>
  <c r="AF956" i="3"/>
  <c r="AJ956" i="3"/>
  <c r="K956" i="3"/>
  <c r="S956" i="3"/>
  <c r="W956" i="3"/>
  <c r="AM956" i="3"/>
  <c r="AQ956" i="3"/>
  <c r="A957" i="3"/>
  <c r="L956" i="3"/>
  <c r="AX956" i="3"/>
  <c r="AB956" i="3"/>
  <c r="AH956" i="3"/>
  <c r="M955" i="3"/>
  <c r="N955" i="3" s="1"/>
  <c r="AU955" i="3"/>
  <c r="AV955" i="3"/>
  <c r="O955" i="3"/>
  <c r="P955" i="3" s="1"/>
  <c r="D957" i="3" l="1"/>
  <c r="L957" i="3"/>
  <c r="AF957" i="3"/>
  <c r="AJ957" i="3"/>
  <c r="AX957" i="3"/>
  <c r="Q957" i="3"/>
  <c r="U957" i="3"/>
  <c r="Y957" i="3"/>
  <c r="AO957" i="3"/>
  <c r="AW957" i="3"/>
  <c r="A958" i="3"/>
  <c r="F957" i="3"/>
  <c r="AB957" i="3"/>
  <c r="AH957" i="3"/>
  <c r="AT957" i="3"/>
  <c r="E957" i="3"/>
  <c r="S957" i="3"/>
  <c r="W957" i="3"/>
  <c r="AM957" i="3"/>
  <c r="AQ957" i="3"/>
  <c r="K957" i="3"/>
  <c r="M956" i="3"/>
  <c r="N956" i="3" s="1"/>
  <c r="AU956" i="3"/>
  <c r="O956" i="3"/>
  <c r="P956" i="3" s="1"/>
  <c r="AV956" i="3"/>
  <c r="A959" i="3" l="1"/>
  <c r="E958" i="3"/>
  <c r="Q958" i="3"/>
  <c r="U958" i="3"/>
  <c r="Y958" i="3"/>
  <c r="AO958" i="3"/>
  <c r="AW958" i="3"/>
  <c r="D958" i="3"/>
  <c r="AT958" i="3"/>
  <c r="F958" i="3"/>
  <c r="AF958" i="3"/>
  <c r="AJ958" i="3"/>
  <c r="K958" i="3"/>
  <c r="S958" i="3"/>
  <c r="W958" i="3"/>
  <c r="AM958" i="3"/>
  <c r="AQ958" i="3"/>
  <c r="L958" i="3"/>
  <c r="AX958" i="3"/>
  <c r="AB958" i="3"/>
  <c r="AH958" i="3"/>
  <c r="M957" i="3"/>
  <c r="N957" i="3" s="1"/>
  <c r="AU957" i="3"/>
  <c r="AV957" i="3"/>
  <c r="O957" i="3"/>
  <c r="P957" i="3" s="1"/>
  <c r="M958" i="3" l="1"/>
  <c r="N958" i="3" s="1"/>
  <c r="AU958" i="3"/>
  <c r="O958" i="3"/>
  <c r="P958" i="3" s="1"/>
  <c r="AV958" i="3"/>
  <c r="AH959" i="3"/>
  <c r="S959" i="3"/>
  <c r="AM959" i="3"/>
  <c r="K959" i="3"/>
  <c r="D959" i="3"/>
  <c r="L959" i="3"/>
  <c r="AF959" i="3"/>
  <c r="AJ959" i="3"/>
  <c r="AX959" i="3"/>
  <c r="Q959" i="3"/>
  <c r="U959" i="3"/>
  <c r="Y959" i="3"/>
  <c r="AO959" i="3"/>
  <c r="AW959" i="3"/>
  <c r="A960" i="3"/>
  <c r="F959" i="3"/>
  <c r="AB959" i="3"/>
  <c r="AT959" i="3"/>
  <c r="E959" i="3"/>
  <c r="W959" i="3"/>
  <c r="AQ959" i="3"/>
  <c r="K960" i="3" l="1"/>
  <c r="W960" i="3"/>
  <c r="AQ960" i="3"/>
  <c r="L960" i="3"/>
  <c r="E960" i="3"/>
  <c r="Q960" i="3"/>
  <c r="U960" i="3"/>
  <c r="Y960" i="3"/>
  <c r="AO960" i="3"/>
  <c r="AW960" i="3"/>
  <c r="D960" i="3"/>
  <c r="AT960" i="3"/>
  <c r="F960" i="3"/>
  <c r="AF960" i="3"/>
  <c r="AJ960" i="3"/>
  <c r="S960" i="3"/>
  <c r="AM960" i="3"/>
  <c r="A961" i="3"/>
  <c r="AX960" i="3"/>
  <c r="AB960" i="3"/>
  <c r="AH960" i="3"/>
  <c r="AV959" i="3"/>
  <c r="M959" i="3"/>
  <c r="N959" i="3" s="1"/>
  <c r="AU959" i="3"/>
  <c r="O959" i="3"/>
  <c r="P959" i="3" s="1"/>
  <c r="AB961" i="3" l="1"/>
  <c r="E961" i="3"/>
  <c r="W961" i="3"/>
  <c r="AQ961" i="3"/>
  <c r="D961" i="3"/>
  <c r="L961" i="3"/>
  <c r="AF961" i="3"/>
  <c r="AJ961" i="3"/>
  <c r="AX961" i="3"/>
  <c r="Q961" i="3"/>
  <c r="U961" i="3"/>
  <c r="Y961" i="3"/>
  <c r="AO961" i="3"/>
  <c r="AW961" i="3"/>
  <c r="A962" i="3"/>
  <c r="F961" i="3"/>
  <c r="AH961" i="3"/>
  <c r="AT961" i="3"/>
  <c r="S961" i="3"/>
  <c r="AM961" i="3"/>
  <c r="K961" i="3"/>
  <c r="AV960" i="3"/>
  <c r="M960" i="3"/>
  <c r="N960" i="3" s="1"/>
  <c r="AU960" i="3"/>
  <c r="O960" i="3"/>
  <c r="P960" i="3" s="1"/>
  <c r="E962" i="3" l="1"/>
  <c r="Q962" i="3"/>
  <c r="U962" i="3"/>
  <c r="Y962" i="3"/>
  <c r="AO962" i="3"/>
  <c r="AW962" i="3"/>
  <c r="D962" i="3"/>
  <c r="AT962" i="3"/>
  <c r="F962" i="3"/>
  <c r="AF962" i="3"/>
  <c r="AJ962" i="3"/>
  <c r="K962" i="3"/>
  <c r="S962" i="3"/>
  <c r="W962" i="3"/>
  <c r="AM962" i="3"/>
  <c r="AQ962" i="3"/>
  <c r="A963" i="3"/>
  <c r="L962" i="3"/>
  <c r="AX962" i="3"/>
  <c r="AB962" i="3"/>
  <c r="AH962" i="3"/>
  <c r="M961" i="3"/>
  <c r="N961" i="3" s="1"/>
  <c r="AU961" i="3"/>
  <c r="AV961" i="3"/>
  <c r="O961" i="3"/>
  <c r="P961" i="3" s="1"/>
  <c r="D963" i="3" l="1"/>
  <c r="L963" i="3"/>
  <c r="AF963" i="3"/>
  <c r="AJ963" i="3"/>
  <c r="AX963" i="3"/>
  <c r="Q963" i="3"/>
  <c r="U963" i="3"/>
  <c r="Y963" i="3"/>
  <c r="AO963" i="3"/>
  <c r="AW963" i="3"/>
  <c r="A964" i="3"/>
  <c r="F963" i="3"/>
  <c r="AB963" i="3"/>
  <c r="AH963" i="3"/>
  <c r="AT963" i="3"/>
  <c r="E963" i="3"/>
  <c r="S963" i="3"/>
  <c r="W963" i="3"/>
  <c r="AM963" i="3"/>
  <c r="AQ963" i="3"/>
  <c r="K963" i="3"/>
  <c r="M962" i="3"/>
  <c r="N962" i="3" s="1"/>
  <c r="AU962" i="3"/>
  <c r="O962" i="3"/>
  <c r="P962" i="3" s="1"/>
  <c r="AV962" i="3"/>
  <c r="K964" i="3" l="1"/>
  <c r="S964" i="3"/>
  <c r="AM964" i="3"/>
  <c r="A965" i="3"/>
  <c r="AX964" i="3"/>
  <c r="AB964" i="3"/>
  <c r="E964" i="3"/>
  <c r="Q964" i="3"/>
  <c r="U964" i="3"/>
  <c r="Y964" i="3"/>
  <c r="AO964" i="3"/>
  <c r="AW964" i="3"/>
  <c r="D964" i="3"/>
  <c r="AT964" i="3"/>
  <c r="F964" i="3"/>
  <c r="AF964" i="3"/>
  <c r="AJ964" i="3"/>
  <c r="W964" i="3"/>
  <c r="AQ964" i="3"/>
  <c r="L964" i="3"/>
  <c r="AH964" i="3"/>
  <c r="AV963" i="3"/>
  <c r="M963" i="3"/>
  <c r="N963" i="3" s="1"/>
  <c r="AU963" i="3"/>
  <c r="O963" i="3"/>
  <c r="P963" i="3" s="1"/>
  <c r="F965" i="3" l="1"/>
  <c r="AB965" i="3"/>
  <c r="AH965" i="3"/>
  <c r="AT965" i="3"/>
  <c r="E965" i="3"/>
  <c r="S965" i="3"/>
  <c r="W965" i="3"/>
  <c r="AM965" i="3"/>
  <c r="AQ965" i="3"/>
  <c r="K965" i="3"/>
  <c r="AJ965" i="3"/>
  <c r="Q965" i="3"/>
  <c r="AO965" i="3"/>
  <c r="A966" i="3"/>
  <c r="D965" i="3"/>
  <c r="L965" i="3"/>
  <c r="AF965" i="3"/>
  <c r="AX965" i="3"/>
  <c r="U965" i="3"/>
  <c r="Y965" i="3"/>
  <c r="AW965" i="3"/>
  <c r="O964" i="3"/>
  <c r="P964" i="3" s="1"/>
  <c r="AV964" i="3"/>
  <c r="M964" i="3"/>
  <c r="N964" i="3" s="1"/>
  <c r="AU964" i="3"/>
  <c r="AM966" i="3" l="1"/>
  <c r="L966" i="3"/>
  <c r="E966" i="3"/>
  <c r="Q966" i="3"/>
  <c r="U966" i="3"/>
  <c r="Y966" i="3"/>
  <c r="AO966" i="3"/>
  <c r="AW966" i="3"/>
  <c r="D966" i="3"/>
  <c r="AT966" i="3"/>
  <c r="F966" i="3"/>
  <c r="AF966" i="3"/>
  <c r="AJ966" i="3"/>
  <c r="K966" i="3"/>
  <c r="S966" i="3"/>
  <c r="W966" i="3"/>
  <c r="AQ966" i="3"/>
  <c r="A967" i="3"/>
  <c r="AX966" i="3"/>
  <c r="AB966" i="3"/>
  <c r="AH966" i="3"/>
  <c r="AV965" i="3"/>
  <c r="M965" i="3"/>
  <c r="N965" i="3" s="1"/>
  <c r="AU965" i="3"/>
  <c r="O965" i="3"/>
  <c r="P965" i="3" s="1"/>
  <c r="AB967" i="3" l="1"/>
  <c r="E967" i="3"/>
  <c r="W967" i="3"/>
  <c r="AQ967" i="3"/>
  <c r="D967" i="3"/>
  <c r="L967" i="3"/>
  <c r="AF967" i="3"/>
  <c r="AJ967" i="3"/>
  <c r="AX967" i="3"/>
  <c r="Q967" i="3"/>
  <c r="U967" i="3"/>
  <c r="Y967" i="3"/>
  <c r="AO967" i="3"/>
  <c r="AW967" i="3"/>
  <c r="A968" i="3"/>
  <c r="F967" i="3"/>
  <c r="AH967" i="3"/>
  <c r="AT967" i="3"/>
  <c r="S967" i="3"/>
  <c r="AM967" i="3"/>
  <c r="K967" i="3"/>
  <c r="AV966" i="3"/>
  <c r="M966" i="3"/>
  <c r="N966" i="3" s="1"/>
  <c r="AU966" i="3"/>
  <c r="O966" i="3"/>
  <c r="P966" i="3" s="1"/>
  <c r="K968" i="3" l="1"/>
  <c r="S968" i="3"/>
  <c r="W968" i="3"/>
  <c r="AM968" i="3"/>
  <c r="AQ968" i="3"/>
  <c r="A969" i="3"/>
  <c r="L968" i="3"/>
  <c r="AX968" i="3"/>
  <c r="AB968" i="3"/>
  <c r="AH968" i="3"/>
  <c r="E968" i="3"/>
  <c r="Q968" i="3"/>
  <c r="U968" i="3"/>
  <c r="Y968" i="3"/>
  <c r="AO968" i="3"/>
  <c r="AW968" i="3"/>
  <c r="D968" i="3"/>
  <c r="AT968" i="3"/>
  <c r="F968" i="3"/>
  <c r="AF968" i="3"/>
  <c r="AJ968" i="3"/>
  <c r="AV967" i="3"/>
  <c r="O967" i="3"/>
  <c r="P967" i="3" s="1"/>
  <c r="M967" i="3"/>
  <c r="N967" i="3" s="1"/>
  <c r="AU967" i="3"/>
  <c r="F969" i="3" l="1"/>
  <c r="AH969" i="3"/>
  <c r="E969" i="3"/>
  <c r="W969" i="3"/>
  <c r="AQ969" i="3"/>
  <c r="D969" i="3"/>
  <c r="L969" i="3"/>
  <c r="AF969" i="3"/>
  <c r="AJ969" i="3"/>
  <c r="AX969" i="3"/>
  <c r="Q969" i="3"/>
  <c r="U969" i="3"/>
  <c r="Y969" i="3"/>
  <c r="AO969" i="3"/>
  <c r="AW969" i="3"/>
  <c r="AB969" i="3"/>
  <c r="AT969" i="3"/>
  <c r="S969" i="3"/>
  <c r="AM969" i="3"/>
  <c r="K969" i="3"/>
  <c r="O968" i="3"/>
  <c r="P968" i="3" s="1"/>
  <c r="M968" i="3"/>
  <c r="N968" i="3" s="1"/>
  <c r="AU968" i="3"/>
  <c r="AV968" i="3"/>
  <c r="S970" i="3" l="1"/>
  <c r="W970" i="3"/>
  <c r="AM970" i="3"/>
  <c r="AQ970" i="3"/>
  <c r="A971" i="3"/>
  <c r="AB970" i="3"/>
  <c r="AH970" i="3"/>
  <c r="U970" i="3"/>
  <c r="Y970" i="3"/>
  <c r="AO970" i="3"/>
  <c r="D970" i="3"/>
  <c r="K970" i="3" s="1"/>
  <c r="AT970" i="3"/>
  <c r="AF970" i="3"/>
  <c r="AJ970" i="3"/>
  <c r="AV969" i="3"/>
  <c r="O969" i="3"/>
  <c r="P969" i="3" s="1"/>
  <c r="M969" i="3"/>
  <c r="N969" i="3" s="1"/>
  <c r="AU969" i="3"/>
  <c r="Q970" i="3" l="1"/>
  <c r="L970" i="3" s="1"/>
  <c r="F971" i="3"/>
  <c r="AT971" i="3"/>
  <c r="S971" i="3"/>
  <c r="AM971" i="3"/>
  <c r="K971" i="3"/>
  <c r="D971" i="3"/>
  <c r="L971" i="3"/>
  <c r="AF971" i="3"/>
  <c r="AJ971" i="3"/>
  <c r="AX971" i="3"/>
  <c r="Q971" i="3"/>
  <c r="U971" i="3"/>
  <c r="Y971" i="3"/>
  <c r="AO971" i="3"/>
  <c r="AW971" i="3"/>
  <c r="A972" i="3"/>
  <c r="A973" i="3" s="1"/>
  <c r="AB971" i="3"/>
  <c r="AH971" i="3"/>
  <c r="E971" i="3"/>
  <c r="W971" i="3"/>
  <c r="AQ971" i="3"/>
  <c r="M970" i="3"/>
  <c r="N970" i="3" s="1"/>
  <c r="AU970" i="3"/>
  <c r="AW970" i="3" s="1"/>
  <c r="O970" i="3"/>
  <c r="P970" i="3" s="1"/>
  <c r="AV970" i="3"/>
  <c r="E973" i="3" l="1"/>
  <c r="F973" i="3"/>
  <c r="AX970" i="3"/>
  <c r="S972" i="3"/>
  <c r="AQ972" i="3"/>
  <c r="L972" i="3"/>
  <c r="E972" i="3"/>
  <c r="Q972" i="3"/>
  <c r="U972" i="3"/>
  <c r="Y972" i="3"/>
  <c r="AO972" i="3"/>
  <c r="AW972" i="3"/>
  <c r="D972" i="3"/>
  <c r="AT972" i="3"/>
  <c r="F972" i="3"/>
  <c r="AF972" i="3"/>
  <c r="AJ972" i="3"/>
  <c r="K972" i="3"/>
  <c r="W972" i="3"/>
  <c r="AM972" i="3"/>
  <c r="AX972" i="3"/>
  <c r="AB972" i="3"/>
  <c r="AH972" i="3"/>
  <c r="AV971" i="3"/>
  <c r="M971" i="3"/>
  <c r="N971" i="3" s="1"/>
  <c r="AU971" i="3"/>
  <c r="O971" i="3"/>
  <c r="P971" i="3" s="1"/>
  <c r="AB973" i="3" l="1"/>
  <c r="AH973" i="3"/>
  <c r="AT973" i="3"/>
  <c r="S973" i="3"/>
  <c r="W973" i="3"/>
  <c r="AM973" i="3"/>
  <c r="AQ973" i="3"/>
  <c r="K973" i="3"/>
  <c r="L973" i="3" s="1"/>
  <c r="Q973" i="3"/>
  <c r="AO973" i="3"/>
  <c r="A974" i="3"/>
  <c r="D973" i="3"/>
  <c r="AF973" i="3"/>
  <c r="AJ973" i="3"/>
  <c r="U973" i="3"/>
  <c r="Y973" i="3"/>
  <c r="O972" i="3"/>
  <c r="P972" i="3" s="1"/>
  <c r="AV972" i="3"/>
  <c r="M972" i="3"/>
  <c r="N972" i="3" s="1"/>
  <c r="AU972" i="3"/>
  <c r="AV973" i="3" l="1"/>
  <c r="AX973" i="3" s="1"/>
  <c r="M973" i="3"/>
  <c r="N973" i="3" s="1"/>
  <c r="AU973" i="3"/>
  <c r="AW973" i="3" s="1"/>
  <c r="O973" i="3"/>
  <c r="P973" i="3" s="1"/>
  <c r="AM974" i="3"/>
  <c r="AB974" i="3"/>
  <c r="E974" i="3"/>
  <c r="U974" i="3"/>
  <c r="Y974" i="3"/>
  <c r="AO974" i="3"/>
  <c r="D974" i="3"/>
  <c r="K974" i="3" s="1"/>
  <c r="AT974" i="3"/>
  <c r="F974" i="3"/>
  <c r="AF974" i="3"/>
  <c r="AJ974" i="3"/>
  <c r="S974" i="3"/>
  <c r="W974" i="3"/>
  <c r="AQ974" i="3"/>
  <c r="A975" i="3"/>
  <c r="AH974" i="3"/>
  <c r="Q974" i="3" l="1"/>
  <c r="L974" i="3" s="1"/>
  <c r="AX974" i="3" s="1"/>
  <c r="AB975" i="3"/>
  <c r="AT975" i="3"/>
  <c r="S975" i="3"/>
  <c r="AM975" i="3"/>
  <c r="D975" i="3"/>
  <c r="Q975" i="3" s="1"/>
  <c r="AF975" i="3"/>
  <c r="AJ975" i="3"/>
  <c r="U975" i="3"/>
  <c r="Y975" i="3"/>
  <c r="AO975" i="3"/>
  <c r="A976" i="3"/>
  <c r="F975" i="3"/>
  <c r="AH975" i="3"/>
  <c r="E975" i="3"/>
  <c r="W975" i="3"/>
  <c r="AQ975" i="3"/>
  <c r="O974" i="3"/>
  <c r="P974" i="3" s="1"/>
  <c r="AV974" i="3"/>
  <c r="M974" i="3"/>
  <c r="N974" i="3" s="1"/>
  <c r="AU974" i="3"/>
  <c r="AW974" i="3" s="1"/>
  <c r="K975" i="3" l="1"/>
  <c r="L975" i="3" s="1"/>
  <c r="AM976" i="3"/>
  <c r="E976" i="3"/>
  <c r="U976" i="3"/>
  <c r="Y976" i="3"/>
  <c r="AO976" i="3"/>
  <c r="D976" i="3"/>
  <c r="K976" i="3" s="1"/>
  <c r="AT976" i="3"/>
  <c r="F976" i="3"/>
  <c r="AF976" i="3"/>
  <c r="AJ976" i="3"/>
  <c r="S976" i="3"/>
  <c r="W976" i="3"/>
  <c r="AQ976" i="3"/>
  <c r="A977" i="3"/>
  <c r="AB976" i="3"/>
  <c r="AH976" i="3"/>
  <c r="AV975" i="3"/>
  <c r="M975" i="3"/>
  <c r="N975" i="3" s="1"/>
  <c r="AU975" i="3"/>
  <c r="AW975" i="3" s="1"/>
  <c r="O975" i="3"/>
  <c r="P975" i="3" s="1"/>
  <c r="Q976" i="3" l="1"/>
  <c r="L976" i="3" s="1"/>
  <c r="AX976" i="3" s="1"/>
  <c r="AX975" i="3"/>
  <c r="AB977" i="3"/>
  <c r="AT977" i="3"/>
  <c r="S977" i="3"/>
  <c r="AQ977" i="3"/>
  <c r="D977" i="3"/>
  <c r="Q977" i="3" s="1"/>
  <c r="AF977" i="3"/>
  <c r="AJ977" i="3"/>
  <c r="U977" i="3"/>
  <c r="Y977" i="3"/>
  <c r="AO977" i="3"/>
  <c r="A978" i="3"/>
  <c r="F977" i="3"/>
  <c r="AH977" i="3"/>
  <c r="E977" i="3"/>
  <c r="W977" i="3"/>
  <c r="AM977" i="3"/>
  <c r="O976" i="3"/>
  <c r="P976" i="3" s="1"/>
  <c r="M976" i="3"/>
  <c r="N976" i="3" s="1"/>
  <c r="AU976" i="3"/>
  <c r="AW976" i="3" s="1"/>
  <c r="AV976" i="3"/>
  <c r="K977" i="3" l="1"/>
  <c r="L977" i="3" s="1"/>
  <c r="K978" i="3"/>
  <c r="W978" i="3"/>
  <c r="AQ978" i="3"/>
  <c r="AH978" i="3"/>
  <c r="E978" i="3"/>
  <c r="Q978" i="3"/>
  <c r="L978" i="3" s="1"/>
  <c r="U978" i="3"/>
  <c r="Y978" i="3"/>
  <c r="AO978" i="3"/>
  <c r="D978" i="3"/>
  <c r="AT978" i="3"/>
  <c r="F978" i="3"/>
  <c r="AF978" i="3"/>
  <c r="AJ978" i="3"/>
  <c r="S978" i="3"/>
  <c r="AM978" i="3"/>
  <c r="A979" i="3"/>
  <c r="AB978" i="3"/>
  <c r="O977" i="3"/>
  <c r="P977" i="3" s="1"/>
  <c r="M977" i="3"/>
  <c r="N977" i="3" s="1"/>
  <c r="AU977" i="3"/>
  <c r="AW977" i="3" s="1"/>
  <c r="AV977" i="3"/>
  <c r="AX977" i="3" l="1"/>
  <c r="M978" i="3"/>
  <c r="N978" i="3" s="1"/>
  <c r="AU978" i="3"/>
  <c r="AW978" i="3" s="1"/>
  <c r="O978" i="3"/>
  <c r="P978" i="3" s="1"/>
  <c r="AV978" i="3"/>
  <c r="AX978" i="3" s="1"/>
  <c r="F979" i="3"/>
  <c r="AT979" i="3"/>
  <c r="W979" i="3"/>
  <c r="AQ979" i="3"/>
  <c r="D979" i="3"/>
  <c r="K979" i="3" s="1"/>
  <c r="AF979" i="3"/>
  <c r="AJ979" i="3"/>
  <c r="U979" i="3"/>
  <c r="Y979" i="3"/>
  <c r="AO979" i="3"/>
  <c r="A980" i="3"/>
  <c r="AB979" i="3"/>
  <c r="AH979" i="3"/>
  <c r="E979" i="3"/>
  <c r="S979" i="3"/>
  <c r="AM979" i="3"/>
  <c r="Q979" i="3" l="1"/>
  <c r="L979" i="3" s="1"/>
  <c r="AX979" i="3" s="1"/>
  <c r="S980" i="3"/>
  <c r="AQ980" i="3"/>
  <c r="E980" i="3"/>
  <c r="U980" i="3"/>
  <c r="Y980" i="3"/>
  <c r="AO980" i="3"/>
  <c r="D980" i="3"/>
  <c r="K980" i="3" s="1"/>
  <c r="AT980" i="3"/>
  <c r="F980" i="3"/>
  <c r="AF980" i="3"/>
  <c r="AJ980" i="3"/>
  <c r="W980" i="3"/>
  <c r="AM980" i="3"/>
  <c r="A981" i="3"/>
  <c r="AB980" i="3"/>
  <c r="AH980" i="3"/>
  <c r="AV979" i="3"/>
  <c r="M979" i="3"/>
  <c r="N979" i="3" s="1"/>
  <c r="AU979" i="3"/>
  <c r="AW979" i="3" s="1"/>
  <c r="O979" i="3"/>
  <c r="P979" i="3" s="1"/>
  <c r="Q980" i="3" l="1"/>
  <c r="L980" i="3" s="1"/>
  <c r="AX980" i="3" s="1"/>
  <c r="F981" i="3"/>
  <c r="AH981" i="3"/>
  <c r="E981" i="3"/>
  <c r="W981" i="3"/>
  <c r="AQ981" i="3"/>
  <c r="D981" i="3"/>
  <c r="Q981" i="3" s="1"/>
  <c r="AF981" i="3"/>
  <c r="AJ981" i="3"/>
  <c r="U981" i="3"/>
  <c r="Y981" i="3"/>
  <c r="AO981" i="3"/>
  <c r="A982" i="3"/>
  <c r="AB981" i="3"/>
  <c r="AT981" i="3"/>
  <c r="S981" i="3"/>
  <c r="AM981" i="3"/>
  <c r="K981" i="3"/>
  <c r="O980" i="3"/>
  <c r="P980" i="3" s="1"/>
  <c r="AV980" i="3"/>
  <c r="M980" i="3"/>
  <c r="N980" i="3" s="1"/>
  <c r="AU980" i="3"/>
  <c r="AW980" i="3" s="1"/>
  <c r="L981" i="3" l="1"/>
  <c r="S982" i="3"/>
  <c r="W982" i="3"/>
  <c r="AM982" i="3"/>
  <c r="AQ982" i="3"/>
  <c r="A983" i="3"/>
  <c r="AB982" i="3"/>
  <c r="AH982" i="3"/>
  <c r="AT982" i="3"/>
  <c r="AF982" i="3"/>
  <c r="E982" i="3"/>
  <c r="U982" i="3"/>
  <c r="Y982" i="3"/>
  <c r="AO982" i="3"/>
  <c r="D982" i="3"/>
  <c r="K982" i="3" s="1"/>
  <c r="F982" i="3"/>
  <c r="AJ982" i="3"/>
  <c r="AV981" i="3"/>
  <c r="O981" i="3"/>
  <c r="P981" i="3" s="1"/>
  <c r="M981" i="3"/>
  <c r="N981" i="3" s="1"/>
  <c r="AU981" i="3"/>
  <c r="AW981" i="3" s="1"/>
  <c r="Q982" i="3" l="1"/>
  <c r="L982" i="3" s="1"/>
  <c r="AX982" i="3" s="1"/>
  <c r="AX981" i="3"/>
  <c r="AB983" i="3"/>
  <c r="E983" i="3"/>
  <c r="W983" i="3"/>
  <c r="AQ983" i="3"/>
  <c r="D983" i="3"/>
  <c r="Q983" i="3" s="1"/>
  <c r="AF983" i="3"/>
  <c r="AJ983" i="3"/>
  <c r="U983" i="3"/>
  <c r="Y983" i="3"/>
  <c r="AO983" i="3"/>
  <c r="A984" i="3"/>
  <c r="F983" i="3"/>
  <c r="AH983" i="3"/>
  <c r="AT983" i="3"/>
  <c r="S983" i="3"/>
  <c r="AM983" i="3"/>
  <c r="K983" i="3"/>
  <c r="L983" i="3" s="1"/>
  <c r="M982" i="3"/>
  <c r="N982" i="3" s="1"/>
  <c r="AU982" i="3"/>
  <c r="AW982" i="3" s="1"/>
  <c r="O982" i="3"/>
  <c r="P982" i="3" s="1"/>
  <c r="AV982" i="3"/>
  <c r="S984" i="3" l="1"/>
  <c r="AM984" i="3"/>
  <c r="AQ984" i="3"/>
  <c r="E984" i="3"/>
  <c r="U984" i="3"/>
  <c r="Y984" i="3"/>
  <c r="AO984" i="3"/>
  <c r="D984" i="3"/>
  <c r="K984" i="3" s="1"/>
  <c r="AT984" i="3"/>
  <c r="F984" i="3"/>
  <c r="AF984" i="3"/>
  <c r="AJ984" i="3"/>
  <c r="W984" i="3"/>
  <c r="A985" i="3"/>
  <c r="AB984" i="3"/>
  <c r="AH984" i="3"/>
  <c r="AV983" i="3"/>
  <c r="AX983" i="3" s="1"/>
  <c r="M983" i="3"/>
  <c r="N983" i="3" s="1"/>
  <c r="AU983" i="3"/>
  <c r="AW983" i="3" s="1"/>
  <c r="O983" i="3"/>
  <c r="P983" i="3" s="1"/>
  <c r="Q984" i="3" l="1"/>
  <c r="L984" i="3" s="1"/>
  <c r="AX984" i="3" s="1"/>
  <c r="AT985" i="3"/>
  <c r="AM985" i="3"/>
  <c r="D985" i="3"/>
  <c r="K985" i="3" s="1"/>
  <c r="L985" i="3" s="1"/>
  <c r="AF985" i="3"/>
  <c r="AJ985" i="3"/>
  <c r="Q985" i="3"/>
  <c r="U985" i="3"/>
  <c r="Y985" i="3"/>
  <c r="AO985" i="3"/>
  <c r="A986" i="3"/>
  <c r="F985" i="3"/>
  <c r="AB985" i="3"/>
  <c r="AH985" i="3"/>
  <c r="E985" i="3"/>
  <c r="S985" i="3"/>
  <c r="W985" i="3"/>
  <c r="AQ985" i="3"/>
  <c r="M984" i="3"/>
  <c r="N984" i="3" s="1"/>
  <c r="AU984" i="3"/>
  <c r="AW984" i="3" s="1"/>
  <c r="O984" i="3"/>
  <c r="P984" i="3" s="1"/>
  <c r="AV984" i="3"/>
  <c r="A987" i="3" l="1"/>
  <c r="AB986" i="3"/>
  <c r="E986" i="3"/>
  <c r="U986" i="3"/>
  <c r="Y986" i="3"/>
  <c r="AO986" i="3"/>
  <c r="D986" i="3"/>
  <c r="K986" i="3" s="1"/>
  <c r="AT986" i="3"/>
  <c r="F986" i="3"/>
  <c r="AF986" i="3"/>
  <c r="AJ986" i="3"/>
  <c r="S986" i="3"/>
  <c r="W986" i="3"/>
  <c r="AM986" i="3"/>
  <c r="AQ986" i="3"/>
  <c r="AH986" i="3"/>
  <c r="AV985" i="3"/>
  <c r="AX985" i="3" s="1"/>
  <c r="M985" i="3"/>
  <c r="N985" i="3" s="1"/>
  <c r="AU985" i="3"/>
  <c r="AW985" i="3" s="1"/>
  <c r="O985" i="3"/>
  <c r="P985" i="3" s="1"/>
  <c r="Q986" i="3" l="1"/>
  <c r="L986" i="3" s="1"/>
  <c r="AX986" i="3" s="1"/>
  <c r="AH987" i="3"/>
  <c r="W987" i="3"/>
  <c r="AQ987" i="3"/>
  <c r="D987" i="3"/>
  <c r="L987" i="3"/>
  <c r="AF987" i="3"/>
  <c r="AJ987" i="3"/>
  <c r="AX987" i="3"/>
  <c r="Q987" i="3"/>
  <c r="U987" i="3"/>
  <c r="Y987" i="3"/>
  <c r="AO987" i="3"/>
  <c r="AW987" i="3"/>
  <c r="A988" i="3"/>
  <c r="F987" i="3"/>
  <c r="AB987" i="3"/>
  <c r="AT987" i="3"/>
  <c r="E987" i="3"/>
  <c r="S987" i="3"/>
  <c r="AM987" i="3"/>
  <c r="K987" i="3"/>
  <c r="M986" i="3"/>
  <c r="N986" i="3" s="1"/>
  <c r="AU986" i="3"/>
  <c r="AW986" i="3" s="1"/>
  <c r="O986" i="3"/>
  <c r="P986" i="3" s="1"/>
  <c r="AV986" i="3"/>
  <c r="K988" i="3" l="1"/>
  <c r="S988" i="3"/>
  <c r="W988" i="3"/>
  <c r="AM988" i="3"/>
  <c r="AQ988" i="3"/>
  <c r="A989" i="3"/>
  <c r="L988" i="3"/>
  <c r="AX988" i="3"/>
  <c r="AB988" i="3"/>
  <c r="AH988" i="3"/>
  <c r="E988" i="3"/>
  <c r="Q988" i="3"/>
  <c r="U988" i="3"/>
  <c r="Y988" i="3"/>
  <c r="AO988" i="3"/>
  <c r="AW988" i="3"/>
  <c r="D988" i="3"/>
  <c r="AT988" i="3"/>
  <c r="F988" i="3"/>
  <c r="AF988" i="3"/>
  <c r="AJ988" i="3"/>
  <c r="AV987" i="3"/>
  <c r="O987" i="3"/>
  <c r="P987" i="3" s="1"/>
  <c r="M987" i="3"/>
  <c r="N987" i="3" s="1"/>
  <c r="AU987" i="3"/>
  <c r="F989" i="3" l="1"/>
  <c r="AB989" i="3"/>
  <c r="AH989" i="3"/>
  <c r="AT989" i="3"/>
  <c r="E989" i="3"/>
  <c r="S989" i="3"/>
  <c r="W989" i="3"/>
  <c r="AM989" i="3"/>
  <c r="AQ989" i="3"/>
  <c r="K989" i="3"/>
  <c r="D989" i="3"/>
  <c r="L989" i="3"/>
  <c r="AF989" i="3"/>
  <c r="AJ989" i="3"/>
  <c r="AX989" i="3"/>
  <c r="Q989" i="3"/>
  <c r="U989" i="3"/>
  <c r="Y989" i="3"/>
  <c r="AO989" i="3"/>
  <c r="AW989" i="3"/>
  <c r="A990" i="3"/>
  <c r="O988" i="3"/>
  <c r="P988" i="3" s="1"/>
  <c r="AV988" i="3"/>
  <c r="M988" i="3"/>
  <c r="N988" i="3" s="1"/>
  <c r="AU988" i="3"/>
  <c r="K990" i="3" l="1"/>
  <c r="S990" i="3"/>
  <c r="W990" i="3"/>
  <c r="AM990" i="3"/>
  <c r="AQ990" i="3"/>
  <c r="A991" i="3"/>
  <c r="L990" i="3"/>
  <c r="AX990" i="3"/>
  <c r="AB990" i="3"/>
  <c r="AH990" i="3"/>
  <c r="E990" i="3"/>
  <c r="Q990" i="3"/>
  <c r="U990" i="3"/>
  <c r="Y990" i="3"/>
  <c r="AO990" i="3"/>
  <c r="AW990" i="3"/>
  <c r="D990" i="3"/>
  <c r="AT990" i="3"/>
  <c r="F990" i="3"/>
  <c r="AF990" i="3"/>
  <c r="AJ990" i="3"/>
  <c r="AV989" i="3"/>
  <c r="O989" i="3"/>
  <c r="P989" i="3" s="1"/>
  <c r="M989" i="3"/>
  <c r="N989" i="3" s="1"/>
  <c r="AU989" i="3"/>
  <c r="F991" i="3" l="1"/>
  <c r="AB991" i="3"/>
  <c r="AH991" i="3"/>
  <c r="AT991" i="3"/>
  <c r="E991" i="3"/>
  <c r="S991" i="3"/>
  <c r="W991" i="3"/>
  <c r="AM991" i="3"/>
  <c r="AQ991" i="3"/>
  <c r="D991" i="3"/>
  <c r="L991" i="3"/>
  <c r="AF991" i="3"/>
  <c r="AJ991" i="3"/>
  <c r="AX991" i="3"/>
  <c r="Q991" i="3"/>
  <c r="U991" i="3"/>
  <c r="Y991" i="3"/>
  <c r="AO991" i="3"/>
  <c r="AW991" i="3"/>
  <c r="A992" i="3"/>
  <c r="K991" i="3"/>
  <c r="O990" i="3"/>
  <c r="P990" i="3" s="1"/>
  <c r="AV990" i="3"/>
  <c r="M990" i="3"/>
  <c r="N990" i="3" s="1"/>
  <c r="AU990" i="3"/>
  <c r="K992" i="3" l="1"/>
  <c r="S992" i="3"/>
  <c r="W992" i="3"/>
  <c r="AM992" i="3"/>
  <c r="AQ992" i="3"/>
  <c r="A993" i="3"/>
  <c r="L992" i="3"/>
  <c r="AX992" i="3"/>
  <c r="AB992" i="3"/>
  <c r="AH992" i="3"/>
  <c r="E992" i="3"/>
  <c r="Q992" i="3"/>
  <c r="U992" i="3"/>
  <c r="Y992" i="3"/>
  <c r="AO992" i="3"/>
  <c r="AW992" i="3"/>
  <c r="D992" i="3"/>
  <c r="AT992" i="3"/>
  <c r="F992" i="3"/>
  <c r="AF992" i="3"/>
  <c r="AJ992" i="3"/>
  <c r="AV991" i="3"/>
  <c r="O991" i="3"/>
  <c r="P991" i="3" s="1"/>
  <c r="M991" i="3"/>
  <c r="N991" i="3" s="1"/>
  <c r="AU991" i="3"/>
  <c r="F993" i="3" l="1"/>
  <c r="AB993" i="3"/>
  <c r="AH993" i="3"/>
  <c r="AT993" i="3"/>
  <c r="E993" i="3"/>
  <c r="S993" i="3"/>
  <c r="W993" i="3"/>
  <c r="AM993" i="3"/>
  <c r="K993" i="3"/>
  <c r="D993" i="3"/>
  <c r="L993" i="3"/>
  <c r="AF993" i="3"/>
  <c r="AJ993" i="3"/>
  <c r="AX993" i="3"/>
  <c r="Q993" i="3"/>
  <c r="U993" i="3"/>
  <c r="Y993" i="3"/>
  <c r="AO993" i="3"/>
  <c r="AW993" i="3"/>
  <c r="A994" i="3"/>
  <c r="AQ993" i="3"/>
  <c r="O992" i="3"/>
  <c r="P992" i="3" s="1"/>
  <c r="AV992" i="3"/>
  <c r="M992" i="3"/>
  <c r="N992" i="3" s="1"/>
  <c r="AU992" i="3"/>
  <c r="K994" i="3" l="1"/>
  <c r="S994" i="3"/>
  <c r="W994" i="3"/>
  <c r="AM994" i="3"/>
  <c r="AQ994" i="3"/>
  <c r="A995" i="3"/>
  <c r="L994" i="3"/>
  <c r="AX994" i="3"/>
  <c r="AB994" i="3"/>
  <c r="AH994" i="3"/>
  <c r="E994" i="3"/>
  <c r="Q994" i="3"/>
  <c r="U994" i="3"/>
  <c r="Y994" i="3"/>
  <c r="AO994" i="3"/>
  <c r="AW994" i="3"/>
  <c r="D994" i="3"/>
  <c r="AT994" i="3"/>
  <c r="F994" i="3"/>
  <c r="AF994" i="3"/>
  <c r="AJ994" i="3"/>
  <c r="O993" i="3"/>
  <c r="P993" i="3" s="1"/>
  <c r="M993" i="3"/>
  <c r="N993" i="3" s="1"/>
  <c r="AU993" i="3"/>
  <c r="AV993" i="3"/>
  <c r="F995" i="3" l="1"/>
  <c r="AB995" i="3"/>
  <c r="AH995" i="3"/>
  <c r="AT995" i="3"/>
  <c r="E995" i="3"/>
  <c r="S995" i="3"/>
  <c r="AM995" i="3"/>
  <c r="AQ995" i="3"/>
  <c r="D995" i="3"/>
  <c r="L995" i="3"/>
  <c r="AF995" i="3"/>
  <c r="AJ995" i="3"/>
  <c r="AX995" i="3"/>
  <c r="Q995" i="3"/>
  <c r="U995" i="3"/>
  <c r="Y995" i="3"/>
  <c r="AO995" i="3"/>
  <c r="AW995" i="3"/>
  <c r="A996" i="3"/>
  <c r="W995" i="3"/>
  <c r="K995" i="3"/>
  <c r="O994" i="3"/>
  <c r="P994" i="3" s="1"/>
  <c r="AV994" i="3"/>
  <c r="M994" i="3"/>
  <c r="N994" i="3" s="1"/>
  <c r="AU994" i="3"/>
  <c r="K996" i="3" l="1"/>
  <c r="S996" i="3"/>
  <c r="W996" i="3"/>
  <c r="AM996" i="3"/>
  <c r="AQ996" i="3"/>
  <c r="A997" i="3"/>
  <c r="L996" i="3"/>
  <c r="AX996" i="3"/>
  <c r="AB996" i="3"/>
  <c r="AH996" i="3"/>
  <c r="E996" i="3"/>
  <c r="Q996" i="3"/>
  <c r="U996" i="3"/>
  <c r="Y996" i="3"/>
  <c r="AO996" i="3"/>
  <c r="AW996" i="3"/>
  <c r="D996" i="3"/>
  <c r="AT996" i="3"/>
  <c r="F996" i="3"/>
  <c r="AF996" i="3"/>
  <c r="AJ996" i="3"/>
  <c r="AV995" i="3"/>
  <c r="O995" i="3"/>
  <c r="P995" i="3" s="1"/>
  <c r="M995" i="3"/>
  <c r="N995" i="3" s="1"/>
  <c r="AU995" i="3"/>
  <c r="F997" i="3" l="1"/>
  <c r="AB997" i="3"/>
  <c r="AH997" i="3"/>
  <c r="AT997" i="3"/>
  <c r="E997" i="3"/>
  <c r="S997" i="3"/>
  <c r="W997" i="3"/>
  <c r="AQ997" i="3"/>
  <c r="D997" i="3"/>
  <c r="L997" i="3"/>
  <c r="AF997" i="3"/>
  <c r="AJ997" i="3"/>
  <c r="AX997" i="3"/>
  <c r="Q997" i="3"/>
  <c r="U997" i="3"/>
  <c r="Y997" i="3"/>
  <c r="AO997" i="3"/>
  <c r="AW997" i="3"/>
  <c r="A998" i="3"/>
  <c r="AM997" i="3"/>
  <c r="K997" i="3"/>
  <c r="O996" i="3"/>
  <c r="P996" i="3" s="1"/>
  <c r="AV996" i="3"/>
  <c r="M996" i="3"/>
  <c r="N996" i="3" s="1"/>
  <c r="AU996" i="3"/>
  <c r="K998" i="3" l="1"/>
  <c r="S998" i="3"/>
  <c r="W998" i="3"/>
  <c r="AM998" i="3"/>
  <c r="AQ998" i="3"/>
  <c r="A999" i="3"/>
  <c r="L998" i="3"/>
  <c r="AX998" i="3"/>
  <c r="AB998" i="3"/>
  <c r="AH998" i="3"/>
  <c r="E998" i="3"/>
  <c r="Q998" i="3"/>
  <c r="U998" i="3"/>
  <c r="Y998" i="3"/>
  <c r="AO998" i="3"/>
  <c r="AW998" i="3"/>
  <c r="D998" i="3"/>
  <c r="AT998" i="3"/>
  <c r="F998" i="3"/>
  <c r="AF998" i="3"/>
  <c r="AJ998" i="3"/>
  <c r="AV997" i="3"/>
  <c r="O997" i="3"/>
  <c r="P997" i="3" s="1"/>
  <c r="M997" i="3"/>
  <c r="N997" i="3" s="1"/>
  <c r="AU997" i="3"/>
  <c r="F999" i="3" l="1"/>
  <c r="AB999" i="3"/>
  <c r="AH999" i="3"/>
  <c r="AT999" i="3"/>
  <c r="E999" i="3"/>
  <c r="S999" i="3"/>
  <c r="W999" i="3"/>
  <c r="AM999" i="3"/>
  <c r="AQ999" i="3"/>
  <c r="K999" i="3"/>
  <c r="D999" i="3"/>
  <c r="L999" i="3"/>
  <c r="AJ999" i="3"/>
  <c r="AX999" i="3"/>
  <c r="Q999" i="3"/>
  <c r="AO999" i="3"/>
  <c r="A1000" i="3"/>
  <c r="AF999" i="3"/>
  <c r="U999" i="3"/>
  <c r="Y999" i="3"/>
  <c r="AW999" i="3"/>
  <c r="O998" i="3"/>
  <c r="P998" i="3" s="1"/>
  <c r="AV998" i="3"/>
  <c r="M998" i="3"/>
  <c r="N998" i="3" s="1"/>
  <c r="AU998" i="3"/>
  <c r="K1000" i="3" l="1"/>
  <c r="S1000" i="3"/>
  <c r="W1000" i="3"/>
  <c r="AM1000" i="3"/>
  <c r="AQ1000" i="3"/>
  <c r="A1001" i="3"/>
  <c r="L1000" i="3"/>
  <c r="AX1000" i="3"/>
  <c r="AB1000" i="3"/>
  <c r="AH1000" i="3"/>
  <c r="E1000" i="3"/>
  <c r="Q1000" i="3"/>
  <c r="U1000" i="3"/>
  <c r="Y1000" i="3"/>
  <c r="AO1000" i="3"/>
  <c r="AW1000" i="3"/>
  <c r="D1000" i="3"/>
  <c r="AT1000" i="3"/>
  <c r="F1000" i="3"/>
  <c r="AF1000" i="3"/>
  <c r="AJ1000" i="3"/>
  <c r="AV999" i="3"/>
  <c r="O999" i="3"/>
  <c r="P999" i="3" s="1"/>
  <c r="M999" i="3"/>
  <c r="N999" i="3" s="1"/>
  <c r="AU999" i="3"/>
  <c r="F1001" i="3" l="1"/>
  <c r="AB1001" i="3"/>
  <c r="AH1001" i="3"/>
  <c r="AT1001" i="3"/>
  <c r="E1001" i="3"/>
  <c r="S1001" i="3"/>
  <c r="W1001" i="3"/>
  <c r="AM1001" i="3"/>
  <c r="AQ1001" i="3"/>
  <c r="K1001" i="3"/>
  <c r="D1001" i="3"/>
  <c r="L1001" i="3"/>
  <c r="AF1001" i="3"/>
  <c r="AJ1001" i="3"/>
  <c r="AX1001" i="3"/>
  <c r="Q1001" i="3"/>
  <c r="U1001" i="3"/>
  <c r="Y1001" i="3"/>
  <c r="AO1001" i="3"/>
  <c r="AW1001" i="3"/>
  <c r="A1002" i="3"/>
  <c r="O1000" i="3"/>
  <c r="P1000" i="3" s="1"/>
  <c r="AV1000" i="3"/>
  <c r="M1000" i="3"/>
  <c r="N1000" i="3" s="1"/>
  <c r="AU1000" i="3"/>
  <c r="K1002" i="3" l="1"/>
  <c r="S1002" i="3"/>
  <c r="W1002" i="3"/>
  <c r="AM1002" i="3"/>
  <c r="AQ1002" i="3"/>
  <c r="A1003" i="3"/>
  <c r="L1002" i="3"/>
  <c r="AX1002" i="3"/>
  <c r="AB1002" i="3"/>
  <c r="AH1002" i="3"/>
  <c r="E1002" i="3"/>
  <c r="Q1002" i="3"/>
  <c r="U1002" i="3"/>
  <c r="Y1002" i="3"/>
  <c r="AO1002" i="3"/>
  <c r="AW1002" i="3"/>
  <c r="D1002" i="3"/>
  <c r="AT1002" i="3"/>
  <c r="F1002" i="3"/>
  <c r="AF1002" i="3"/>
  <c r="AJ1002" i="3"/>
  <c r="AV1001" i="3"/>
  <c r="O1001" i="3"/>
  <c r="P1001" i="3" s="1"/>
  <c r="M1001" i="3"/>
  <c r="N1001" i="3" s="1"/>
  <c r="AU1001" i="3"/>
  <c r="F1003" i="3" l="1"/>
  <c r="AB1003" i="3"/>
  <c r="AH1003" i="3"/>
  <c r="AT1003" i="3"/>
  <c r="E1003" i="3"/>
  <c r="S1003" i="3"/>
  <c r="W1003" i="3"/>
  <c r="AM1003" i="3"/>
  <c r="AQ1003" i="3"/>
  <c r="K1003" i="3"/>
  <c r="AF1003" i="3"/>
  <c r="AX1003" i="3"/>
  <c r="U1003" i="3"/>
  <c r="Y1003" i="3"/>
  <c r="AW1003" i="3"/>
  <c r="D1003" i="3"/>
  <c r="L1003" i="3"/>
  <c r="AJ1003" i="3"/>
  <c r="Q1003" i="3"/>
  <c r="AO1003" i="3"/>
  <c r="A1004" i="3"/>
  <c r="O1002" i="3"/>
  <c r="P1002" i="3" s="1"/>
  <c r="AV1002" i="3"/>
  <c r="M1002" i="3"/>
  <c r="N1002" i="3" s="1"/>
  <c r="AU1002" i="3"/>
  <c r="M1003" i="3" l="1"/>
  <c r="N1003" i="3" s="1"/>
  <c r="AV1003" i="3"/>
  <c r="O1003" i="3"/>
  <c r="P1003" i="3" s="1"/>
  <c r="AU1003" i="3"/>
  <c r="S1004" i="3"/>
  <c r="F47" i="4" s="1"/>
  <c r="U39" i="1" s="1"/>
  <c r="V39" i="1" s="1"/>
  <c r="AQ1004" i="3"/>
  <c r="F59" i="4" s="1"/>
  <c r="U36" i="1" s="1"/>
  <c r="V36" i="1" s="1"/>
  <c r="AT1004" i="3"/>
  <c r="F61" i="4" s="1"/>
  <c r="H44" i="1" s="1"/>
  <c r="AF1004" i="3"/>
  <c r="F53" i="4" s="1"/>
  <c r="E1004" i="3"/>
  <c r="Q1004" i="3"/>
  <c r="U1004" i="3"/>
  <c r="F48" i="4" s="1"/>
  <c r="U40" i="1" s="1"/>
  <c r="V40" i="1" s="1"/>
  <c r="Y1004" i="3"/>
  <c r="H50" i="4" s="1"/>
  <c r="U34" i="1" s="1"/>
  <c r="V34" i="1" s="1"/>
  <c r="AO1004" i="3"/>
  <c r="F58" i="4" s="1"/>
  <c r="U35" i="1" s="1"/>
  <c r="V35" i="1" s="1"/>
  <c r="AW1004" i="3"/>
  <c r="L1004" i="3"/>
  <c r="AX1004" i="3"/>
  <c r="AB1004" i="3"/>
  <c r="H52" i="4" s="1"/>
  <c r="F52" i="4" s="1"/>
  <c r="U44" i="1" s="1"/>
  <c r="V44" i="1" s="1"/>
  <c r="AH1004" i="3"/>
  <c r="F54" i="4" s="1"/>
  <c r="K1004" i="3"/>
  <c r="W1004" i="3"/>
  <c r="H49" i="4" s="1"/>
  <c r="U33" i="1" s="1"/>
  <c r="V33" i="1" s="1"/>
  <c r="AM1004" i="3"/>
  <c r="F57" i="4" s="1"/>
  <c r="U42" i="1" s="1"/>
  <c r="V42" i="1" s="1"/>
  <c r="D1004" i="3"/>
  <c r="F1004" i="3"/>
  <c r="AJ1004" i="3"/>
  <c r="F55" i="4" s="1"/>
  <c r="U43" i="1" s="1"/>
  <c r="V43" i="1" s="1"/>
  <c r="V52" i="1" l="1"/>
  <c r="O1004" i="3"/>
  <c r="AV1004" i="3"/>
  <c r="H20" i="4" s="1"/>
  <c r="M1004" i="3"/>
  <c r="AU1004" i="3"/>
  <c r="I20" i="4" s="1"/>
  <c r="J55" i="1"/>
  <c r="E18" i="4"/>
  <c r="F17" i="4"/>
  <c r="S10" i="1" s="1"/>
  <c r="U10" i="1" s="1"/>
  <c r="V10" i="1" s="1"/>
  <c r="F14" i="4"/>
  <c r="E16" i="4"/>
  <c r="F16" i="4"/>
  <c r="S7" i="1" s="1"/>
  <c r="F18" i="4"/>
  <c r="S8" i="1" s="1"/>
  <c r="E19" i="4"/>
  <c r="E17" i="4"/>
  <c r="E15" i="4"/>
  <c r="F15" i="4"/>
  <c r="S6" i="1" s="1"/>
  <c r="T6" i="1" s="1"/>
  <c r="E14" i="4"/>
  <c r="F19" i="4"/>
  <c r="S9" i="1" s="1"/>
  <c r="H16" i="4"/>
  <c r="H19" i="4"/>
  <c r="H17" i="4"/>
  <c r="I17" i="4"/>
  <c r="H15" i="4"/>
  <c r="I18" i="4"/>
  <c r="I14" i="4"/>
  <c r="I15" i="4"/>
  <c r="I19" i="4"/>
  <c r="H18" i="4"/>
  <c r="I16" i="4"/>
  <c r="H14" i="4"/>
  <c r="C14" i="4"/>
  <c r="N5" i="1" s="1"/>
  <c r="E41" i="16" s="1"/>
  <c r="B14" i="4"/>
  <c r="M5" i="1" s="1"/>
  <c r="D41" i="16" s="1"/>
  <c r="B15" i="4"/>
  <c r="M6" i="1" s="1"/>
  <c r="D42" i="16" s="1"/>
  <c r="B17" i="4"/>
  <c r="M8" i="1" s="1"/>
  <c r="B18" i="4"/>
  <c r="M9" i="1" s="1"/>
  <c r="D45" i="16" s="1"/>
  <c r="C17" i="4"/>
  <c r="N8" i="1" s="1"/>
  <c r="E44" i="16" s="1"/>
  <c r="C16" i="4"/>
  <c r="N7" i="1" s="1"/>
  <c r="E43" i="16" s="1"/>
  <c r="C15" i="4"/>
  <c r="N6" i="1" s="1"/>
  <c r="E42" i="16" s="1"/>
  <c r="B16" i="4"/>
  <c r="M7" i="1" s="1"/>
  <c r="D43" i="16" s="1"/>
  <c r="C19" i="4"/>
  <c r="N10" i="1" s="1"/>
  <c r="E46" i="16" s="1"/>
  <c r="B19" i="4"/>
  <c r="M10" i="1" s="1"/>
  <c r="D46" i="16" s="1"/>
  <c r="C18" i="4"/>
  <c r="N9" i="1" s="1"/>
  <c r="E45" i="16" s="1"/>
  <c r="D44" i="16" l="1"/>
  <c r="D47" i="16" s="1"/>
  <c r="E47" i="16"/>
  <c r="O6" i="1"/>
  <c r="O9" i="1"/>
  <c r="Q8" i="1"/>
  <c r="Q9" i="1"/>
  <c r="O10" i="1"/>
  <c r="Q10" i="1"/>
  <c r="O7" i="1"/>
  <c r="Q6" i="1"/>
  <c r="Q7" i="1"/>
  <c r="O8" i="1"/>
  <c r="E21" i="4"/>
  <c r="H21" i="4"/>
  <c r="C21" i="4"/>
  <c r="I21" i="4"/>
  <c r="T7" i="1"/>
  <c r="U7" i="1"/>
  <c r="F21" i="4"/>
  <c r="S5" i="1"/>
  <c r="B21" i="4"/>
  <c r="T9" i="1"/>
  <c r="U9" i="1"/>
  <c r="U6" i="1"/>
  <c r="T8" i="1"/>
  <c r="U8" i="1" s="1"/>
  <c r="N1004" i="3"/>
  <c r="D35" i="4"/>
  <c r="N36" i="1" s="1"/>
  <c r="O36" i="1" s="1"/>
  <c r="D34" i="4"/>
  <c r="N35" i="1" s="1"/>
  <c r="O35" i="1" s="1"/>
  <c r="D32" i="4"/>
  <c r="N33" i="1" s="1"/>
  <c r="O33" i="1" s="1"/>
  <c r="D33" i="4"/>
  <c r="N34" i="1" s="1"/>
  <c r="O34" i="1" s="1"/>
  <c r="P1004" i="3"/>
  <c r="I32" i="4"/>
  <c r="I33" i="4"/>
  <c r="O37" i="1" l="1"/>
  <c r="J52" i="16"/>
  <c r="J53" i="16"/>
  <c r="J51" i="16"/>
  <c r="J54" i="16"/>
  <c r="V8" i="1"/>
  <c r="V6" i="1"/>
  <c r="V9" i="1"/>
  <c r="O5" i="1"/>
  <c r="O13" i="1" s="1"/>
  <c r="M13" i="1"/>
  <c r="V7" i="1"/>
  <c r="Q5" i="1"/>
  <c r="Q13" i="1" s="1"/>
  <c r="N13" i="1"/>
  <c r="Z47" i="1" s="1"/>
  <c r="U5" i="1"/>
  <c r="U13" i="1" s="1"/>
  <c r="Q74" i="1" s="1"/>
  <c r="T5" i="1"/>
  <c r="R70" i="1" l="1"/>
  <c r="U70" i="1"/>
  <c r="AC49" i="1"/>
  <c r="Z43" i="1"/>
  <c r="AC47" i="1"/>
  <c r="AC48" i="1"/>
  <c r="AC44" i="1"/>
  <c r="AC45" i="1"/>
  <c r="V5" i="1"/>
  <c r="V13" i="1" s="1"/>
  <c r="I55" i="1"/>
  <c r="E10" i="22" a="1"/>
  <c r="E10" i="22" l="1"/>
  <c r="C10" i="22" s="1"/>
  <c r="H55" i="1"/>
  <c r="U73" i="1" s="1"/>
  <c r="U74" i="1"/>
  <c r="R74" i="1"/>
  <c r="N53" i="1"/>
  <c r="O55" i="1"/>
  <c r="AC43" i="1"/>
  <c r="E12" i="22" a="1"/>
  <c r="E12" i="22" l="1"/>
  <c r="C12" i="22" s="1"/>
  <c r="O53" i="1"/>
  <c r="R73" i="1"/>
  <c r="AC50" i="1"/>
  <c r="N54" i="1" s="1"/>
  <c r="E5" i="22" a="1"/>
  <c r="E13" i="22" a="1"/>
  <c r="E13" i="22" l="1"/>
  <c r="C13" i="22" s="1"/>
  <c r="E5" i="22"/>
  <c r="C5" i="22" s="1"/>
  <c r="O54" i="1"/>
  <c r="O62" i="1" s="1"/>
  <c r="F11" i="16"/>
  <c r="E6" i="22" a="1"/>
  <c r="U75" i="1" l="1"/>
  <c r="U76" i="1" s="1"/>
  <c r="U80" i="1" s="1"/>
  <c r="E6" i="22"/>
  <c r="C6" i="22" s="1"/>
  <c r="R75" i="1"/>
  <c r="R76" i="1" s="1"/>
  <c r="R80" i="1" s="1"/>
  <c r="R81" i="1" s="1"/>
  <c r="E2" i="22" a="1"/>
  <c r="E2" i="22" l="1"/>
  <c r="C2" i="22" s="1"/>
  <c r="U81" i="1"/>
  <c r="Z78" i="1"/>
  <c r="Z79" i="1" s="1"/>
  <c r="Z80" i="1" s="1"/>
  <c r="Z81" i="1" s="1"/>
</calcChain>
</file>

<file path=xl/comments1.xml><?xml version="1.0" encoding="utf-8"?>
<comments xmlns="http://schemas.openxmlformats.org/spreadsheetml/2006/main">
  <authors>
    <author>tc={980D4A3B-A485-4CF1-B561-167414B1E7D1}</author>
  </authors>
  <commentList>
    <comment ref="E1" authorId="0" shapeId="0">
      <text>
        <r>
          <rPr>
            <sz val="10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Fuck off Ronnie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<sst xmlns="http://schemas.openxmlformats.org/spreadsheetml/2006/main" count="1299" uniqueCount="830">
  <si>
    <t>PROJET</t>
  </si>
  <si>
    <t xml:space="preserve"> Estimé no.</t>
  </si>
  <si>
    <t>Page :  1 de 2</t>
  </si>
  <si>
    <t>Page:   2 de 2</t>
  </si>
  <si>
    <t xml:space="preserve"> Date fermeture</t>
  </si>
  <si>
    <t>CONDUITS RECTANGULAIRES</t>
  </si>
  <si>
    <t>Adresse</t>
  </si>
  <si>
    <t xml:space="preserve"> Plans</t>
  </si>
  <si>
    <t>FABRICATION</t>
  </si>
  <si>
    <t>SUSPENSION</t>
  </si>
  <si>
    <t>INSTALLATION</t>
  </si>
  <si>
    <t>INGÉNIEUR</t>
  </si>
  <si>
    <t xml:space="preserve"> Section devis</t>
  </si>
  <si>
    <t>TYPES</t>
  </si>
  <si>
    <t>LBS</t>
  </si>
  <si>
    <t>PIEDS</t>
  </si>
  <si>
    <t>COÛT</t>
  </si>
  <si>
    <t>QTÉ</t>
  </si>
  <si>
    <t>GENRE</t>
  </si>
  <si>
    <t>Pi</t>
  </si>
  <si>
    <t>Pi/J</t>
  </si>
  <si>
    <t>HRES</t>
  </si>
  <si>
    <t>ARCHITECTE</t>
  </si>
  <si>
    <t>BASSE PRESSION</t>
  </si>
  <si>
    <t>SM (Salle mé)</t>
  </si>
  <si>
    <t>PROPRIÉTAIRE</t>
  </si>
  <si>
    <t xml:space="preserve"> Addenda</t>
  </si>
  <si>
    <t>MOYENNE PRESSION</t>
  </si>
  <si>
    <t>HA (30" et -)</t>
  </si>
  <si>
    <t>ESTIMATEUR</t>
  </si>
  <si>
    <t xml:space="preserve"> Échéancier</t>
  </si>
  <si>
    <t>HAUTE PRESSION</t>
  </si>
  <si>
    <t>RI (Riser/SP)</t>
  </si>
  <si>
    <t>ÉQUIPEMENTS</t>
  </si>
  <si>
    <t>16 GA</t>
  </si>
  <si>
    <t>16 (16ga/SS)</t>
  </si>
  <si>
    <t>DESCRIPTION</t>
  </si>
  <si>
    <t>TAG</t>
  </si>
  <si>
    <t>SPECS</t>
  </si>
  <si>
    <t>DEVIS</t>
  </si>
  <si>
    <t>ACCESSOIRES</t>
  </si>
  <si>
    <t xml:space="preserve"> COÛT INSTAL.</t>
  </si>
  <si>
    <t>MAT'L ESTIMÉ</t>
  </si>
  <si>
    <t>MAT'L  RÉEL</t>
  </si>
  <si>
    <t>ALUMINIUM</t>
  </si>
  <si>
    <t>AL (Alumi)</t>
  </si>
  <si>
    <t>UNITÉ DE CLIM.</t>
  </si>
  <si>
    <t>ACIER INOXYDABLE</t>
  </si>
  <si>
    <t>RE (31" et +)</t>
  </si>
  <si>
    <t>BASE DE TOIT</t>
  </si>
  <si>
    <t>UNITÉ DE COND.</t>
  </si>
  <si>
    <t>SOUDURE (atelier)</t>
  </si>
  <si>
    <t>HEURES--&gt;</t>
  </si>
  <si>
    <t>Soudure</t>
  </si>
  <si>
    <t>ÉVAPORATEUR</t>
  </si>
  <si>
    <t>SOUS-TOTAL</t>
  </si>
  <si>
    <t>UNITÉ DE VENTI. INT.</t>
  </si>
  <si>
    <t>UNITÉ DE RÉCUP.</t>
  </si>
  <si>
    <t>CONDUITS SPIRALS</t>
  </si>
  <si>
    <t>CONDUITS</t>
  </si>
  <si>
    <t>JOINTS</t>
  </si>
  <si>
    <t>UNITÉ D'AIR NEUF</t>
  </si>
  <si>
    <t>16" et -</t>
  </si>
  <si>
    <t>UNITÉ DE DÉHUMID.</t>
  </si>
  <si>
    <t>18" et +</t>
  </si>
  <si>
    <t>VENTILATEUR CABINET</t>
  </si>
  <si>
    <t>VENTILATEUR DE TOIT</t>
  </si>
  <si>
    <t>SOUDURE</t>
  </si>
  <si>
    <t>HEURES---&gt;</t>
  </si>
  <si>
    <t>COÛT CONDUITS &amp; FITTINGS</t>
  </si>
  <si>
    <t>VENTILATEUR TOILETTE</t>
  </si>
  <si>
    <t>HUMIDIFICATEUR</t>
  </si>
  <si>
    <t>ISOLANT ACOUSTIQUE</t>
  </si>
  <si>
    <t>ACCESSOIRES  -  CONDUITS</t>
  </si>
  <si>
    <t>SERPENTINS ÉLECTRIQUES</t>
  </si>
  <si>
    <t>TYPE</t>
  </si>
  <si>
    <t>PI. CAR.</t>
  </si>
  <si>
    <t>COUT</t>
  </si>
  <si>
    <t>QTE</t>
  </si>
  <si>
    <t>SERPENTINS</t>
  </si>
  <si>
    <t>1/2" FLEXIBLE</t>
  </si>
  <si>
    <t>CANEVAS (pi)</t>
  </si>
  <si>
    <t>HOTTE COMMERCIALE</t>
  </si>
  <si>
    <t>1"  FLEXIBLE</t>
  </si>
  <si>
    <t>HOTTE RÉSIDENTIELLE</t>
  </si>
  <si>
    <t>1"  RIGIDE</t>
  </si>
  <si>
    <t>GRILLAGE (pi.car.)</t>
  </si>
  <si>
    <t>SANS CADRE</t>
  </si>
  <si>
    <t>BOÎTES</t>
  </si>
  <si>
    <t>2"</t>
  </si>
  <si>
    <t>AVEC CADRE</t>
  </si>
  <si>
    <t>SIDE TAKE-OFF  C/A SPLITTER (unitaire)</t>
  </si>
  <si>
    <t>VOLETS COUPE-FEU</t>
  </si>
  <si>
    <t>MAIN D'OEUVRE  -  DIVERS</t>
  </si>
  <si>
    <t>T. VANES (pi.car.)</t>
  </si>
  <si>
    <t>SIMPLE</t>
  </si>
  <si>
    <t>VOLETS MOTORISÉS</t>
  </si>
  <si>
    <t>DOUBLE</t>
  </si>
  <si>
    <t>ACTUATEUR</t>
  </si>
  <si>
    <t>SLEEVAGE</t>
  </si>
  <si>
    <t>VOLETS MANUELS</t>
  </si>
  <si>
    <t>SANS CADRE (unitaire)</t>
  </si>
  <si>
    <t>FILTRES</t>
  </si>
  <si>
    <t>ÉTANCHÉITÉ</t>
  </si>
  <si>
    <t>AVEC CADRE (pi.car.)</t>
  </si>
  <si>
    <t>IDENTIFICATION</t>
  </si>
  <si>
    <t>VOLETS GRAVITÉ (pi.car.)</t>
  </si>
  <si>
    <t>TRAPPES D'ACCÈS ARCHITECTURALES</t>
  </si>
  <si>
    <t>MANUTENTION - NETTOYAGE</t>
  </si>
  <si>
    <t>DÉMARREURS</t>
  </si>
  <si>
    <t>DÉMOLITION</t>
  </si>
  <si>
    <t>P. ACCÈS DUCT</t>
  </si>
  <si>
    <t>P. NON-ISOLÉE</t>
  </si>
  <si>
    <t>BARRES ANTI-VOLEURS</t>
  </si>
  <si>
    <t>P. ISOLÉE</t>
  </si>
  <si>
    <t>CONDUITS FLEXIBLES</t>
  </si>
  <si>
    <t>CONDUITS RONDS (chauffage)</t>
  </si>
  <si>
    <t>DIVERS  &amp;  ORGANISATION CHANTIER</t>
  </si>
  <si>
    <t>RÉFRIGÉRATION</t>
  </si>
  <si>
    <t>MATÉRIEL D'ÉTANCHÉITÉ</t>
  </si>
  <si>
    <t>MISE EN MARCHE</t>
  </si>
  <si>
    <t>TRAV. HORS NORM. (SOIR)(25%)(NUIT:100%)</t>
  </si>
  <si>
    <t>GARANTIE</t>
  </si>
  <si>
    <t>TRANSPORT MATÉRIEL</t>
  </si>
  <si>
    <t>VOYAG. &amp; PENSION DE MTL     KM</t>
  </si>
  <si>
    <t>ACCESSOIRES  -  DIVERS</t>
  </si>
  <si>
    <t>PLAQUES D'IDENTIFICATION</t>
  </si>
  <si>
    <t>STATIONNEMENT</t>
  </si>
  <si>
    <t>SOUS-CONTRATS</t>
  </si>
  <si>
    <t>MANUELS ENTRETIEN &amp; TEL QUE CONSTRUIT</t>
  </si>
  <si>
    <t>COÛT ESTIMÉ</t>
  </si>
  <si>
    <t>COÛT RÉEL</t>
  </si>
  <si>
    <t>ROULOTTE</t>
  </si>
  <si>
    <t>ISOLATION THERMIQUE</t>
  </si>
  <si>
    <t>LOCATION D'ÉQUIPEMENTS</t>
  </si>
  <si>
    <t>BALANCEMENT</t>
  </si>
  <si>
    <t>PERMIS</t>
  </si>
  <si>
    <t>GRUE</t>
  </si>
  <si>
    <t>ARMAFLEX</t>
  </si>
  <si>
    <t>BILAN DE LA SOUMISSION</t>
  </si>
  <si>
    <t>RECOUVREMENT DE REF.</t>
  </si>
  <si>
    <t>NOTES</t>
  </si>
  <si>
    <t>ESSAIS &amp; TESTS</t>
  </si>
  <si>
    <t>OUVERTURES</t>
  </si>
  <si>
    <t>CONDUITS + ACC.   &amp;    ISOL. ACOUS.</t>
  </si>
  <si>
    <t>NETTOYAGE  CONDUITS</t>
  </si>
  <si>
    <t>CONDUITS  SPIRALS</t>
  </si>
  <si>
    <t>ANALYSE VIBRATION</t>
  </si>
  <si>
    <t>TUYAU CHAUF.  &amp;  CONDUITS FLEX.</t>
  </si>
  <si>
    <t>ACCESSOIRES DIVERS &amp; SUSPENSION</t>
  </si>
  <si>
    <t>INSTALLATION (Hx2ho)</t>
  </si>
  <si>
    <t>CHEMINÉE</t>
  </si>
  <si>
    <t>STRUCTURE</t>
  </si>
  <si>
    <t>PRIX DE LA SOUMISSION</t>
  </si>
  <si>
    <t>REQUIS</t>
  </si>
  <si>
    <t>SOUS-TOTAL   "A"</t>
  </si>
  <si>
    <t>PLOMBERIE</t>
  </si>
  <si>
    <t>BSDQ</t>
  </si>
  <si>
    <t>GAZ NATUREL</t>
  </si>
  <si>
    <t>CAUTIONNEMENT SOUMISSION</t>
  </si>
  <si>
    <t>ÉLECTRICITÉ</t>
  </si>
  <si>
    <t>&lt;---TPS</t>
  </si>
  <si>
    <t>CAUTIONNEMENT EXÉCUTION</t>
  </si>
  <si>
    <t>TOITURE</t>
  </si>
  <si>
    <t>&lt;---TVQ</t>
  </si>
  <si>
    <t xml:space="preserve">SOUS-TOTAL   "B" </t>
  </si>
  <si>
    <t>&lt;-TOTAL</t>
  </si>
  <si>
    <t>ADMIN. - PROFIT  %</t>
  </si>
  <si>
    <t xml:space="preserve">TOTAL   </t>
  </si>
  <si>
    <t>PROJET :</t>
  </si>
  <si>
    <t>SYSTÈME :</t>
  </si>
  <si>
    <r>
      <rPr>
        <b/>
        <sz val="8"/>
        <color rgb="FFFF0000"/>
        <rFont val="Arial"/>
        <family val="2"/>
      </rPr>
      <t>CODES</t>
    </r>
    <r>
      <rPr>
        <b/>
        <sz val="8"/>
        <rFont val="Arial"/>
        <family val="2"/>
      </rPr>
      <t xml:space="preserve"> - </t>
    </r>
    <r>
      <rPr>
        <b/>
        <sz val="8"/>
        <color rgb="FF00B050"/>
        <rFont val="Arial"/>
        <family val="2"/>
      </rPr>
      <t>ACCESOIRES</t>
    </r>
  </si>
  <si>
    <t>CALIBRE DE TÔLE</t>
  </si>
  <si>
    <t>1/2" ACOUSTIQUE</t>
  </si>
  <si>
    <t>SPLITTERS</t>
  </si>
  <si>
    <r>
      <t>M</t>
    </r>
    <r>
      <rPr>
        <sz val="8"/>
        <rFont val="Arial"/>
        <family val="2"/>
      </rPr>
      <t>ETRIQUE</t>
    </r>
  </si>
  <si>
    <r>
      <t>A</t>
    </r>
    <r>
      <rPr>
        <sz val="8"/>
        <rFont val="Arial"/>
        <family val="2"/>
      </rPr>
      <t>NGLAIS</t>
    </r>
  </si>
  <si>
    <t xml:space="preserve"> 1"  ACOUST. FLEX.</t>
  </si>
  <si>
    <t>VCF - MANCHONS - UNITAIRE</t>
  </si>
  <si>
    <t xml:space="preserve"> 1"  ACOUST. RIG.</t>
  </si>
  <si>
    <t>V. MOTORISÉ</t>
  </si>
  <si>
    <t xml:space="preserve"> 2"  ACOUSTIQUE</t>
  </si>
  <si>
    <t>V. MOTORISÉ ISOLÉ</t>
  </si>
  <si>
    <t xml:space="preserve"> 1"  THERMIQUE</t>
  </si>
  <si>
    <t>V. GRAVITÉ</t>
  </si>
  <si>
    <t xml:space="preserve"> 2"  THERMIQUE</t>
  </si>
  <si>
    <t>V. MANUEL 30" ET - UNITAIRE</t>
  </si>
  <si>
    <t>&amp;plus</t>
  </si>
  <si>
    <t>ACIER  16 GA</t>
  </si>
  <si>
    <t>V. MANUEL CADRE 31" ET +</t>
  </si>
  <si>
    <r>
      <rPr>
        <b/>
        <sz val="8"/>
        <color rgb="FF00B0F0"/>
        <rFont val="Arial"/>
        <family val="2"/>
      </rPr>
      <t>TYPE</t>
    </r>
    <r>
      <rPr>
        <b/>
        <sz val="8"/>
        <rFont val="Arial"/>
        <family val="2"/>
      </rPr>
      <t xml:space="preserve"> &amp; </t>
    </r>
    <r>
      <rPr>
        <b/>
        <sz val="8"/>
        <color rgb="FFFF0000"/>
        <rFont val="Arial"/>
        <family val="2"/>
      </rPr>
      <t>INSTALLATION</t>
    </r>
  </si>
  <si>
    <t>GRILLAGE 30" ET -</t>
  </si>
  <si>
    <t>B. PRESSION</t>
  </si>
  <si>
    <t>BP</t>
  </si>
  <si>
    <t xml:space="preserve"> SALLE MÉC</t>
  </si>
  <si>
    <t>SM</t>
  </si>
  <si>
    <t>T.  VANES SIMPLE</t>
  </si>
  <si>
    <t>GRILLAGE  CADRE 31" ET +</t>
  </si>
  <si>
    <t>M. PRESSION</t>
  </si>
  <si>
    <t>MP</t>
  </si>
  <si>
    <t xml:space="preserve"> 30" ET -</t>
  </si>
  <si>
    <t>HA</t>
  </si>
  <si>
    <t>T.  VANES DOUBLE</t>
  </si>
  <si>
    <t>STO C/A SPLIT UNITAIRE</t>
  </si>
  <si>
    <t>H. PRESSION</t>
  </si>
  <si>
    <t>HP</t>
  </si>
  <si>
    <t xml:space="preserve"> RISER</t>
  </si>
  <si>
    <t>RI</t>
  </si>
  <si>
    <t>CANEVAS  3"-3"-3"</t>
  </si>
  <si>
    <t>BARRES ANTI-VOL.</t>
  </si>
  <si>
    <t xml:space="preserve"> 16 GA (noir)</t>
  </si>
  <si>
    <t>N</t>
  </si>
  <si>
    <t xml:space="preserve"> 16GA/SS</t>
  </si>
  <si>
    <t>CANEVAS  3"-6"-3"</t>
  </si>
  <si>
    <t>AL</t>
  </si>
  <si>
    <t xml:space="preserve"> ALUMINIUM</t>
  </si>
  <si>
    <t>INOX</t>
  </si>
  <si>
    <t>SS</t>
  </si>
  <si>
    <t xml:space="preserve"> 31" ET +</t>
  </si>
  <si>
    <t>RE</t>
  </si>
  <si>
    <t>LARG.</t>
  </si>
  <si>
    <t>HAUT.</t>
  </si>
  <si>
    <t>LONG.</t>
  </si>
  <si>
    <t>MÉTAL</t>
  </si>
  <si>
    <t>GA</t>
  </si>
  <si>
    <t>TÔLE</t>
  </si>
  <si>
    <t>ISOL. ACOUSTIQUE</t>
  </si>
  <si>
    <t>ISOL. THERMIQUE</t>
  </si>
  <si>
    <t>DIM. AGRAN.</t>
  </si>
  <si>
    <t>T. VANES SIMPLE</t>
  </si>
  <si>
    <t>T. VANES DOUBLE</t>
  </si>
  <si>
    <t>CANEVAS  3-3-3</t>
  </si>
  <si>
    <t>CANEVAS  3-6-3</t>
  </si>
  <si>
    <t>VCF-MANCHONS</t>
  </si>
  <si>
    <t>V. MOT. ISOLÉ</t>
  </si>
  <si>
    <t>V. MAN. SIMPLE</t>
  </si>
  <si>
    <t>V. MANUEL CADRE</t>
  </si>
  <si>
    <t>GRILLAGE</t>
  </si>
  <si>
    <t>GRILLAGE CADRE</t>
  </si>
  <si>
    <t>BOTTINES</t>
  </si>
  <si>
    <t>BARRES ANTI-VOLEUR</t>
  </si>
  <si>
    <t>CODE</t>
  </si>
  <si>
    <t>INST</t>
  </si>
  <si>
    <t>ÉPAIS.</t>
  </si>
  <si>
    <t>PI.CAR.</t>
  </si>
  <si>
    <t>ISOLANT</t>
  </si>
  <si>
    <t>PI. LIN.</t>
  </si>
  <si>
    <t>PI</t>
  </si>
  <si>
    <t>Cocher X</t>
  </si>
  <si>
    <t>Conduit lavé 11%</t>
  </si>
  <si>
    <t>Prix Total</t>
  </si>
  <si>
    <t>Pieds</t>
  </si>
  <si>
    <t>Conduit sceller 11%</t>
  </si>
  <si>
    <t>Grand Total</t>
  </si>
  <si>
    <t xml:space="preserve">prix de liste </t>
  </si>
  <si>
    <t>facteur:</t>
  </si>
  <si>
    <t>Prix net X</t>
  </si>
  <si>
    <t>Diamètre</t>
  </si>
  <si>
    <t>spiral</t>
  </si>
  <si>
    <t>coude</t>
  </si>
  <si>
    <t>reduit</t>
  </si>
  <si>
    <t>tap</t>
  </si>
  <si>
    <t>CAR 12" l.</t>
  </si>
  <si>
    <t>Bouchon</t>
  </si>
  <si>
    <t>Union</t>
  </si>
  <si>
    <t>Clef</t>
  </si>
  <si>
    <t>Tap Carré</t>
  </si>
  <si>
    <t>Supp.</t>
  </si>
  <si>
    <t>Net</t>
  </si>
  <si>
    <t>pouce</t>
  </si>
  <si>
    <t>standard</t>
  </si>
  <si>
    <t>12"</t>
  </si>
  <si>
    <t>24"</t>
  </si>
  <si>
    <t>droit</t>
  </si>
  <si>
    <t>conique</t>
  </si>
  <si>
    <t>A+B</t>
  </si>
  <si>
    <t>Cap</t>
  </si>
  <si>
    <t>Sleeve</t>
  </si>
  <si>
    <t>Damper</t>
  </si>
  <si>
    <t>mi-lune</t>
  </si>
  <si>
    <t>entier</t>
  </si>
  <si>
    <t>Spiral</t>
  </si>
  <si>
    <t>Longueur</t>
  </si>
  <si>
    <t>18' et +</t>
  </si>
  <si>
    <t>Total</t>
  </si>
  <si>
    <t>TOTAL ROND</t>
  </si>
  <si>
    <t>PIED</t>
  </si>
  <si>
    <t>PRIX</t>
  </si>
  <si>
    <t>Quantité (pieds)</t>
  </si>
  <si>
    <t>diamètre (po)</t>
  </si>
  <si>
    <t>Coût total</t>
  </si>
  <si>
    <t>TOTAL FLEX</t>
  </si>
  <si>
    <t>Conduits ronds</t>
  </si>
  <si>
    <t>prix au pieds</t>
  </si>
  <si>
    <t>total</t>
  </si>
  <si>
    <t>DONNEES DE BASE</t>
  </si>
  <si>
    <t>Main d'oeuvre</t>
  </si>
  <si>
    <t>Chantier</t>
  </si>
  <si>
    <t>Canevas (pi)</t>
  </si>
  <si>
    <t>Usine</t>
  </si>
  <si>
    <t>Tôle</t>
  </si>
  <si>
    <t>Type</t>
  </si>
  <si>
    <t>Fabrication</t>
  </si>
  <si>
    <t>Suspension</t>
  </si>
  <si>
    <t>Grillage (pi.car.)</t>
  </si>
  <si>
    <t>$/pi.duct</t>
  </si>
  <si>
    <t>$ unit.</t>
  </si>
  <si>
    <t>Avec cadre</t>
  </si>
  <si>
    <t>B. pression</t>
  </si>
  <si>
    <t>M. pression</t>
  </si>
  <si>
    <t>Side take-off   c/a splitter   (unitaire)</t>
  </si>
  <si>
    <t>H. pression</t>
  </si>
  <si>
    <t>T. Vanes (pi.car.)</t>
  </si>
  <si>
    <t>Simple</t>
  </si>
  <si>
    <t>16 ga soudé</t>
  </si>
  <si>
    <t>Double</t>
  </si>
  <si>
    <t>non listé</t>
  </si>
  <si>
    <t>Aluminium</t>
  </si>
  <si>
    <t>Volets manuels</t>
  </si>
  <si>
    <t>Sans cadre (unitaire)</t>
  </si>
  <si>
    <t>A. inoxydable</t>
  </si>
  <si>
    <t>Avec cadre (pi.car.)</t>
  </si>
  <si>
    <t>CAR 12" long.</t>
  </si>
  <si>
    <t>Tap carré</t>
  </si>
  <si>
    <t>Support</t>
  </si>
  <si>
    <t>Volets gravité (pi.car.)</t>
  </si>
  <si>
    <t>demi-lune</t>
  </si>
  <si>
    <t>rond ent.</t>
  </si>
  <si>
    <t>Plenum / Drains</t>
  </si>
  <si>
    <t>Atelier (mat'l + m-o)</t>
  </si>
  <si>
    <t>Portes d'accès conduit</t>
  </si>
  <si>
    <t>P. non-isolée</t>
  </si>
  <si>
    <t>P. isolée</t>
  </si>
  <si>
    <t>G. non-isolée</t>
  </si>
  <si>
    <t>Isolant acoustique</t>
  </si>
  <si>
    <t>1/2" flexible</t>
  </si>
  <si>
    <t>G. isolée</t>
  </si>
  <si>
    <t>1"  flexible</t>
  </si>
  <si>
    <t>Barres anti-voleurs (pi.car.)</t>
  </si>
  <si>
    <t>1"  rigide</t>
  </si>
  <si>
    <t>Conduits flexibles</t>
  </si>
  <si>
    <t>Papier aluminium</t>
  </si>
  <si>
    <t>Alum. non-isolé</t>
  </si>
  <si>
    <t>Alum. isolé acoust.</t>
  </si>
  <si>
    <t>Coût unitaire</t>
  </si>
  <si>
    <t>Coût par pied conduit</t>
  </si>
  <si>
    <t>Joints (unit.)</t>
  </si>
  <si>
    <t>Basse pression</t>
  </si>
  <si>
    <t>Volets motorisés</t>
  </si>
  <si>
    <t>Non-isolés (pi.car.)</t>
  </si>
  <si>
    <t>Moyenne pression</t>
  </si>
  <si>
    <t>Isolés (pi.car.)</t>
  </si>
  <si>
    <t>Haute pression</t>
  </si>
  <si>
    <t>Main d'oeuvre  -  Divers</t>
  </si>
  <si>
    <t>Garantie</t>
  </si>
  <si>
    <t>Sleevage</t>
  </si>
  <si>
    <t>Étancheité</t>
  </si>
  <si>
    <t>Identification</t>
  </si>
  <si>
    <t>Manutention - Nettoyage</t>
  </si>
  <si>
    <t>Dessin &amp; Feuilles Fab.</t>
  </si>
  <si>
    <t>Voyagement &amp; Pension</t>
  </si>
  <si>
    <t>entre 66 et 90 km</t>
  </si>
  <si>
    <t>entre 91 et 119</t>
  </si>
  <si>
    <t>120 km et +</t>
  </si>
  <si>
    <t>SOMMAIRE  -  MÉTAL / ISOLANT / ACCESSOIRES</t>
  </si>
  <si>
    <t>Basse Pression</t>
  </si>
  <si>
    <t>Salle Mécanique</t>
  </si>
  <si>
    <t>Moyenne Pression</t>
  </si>
  <si>
    <t>15' haut &amp; +</t>
  </si>
  <si>
    <t>Haute Pression</t>
  </si>
  <si>
    <t>Riser</t>
  </si>
  <si>
    <t>Reste</t>
  </si>
  <si>
    <t>16 ga / SS</t>
  </si>
  <si>
    <t>Acier inoxydable</t>
  </si>
  <si>
    <t>Alum.</t>
  </si>
  <si>
    <t>TOTAL</t>
  </si>
  <si>
    <t>1/2"</t>
  </si>
  <si>
    <t>ISOLANT THERMIQUE</t>
  </si>
  <si>
    <t>1"</t>
  </si>
  <si>
    <t>1"  flex.</t>
  </si>
  <si>
    <t>1" rig.</t>
  </si>
  <si>
    <t>CODES</t>
  </si>
  <si>
    <t>PI. LINÉAIRE</t>
  </si>
  <si>
    <t>TURNING VANES SIMPLE</t>
  </si>
  <si>
    <t>NA</t>
  </si>
  <si>
    <t>TURNING VANES DOUBLE</t>
  </si>
  <si>
    <t>CANEVAS 3"-3"-3"</t>
  </si>
  <si>
    <t>CANEVAS 3"-6"-3"</t>
  </si>
  <si>
    <t>VCF - MANCHONS</t>
  </si>
  <si>
    <t>VOLETS MOTORISÉ</t>
  </si>
  <si>
    <t>VOLETS MOTORISÉ ISOLÉ</t>
  </si>
  <si>
    <t>VOLET GRAVITÉ</t>
  </si>
  <si>
    <t>VOLET MANUEL - SIMPLE</t>
  </si>
  <si>
    <t>VOLET MANUEL - CADRE</t>
  </si>
  <si>
    <t>GRILLAGE - CADRE</t>
  </si>
  <si>
    <t>SIDE TAKE-OFF  C/A SPLITTER</t>
  </si>
  <si>
    <t>ESTIMATEURS</t>
  </si>
  <si>
    <t>VCF</t>
  </si>
  <si>
    <t>GUY LAFORTUNE</t>
  </si>
  <si>
    <t>DYNAMIQUES</t>
  </si>
  <si>
    <t>MYLÈNE GÉLINEAU</t>
  </si>
  <si>
    <t>STATIQUES</t>
  </si>
  <si>
    <t>PIERRE-DAVID RIVEST</t>
  </si>
  <si>
    <t>SANS OBJET</t>
  </si>
  <si>
    <t xml:space="preserve">INFORMATIONS PROJET </t>
  </si>
  <si>
    <t>PAGE 1</t>
  </si>
  <si>
    <t>Tél.:</t>
  </si>
  <si>
    <t>Fax:</t>
  </si>
  <si>
    <t>Responsable</t>
  </si>
  <si>
    <t>ÉQUIPEMENT / MATÉRIEL</t>
  </si>
  <si>
    <t>INCLUS</t>
  </si>
  <si>
    <t>DESCRIPTION / DÉTAILS</t>
  </si>
  <si>
    <t>SECT.</t>
  </si>
  <si>
    <t>ART.</t>
  </si>
  <si>
    <t>OUI</t>
  </si>
  <si>
    <t>NON</t>
  </si>
  <si>
    <t>SOUS-TRAITANTS</t>
  </si>
  <si>
    <t>CONTROLES</t>
  </si>
  <si>
    <t>NETTOYAGE DE CONDUITS</t>
  </si>
  <si>
    <t>ESSAIS ET TEST</t>
  </si>
  <si>
    <t>ISOLATION ARMAFLEX/RECOUV.</t>
  </si>
  <si>
    <t>PROTECTION SISMIQUE</t>
  </si>
  <si>
    <t>CONDUITS DE VENTILATION</t>
  </si>
  <si>
    <t>CONDUITS LIVRÉES CAPÉES OU LEED</t>
  </si>
  <si>
    <t>CONDUITS BASSE PRESSION</t>
  </si>
  <si>
    <t>CONDUITS MOYENNE PRESSION</t>
  </si>
  <si>
    <t>CONDUITS HAUTE PRESSION</t>
  </si>
  <si>
    <t>CONDUITS INOXYDABLE</t>
  </si>
  <si>
    <t>CONDUITS ACIER NOIR</t>
  </si>
  <si>
    <t>CONDUITS ALUMINIUM</t>
  </si>
  <si>
    <t>CONDUITS RONDS</t>
  </si>
  <si>
    <t>ISOLATION ACOUSTIQUE</t>
  </si>
  <si>
    <t>ENDROIT</t>
  </si>
  <si>
    <t>ADMINISTRATIF ET GESTION DE PROJET</t>
  </si>
  <si>
    <t>ÉTENDUE DES TRAVAUX</t>
  </si>
  <si>
    <t>REVIT / BIM</t>
  </si>
  <si>
    <t>PERCEMENTS</t>
  </si>
  <si>
    <t>PORTES D'ACCÈS ARCH.</t>
  </si>
  <si>
    <t>DOCUMENTS À SOUMMETRE</t>
  </si>
  <si>
    <t>DOCUMENTS DE FIN DE CHANTIER</t>
  </si>
  <si>
    <t>IDENTIFICATIONS</t>
  </si>
  <si>
    <t>PAGE 2</t>
  </si>
  <si>
    <t>LOUIS-PIERRE GOSSELIN</t>
  </si>
  <si>
    <t>AUTRE</t>
  </si>
  <si>
    <t>LECTURES PRÉLIMINAIRES</t>
  </si>
  <si>
    <t>refait les prix de spiral avec escompte à jour</t>
  </si>
  <si>
    <t>Ce qui pourrait être fait pour être plus exact</t>
  </si>
  <si>
    <t>Calcul des supports de spiral exactement au lieu d'un barem au pied</t>
  </si>
  <si>
    <t>fait x2 sur le calcul automatique de supports/suspension de spiral car pas ajusté depuis 2010 et x2 chex Spiro (cellules E-32/E-33)</t>
  </si>
  <si>
    <t>tap carré et damper dans spiral check si prix ok (c'est pas la fin du monde on en a pas tant)</t>
  </si>
  <si>
    <t>Semi-Rigide Isolé (Triple-Lock)</t>
  </si>
  <si>
    <t>Semi-Rigide Acoustique (Triple-Lock)</t>
  </si>
  <si>
    <t>Semi-Rigide Non-Isolé (Triple-Lock)</t>
  </si>
  <si>
    <t>Diametre</t>
  </si>
  <si>
    <t>5''</t>
  </si>
  <si>
    <t>8''</t>
  </si>
  <si>
    <t>6''</t>
  </si>
  <si>
    <t>10''</t>
  </si>
  <si>
    <t>9''</t>
  </si>
  <si>
    <t>Qté</t>
  </si>
  <si>
    <t>TOUJOURS VENDU EN LONGEUR DE 10'</t>
  </si>
  <si>
    <t>Flexible Grade Médical</t>
  </si>
  <si>
    <t>prix des manchons installation+au pied linéaires</t>
  </si>
  <si>
    <t>Ajout de Karine Harrisson dans les estimateur</t>
  </si>
  <si>
    <t>MANCHONS TRAVERSÉ DE MUR ÉTANCHE</t>
  </si>
  <si>
    <t xml:space="preserve">ajout à la ligne 46 manchons </t>
  </si>
  <si>
    <t>Ajout de prix de flex medical et semi rigide dans onglet rond+flex</t>
  </si>
  <si>
    <t>à faire</t>
  </si>
  <si>
    <t>Calcul automatique des flex</t>
  </si>
  <si>
    <t>Prix (pied)</t>
  </si>
  <si>
    <t>Grand total:</t>
  </si>
  <si>
    <t>Qté total (')</t>
  </si>
  <si>
    <t>CONDUITS FLEXIBLES ET SEMI RIGIDE</t>
  </si>
  <si>
    <t>taux horaire</t>
  </si>
  <si>
    <t>Prix rod 10'</t>
  </si>
  <si>
    <t>Calcul rod</t>
  </si>
  <si>
    <t>Duct bound</t>
  </si>
  <si>
    <t>Duct bond (1)</t>
  </si>
  <si>
    <t>Cout mat</t>
  </si>
  <si>
    <t>Cout instal</t>
  </si>
  <si>
    <t>4''x4''x4'' XL</t>
  </si>
  <si>
    <t>4''x4''x4'' ST</t>
  </si>
  <si>
    <t>4"-4"-4" ST</t>
  </si>
  <si>
    <t>4''-4''-4'' XL</t>
  </si>
  <si>
    <t>pi lin</t>
  </si>
  <si>
    <t>pi.ca</t>
  </si>
  <si>
    <t>DIRECTEUR DE PROJET</t>
  </si>
  <si>
    <t>DESSINS - FAB.</t>
  </si>
  <si>
    <t>REQUIS (X)</t>
  </si>
  <si>
    <t>CONTENEUR</t>
  </si>
  <si>
    <t>ajustement de tout les coûts dans données</t>
  </si>
  <si>
    <t>ajout du calcul automatique de stationnement en mettant un x</t>
  </si>
  <si>
    <t>spiral calcul auto demi lune/sleeve/duct bound/rod par l'onglet spiral</t>
  </si>
  <si>
    <t>CONTREMAÎTRE AU CHANTIER</t>
  </si>
  <si>
    <t>ajout des case directeur de projet</t>
  </si>
  <si>
    <t>Volets coupe-feu (manchons au pi.ca.)</t>
  </si>
  <si>
    <t>Manchons calcul pi.ca. =&gt; pied linéaires x épiasseur (en pied)</t>
  </si>
  <si>
    <t>CONDUIT SCELLÉ (LEED)(4,60$ au 56po)</t>
  </si>
  <si>
    <t>X</t>
  </si>
  <si>
    <t>prix des conduits (ronds+flex)ajustés</t>
  </si>
  <si>
    <t>Équipement</t>
  </si>
  <si>
    <t>Prix</t>
  </si>
  <si>
    <t>GRAND TOTAL</t>
  </si>
  <si>
    <t>Rapport (nbr visite)</t>
  </si>
  <si>
    <t>Centrales d'air</t>
  </si>
  <si>
    <t>Unité au toit</t>
  </si>
  <si>
    <t>Centrale au toit</t>
  </si>
  <si>
    <t>Ventilateur toit</t>
  </si>
  <si>
    <t>Ventilateur cabinet</t>
  </si>
  <si>
    <t>Ventilateur strobic</t>
  </si>
  <si>
    <t>Gros ventilateur</t>
  </si>
  <si>
    <t>Condenseur</t>
  </si>
  <si>
    <t>Fancoil</t>
  </si>
  <si>
    <t>Thermopompe (intérieur)</t>
  </si>
  <si>
    <t>Buse d'humidificateur</t>
  </si>
  <si>
    <t>Boites</t>
  </si>
  <si>
    <t>Diffuseurs</t>
  </si>
  <si>
    <t>Section filtre</t>
  </si>
  <si>
    <t>Silencieux</t>
  </si>
  <si>
    <t>Autres Équipements</t>
  </si>
  <si>
    <t>Calcul Sismique</t>
  </si>
  <si>
    <t>PARASISMIQUE (voir calul ci-à-droite)</t>
  </si>
  <si>
    <t>Ajout calcul sismiqe</t>
  </si>
  <si>
    <t>calcul capage de conduit changé et toujours la</t>
  </si>
  <si>
    <t>calcul des mancons vcf au pi.ca</t>
  </si>
  <si>
    <t>Conduits 6 pi.ca. et + (au 20')</t>
  </si>
  <si>
    <t>G. NON-ISOLÉE (RARE)</t>
  </si>
  <si>
    <t>G. ISOLÉE (RARE)</t>
  </si>
  <si>
    <t>CALCUL AUTOMATIQUE DES MANCHONS À 60$/CH</t>
  </si>
  <si>
    <t>refait la formule de la cellule k-10 qui était dfect depuis janvier 2023</t>
  </si>
  <si>
    <t>AJOUT FLEX ACOUSTIQUE HOPITAL</t>
  </si>
  <si>
    <t>mi août 2024</t>
  </si>
  <si>
    <t>LP a fait de liens entre infosprojets et estimé (les section de devis y sont transféré automatiquement</t>
  </si>
  <si>
    <t>ajout de types de flex dans l'onglet rond et flex</t>
  </si>
  <si>
    <t>Type de flex Custom</t>
  </si>
  <si>
    <t>Prix po/pied</t>
  </si>
  <si>
    <t>Tripple Lock Non-isolé</t>
  </si>
  <si>
    <t>Fournisseur</t>
  </si>
  <si>
    <t>Angers</t>
  </si>
  <si>
    <t>Tripple Lock T/L-T R4.2</t>
  </si>
  <si>
    <t>Tripple Lock T/L-T R6</t>
  </si>
  <si>
    <t>Tripple Lock T/L-T R8</t>
  </si>
  <si>
    <t>Tripple Lock T/L-M R4.2 (Mylar)</t>
  </si>
  <si>
    <t>Tripple Lock T/L-M R6 (Mylar)</t>
  </si>
  <si>
    <t>Tripple Lock T/L-M R8 (Mylar)</t>
  </si>
  <si>
    <t>Thermaflex MKE R-4.2</t>
  </si>
  <si>
    <t>Thermaflex MKC</t>
  </si>
  <si>
    <t>Master</t>
  </si>
  <si>
    <t>Tripple Lock T/L-A R4.2</t>
  </si>
  <si>
    <t>Tripple Lock T/L-A R6</t>
  </si>
  <si>
    <t>Tripple Lock T/L-A R8</t>
  </si>
  <si>
    <t>tuto menu déroulant à 2 colonne : https://www.youtube.com/watch?v=BFaNvfB5nKM</t>
  </si>
  <si>
    <t>Isolé standard</t>
  </si>
  <si>
    <t>Acoustique standard</t>
  </si>
  <si>
    <t>VJR</t>
  </si>
  <si>
    <t>Hôpital Acoustique</t>
  </si>
  <si>
    <t>Conduits Flexibles</t>
  </si>
  <si>
    <t>Type et prix :</t>
  </si>
  <si>
    <t>Diamètre (po)</t>
  </si>
  <si>
    <t>*** VOIR LE FICHIER PDF LISTE DE PRIX UTILISÉ***</t>
  </si>
  <si>
    <r>
      <rPr>
        <b/>
        <sz val="12"/>
        <color theme="1"/>
        <rFont val="Calibri Light"/>
        <family val="2"/>
      </rPr>
      <t>4PPAAEN</t>
    </r>
    <r>
      <rPr>
        <sz val="11"/>
        <color theme="1"/>
        <rFont val="Calibri Light"/>
        <family val="2"/>
      </rPr>
      <t>: 4 plis encapsulé medical, acoustique isolé, certifié C-UL-S110 et US-UL-181, 15po en + et 1.5po en -</t>
    </r>
  </si>
  <si>
    <r>
      <rPr>
        <b/>
        <sz val="12"/>
        <color theme="1"/>
        <rFont val="Calibri Light"/>
        <family val="2"/>
      </rPr>
      <t>4PPGA</t>
    </r>
    <r>
      <rPr>
        <sz val="11"/>
        <color theme="1"/>
        <rFont val="Calibri Light"/>
        <family val="2"/>
      </rPr>
      <t>: 4 plis medical, acoustique isolé, certifié C-UL-S110 et US-UL-181,                15po en + et 1po en -</t>
    </r>
  </si>
  <si>
    <r>
      <rPr>
        <b/>
        <sz val="12"/>
        <color theme="1"/>
        <rFont val="Calibri Light"/>
        <family val="2"/>
      </rPr>
      <t>4PPGG</t>
    </r>
    <r>
      <rPr>
        <sz val="11"/>
        <color theme="1"/>
        <rFont val="Calibri Light"/>
        <family val="2"/>
      </rPr>
      <t>: 4 plis medical, acoustique isolé,                15po en + et 1po en -</t>
    </r>
  </si>
  <si>
    <r>
      <rPr>
        <b/>
        <sz val="12"/>
        <color theme="1"/>
        <rFont val="Calibri Light"/>
        <family val="2"/>
      </rPr>
      <t>3PPAAEN</t>
    </r>
    <r>
      <rPr>
        <sz val="11"/>
        <color theme="1"/>
        <rFont val="Calibri Light"/>
        <family val="2"/>
      </rPr>
      <t>: 3 plis encapsulé medical, acoustique isolé, cert C-UL-S110 et US-UL-181,  12po en + et 1.5po en -</t>
    </r>
  </si>
  <si>
    <r>
      <rPr>
        <b/>
        <sz val="12"/>
        <color theme="1"/>
        <rFont val="Calibri Light"/>
        <family val="2"/>
      </rPr>
      <t>3PPGA</t>
    </r>
    <r>
      <rPr>
        <sz val="11"/>
        <color theme="1"/>
        <rFont val="Calibri Light"/>
        <family val="2"/>
      </rPr>
      <t>: 3 plis medical, acoustique isolé, certifié C-UL-S110 et US-UL-181,               12po en + et 1.5po en -</t>
    </r>
  </si>
  <si>
    <r>
      <rPr>
        <b/>
        <sz val="12"/>
        <color theme="1"/>
        <rFont val="Calibri Light"/>
        <family val="2"/>
      </rPr>
      <t>3PPGG</t>
    </r>
    <r>
      <rPr>
        <sz val="11"/>
        <color theme="1"/>
        <rFont val="Calibri Light"/>
        <family val="2"/>
      </rPr>
      <t>: 3 plis medical, acoustique isolé,                 12po en + et 1.5po en -</t>
    </r>
  </si>
  <si>
    <r>
      <t xml:space="preserve">4PPA: </t>
    </r>
    <r>
      <rPr>
        <sz val="12"/>
        <color theme="1"/>
        <rFont val="Calibri Light"/>
        <family val="2"/>
      </rPr>
      <t>4 plis, acoustique isolé, cert UL-S110 et US-UL-181   15po en + et 1po en</t>
    </r>
    <r>
      <rPr>
        <b/>
        <sz val="12"/>
        <color theme="1"/>
        <rFont val="Calibri Light"/>
        <family val="2"/>
      </rPr>
      <t xml:space="preserve"> -</t>
    </r>
  </si>
  <si>
    <r>
      <rPr>
        <b/>
        <sz val="12"/>
        <color theme="1"/>
        <rFont val="Calibri Light"/>
        <family val="2"/>
      </rPr>
      <t>4PPG</t>
    </r>
    <r>
      <rPr>
        <sz val="11"/>
        <color theme="1"/>
        <rFont val="Calibri Light"/>
        <family val="2"/>
      </rPr>
      <t xml:space="preserve">: 4 plis, acoustique isolé, 15po en + et 1po en - </t>
    </r>
  </si>
  <si>
    <r>
      <rPr>
        <b/>
        <sz val="12"/>
        <color theme="1"/>
        <rFont val="Calibri Light"/>
        <family val="2"/>
      </rPr>
      <t>3PPA</t>
    </r>
    <r>
      <rPr>
        <sz val="11"/>
        <color theme="1"/>
        <rFont val="Calibri Light"/>
        <family val="2"/>
      </rPr>
      <t>: 3 plis, acoustique isolé, cert UL-S110 et US-UL-181   12po en + et 1.5po en -</t>
    </r>
  </si>
  <si>
    <t>ISOLÉ/ACOUSTIQUE/MÉDICAL</t>
  </si>
  <si>
    <r>
      <rPr>
        <b/>
        <sz val="14"/>
        <color rgb="FF000000"/>
        <rFont val="Calibri Light"/>
        <family val="2"/>
      </rPr>
      <t xml:space="preserve">THERMAFLEX </t>
    </r>
    <r>
      <rPr>
        <sz val="11"/>
        <color rgb="FF000000"/>
        <rFont val="Calibri Light"/>
        <family val="2"/>
      </rPr>
      <t>distribué par Master</t>
    </r>
  </si>
  <si>
    <r>
      <rPr>
        <b/>
        <sz val="14"/>
        <color theme="1"/>
        <rFont val="Calibri Light"/>
        <family val="2"/>
      </rPr>
      <t>FLEXMASTER</t>
    </r>
    <r>
      <rPr>
        <sz val="11"/>
        <color theme="1"/>
        <rFont val="Calibri Light"/>
        <family val="2"/>
      </rPr>
      <t>: distribué par MRA, Laval, 450-663-1596, Mathieu Lacroix</t>
    </r>
  </si>
  <si>
    <r>
      <rPr>
        <b/>
        <sz val="14"/>
        <color theme="1"/>
        <rFont val="Calibri Light"/>
        <family val="2"/>
      </rPr>
      <t>VENTIMETAL</t>
    </r>
    <r>
      <rPr>
        <sz val="11"/>
        <color theme="1"/>
        <rFont val="Calibri Light"/>
        <family val="2"/>
      </rPr>
      <t xml:space="preserve">: 215 Boul St-Elzear, Laval, 450-663-8370, Jennifer </t>
    </r>
  </si>
  <si>
    <r>
      <rPr>
        <b/>
        <sz val="14"/>
        <color theme="1"/>
        <rFont val="Calibri Light"/>
        <family val="2"/>
      </rPr>
      <t>FEAS</t>
    </r>
    <r>
      <rPr>
        <sz val="11"/>
        <color theme="1"/>
        <rFont val="Calibri Light"/>
        <family val="2"/>
      </rPr>
      <t>, 9265 rue Le Royer,     St-Léonard, 514-750-3327, Pierre-Félix ou Jules-Ric</t>
    </r>
  </si>
  <si>
    <r>
      <rPr>
        <b/>
        <sz val="14"/>
        <color theme="1"/>
        <rFont val="Calibri Light"/>
        <family val="2"/>
      </rPr>
      <t>LAMBRO</t>
    </r>
    <r>
      <rPr>
        <sz val="11"/>
        <color theme="1"/>
        <rFont val="Calibri Light"/>
        <family val="2"/>
      </rPr>
      <t>, par MRA, Laval, 450-663-1596, Mathieu Lacroix</t>
    </r>
  </si>
  <si>
    <t>FABRICANT</t>
  </si>
  <si>
    <r>
      <rPr>
        <b/>
        <sz val="12"/>
        <color rgb="FF000000"/>
        <rFont val="Calibri Light"/>
        <family val="2"/>
      </rPr>
      <t>MK-E</t>
    </r>
    <r>
      <rPr>
        <sz val="11"/>
        <color rgb="FF000000"/>
        <rFont val="Calibri Light"/>
        <family val="2"/>
      </rPr>
      <t>: , acoustique isolé, cert UL-S110 et US-UL-181, NFPA90A-90B 10po en + et 1po en -</t>
    </r>
  </si>
  <si>
    <r>
      <rPr>
        <b/>
        <sz val="12"/>
        <color rgb="FF000000"/>
        <rFont val="Calibri Light"/>
        <family val="2"/>
      </rPr>
      <t>3PPA</t>
    </r>
    <r>
      <rPr>
        <sz val="11"/>
        <color rgb="FF000000"/>
        <rFont val="Calibri Light"/>
        <family val="2"/>
      </rPr>
      <t>: 3 plis, acoustique isolé, cert UL-S110 et US-UL-181   12po en + et 1.5po en -</t>
    </r>
  </si>
  <si>
    <r>
      <rPr>
        <b/>
        <sz val="12"/>
        <color theme="1"/>
        <rFont val="Calibri Light"/>
        <family val="2"/>
      </rPr>
      <t>3PPG</t>
    </r>
    <r>
      <rPr>
        <sz val="11"/>
        <color theme="1"/>
        <rFont val="Calibri Light"/>
        <family val="2"/>
      </rPr>
      <t xml:space="preserve">: 3 plis, acoustique isolé, 12po en + et 1.5po en </t>
    </r>
  </si>
  <si>
    <r>
      <rPr>
        <b/>
        <sz val="12"/>
        <color theme="1"/>
        <rFont val="Calibri Light"/>
        <family val="2"/>
      </rPr>
      <t>FAB 6T (polyethylène) ou 6M (mylar</t>
    </r>
    <r>
      <rPr>
        <sz val="11"/>
        <color theme="1"/>
        <rFont val="Calibri Light"/>
        <family val="2"/>
      </rPr>
      <t>):                             nylon, isolé,  acoustique        certifié  US-UL-181,                        6po en + et 5po en -</t>
    </r>
  </si>
  <si>
    <r>
      <rPr>
        <b/>
        <sz val="12"/>
        <color theme="1"/>
        <rFont val="Calibri Light"/>
        <family val="2"/>
      </rPr>
      <t>FIACA</t>
    </r>
    <r>
      <rPr>
        <sz val="11"/>
        <color theme="1"/>
        <rFont val="Calibri Light"/>
        <family val="2"/>
      </rPr>
      <t>:aluminium/polyester avec renfort triaxial, isolé, acoustique,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</si>
  <si>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FAB 8T (polyethylène) ou 8M (mylar)</t>
    </r>
    <r>
      <rPr>
        <sz val="11"/>
        <color theme="1"/>
        <rFont val="Calibri Light"/>
        <family val="2"/>
      </rPr>
      <t>: polyethylène,  isolé,  acoustique,                   certifié  US-UL-181,                         2po en + et 1po en -</t>
    </r>
  </si>
  <si>
    <r>
      <rPr>
        <b/>
        <sz val="12"/>
        <color theme="1"/>
        <rFont val="Calibri Light"/>
        <family val="2"/>
      </rPr>
      <t>ULIAC</t>
    </r>
    <r>
      <rPr>
        <sz val="11"/>
        <color theme="1"/>
        <rFont val="Calibri Light"/>
        <family val="2"/>
      </rPr>
      <t xml:space="preserve"> (FIAC):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</si>
  <si>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FIAC</t>
    </r>
    <r>
      <rPr>
        <sz val="11"/>
        <color theme="1"/>
        <rFont val="Calibri Light"/>
        <family val="2"/>
      </rPr>
      <t>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</si>
  <si>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 xml:space="preserve">FAB UL  4T(polyethylène) ou 4M (mylar) </t>
    </r>
    <r>
      <rPr>
        <sz val="11"/>
        <color theme="1"/>
        <rFont val="Calibri Light"/>
        <family val="2"/>
      </rPr>
      <t>:                                            toile fibre de verre,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</si>
  <si>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 xml:space="preserve">FAB UL  3T(polyethylène) ou 3M (mylar) </t>
    </r>
    <r>
      <rPr>
        <sz val="11"/>
        <color theme="1"/>
        <rFont val="Calibri Light"/>
        <family val="2"/>
      </rPr>
      <t>:                                            3 plis, aluminium,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</si>
  <si>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5PA</t>
    </r>
    <r>
      <rPr>
        <sz val="11"/>
        <color theme="1"/>
        <rFont val="Calibri Light"/>
        <family val="2"/>
      </rPr>
      <t>: fibre de verre, isolé, fini aluminium, certifié C-UL-S110 et US-UL-181, 15po en + et 10po en - (12po et moins) 5po (14 et 16po), 1po (18 et 20po)</t>
    </r>
  </si>
  <si>
    <r>
      <rPr>
        <b/>
        <sz val="11"/>
        <color rgb="FF000000"/>
        <rFont val="Calibri Light"/>
        <family val="2"/>
      </rPr>
      <t>M-KC</t>
    </r>
    <r>
      <rPr>
        <sz val="11"/>
        <color rgb="FF000000"/>
        <rFont val="Calibri Light"/>
        <family val="2"/>
      </rPr>
      <t>: Isolé, fini aluminium, certifié C-UL S110, et UL-181, 16 pouces en + et 2 pouces en -</t>
    </r>
  </si>
  <si>
    <r>
      <rPr>
        <b/>
        <sz val="12"/>
        <color theme="1"/>
        <rFont val="Calibri Light"/>
        <family val="2"/>
      </rPr>
      <t>4PA</t>
    </r>
    <r>
      <rPr>
        <sz val="11"/>
        <color theme="1"/>
        <rFont val="Calibri Light"/>
        <family val="2"/>
      </rPr>
      <t>: 4 plis, isolé, fini aluminium, certifié C-UL-S110 et US-UL-181,                         15po en + et 2,5po en -</t>
    </r>
  </si>
  <si>
    <r>
      <rPr>
        <b/>
        <sz val="12"/>
        <color theme="1"/>
        <rFont val="Calibri Light"/>
        <family val="2"/>
      </rPr>
      <t>3PA</t>
    </r>
    <r>
      <rPr>
        <sz val="11"/>
        <color theme="1"/>
        <rFont val="Calibri Light"/>
        <family val="2"/>
      </rPr>
      <t>: 3 plis, isolé, fini aluminium, certifié C-UL-S110 et US-UL-181,                          16po en + et 1.5po en -</t>
    </r>
  </si>
  <si>
    <r>
      <rPr>
        <b/>
        <sz val="12"/>
        <color theme="1"/>
        <rFont val="Calibri Light"/>
        <family val="2"/>
      </rPr>
      <t>4PG</t>
    </r>
    <r>
      <rPr>
        <sz val="11"/>
        <color theme="1"/>
        <rFont val="Calibri Light"/>
        <family val="2"/>
      </rPr>
      <t>: 4 plis, isolé,                 15po en + et 2,5po en -</t>
    </r>
  </si>
  <si>
    <t>ISOLÉ</t>
  </si>
  <si>
    <r>
      <rPr>
        <b/>
        <sz val="12"/>
        <color theme="1"/>
        <rFont val="Calibri Light"/>
        <family val="2"/>
      </rPr>
      <t>FAB 4T (polyethylène) ou 4M (mylar)</t>
    </r>
    <r>
      <rPr>
        <sz val="11"/>
        <color theme="1"/>
        <rFont val="Calibri Light"/>
        <family val="2"/>
      </rPr>
      <t>:                             toile fibre de verre,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</si>
  <si>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FAB 3T (polyethylène) ou 3M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</si>
  <si>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3PG</t>
    </r>
    <r>
      <rPr>
        <sz val="11"/>
        <color theme="1"/>
        <rFont val="Calibri Light"/>
        <family val="2"/>
      </rPr>
      <t>: 3 plis, isolé,                 12po en + et 1.5po en -</t>
    </r>
  </si>
  <si>
    <r>
      <rPr>
        <b/>
        <sz val="12"/>
        <color theme="1"/>
        <rFont val="Calibri Light"/>
        <family val="2"/>
      </rPr>
      <t>2PA</t>
    </r>
    <r>
      <rPr>
        <sz val="11"/>
        <color theme="1"/>
        <rFont val="Calibri Light"/>
        <family val="2"/>
      </rPr>
      <t>: 2 plis, isolé, fini aluminium, certifié C-UL-S110 et US-UL-181,                         10po en + et 1po en -</t>
    </r>
  </si>
  <si>
    <r>
      <rPr>
        <b/>
        <sz val="12"/>
        <color theme="1"/>
        <rFont val="Calibri Light"/>
        <family val="2"/>
      </rPr>
      <t>2PG</t>
    </r>
    <r>
      <rPr>
        <sz val="11"/>
        <color theme="1"/>
        <rFont val="Calibri Light"/>
        <family val="2"/>
      </rPr>
      <t>: 2 plis, isolé,                 10po en + et 1po en -</t>
    </r>
  </si>
  <si>
    <r>
      <rPr>
        <b/>
        <sz val="12"/>
        <color theme="1"/>
        <rFont val="Calibri Light"/>
        <family val="2"/>
      </rPr>
      <t>ULI3</t>
    </r>
    <r>
      <rPr>
        <sz val="11"/>
        <color theme="1"/>
        <rFont val="Calibri Light"/>
        <family val="2"/>
      </rPr>
      <t xml:space="preserve"> (SIM3):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</si>
  <si>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SIM3</t>
    </r>
    <r>
      <rPr>
        <sz val="11"/>
        <color theme="1"/>
        <rFont val="Calibri Light"/>
        <family val="2"/>
      </rPr>
      <t>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</si>
  <si>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FIAP</t>
    </r>
    <r>
      <rPr>
        <sz val="11"/>
        <color theme="1"/>
        <rFont val="Calibri Light"/>
        <family val="2"/>
      </rPr>
      <t>: polyester et feuillard aluminium avec renfort triaxial, isolé,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</si>
  <si>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ULIMY</t>
    </r>
    <r>
      <rPr>
        <sz val="11"/>
        <color theme="1"/>
        <rFont val="Calibri Light"/>
        <family val="2"/>
      </rPr>
      <t xml:space="preserve"> (FMD):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</si>
  <si>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FMD R4.2</t>
    </r>
    <r>
      <rPr>
        <sz val="11"/>
        <color theme="1"/>
        <rFont val="Calibri Light"/>
        <family val="2"/>
      </rPr>
      <t>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</si>
  <si>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FIR R4.2</t>
    </r>
    <r>
      <rPr>
        <sz val="11"/>
        <color theme="1"/>
        <rFont val="Calibri Light"/>
        <family val="2"/>
      </rPr>
      <t>: polyester et polyester metalisé avec renfort biaxial, isolé,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</si>
  <si>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 5T (polyethylène) ou 5M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6po en + et 0,5po en -</t>
    </r>
  </si>
  <si>
    <r>
      <rPr>
        <b/>
        <sz val="12"/>
        <color theme="1"/>
        <rFont val="Calibri Light"/>
        <family val="2"/>
      </rPr>
      <t xml:space="preserve">ULI </t>
    </r>
    <r>
      <rPr>
        <sz val="11"/>
        <color theme="1"/>
        <rFont val="Calibri Light"/>
        <family val="2"/>
      </rPr>
      <t>(FIM):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</si>
  <si>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FIM R4.2</t>
    </r>
    <r>
      <rPr>
        <sz val="11"/>
        <color theme="1"/>
        <rFont val="Calibri Light"/>
        <family val="2"/>
      </rPr>
      <t>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</si>
  <si>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FAB4UL</t>
    </r>
    <r>
      <rPr>
        <sz val="11"/>
        <color theme="1"/>
        <rFont val="Calibri Light"/>
        <family val="2"/>
      </rPr>
      <t>: toile fibre de verre,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</si>
  <si>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FAB3UL</t>
    </r>
    <r>
      <rPr>
        <sz val="11"/>
        <color theme="1"/>
        <rFont val="Calibri Light"/>
        <family val="2"/>
      </rPr>
      <t>: 3 plis, aluminium,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</si>
  <si>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</t>
    </r>
    <r>
      <rPr>
        <sz val="11"/>
        <color theme="1"/>
        <rFont val="Calibri Light"/>
        <family val="2"/>
      </rPr>
      <t>: fibre de verre, non isolé, certifié C-UL-S110 et US-UL-181,           15po en + et 10po en - (12po et moins) 5po (14 et 16po), 1po (18 et 20po)</t>
    </r>
  </si>
  <si>
    <r>
      <rPr>
        <b/>
        <sz val="12"/>
        <color theme="1"/>
        <rFont val="Calibri Light"/>
        <family val="2"/>
      </rPr>
      <t>4P</t>
    </r>
    <r>
      <rPr>
        <sz val="11"/>
        <color theme="1"/>
        <rFont val="Calibri Light"/>
        <family val="2"/>
      </rPr>
      <t>: 4 plis, non isolé, certifié C-UL-S110 et US-UL-181,          15po en + et 2.5po en -</t>
    </r>
  </si>
  <si>
    <r>
      <rPr>
        <b/>
        <sz val="12"/>
        <color theme="1"/>
        <rFont val="Calibri Light"/>
        <family val="2"/>
      </rPr>
      <t>FAB4</t>
    </r>
    <r>
      <rPr>
        <sz val="11"/>
        <color theme="1"/>
        <rFont val="Calibri Light"/>
        <family val="2"/>
      </rPr>
      <t>: toile fibre de verre,   non-isolé, certifié  US-UL-181,           12po en + et 1po en -</t>
    </r>
  </si>
  <si>
    <r>
      <rPr>
        <b/>
        <sz val="12"/>
        <color theme="1"/>
        <rFont val="Calibri Light"/>
        <family val="2"/>
      </rPr>
      <t>FAB3</t>
    </r>
    <r>
      <rPr>
        <sz val="11"/>
        <color theme="1"/>
        <rFont val="Calibri Light"/>
        <family val="2"/>
      </rPr>
      <t>: 3 plis, aluminium, non-isolé, certifié  US-UL-181,           12po en + et 1po en -</t>
    </r>
  </si>
  <si>
    <r>
      <rPr>
        <b/>
        <sz val="12"/>
        <color theme="1"/>
        <rFont val="Calibri Light"/>
        <family val="2"/>
      </rPr>
      <t>3P</t>
    </r>
    <r>
      <rPr>
        <sz val="11"/>
        <color theme="1"/>
        <rFont val="Calibri Light"/>
        <family val="2"/>
      </rPr>
      <t>: 3 plis, non isolé, certifié C-UL-S110 et US-UL-181,          12po en + et 1.5po en -</t>
    </r>
  </si>
  <si>
    <r>
      <rPr>
        <b/>
        <sz val="12"/>
        <color theme="1"/>
        <rFont val="Calibri Light"/>
        <family val="2"/>
      </rPr>
      <t>2P</t>
    </r>
    <r>
      <rPr>
        <sz val="11"/>
        <color theme="1"/>
        <rFont val="Calibri Light"/>
        <family val="2"/>
      </rPr>
      <t>: 2 plis, non isolé, certifié C-UL-S110 et US-UL-181,           10po en + et 1po en -</t>
    </r>
  </si>
  <si>
    <r>
      <rPr>
        <b/>
        <sz val="12"/>
        <color theme="1"/>
        <rFont val="Calibri Light"/>
        <family val="2"/>
      </rPr>
      <t>FCM</t>
    </r>
    <r>
      <rPr>
        <sz val="11"/>
        <color theme="1"/>
        <rFont val="Calibri Light"/>
        <family val="2"/>
      </rPr>
      <t>: aluminium exposé et aluminium, non-isolé, certifié C-UL-US-110,                          6po en + et 0.5po en -</t>
    </r>
  </si>
  <si>
    <r>
      <rPr>
        <b/>
        <sz val="12"/>
        <color theme="1"/>
        <rFont val="Calibri Light"/>
        <family val="2"/>
      </rPr>
      <t xml:space="preserve">UL </t>
    </r>
    <r>
      <rPr>
        <sz val="11"/>
        <color theme="1"/>
        <rFont val="Calibri Light"/>
        <family val="2"/>
      </rPr>
      <t>(FAP):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</si>
  <si>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FAP</t>
    </r>
    <r>
      <rPr>
        <sz val="11"/>
        <color theme="1"/>
        <rFont val="Calibri Light"/>
        <family val="2"/>
      </rPr>
      <t>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</si>
  <si>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FAB 5</t>
    </r>
    <r>
      <rPr>
        <sz val="11"/>
        <color theme="1"/>
        <rFont val="Calibri Light"/>
        <family val="2"/>
      </rPr>
      <t xml:space="preserve"> :   3 plis, aluminium,   non-isolé,    certifié  US-UL-181,                        6po en + et 0,5po en -</t>
    </r>
  </si>
  <si>
    <r>
      <rPr>
        <b/>
        <sz val="12"/>
        <color theme="1"/>
        <rFont val="Calibri Light"/>
        <family val="2"/>
      </rPr>
      <t>DAP</t>
    </r>
    <r>
      <rPr>
        <sz val="11"/>
        <color theme="1"/>
        <rFont val="Calibri Light"/>
        <family val="2"/>
      </rPr>
      <t>: polyester et aluminium, non-isolé, certifié C-UL-US-110,          6po en + et 0.5po en -</t>
    </r>
  </si>
  <si>
    <t>NON-ISOLÉ</t>
  </si>
  <si>
    <t>TABLEAU COMPARATIF DES FLEXIBLES</t>
  </si>
  <si>
    <t>ajout onglet comparatif flex</t>
  </si>
  <si>
    <t>#13</t>
  </si>
  <si>
    <t>CHANGÉ PRIX À 5$ POUR CHAUFFAGE UNIQUEMENT</t>
  </si>
  <si>
    <t>AJOUT D'OPTION DE CALCU DE PROFIT ST ET RESTANT</t>
  </si>
  <si>
    <t>CALCUL PROFIT ST VS RESTE</t>
  </si>
  <si>
    <t>RESTANT DU COUTANT</t>
  </si>
  <si>
    <t>CALCUL DU PROFIT SUR TOTAL</t>
  </si>
  <si>
    <t>MARGE ST</t>
  </si>
  <si>
    <t>MARGE RESTANT</t>
  </si>
  <si>
    <t>COST SOUS-TRAITANTS</t>
  </si>
  <si>
    <t>SOUS-TRAITANTS AVEC PROFIT</t>
  </si>
  <si>
    <t>RESTANT AVEC PROFIT</t>
  </si>
  <si>
    <t>Tripple Lock T/L-T 1TLAMG-4X R4.2</t>
  </si>
  <si>
    <t>Tripple Lock T/L-T 1TLAMG-4X R6</t>
  </si>
  <si>
    <t>Tripple Lock T/L-T 1TLAMG-4X R8</t>
  </si>
  <si>
    <t>Volets manuels tuyaux chauffage</t>
  </si>
  <si>
    <t>VOLETS MANUELS TUYAUX CHAUFFAGE (unitaire)</t>
  </si>
  <si>
    <t>REMIS À 27$</t>
  </si>
  <si>
    <t>#9</t>
  </si>
  <si>
    <t>MIS À 5$ POUR TUYAUX DE CHAUFFAGE</t>
  </si>
  <si>
    <t>AJOUTS DES FLEX T/L-AMG PRIX PAR ANGERS</t>
  </si>
  <si>
    <t>VOLETS COUPE-FEU (pi.lin.)</t>
  </si>
  <si>
    <t>MISE EN MARCHE VENTILATEURS (QTÉ)</t>
  </si>
  <si>
    <t>Mise en Marche (prix par ventilateur)</t>
  </si>
  <si>
    <t>Calcul Contrôle VJR</t>
  </si>
  <si>
    <t>ÉCHANGEUR D'AIR</t>
  </si>
  <si>
    <t>RELAIS (PLINTHE/CHAUFF)</t>
  </si>
  <si>
    <t>MISE EN MARCHE PAR CLL (VENTILATEURS VOIR DIVERS)</t>
  </si>
  <si>
    <t>CONTRÔLE INSTALLATION</t>
  </si>
  <si>
    <t>CONTRÔLE FOURNITURE</t>
  </si>
  <si>
    <t>MINUTERIE</t>
  </si>
  <si>
    <t>HUMIDISTAT</t>
  </si>
  <si>
    <t>CONTRÔLE DE LOGEMENT PAR VJR (voir calul ci-à-droite)</t>
  </si>
  <si>
    <t>AJOUT DE LIGNE DE CONTRÔLE =&gt; FOURNITURE, INTALLATION, LOGEMENTS</t>
  </si>
  <si>
    <t>AJOUT DE CALCUL DE CONTRÔLES POUR LOGEMENTS À DROITE</t>
  </si>
  <si>
    <t>AJOUT DE FORMULES POUR "GÉNÉRAL" SI ON MET UN X À EXCLUS DANS INFOS PROJET</t>
  </si>
  <si>
    <t>CHANGEMENT DANS DONNÉE POUR METTRE VALEUR DE MISE EN MARCHE 100$/VENTILATEUR + VOIR LIGNE DANS DIVERS POUR CALCUL</t>
  </si>
  <si>
    <t>V. MAN. TUYAUX CHAUFFAGE</t>
  </si>
  <si>
    <t>DÉFINITIONS</t>
  </si>
  <si>
    <t>DUCT DANS DALLE DE BÉTON</t>
  </si>
  <si>
    <t>ONGLET ESTIMÉ =&gt; FUSION DES DEUX LIGNE DU TITRE DE PROJET</t>
  </si>
  <si>
    <t>AJOUTE DE LA FEUILLE POUR DESSINATEURS</t>
  </si>
  <si>
    <t>PAGE 3</t>
  </si>
  <si>
    <t>PAGE 4</t>
  </si>
  <si>
    <t>INFORMATIONS POUR DESSINATEURS</t>
  </si>
  <si>
    <t>Titre du projet:</t>
  </si>
  <si>
    <t>No de projet</t>
  </si>
  <si>
    <t>Directeur :</t>
  </si>
  <si>
    <t>No de soumission</t>
  </si>
  <si>
    <t>Estimateur :</t>
  </si>
  <si>
    <t>Heures de dessins prévues :</t>
  </si>
  <si>
    <t>SPÉCIFICATIONS</t>
  </si>
  <si>
    <t>DONNÉES DE QUANTITÉ</t>
  </si>
  <si>
    <t>CONDUITS ROND ET FLEXIBLES</t>
  </si>
  <si>
    <t>SPIRAL / ROULÉ SOUDÉ</t>
  </si>
  <si>
    <t>ROND CHAUFFAGE</t>
  </si>
  <si>
    <t>FLEXIBLES ET SEMI-RIGIDE</t>
  </si>
  <si>
    <t>ACIER NOIR SOUDÉ 16GA</t>
  </si>
  <si>
    <t>CODE DE COULEUR</t>
  </si>
  <si>
    <t>(Code estimation)</t>
  </si>
  <si>
    <t>Galvanisé standard</t>
  </si>
  <si>
    <t>Conduit spécial</t>
  </si>
  <si>
    <t>Isolation acoustique</t>
  </si>
  <si>
    <t>Mélangé (standard+spécial)</t>
  </si>
  <si>
    <t>AUTRE CONDUITS</t>
  </si>
  <si>
    <t>SECT DEVIS</t>
  </si>
  <si>
    <t>ART DEVIS</t>
  </si>
  <si>
    <t>COMMENTAIRES POUR ACHAT</t>
  </si>
  <si>
    <t xml:space="preserve">PRESSION </t>
  </si>
  <si>
    <t>PERSSION</t>
  </si>
  <si>
    <t>ARTICLE DE DEVIS OU NO PLAN</t>
  </si>
  <si>
    <t>AUTRES INFORMATIONS RELATIVES AU DESSIN</t>
  </si>
  <si>
    <t>* S'il y a beaucoup de systèmes, veuillez annexer les tableaux/spécifications des équipement à la présente feuille ou indiquer où trouver dans les documents</t>
  </si>
  <si>
    <t>PRESSION PAR SYSTÈME*</t>
  </si>
  <si>
    <t>MANCHONS</t>
  </si>
  <si>
    <t>DEMANDE DE SOUMISSION</t>
  </si>
  <si>
    <t># DU PROJET VJR :</t>
  </si>
  <si>
    <t>NOM DU PROJET :</t>
  </si>
  <si>
    <t>ADRESSE :</t>
  </si>
  <si>
    <t>PRIX REQUIS POUR :</t>
  </si>
  <si>
    <t># ITEM ↓ / ÉCHÉANCIER :</t>
  </si>
  <si>
    <t>SVP Veuillez indiquer si des valves d'expansion seront nécéssaire : ____ Oui    ____ Non</t>
  </si>
  <si>
    <t xml:space="preserve">Mise en marche + réfrigération </t>
  </si>
  <si>
    <t xml:space="preserve">Isolation Armaflex  </t>
  </si>
  <si>
    <t>Drainage des évaporateurs</t>
  </si>
  <si>
    <t xml:space="preserve">NON INCLUS: </t>
  </si>
  <si>
    <t>AJOUTS DE REPORT AUTOMATIQUE DE LA SECTION MANCHONS ET AUSSI UN ? DANS QTÉ QUAND IL Y AURA UNE SECTION</t>
  </si>
  <si>
    <t>AJOUT DE LA FEUILLE DE DEMANDE DE RÉFRI DANS LE FICHIER ESTIMÉ</t>
  </si>
  <si>
    <t>Demandé par :</t>
  </si>
  <si>
    <t>Fusion des cellules des sections de devis</t>
  </si>
  <si>
    <t>Calul Dessins</t>
  </si>
  <si>
    <t>REVIT / STANDARD</t>
  </si>
  <si>
    <t>REVIT + INTÉGRATION</t>
  </si>
  <si>
    <t>REVIT + BIM + MAQUETTE (PILOTER)</t>
  </si>
  <si>
    <t>"X"</t>
  </si>
  <si>
    <t>Lbs autre approx*</t>
  </si>
  <si>
    <t>CALCUL LBS</t>
  </si>
  <si>
    <t>Lbs rectangle</t>
  </si>
  <si>
    <t>Pieds rectangle</t>
  </si>
  <si>
    <t>Pied rond</t>
  </si>
  <si>
    <t>Pied/heure</t>
  </si>
  <si>
    <t>Lbs/heure</t>
  </si>
  <si>
    <t>CALCUL PIEDS</t>
  </si>
  <si>
    <t>Heures</t>
  </si>
  <si>
    <t>Moyenne reportée</t>
  </si>
  <si>
    <t>Nombre de X(pour calcul)</t>
  </si>
  <si>
    <t>* Calcul basé sur 8po (rond, spiral) 3.4lbs/pied</t>
  </si>
  <si>
    <t>Ajout du calcul de dessin :</t>
  </si>
  <si>
    <t>ajout de andré dans le menu déroulant et pour la demande de réfri</t>
  </si>
  <si>
    <t>https://www.youtube.com/watch?v=fQY9st4MOJY</t>
  </si>
  <si>
    <t>dans estimé conduits/rond et flex report de devis automatique</t>
  </si>
  <si>
    <t>idem pour conduits capés</t>
  </si>
  <si>
    <t>ajustement du calcul du nombre de pied dans le dessin</t>
  </si>
  <si>
    <t xml:space="preserve">CHANGEMENT DES TAUX DE PENSION </t>
  </si>
  <si>
    <t>GRILLES ET DIFFUSEURS</t>
  </si>
  <si>
    <t>PLENUMS</t>
  </si>
  <si>
    <r>
      <t xml:space="preserve">VOLETS </t>
    </r>
    <r>
      <rPr>
        <sz val="7"/>
        <rFont val="Arial"/>
        <family val="2"/>
      </rPr>
      <t>COUPE-FEU/FUMÉE</t>
    </r>
  </si>
  <si>
    <t>PERSIENNES</t>
  </si>
  <si>
    <t>CABANONS</t>
  </si>
  <si>
    <t>SORTIES MURALES</t>
  </si>
  <si>
    <t>SILENCIEUX</t>
  </si>
  <si>
    <t>VCF - COUPE-FUMÉE</t>
  </si>
  <si>
    <t>VCFF</t>
  </si>
  <si>
    <t>ajout de lignes dans le documents</t>
  </si>
  <si>
    <t>ajout de 100 pour les vcff</t>
  </si>
  <si>
    <t>il y avait une erreur de calcul pour les barres anti-vol =&gt; ok réglé</t>
  </si>
  <si>
    <t>correction erreur addition des rond et carré</t>
  </si>
  <si>
    <t>cellule v72 doit être comme ceci</t>
  </si>
  <si>
    <t>PRIX FLEX FEAS SRGDP-TL DESCAIR 15JANVIER 2024 : 3.60$/PIED DE 4PO PRIX FEAS 28 MAI 2025</t>
  </si>
  <si>
    <t>AJUSTEMENT TEMPS ÉQUIPE À 160$/H</t>
  </si>
  <si>
    <t>AJUSTEMENT DES PRIX DE D'ISOLATION FLEXIBLES PRIX COURRIEL PHIL</t>
  </si>
  <si>
    <t>KARELL ROY</t>
  </si>
  <si>
    <t>et aussi ajout de Karell dans le fichier</t>
  </si>
  <si>
    <t>MISES EN MARCHE</t>
  </si>
  <si>
    <t>CONTRÔLES</t>
  </si>
  <si>
    <t>TAGS ET DESCRIPTION</t>
  </si>
  <si>
    <t>DÉMOLITION RÉFRI</t>
  </si>
  <si>
    <t>Récupération de fréon</t>
  </si>
  <si>
    <t>Mise en marche</t>
  </si>
  <si>
    <t>Installation et filage des Contrôles</t>
  </si>
  <si>
    <t>Autres (indiquez) :</t>
  </si>
  <si>
    <r>
      <t xml:space="preserve">Conduit EMT par </t>
    </r>
    <r>
      <rPr>
        <b/>
        <sz val="11"/>
        <color rgb="FF00B0F0"/>
        <rFont val="Calibri"/>
        <family val="2"/>
        <scheme val="minor"/>
      </rPr>
      <t>VME</t>
    </r>
  </si>
  <si>
    <t>(X)</t>
  </si>
  <si>
    <t xml:space="preserve">TRAVAUX REQUIS </t>
  </si>
  <si>
    <t>Autres (spécifiez) :</t>
  </si>
  <si>
    <t>DEMANDE DE RÉFRI REAFAITE</t>
  </si>
  <si>
    <r>
      <t>PRIX FORFAITAIRE GLOBAL</t>
    </r>
    <r>
      <rPr>
        <b/>
        <sz val="12"/>
        <rFont val="Calibri"/>
        <family val="2"/>
        <scheme val="minor"/>
      </rPr>
      <t xml:space="preserve"> : </t>
    </r>
    <r>
      <rPr>
        <b/>
        <u/>
        <sz val="12"/>
        <rFont val="Calibri"/>
        <family val="2"/>
        <scheme val="minor"/>
      </rPr>
      <t xml:space="preserve">  </t>
    </r>
  </si>
  <si>
    <t>PAGE 2 =&gt; INFORMATIONS ADDITTIONNELS</t>
  </si>
  <si>
    <t>Entre-barrages évap / cond</t>
  </si>
  <si>
    <t>Installation et filage thermostats</t>
  </si>
  <si>
    <t xml:space="preserve">Démolition tuyauterie </t>
  </si>
  <si>
    <t>ajout d'une page 2 demande réfri</t>
  </si>
  <si>
    <t>KARINE HARRISSON</t>
  </si>
  <si>
    <t>Entre-barrages relais de plinthe</t>
  </si>
  <si>
    <t>Feuille de demande réfri refaite.</t>
  </si>
  <si>
    <t>Titre</t>
  </si>
  <si>
    <t>Valeur</t>
  </si>
  <si>
    <t>CellNo</t>
  </si>
  <si>
    <t>U80</t>
  </si>
  <si>
    <t>Sous-Total Soumission</t>
  </si>
  <si>
    <t>cr26e_Coutantdelasoumission_Base</t>
  </si>
  <si>
    <t>L77</t>
  </si>
  <si>
    <t>Prix de la Soumission</t>
  </si>
  <si>
    <t>cr26e_Montantsoumis_Base</t>
  </si>
  <si>
    <t>Q81</t>
  </si>
  <si>
    <t>Profit %</t>
  </si>
  <si>
    <t>cr26e_Profitmarge</t>
  </si>
  <si>
    <t>O53</t>
  </si>
  <si>
    <t>Montant Directeur de Projet</t>
  </si>
  <si>
    <t>new_budgetgerance_Base</t>
  </si>
  <si>
    <t>O54</t>
  </si>
  <si>
    <t>Montant Dessins Fab</t>
  </si>
  <si>
    <t>new_budgetdessin_Base</t>
  </si>
  <si>
    <t>U74</t>
  </si>
  <si>
    <t>Montant Installation</t>
  </si>
  <si>
    <t>new_budgetmoferblantier_Base</t>
  </si>
  <si>
    <t>K65</t>
  </si>
  <si>
    <t>Montant Grue</t>
  </si>
  <si>
    <t>new_budgetgrue_Base</t>
  </si>
  <si>
    <t>U71</t>
  </si>
  <si>
    <t>Montant Conduit Spiral</t>
  </si>
  <si>
    <t>new_prixsoumissionanger_Base</t>
  </si>
  <si>
    <t>U70</t>
  </si>
  <si>
    <t>Montant Conduit Carre</t>
  </si>
  <si>
    <t>U73</t>
  </si>
  <si>
    <t>Montant Accessoires</t>
  </si>
  <si>
    <t>new_diver_Base</t>
  </si>
  <si>
    <t>N53</t>
  </si>
  <si>
    <t>Heure Directeur Projet</t>
  </si>
  <si>
    <t>new_HeureGerance</t>
  </si>
  <si>
    <t>N54</t>
  </si>
  <si>
    <t>Heure Dessins Fab</t>
  </si>
  <si>
    <t>cr26e_field_7</t>
  </si>
  <si>
    <t>Q74</t>
  </si>
  <si>
    <t>Heure Installation</t>
  </si>
  <si>
    <t>new_HeureFerblantier</t>
  </si>
  <si>
    <t>U78</t>
  </si>
  <si>
    <t>U79</t>
  </si>
  <si>
    <t>U68</t>
  </si>
  <si>
    <t>U69</t>
  </si>
  <si>
    <t>O52</t>
  </si>
  <si>
    <t>Cautionnement Soumission</t>
  </si>
  <si>
    <t>Cautionnement Execution</t>
  </si>
  <si>
    <t>Equipements</t>
  </si>
  <si>
    <t>Sous-Contrats</t>
  </si>
  <si>
    <t>Accessoires</t>
  </si>
  <si>
    <t>Valeur pour la table</t>
  </si>
  <si>
    <t>Divers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</si>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</sst>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\ &quot;$&quot;_);[Red]\(#,##0\ &quot;$&quot;\)"/>
    <numFmt numFmtId="165" formatCode="#,##0.00\ &quot;$&quot;_);[Red]\(#,##0.00\ &quot;$&quot;\)"/>
    <numFmt numFmtId="166" formatCode="_ * #,##0.00_)\ &quot;$&quot;_ ;_ * \(#,##0.00\)\ &quot;$&quot;_ ;_ * &quot;-&quot;??_)\ &quot;$&quot;_ ;_ @_ "/>
    <numFmt numFmtId="167" formatCode="_ * #,##0.00_)\ _$_ ;_ * \(#,##0.00\)\ _$_ ;_ * &quot;-&quot;??_)\ _$_ ;_ @_ "/>
    <numFmt numFmtId="168" formatCode="_ * #,##0.0_)\ _$_ ;_ * \(#,##0.0\)\ _$_ ;_ * &quot;-&quot;??_)\ _$_ ;_ @_ "/>
    <numFmt numFmtId="169" formatCode="_ * #,##0_)\ _$_ ;_ * \(#,##0\)\ _$_ ;_ * &quot;-&quot;??_)\ _$_ ;_ @_ "/>
    <numFmt numFmtId="170" formatCode="#,##0.00\ &quot;$&quot;"/>
    <numFmt numFmtId="171" formatCode="0&quot; pi/hre&quot;"/>
    <numFmt numFmtId="172" formatCode="[$-F800]dddd\,\ mmmm\ dd\,\ yyyy"/>
    <numFmt numFmtId="173" formatCode="_ * #,##0_)\ &quot;$&quot;_ ;_ * \(#,##0\)\ &quot;$&quot;_ ;_ * &quot;-&quot;??_)\ &quot;$&quot;_ ;_ @_ "/>
    <numFmt numFmtId="174" formatCode="0.000"/>
    <numFmt numFmtId="175" formatCode="0.0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rgb="FF00B050"/>
      <name val="Arial"/>
      <family val="2"/>
    </font>
    <font>
      <b/>
      <sz val="8"/>
      <color rgb="FF00B0F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indexed="12"/>
      <name val="Arial"/>
      <family val="2"/>
    </font>
    <font>
      <b/>
      <u/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24"/>
      <color theme="1"/>
      <name val="Calibri Light"/>
      <family val="2"/>
    </font>
    <font>
      <sz val="12"/>
      <color theme="1"/>
      <name val="Calibri Light"/>
      <family val="2"/>
    </font>
    <font>
      <sz val="11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14"/>
      <color theme="1"/>
      <name val="Calibri Light"/>
      <family val="2"/>
    </font>
    <font>
      <b/>
      <sz val="12"/>
      <color rgb="FF000000"/>
      <name val="Calibri Light"/>
      <family val="2"/>
    </font>
    <font>
      <b/>
      <sz val="11"/>
      <color rgb="FF000000"/>
      <name val="Calibri Light"/>
      <family val="2"/>
    </font>
    <font>
      <sz val="24"/>
      <color theme="1"/>
      <name val="Calibri Light"/>
      <family val="2"/>
    </font>
    <font>
      <b/>
      <sz val="16"/>
      <color theme="1"/>
      <name val="Calibri Light"/>
      <family val="2"/>
    </font>
    <font>
      <sz val="7"/>
      <name val="Arial"/>
      <family val="2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52" fillId="0" borderId="0"/>
    <xf numFmtId="0" fontId="47" fillId="0" borderId="0" applyNumberFormat="0" applyFill="0" applyBorder="0" applyAlignment="0" applyProtection="0"/>
  </cellStyleXfs>
  <cellXfs count="13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5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8" xfId="3" applyNumberFormat="1" applyFont="1" applyBorder="1" applyAlignment="1">
      <alignment horizontal="center"/>
    </xf>
    <xf numFmtId="0" fontId="3" fillId="0" borderId="19" xfId="0" applyFont="1" applyBorder="1"/>
    <xf numFmtId="0" fontId="3" fillId="0" borderId="21" xfId="0" applyFont="1" applyBorder="1"/>
    <xf numFmtId="0" fontId="3" fillId="0" borderId="25" xfId="0" applyFont="1" applyBorder="1"/>
    <xf numFmtId="169" fontId="3" fillId="0" borderId="18" xfId="2" applyNumberFormat="1" applyFont="1" applyBorder="1"/>
    <xf numFmtId="0" fontId="3" fillId="0" borderId="20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1" fillId="0" borderId="0" xfId="0" applyFont="1"/>
    <xf numFmtId="0" fontId="3" fillId="0" borderId="31" xfId="0" applyFont="1" applyBorder="1" applyAlignment="1">
      <alignment horizontal="center" vertical="center"/>
    </xf>
    <xf numFmtId="0" fontId="3" fillId="0" borderId="7" xfId="0" applyFont="1" applyBorder="1"/>
    <xf numFmtId="169" fontId="3" fillId="0" borderId="12" xfId="2" applyNumberFormat="1" applyFont="1" applyBorder="1"/>
    <xf numFmtId="169" fontId="3" fillId="0" borderId="19" xfId="2" applyNumberFormat="1" applyFont="1" applyBorder="1"/>
    <xf numFmtId="169" fontId="3" fillId="0" borderId="13" xfId="2" applyNumberFormat="1" applyFont="1" applyBorder="1"/>
    <xf numFmtId="0" fontId="3" fillId="0" borderId="12" xfId="0" applyFont="1" applyBorder="1" applyAlignment="1">
      <alignment horizontal="center"/>
    </xf>
    <xf numFmtId="169" fontId="3" fillId="0" borderId="29" xfId="2" applyNumberFormat="1" applyFont="1" applyBorder="1"/>
    <xf numFmtId="0" fontId="3" fillId="0" borderId="43" xfId="0" applyFont="1" applyBorder="1" applyAlignment="1">
      <alignment horizontal="center"/>
    </xf>
    <xf numFmtId="168" fontId="3" fillId="0" borderId="18" xfId="2" applyNumberFormat="1" applyFont="1" applyBorder="1" applyAlignment="1">
      <alignment horizontal="center"/>
    </xf>
    <xf numFmtId="168" fontId="3" fillId="0" borderId="13" xfId="2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3" xfId="3" applyNumberFormat="1" applyFont="1" applyBorder="1" applyAlignment="1">
      <alignment horizontal="center"/>
    </xf>
    <xf numFmtId="169" fontId="3" fillId="0" borderId="20" xfId="2" applyNumberFormat="1" applyFont="1" applyBorder="1"/>
    <xf numFmtId="0" fontId="3" fillId="0" borderId="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44" xfId="0" applyFont="1" applyBorder="1"/>
    <xf numFmtId="0" fontId="3" fillId="0" borderId="25" xfId="0" applyFont="1" applyBorder="1" applyAlignment="1">
      <alignment horizontal="center"/>
    </xf>
    <xf numFmtId="168" fontId="3" fillId="0" borderId="62" xfId="2" applyNumberFormat="1" applyFont="1" applyBorder="1"/>
    <xf numFmtId="168" fontId="3" fillId="0" borderId="26" xfId="2" applyNumberFormat="1" applyFont="1" applyBorder="1"/>
    <xf numFmtId="0" fontId="3" fillId="0" borderId="21" xfId="0" applyFont="1" applyBorder="1" applyAlignment="1">
      <alignment horizontal="center"/>
    </xf>
    <xf numFmtId="167" fontId="3" fillId="0" borderId="62" xfId="2" applyFont="1" applyBorder="1"/>
    <xf numFmtId="168" fontId="3" fillId="0" borderId="27" xfId="2" applyNumberFormat="1" applyFont="1" applyBorder="1"/>
    <xf numFmtId="168" fontId="3" fillId="0" borderId="49" xfId="2" applyNumberFormat="1" applyFont="1" applyBorder="1"/>
    <xf numFmtId="167" fontId="3" fillId="0" borderId="48" xfId="2" applyFont="1" applyBorder="1"/>
    <xf numFmtId="168" fontId="3" fillId="0" borderId="48" xfId="2" applyNumberFormat="1" applyFont="1" applyBorder="1"/>
    <xf numFmtId="0" fontId="3" fillId="0" borderId="40" xfId="0" applyFont="1" applyBorder="1"/>
    <xf numFmtId="167" fontId="3" fillId="0" borderId="26" xfId="2" applyFont="1" applyBorder="1"/>
    <xf numFmtId="169" fontId="3" fillId="0" borderId="45" xfId="2" applyNumberFormat="1" applyFont="1" applyBorder="1"/>
    <xf numFmtId="169" fontId="3" fillId="0" borderId="23" xfId="2" applyNumberFormat="1" applyFont="1" applyBorder="1"/>
    <xf numFmtId="167" fontId="3" fillId="0" borderId="0" xfId="2" applyFont="1"/>
    <xf numFmtId="169" fontId="3" fillId="0" borderId="26" xfId="2" applyNumberFormat="1" applyFont="1" applyBorder="1"/>
    <xf numFmtId="0" fontId="6" fillId="0" borderId="35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169" fontId="3" fillId="0" borderId="68" xfId="2" applyNumberFormat="1" applyFont="1" applyBorder="1"/>
    <xf numFmtId="0" fontId="3" fillId="0" borderId="39" xfId="0" applyFont="1" applyBorder="1"/>
    <xf numFmtId="0" fontId="3" fillId="0" borderId="69" xfId="0" applyFont="1" applyBorder="1"/>
    <xf numFmtId="0" fontId="3" fillId="0" borderId="69" xfId="0" applyFont="1" applyBorder="1" applyAlignment="1">
      <alignment horizontal="center"/>
    </xf>
    <xf numFmtId="169" fontId="3" fillId="0" borderId="0" xfId="0" applyNumberFormat="1" applyFont="1"/>
    <xf numFmtId="169" fontId="3" fillId="0" borderId="22" xfId="2" applyNumberFormat="1" applyFont="1" applyBorder="1"/>
    <xf numFmtId="169" fontId="3" fillId="0" borderId="23" xfId="0" applyNumberFormat="1" applyFont="1" applyBorder="1"/>
    <xf numFmtId="169" fontId="3" fillId="0" borderId="43" xfId="2" applyNumberFormat="1" applyFont="1" applyBorder="1"/>
    <xf numFmtId="169" fontId="3" fillId="0" borderId="29" xfId="0" applyNumberFormat="1" applyFont="1" applyBorder="1"/>
    <xf numFmtId="169" fontId="3" fillId="0" borderId="27" xfId="0" applyNumberFormat="1" applyFont="1" applyBorder="1"/>
    <xf numFmtId="169" fontId="3" fillId="0" borderId="44" xfId="2" applyNumberFormat="1" applyFont="1" applyBorder="1"/>
    <xf numFmtId="169" fontId="3" fillId="0" borderId="45" xfId="0" applyNumberFormat="1" applyFont="1" applyBorder="1"/>
    <xf numFmtId="169" fontId="3" fillId="0" borderId="48" xfId="0" applyNumberFormat="1" applyFont="1" applyBorder="1"/>
    <xf numFmtId="169" fontId="3" fillId="0" borderId="26" xfId="0" applyNumberFormat="1" applyFont="1" applyBorder="1"/>
    <xf numFmtId="0" fontId="6" fillId="3" borderId="87" xfId="0" applyFont="1" applyFill="1" applyBorder="1" applyAlignment="1">
      <alignment horizontal="center"/>
    </xf>
    <xf numFmtId="0" fontId="0" fillId="0" borderId="88" xfId="0" applyBorder="1"/>
    <xf numFmtId="0" fontId="6" fillId="0" borderId="1" xfId="0" applyFont="1" applyBorder="1"/>
    <xf numFmtId="0" fontId="3" fillId="0" borderId="8" xfId="0" applyFont="1" applyBorder="1" applyAlignment="1">
      <alignment horizontal="center"/>
    </xf>
    <xf numFmtId="168" fontId="3" fillId="0" borderId="53" xfId="2" applyNumberFormat="1" applyFont="1" applyBorder="1" applyAlignment="1">
      <alignment horizontal="center"/>
    </xf>
    <xf numFmtId="169" fontId="3" fillId="0" borderId="39" xfId="2" applyNumberFormat="1" applyFont="1" applyBorder="1"/>
    <xf numFmtId="0" fontId="3" fillId="0" borderId="8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3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6" fillId="7" borderId="0" xfId="0" applyFont="1" applyFill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24" fillId="7" borderId="0" xfId="0" applyFont="1" applyFill="1" applyAlignment="1">
      <alignment horizontal="center"/>
    </xf>
    <xf numFmtId="0" fontId="6" fillId="0" borderId="0" xfId="0" applyFont="1"/>
    <xf numFmtId="0" fontId="6" fillId="8" borderId="87" xfId="0" applyFont="1" applyFill="1" applyBorder="1"/>
    <xf numFmtId="0" fontId="6" fillId="8" borderId="97" xfId="0" applyFont="1" applyFill="1" applyBorder="1"/>
    <xf numFmtId="0" fontId="6" fillId="9" borderId="1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right"/>
    </xf>
    <xf numFmtId="170" fontId="6" fillId="0" borderId="0" xfId="0" applyNumberFormat="1" applyFont="1" applyAlignment="1" applyProtection="1">
      <alignment horizontal="center"/>
      <protection locked="0"/>
    </xf>
    <xf numFmtId="0" fontId="6" fillId="8" borderId="1" xfId="0" applyFont="1" applyFill="1" applyBorder="1" applyAlignment="1">
      <alignment horizontal="center"/>
    </xf>
    <xf numFmtId="170" fontId="0" fillId="0" borderId="0" xfId="0" applyNumberFormat="1"/>
    <xf numFmtId="166" fontId="6" fillId="0" borderId="0" xfId="3" applyFont="1"/>
    <xf numFmtId="166" fontId="6" fillId="0" borderId="97" xfId="3" applyFont="1" applyBorder="1"/>
    <xf numFmtId="0" fontId="6" fillId="11" borderId="31" xfId="0" applyFont="1" applyFill="1" applyBorder="1" applyAlignment="1">
      <alignment horizontal="center"/>
    </xf>
    <xf numFmtId="166" fontId="6" fillId="0" borderId="97" xfId="0" applyNumberFormat="1" applyFont="1" applyBorder="1"/>
    <xf numFmtId="0" fontId="17" fillId="0" borderId="0" xfId="0" applyFont="1"/>
    <xf numFmtId="0" fontId="2" fillId="0" borderId="0" xfId="0" applyFont="1"/>
    <xf numFmtId="170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40" xfId="0" applyFont="1" applyBorder="1"/>
    <xf numFmtId="169" fontId="2" fillId="0" borderId="23" xfId="2" applyNumberFormat="1" applyFont="1" applyBorder="1"/>
    <xf numFmtId="169" fontId="2" fillId="0" borderId="64" xfId="2" applyNumberFormat="1" applyFont="1" applyBorder="1"/>
    <xf numFmtId="0" fontId="2" fillId="0" borderId="59" xfId="0" applyFont="1" applyBorder="1"/>
    <xf numFmtId="0" fontId="2" fillId="0" borderId="59" xfId="0" applyFont="1" applyBorder="1" applyAlignment="1">
      <alignment horizontal="center"/>
    </xf>
    <xf numFmtId="169" fontId="2" fillId="0" borderId="26" xfId="2" applyNumberFormat="1" applyFont="1" applyBorder="1"/>
    <xf numFmtId="0" fontId="2" fillId="0" borderId="19" xfId="0" applyFont="1" applyBorder="1"/>
    <xf numFmtId="169" fontId="2" fillId="0" borderId="29" xfId="2" applyNumberFormat="1" applyFont="1" applyBorder="1"/>
    <xf numFmtId="169" fontId="2" fillId="0" borderId="65" xfId="2" applyNumberFormat="1" applyFont="1" applyBorder="1"/>
    <xf numFmtId="0" fontId="2" fillId="0" borderId="60" xfId="0" applyFont="1" applyBorder="1"/>
    <xf numFmtId="0" fontId="2" fillId="0" borderId="60" xfId="0" applyFont="1" applyBorder="1" applyAlignment="1">
      <alignment horizontal="center"/>
    </xf>
    <xf numFmtId="169" fontId="2" fillId="0" borderId="27" xfId="2" applyNumberFormat="1" applyFont="1" applyBorder="1"/>
    <xf numFmtId="0" fontId="2" fillId="0" borderId="71" xfId="0" applyFont="1" applyBorder="1"/>
    <xf numFmtId="169" fontId="2" fillId="0" borderId="67" xfId="2" applyNumberFormat="1" applyFont="1" applyBorder="1"/>
    <xf numFmtId="169" fontId="2" fillId="0" borderId="72" xfId="2" applyNumberFormat="1" applyFont="1" applyBorder="1"/>
    <xf numFmtId="0" fontId="2" fillId="0" borderId="73" xfId="0" applyFont="1" applyBorder="1"/>
    <xf numFmtId="0" fontId="2" fillId="0" borderId="73" xfId="0" applyFont="1" applyBorder="1" applyAlignment="1">
      <alignment horizontal="center"/>
    </xf>
    <xf numFmtId="169" fontId="2" fillId="0" borderId="75" xfId="2" applyNumberFormat="1" applyFont="1" applyBorder="1"/>
    <xf numFmtId="0" fontId="2" fillId="0" borderId="44" xfId="0" applyFont="1" applyBorder="1"/>
    <xf numFmtId="169" fontId="2" fillId="0" borderId="45" xfId="2" applyNumberFormat="1" applyFont="1" applyBorder="1"/>
    <xf numFmtId="169" fontId="2" fillId="0" borderId="66" xfId="2" applyNumberFormat="1" applyFont="1" applyBorder="1"/>
    <xf numFmtId="0" fontId="2" fillId="0" borderId="74" xfId="0" applyFont="1" applyBorder="1"/>
    <xf numFmtId="0" fontId="2" fillId="0" borderId="74" xfId="0" applyFont="1" applyBorder="1" applyAlignment="1">
      <alignment horizontal="center"/>
    </xf>
    <xf numFmtId="169" fontId="2" fillId="0" borderId="48" xfId="2" applyNumberFormat="1" applyFont="1" applyBorder="1"/>
    <xf numFmtId="169" fontId="2" fillId="0" borderId="61" xfId="2" applyNumberFormat="1" applyFont="1" applyBorder="1"/>
    <xf numFmtId="169" fontId="2" fillId="0" borderId="34" xfId="2" applyNumberFormat="1" applyFont="1" applyBorder="1"/>
    <xf numFmtId="169" fontId="2" fillId="0" borderId="35" xfId="2" applyNumberFormat="1" applyFont="1" applyBorder="1"/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169" fontId="2" fillId="0" borderId="63" xfId="2" applyNumberFormat="1" applyFont="1" applyBorder="1"/>
    <xf numFmtId="0" fontId="2" fillId="0" borderId="2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9" fontId="2" fillId="0" borderId="53" xfId="2" applyNumberFormat="1" applyFont="1" applyBorder="1"/>
    <xf numFmtId="0" fontId="2" fillId="0" borderId="29" xfId="0" applyFont="1" applyBorder="1" applyAlignment="1">
      <alignment horizontal="center"/>
    </xf>
    <xf numFmtId="169" fontId="2" fillId="0" borderId="20" xfId="2" applyNumberFormat="1" applyFont="1" applyBorder="1"/>
    <xf numFmtId="0" fontId="2" fillId="0" borderId="54" xfId="0" applyFont="1" applyBorder="1" applyAlignment="1">
      <alignment horizontal="center"/>
    </xf>
    <xf numFmtId="0" fontId="2" fillId="0" borderId="54" xfId="0" applyFont="1" applyBorder="1"/>
    <xf numFmtId="0" fontId="2" fillId="0" borderId="45" xfId="0" applyFont="1" applyBorder="1" applyAlignment="1">
      <alignment horizontal="center"/>
    </xf>
    <xf numFmtId="169" fontId="2" fillId="0" borderId="46" xfId="2" applyNumberFormat="1" applyFont="1" applyBorder="1"/>
    <xf numFmtId="0" fontId="2" fillId="0" borderId="8" xfId="0" applyFont="1" applyBorder="1"/>
    <xf numFmtId="0" fontId="2" fillId="0" borderId="3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3" fillId="0" borderId="57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6" fillId="0" borderId="91" xfId="0" applyFont="1" applyBorder="1" applyAlignment="1" applyProtection="1">
      <alignment horizontal="left" indent="1"/>
      <protection locked="0"/>
    </xf>
    <xf numFmtId="0" fontId="3" fillId="0" borderId="5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58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69" fontId="3" fillId="0" borderId="12" xfId="2" applyNumberFormat="1" applyFont="1" applyBorder="1" applyProtection="1">
      <protection locked="0"/>
    </xf>
    <xf numFmtId="0" fontId="3" fillId="0" borderId="0" xfId="0" applyFont="1" applyProtection="1">
      <protection locked="0"/>
    </xf>
    <xf numFmtId="166" fontId="3" fillId="0" borderId="24" xfId="3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31" xfId="0" applyFont="1" applyBorder="1" applyProtection="1">
      <protection locked="0"/>
    </xf>
    <xf numFmtId="0" fontId="3" fillId="0" borderId="135" xfId="0" applyFont="1" applyBorder="1" applyProtection="1">
      <protection locked="0"/>
    </xf>
    <xf numFmtId="166" fontId="3" fillId="0" borderId="12" xfId="3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9" xfId="0" applyFont="1" applyBorder="1" applyAlignment="1" applyProtection="1">
      <alignment horizontal="left"/>
      <protection locked="0"/>
    </xf>
    <xf numFmtId="49" fontId="3" fillId="0" borderId="42" xfId="2" applyNumberFormat="1" applyFont="1" applyBorder="1" applyAlignme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9" fontId="3" fillId="0" borderId="6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Alignment="1" applyProtection="1">
      <protection locked="0"/>
    </xf>
    <xf numFmtId="173" fontId="3" fillId="0" borderId="12" xfId="3" applyNumberFormat="1" applyFont="1" applyBorder="1" applyAlignment="1" applyProtection="1">
      <alignment horizontal="center"/>
      <protection locked="0"/>
    </xf>
    <xf numFmtId="49" fontId="3" fillId="0" borderId="27" xfId="2" applyNumberFormat="1" applyFont="1" applyBorder="1" applyAlignment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169" fontId="3" fillId="0" borderId="12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Protection="1">
      <protection locked="0"/>
    </xf>
    <xf numFmtId="169" fontId="3" fillId="0" borderId="76" xfId="2" applyNumberFormat="1" applyFont="1" applyBorder="1" applyAlignment="1" applyProtection="1">
      <protection locked="0"/>
    </xf>
    <xf numFmtId="169" fontId="3" fillId="0" borderId="76" xfId="2" applyNumberFormat="1" applyFont="1" applyBorder="1" applyProtection="1">
      <protection locked="0"/>
    </xf>
    <xf numFmtId="0" fontId="3" fillId="0" borderId="71" xfId="2" applyNumberFormat="1" applyFont="1" applyBorder="1" applyAlignment="1" applyProtection="1">
      <protection locked="0"/>
    </xf>
    <xf numFmtId="166" fontId="3" fillId="0" borderId="31" xfId="3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6" fontId="3" fillId="3" borderId="1" xfId="0" applyNumberFormat="1" applyFont="1" applyFill="1" applyBorder="1" applyProtection="1">
      <protection locked="0"/>
    </xf>
    <xf numFmtId="0" fontId="3" fillId="0" borderId="41" xfId="0" applyFont="1" applyBorder="1" applyProtection="1"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169" fontId="3" fillId="0" borderId="8" xfId="2" applyNumberFormat="1" applyFont="1" applyBorder="1" applyProtection="1">
      <protection locked="0"/>
    </xf>
    <xf numFmtId="169" fontId="3" fillId="0" borderId="6" xfId="2" applyNumberFormat="1" applyFont="1" applyBorder="1" applyProtection="1">
      <protection locked="0"/>
    </xf>
    <xf numFmtId="166" fontId="3" fillId="0" borderId="8" xfId="3" applyFont="1" applyBorder="1" applyProtection="1">
      <protection locked="0"/>
    </xf>
    <xf numFmtId="0" fontId="3" fillId="0" borderId="33" xfId="0" applyFont="1" applyBorder="1" applyProtection="1">
      <protection locked="0"/>
    </xf>
    <xf numFmtId="0" fontId="3" fillId="0" borderId="5" xfId="0" applyFont="1" applyBorder="1" applyProtection="1">
      <protection locked="0"/>
    </xf>
    <xf numFmtId="169" fontId="3" fillId="0" borderId="13" xfId="2" applyNumberFormat="1" applyFont="1" applyBorder="1" applyProtection="1">
      <protection locked="0"/>
    </xf>
    <xf numFmtId="166" fontId="3" fillId="0" borderId="13" xfId="3" applyFont="1" applyBorder="1" applyProtection="1">
      <protection locked="0"/>
    </xf>
    <xf numFmtId="169" fontId="3" fillId="0" borderId="0" xfId="2" applyNumberFormat="1" applyFont="1" applyBorder="1" applyProtection="1">
      <protection locked="0"/>
    </xf>
    <xf numFmtId="169" fontId="3" fillId="0" borderId="7" xfId="2" applyNumberFormat="1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166" fontId="3" fillId="3" borderId="32" xfId="0" applyNumberFormat="1" applyFont="1" applyFill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3" xfId="0" applyFont="1" applyBorder="1" applyAlignment="1" applyProtection="1">
      <alignment horizontal="left" indent="10"/>
      <protection locked="0"/>
    </xf>
    <xf numFmtId="0" fontId="3" fillId="0" borderId="24" xfId="2" applyNumberFormat="1" applyFont="1" applyBorder="1" applyProtection="1">
      <protection locked="0"/>
    </xf>
    <xf numFmtId="166" fontId="3" fillId="0" borderId="38" xfId="3" applyFont="1" applyBorder="1" applyProtection="1">
      <protection locked="0"/>
    </xf>
    <xf numFmtId="0" fontId="3" fillId="0" borderId="12" xfId="2" applyNumberFormat="1" applyFont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166" fontId="3" fillId="3" borderId="81" xfId="3" applyFont="1" applyFill="1" applyBorder="1" applyProtection="1"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49" fontId="3" fillId="0" borderId="104" xfId="2" applyNumberFormat="1" applyFont="1" applyBorder="1" applyAlignment="1" applyProtection="1">
      <protection locked="0"/>
    </xf>
    <xf numFmtId="169" fontId="3" fillId="0" borderId="31" xfId="2" applyNumberFormat="1" applyFont="1" applyBorder="1" applyAlignment="1" applyProtection="1">
      <alignment horizontal="right"/>
      <protection locked="0"/>
    </xf>
    <xf numFmtId="0" fontId="3" fillId="0" borderId="0" xfId="2" applyNumberFormat="1" applyFont="1" applyBorder="1" applyProtection="1">
      <protection locked="0"/>
    </xf>
    <xf numFmtId="0" fontId="3" fillId="2" borderId="0" xfId="0" applyFont="1" applyFill="1" applyProtection="1">
      <protection locked="0"/>
    </xf>
    <xf numFmtId="169" fontId="3" fillId="0" borderId="13" xfId="2" applyNumberFormat="1" applyFont="1" applyBorder="1" applyAlignment="1" applyProtection="1">
      <alignment horizontal="right"/>
      <protection locked="0"/>
    </xf>
    <xf numFmtId="0" fontId="3" fillId="0" borderId="8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166" fontId="6" fillId="0" borderId="69" xfId="3" applyFont="1" applyBorder="1" applyAlignment="1" applyProtection="1">
      <alignment horizontal="left"/>
      <protection locked="0"/>
    </xf>
    <xf numFmtId="0" fontId="6" fillId="0" borderId="64" xfId="0" applyFont="1" applyBorder="1" applyAlignment="1" applyProtection="1">
      <alignment horizontal="left"/>
      <protection locked="0"/>
    </xf>
    <xf numFmtId="0" fontId="3" fillId="0" borderId="77" xfId="0" applyFont="1" applyBorder="1" applyAlignment="1" applyProtection="1">
      <alignment horizontal="center"/>
      <protection locked="0"/>
    </xf>
    <xf numFmtId="169" fontId="3" fillId="0" borderId="11" xfId="2" applyNumberFormat="1" applyFont="1" applyBorder="1" applyAlignment="1" applyProtection="1">
      <alignment horizontal="right"/>
      <protection locked="0"/>
    </xf>
    <xf numFmtId="0" fontId="6" fillId="0" borderId="72" xfId="0" applyFont="1" applyBorder="1" applyAlignment="1" applyProtection="1">
      <alignment horizontal="left"/>
      <protection locked="0"/>
    </xf>
    <xf numFmtId="0" fontId="3" fillId="0" borderId="83" xfId="0" applyFont="1" applyBorder="1" applyAlignment="1" applyProtection="1">
      <alignment horizontal="center"/>
      <protection locked="0"/>
    </xf>
    <xf numFmtId="166" fontId="6" fillId="0" borderId="32" xfId="3" applyFont="1" applyBorder="1" applyAlignment="1" applyProtection="1">
      <alignment horizontal="left"/>
      <protection locked="0"/>
    </xf>
    <xf numFmtId="0" fontId="6" fillId="0" borderId="52" xfId="0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3" fontId="3" fillId="0" borderId="12" xfId="3" applyNumberFormat="1" applyFont="1" applyBorder="1" applyProtection="1"/>
    <xf numFmtId="173" fontId="3" fillId="0" borderId="6" xfId="3" applyNumberFormat="1" applyFont="1" applyBorder="1" applyProtection="1"/>
    <xf numFmtId="169" fontId="3" fillId="3" borderId="1" xfId="2" applyNumberFormat="1" applyFont="1" applyFill="1" applyBorder="1" applyAlignment="1" applyProtection="1">
      <alignment horizontal="right"/>
    </xf>
    <xf numFmtId="173" fontId="3" fillId="3" borderId="1" xfId="3" applyNumberFormat="1" applyFont="1" applyFill="1" applyBorder="1" applyAlignment="1" applyProtection="1">
      <alignment horizontal="center"/>
    </xf>
    <xf numFmtId="173" fontId="3" fillId="0" borderId="12" xfId="3" applyNumberFormat="1" applyFont="1" applyBorder="1" applyAlignment="1" applyProtection="1"/>
    <xf numFmtId="173" fontId="3" fillId="0" borderId="13" xfId="3" applyNumberFormat="1" applyFont="1" applyBorder="1" applyProtection="1"/>
    <xf numFmtId="166" fontId="3" fillId="0" borderId="38" xfId="3" applyFont="1" applyBorder="1" applyProtection="1"/>
    <xf numFmtId="166" fontId="3" fillId="3" borderId="1" xfId="3" applyFont="1" applyFill="1" applyBorder="1" applyProtection="1"/>
    <xf numFmtId="166" fontId="3" fillId="0" borderId="80" xfId="3" applyFont="1" applyBorder="1" applyProtection="1"/>
    <xf numFmtId="166" fontId="3" fillId="3" borderId="81" xfId="3" applyFont="1" applyFill="1" applyBorder="1" applyProtection="1"/>
    <xf numFmtId="0" fontId="3" fillId="3" borderId="1" xfId="0" applyFont="1" applyFill="1" applyBorder="1" applyAlignment="1">
      <alignment horizontal="center" vertical="center"/>
    </xf>
    <xf numFmtId="166" fontId="3" fillId="0" borderId="24" xfId="3" applyFont="1" applyBorder="1" applyProtection="1"/>
    <xf numFmtId="166" fontId="3" fillId="0" borderId="39" xfId="3" applyFont="1" applyBorder="1" applyProtection="1"/>
    <xf numFmtId="166" fontId="3" fillId="0" borderId="12" xfId="3" applyFont="1" applyBorder="1" applyProtection="1"/>
    <xf numFmtId="166" fontId="3" fillId="0" borderId="25" xfId="3" applyFont="1" applyBorder="1" applyProtection="1"/>
    <xf numFmtId="166" fontId="3" fillId="3" borderId="31" xfId="3" applyFont="1" applyFill="1" applyBorder="1" applyProtection="1"/>
    <xf numFmtId="169" fontId="3" fillId="0" borderId="24" xfId="2" applyNumberFormat="1" applyFont="1" applyBorder="1" applyProtection="1"/>
    <xf numFmtId="166" fontId="3" fillId="0" borderId="40" xfId="3" applyFont="1" applyBorder="1" applyProtection="1"/>
    <xf numFmtId="169" fontId="3" fillId="0" borderId="12" xfId="2" applyNumberFormat="1" applyFont="1" applyBorder="1" applyProtection="1"/>
    <xf numFmtId="169" fontId="3" fillId="0" borderId="25" xfId="2" applyNumberFormat="1" applyFont="1" applyBorder="1" applyProtection="1"/>
    <xf numFmtId="166" fontId="3" fillId="3" borderId="32" xfId="3" applyFont="1" applyFill="1" applyBorder="1" applyProtection="1"/>
    <xf numFmtId="0" fontId="3" fillId="0" borderId="6" xfId="0" applyFont="1" applyBorder="1"/>
    <xf numFmtId="0" fontId="3" fillId="0" borderId="6" xfId="3" applyNumberFormat="1" applyFont="1" applyBorder="1" applyProtection="1"/>
    <xf numFmtId="166" fontId="3" fillId="0" borderId="33" xfId="3" applyFont="1" applyBorder="1" applyProtection="1"/>
    <xf numFmtId="0" fontId="3" fillId="0" borderId="12" xfId="3" applyNumberFormat="1" applyFont="1" applyBorder="1" applyProtection="1"/>
    <xf numFmtId="166" fontId="3" fillId="0" borderId="20" xfId="3" applyFont="1" applyBorder="1" applyProtection="1"/>
    <xf numFmtId="0" fontId="3" fillId="0" borderId="7" xfId="3" applyNumberFormat="1" applyFont="1" applyBorder="1" applyProtection="1"/>
    <xf numFmtId="0" fontId="3" fillId="0" borderId="31" xfId="0" applyFont="1" applyBorder="1"/>
    <xf numFmtId="166" fontId="3" fillId="0" borderId="4" xfId="3" applyFont="1" applyBorder="1" applyProtection="1"/>
    <xf numFmtId="0" fontId="3" fillId="3" borderId="31" xfId="2" applyNumberFormat="1" applyFont="1" applyFill="1" applyBorder="1" applyProtection="1"/>
    <xf numFmtId="166" fontId="3" fillId="3" borderId="1" xfId="0" applyNumberFormat="1" applyFont="1" applyFill="1" applyBorder="1"/>
    <xf numFmtId="169" fontId="3" fillId="0" borderId="12" xfId="2" applyNumberFormat="1" applyFont="1" applyBorder="1" applyAlignment="1" applyProtection="1"/>
    <xf numFmtId="166" fontId="3" fillId="0" borderId="6" xfId="3" applyFont="1" applyBorder="1" applyProtection="1"/>
    <xf numFmtId="0" fontId="3" fillId="0" borderId="13" xfId="0" applyFont="1" applyBorder="1"/>
    <xf numFmtId="169" fontId="3" fillId="0" borderId="1" xfId="2" applyNumberFormat="1" applyFont="1" applyBorder="1" applyProtection="1"/>
    <xf numFmtId="0" fontId="3" fillId="0" borderId="1" xfId="0" applyFont="1" applyBorder="1"/>
    <xf numFmtId="0" fontId="3" fillId="0" borderId="79" xfId="0" applyFont="1" applyBorder="1"/>
    <xf numFmtId="166" fontId="3" fillId="0" borderId="78" xfId="3" applyFont="1" applyBorder="1" applyProtection="1"/>
    <xf numFmtId="0" fontId="3" fillId="0" borderId="1" xfId="2" applyNumberFormat="1" applyFont="1" applyBorder="1" applyAlignment="1" applyProtection="1"/>
    <xf numFmtId="166" fontId="3" fillId="0" borderId="31" xfId="3" applyFont="1" applyBorder="1" applyProtection="1"/>
    <xf numFmtId="169" fontId="3" fillId="2" borderId="1" xfId="2" applyNumberFormat="1" applyFont="1" applyFill="1" applyBorder="1" applyProtection="1"/>
    <xf numFmtId="0" fontId="3" fillId="0" borderId="41" xfId="0" applyFont="1" applyBorder="1"/>
    <xf numFmtId="0" fontId="3" fillId="3" borderId="1" xfId="2" applyNumberFormat="1" applyFont="1" applyFill="1" applyBorder="1" applyAlignment="1" applyProtection="1"/>
    <xf numFmtId="0" fontId="3" fillId="0" borderId="19" xfId="2" applyNumberFormat="1" applyFont="1" applyBorder="1" applyAlignment="1" applyProtection="1"/>
    <xf numFmtId="166" fontId="3" fillId="0" borderId="7" xfId="3" applyFont="1" applyBorder="1" applyProtection="1"/>
    <xf numFmtId="0" fontId="0" fillId="0" borderId="1" xfId="0" applyBorder="1" applyProtection="1">
      <protection locked="0"/>
    </xf>
    <xf numFmtId="0" fontId="20" fillId="0" borderId="1" xfId="0" applyFont="1" applyBorder="1" applyProtection="1">
      <protection locked="0"/>
    </xf>
    <xf numFmtId="170" fontId="0" fillId="0" borderId="0" xfId="0" applyNumberFormat="1" applyProtection="1">
      <protection locked="0"/>
    </xf>
    <xf numFmtId="0" fontId="0" fillId="0" borderId="6" xfId="0" applyBorder="1" applyProtection="1">
      <protection locked="0"/>
    </xf>
    <xf numFmtId="0" fontId="2" fillId="0" borderId="1" xfId="0" applyFont="1" applyBorder="1"/>
    <xf numFmtId="0" fontId="0" fillId="0" borderId="1" xfId="0" applyBorder="1"/>
    <xf numFmtId="0" fontId="0" fillId="0" borderId="94" xfId="0" applyBorder="1"/>
    <xf numFmtId="170" fontId="0" fillId="0" borderId="95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9" fillId="0" borderId="1" xfId="0" applyFont="1" applyBorder="1"/>
    <xf numFmtId="0" fontId="0" fillId="0" borderId="87" xfId="0" applyBorder="1"/>
    <xf numFmtId="170" fontId="0" fillId="0" borderId="93" xfId="0" applyNumberFormat="1" applyBorder="1"/>
    <xf numFmtId="16" fontId="0" fillId="0" borderId="0" xfId="0" applyNumberFormat="1"/>
    <xf numFmtId="0" fontId="6" fillId="0" borderId="1" xfId="0" applyFont="1" applyBorder="1" applyProtection="1">
      <protection locked="0"/>
    </xf>
    <xf numFmtId="15" fontId="0" fillId="0" borderId="0" xfId="0" applyNumberFormat="1"/>
    <xf numFmtId="0" fontId="6" fillId="0" borderId="34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6" fontId="0" fillId="0" borderId="1" xfId="3" applyFont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6" xfId="3" applyFont="1" applyBorder="1" applyProtection="1">
      <protection locked="0"/>
    </xf>
    <xf numFmtId="166" fontId="0" fillId="0" borderId="6" xfId="0" applyNumberFormat="1" applyBorder="1" applyProtection="1">
      <protection locked="0"/>
    </xf>
    <xf numFmtId="0" fontId="3" fillId="0" borderId="68" xfId="0" applyFont="1" applyBorder="1" applyAlignment="1" applyProtection="1">
      <alignment horizontal="left"/>
      <protection locked="0"/>
    </xf>
    <xf numFmtId="165" fontId="0" fillId="0" borderId="0" xfId="0" applyNumberFormat="1"/>
    <xf numFmtId="166" fontId="0" fillId="0" borderId="0" xfId="3" applyFont="1"/>
    <xf numFmtId="174" fontId="0" fillId="0" borderId="0" xfId="0" applyNumberFormat="1"/>
    <xf numFmtId="166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69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left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164" fontId="3" fillId="0" borderId="0" xfId="0" applyNumberFormat="1" applyFont="1"/>
    <xf numFmtId="0" fontId="14" fillId="0" borderId="5" xfId="2" applyNumberFormat="1" applyFont="1" applyBorder="1" applyAlignment="1" applyProtection="1">
      <alignment horizontal="center"/>
    </xf>
    <xf numFmtId="0" fontId="2" fillId="0" borderId="25" xfId="0" applyFont="1" applyBorder="1"/>
    <xf numFmtId="0" fontId="14" fillId="0" borderId="33" xfId="0" applyFont="1" applyBorder="1" applyAlignment="1">
      <alignment horizontal="center"/>
    </xf>
    <xf numFmtId="166" fontId="3" fillId="0" borderId="0" xfId="3" applyFont="1" applyProtection="1"/>
    <xf numFmtId="0" fontId="6" fillId="0" borderId="0" xfId="0" applyFont="1" applyAlignment="1">
      <alignment horizontal="center"/>
    </xf>
    <xf numFmtId="0" fontId="14" fillId="0" borderId="21" xfId="2" applyNumberFormat="1" applyFont="1" applyBorder="1" applyAlignment="1" applyProtection="1">
      <alignment horizontal="center"/>
    </xf>
    <xf numFmtId="0" fontId="14" fillId="0" borderId="46" xfId="3" applyNumberFormat="1" applyFont="1" applyBorder="1" applyAlignment="1" applyProtection="1">
      <alignment horizontal="center"/>
    </xf>
    <xf numFmtId="165" fontId="3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" fillId="0" borderId="37" xfId="0" applyFont="1" applyBorder="1" applyAlignment="1">
      <alignment horizontal="center"/>
    </xf>
    <xf numFmtId="0" fontId="2" fillId="0" borderId="24" xfId="0" applyFont="1" applyBorder="1"/>
    <xf numFmtId="166" fontId="14" fillId="0" borderId="16" xfId="0" applyNumberFormat="1" applyFont="1" applyBorder="1" applyAlignment="1">
      <alignment horizontal="center"/>
    </xf>
    <xf numFmtId="171" fontId="2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3" xfId="0" applyFont="1" applyBorder="1"/>
    <xf numFmtId="166" fontId="14" fillId="0" borderId="3" xfId="0" applyNumberFormat="1" applyFont="1" applyBorder="1" applyAlignment="1">
      <alignment horizontal="center"/>
    </xf>
    <xf numFmtId="166" fontId="13" fillId="0" borderId="0" xfId="3" applyFont="1" applyProtection="1"/>
    <xf numFmtId="0" fontId="2" fillId="0" borderId="39" xfId="0" applyFont="1" applyBorder="1" applyAlignment="1">
      <alignment horizontal="left"/>
    </xf>
    <xf numFmtId="0" fontId="14" fillId="0" borderId="39" xfId="2" applyNumberFormat="1" applyFont="1" applyBorder="1" applyAlignment="1" applyProtection="1">
      <alignment horizontal="center"/>
    </xf>
    <xf numFmtId="0" fontId="13" fillId="0" borderId="39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4" borderId="1" xfId="0" applyFill="1" applyBorder="1"/>
    <xf numFmtId="0" fontId="2" fillId="0" borderId="4" xfId="0" applyFont="1" applyBorder="1"/>
    <xf numFmtId="0" fontId="14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12" xfId="0" applyBorder="1"/>
    <xf numFmtId="0" fontId="14" fillId="0" borderId="12" xfId="0" applyFont="1" applyBorder="1"/>
    <xf numFmtId="0" fontId="14" fillId="0" borderId="38" xfId="0" applyFont="1" applyBorder="1"/>
    <xf numFmtId="0" fontId="6" fillId="10" borderId="1" xfId="0" applyFont="1" applyFill="1" applyBorder="1" applyAlignment="1">
      <alignment horizontal="center"/>
    </xf>
    <xf numFmtId="0" fontId="0" fillId="0" borderId="25" xfId="0" applyBorder="1"/>
    <xf numFmtId="0" fontId="14" fillId="0" borderId="25" xfId="0" applyFont="1" applyBorder="1"/>
    <xf numFmtId="0" fontId="14" fillId="0" borderId="80" xfId="0" applyFont="1" applyBorder="1"/>
    <xf numFmtId="0" fontId="6" fillId="4" borderId="1" xfId="0" applyFont="1" applyFill="1" applyBorder="1" applyAlignment="1">
      <alignment horizontal="right"/>
    </xf>
    <xf numFmtId="170" fontId="27" fillId="11" borderId="0" xfId="0" applyNumberFormat="1" applyFont="1" applyFill="1"/>
    <xf numFmtId="2" fontId="31" fillId="14" borderId="138" xfId="0" applyNumberFormat="1" applyFont="1" applyFill="1" applyBorder="1" applyAlignment="1">
      <alignment horizontal="center" vertical="center"/>
    </xf>
    <xf numFmtId="2" fontId="0" fillId="15" borderId="139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0" fontId="27" fillId="5" borderId="0" xfId="0" applyNumberFormat="1" applyFont="1" applyFill="1"/>
    <xf numFmtId="170" fontId="27" fillId="12" borderId="0" xfId="0" applyNumberFormat="1" applyFont="1" applyFill="1"/>
    <xf numFmtId="166" fontId="27" fillId="11" borderId="0" xfId="3" applyFont="1" applyFill="1" applyProtection="1"/>
    <xf numFmtId="0" fontId="14" fillId="0" borderId="10" xfId="2" applyNumberFormat="1" applyFont="1" applyBorder="1" applyAlignment="1" applyProtection="1">
      <alignment horizontal="center"/>
    </xf>
    <xf numFmtId="0" fontId="2" fillId="0" borderId="7" xfId="0" applyFont="1" applyBorder="1"/>
    <xf numFmtId="2" fontId="0" fillId="0" borderId="1" xfId="3" applyNumberFormat="1" applyFont="1" applyBorder="1" applyAlignment="1" applyProtection="1">
      <alignment horizontal="center"/>
    </xf>
    <xf numFmtId="0" fontId="14" fillId="0" borderId="40" xfId="2" applyNumberFormat="1" applyFont="1" applyBorder="1" applyAlignment="1" applyProtection="1">
      <alignment horizontal="center"/>
    </xf>
    <xf numFmtId="0" fontId="2" fillId="0" borderId="12" xfId="0" applyFont="1" applyBorder="1"/>
    <xf numFmtId="0" fontId="14" fillId="0" borderId="20" xfId="0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0" fontId="14" fillId="0" borderId="9" xfId="2" applyNumberFormat="1" applyFont="1" applyBorder="1" applyAlignment="1" applyProtection="1">
      <alignment horizontal="center"/>
    </xf>
    <xf numFmtId="2" fontId="0" fillId="14" borderId="138" xfId="0" applyNumberFormat="1" applyFill="1" applyBorder="1" applyAlignment="1">
      <alignment horizontal="center" vertical="center"/>
    </xf>
    <xf numFmtId="0" fontId="14" fillId="0" borderId="19" xfId="2" applyNumberFormat="1" applyFont="1" applyBorder="1" applyAlignment="1" applyProtection="1">
      <alignment horizontal="center"/>
    </xf>
    <xf numFmtId="0" fontId="14" fillId="0" borderId="71" xfId="2" applyNumberFormat="1" applyFont="1" applyBorder="1" applyAlignment="1" applyProtection="1">
      <alignment horizontal="center"/>
    </xf>
    <xf numFmtId="0" fontId="14" fillId="0" borderId="12" xfId="0" applyFont="1" applyBorder="1" applyAlignment="1">
      <alignment horizontal="center"/>
    </xf>
    <xf numFmtId="0" fontId="0" fillId="0" borderId="40" xfId="0" applyBorder="1"/>
    <xf numFmtId="0" fontId="14" fillId="0" borderId="24" xfId="0" applyFont="1" applyBorder="1" applyAlignment="1">
      <alignment horizontal="center"/>
    </xf>
    <xf numFmtId="2" fontId="0" fillId="14" borderId="1" xfId="3" applyNumberFormat="1" applyFont="1" applyFill="1" applyBorder="1" applyAlignment="1" applyProtection="1">
      <alignment horizontal="center" vertical="center"/>
    </xf>
    <xf numFmtId="0" fontId="0" fillId="0" borderId="21" xfId="0" applyBorder="1"/>
    <xf numFmtId="0" fontId="14" fillId="0" borderId="25" xfId="0" applyFont="1" applyBorder="1" applyAlignment="1">
      <alignment horizontal="center"/>
    </xf>
    <xf numFmtId="0" fontId="0" fillId="0" borderId="34" xfId="0" applyBorder="1"/>
    <xf numFmtId="0" fontId="14" fillId="0" borderId="1" xfId="0" applyFont="1" applyBorder="1" applyAlignment="1">
      <alignment horizontal="center"/>
    </xf>
    <xf numFmtId="0" fontId="14" fillId="0" borderId="90" xfId="2" applyNumberFormat="1" applyFont="1" applyBorder="1" applyAlignment="1" applyProtection="1">
      <alignment horizontal="center"/>
    </xf>
    <xf numFmtId="0" fontId="14" fillId="0" borderId="38" xfId="2" applyNumberFormat="1" applyFont="1" applyBorder="1" applyAlignment="1" applyProtection="1">
      <alignment horizontal="center"/>
    </xf>
    <xf numFmtId="0" fontId="14" fillId="0" borderId="1" xfId="0" applyFont="1" applyBorder="1"/>
    <xf numFmtId="0" fontId="14" fillId="0" borderId="81" xfId="2" applyNumberFormat="1" applyFont="1" applyBorder="1" applyAlignment="1" applyProtection="1">
      <alignment horizontal="center"/>
    </xf>
    <xf numFmtId="0" fontId="0" fillId="0" borderId="0" xfId="2" applyNumberFormat="1" applyFont="1" applyProtection="1"/>
    <xf numFmtId="0" fontId="8" fillId="0" borderId="0" xfId="0" applyFont="1"/>
    <xf numFmtId="170" fontId="27" fillId="7" borderId="0" xfId="0" applyNumberFormat="1" applyFont="1" applyFill="1"/>
    <xf numFmtId="2" fontId="0" fillId="15" borderId="140" xfId="0" applyNumberFormat="1" applyFill="1" applyBorder="1" applyAlignment="1">
      <alignment horizontal="center"/>
    </xf>
    <xf numFmtId="166" fontId="27" fillId="7" borderId="0" xfId="3" applyFont="1" applyFill="1" applyProtection="1"/>
    <xf numFmtId="0" fontId="28" fillId="0" borderId="0" xfId="0" applyFont="1"/>
    <xf numFmtId="0" fontId="6" fillId="0" borderId="0" xfId="0" applyFont="1" applyAlignment="1">
      <alignment horizontal="right"/>
    </xf>
    <xf numFmtId="166" fontId="2" fillId="0" borderId="0" xfId="3" applyFont="1" applyFill="1" applyBorder="1" applyProtection="1"/>
    <xf numFmtId="166" fontId="6" fillId="0" borderId="0" xfId="3" applyFont="1" applyFill="1" applyProtection="1"/>
    <xf numFmtId="0" fontId="0" fillId="0" borderId="10" xfId="0" applyBorder="1" applyProtection="1">
      <protection locked="0"/>
    </xf>
    <xf numFmtId="0" fontId="17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8" xfId="0" applyBorder="1" applyProtection="1">
      <protection locked="0"/>
    </xf>
    <xf numFmtId="166" fontId="6" fillId="0" borderId="1" xfId="0" applyNumberFormat="1" applyFont="1" applyBorder="1" applyProtection="1">
      <protection locked="0"/>
    </xf>
    <xf numFmtId="166" fontId="32" fillId="0" borderId="38" xfId="3" applyFont="1" applyBorder="1" applyProtection="1">
      <protection locked="0"/>
    </xf>
    <xf numFmtId="166" fontId="3" fillId="0" borderId="80" xfId="3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19" fillId="0" borderId="1" xfId="0" applyFont="1" applyBorder="1" applyProtection="1">
      <protection locked="0"/>
    </xf>
    <xf numFmtId="0" fontId="5" fillId="0" borderId="0" xfId="0" applyFont="1"/>
    <xf numFmtId="166" fontId="3" fillId="0" borderId="0" xfId="3" applyFont="1"/>
    <xf numFmtId="166" fontId="19" fillId="0" borderId="1" xfId="3" applyFont="1" applyBorder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166" fontId="19" fillId="0" borderId="0" xfId="3" applyFont="1" applyBorder="1" applyProtection="1">
      <protection locked="0"/>
    </xf>
    <xf numFmtId="0" fontId="20" fillId="0" borderId="0" xfId="0" applyFont="1" applyProtection="1">
      <protection locked="0"/>
    </xf>
    <xf numFmtId="0" fontId="1" fillId="0" borderId="0" xfId="5"/>
    <xf numFmtId="0" fontId="33" fillId="0" borderId="32" xfId="5" applyFont="1" applyBorder="1"/>
    <xf numFmtId="0" fontId="33" fillId="0" borderId="1" xfId="5" applyFont="1" applyBorder="1"/>
    <xf numFmtId="0" fontId="33" fillId="0" borderId="1" xfId="5" applyFont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 textRotation="90" wrapText="1"/>
    </xf>
    <xf numFmtId="0" fontId="33" fillId="0" borderId="31" xfId="5" applyFont="1" applyBorder="1"/>
    <xf numFmtId="0" fontId="33" fillId="0" borderId="31" xfId="5" applyFont="1" applyBorder="1" applyAlignment="1">
      <alignment horizontal="center" vertical="center" wrapText="1"/>
    </xf>
    <xf numFmtId="0" fontId="33" fillId="0" borderId="31" xfId="5" applyFont="1" applyBorder="1" applyAlignment="1">
      <alignment horizontal="center" vertical="center" textRotation="90" wrapText="1"/>
    </xf>
    <xf numFmtId="0" fontId="1" fillId="0" borderId="3" xfId="5" applyBorder="1"/>
    <xf numFmtId="0" fontId="33" fillId="0" borderId="9" xfId="5" applyFont="1" applyBorder="1"/>
    <xf numFmtId="0" fontId="1" fillId="0" borderId="3" xfId="5" applyBorder="1" applyAlignment="1">
      <alignment horizontal="center" vertical="center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1" xfId="5" applyFont="1" applyFill="1" applyBorder="1" applyAlignment="1">
      <alignment horizontal="center" vertical="center" textRotation="90"/>
    </xf>
    <xf numFmtId="0" fontId="33" fillId="0" borderId="0" xfId="5" applyFont="1"/>
    <xf numFmtId="0" fontId="37" fillId="0" borderId="1" xfId="5" applyFont="1" applyBorder="1" applyAlignment="1">
      <alignment horizontal="center" vertical="center" wrapText="1"/>
    </xf>
    <xf numFmtId="0" fontId="1" fillId="0" borderId="143" xfId="5" applyBorder="1"/>
    <xf numFmtId="0" fontId="33" fillId="0" borderId="32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/>
    </xf>
    <xf numFmtId="0" fontId="33" fillId="0" borderId="32" xfId="5" applyFont="1" applyBorder="1" applyAlignment="1">
      <alignment horizontal="center" vertical="center"/>
    </xf>
    <xf numFmtId="0" fontId="33" fillId="0" borderId="9" xfId="5" applyFont="1" applyBorder="1" applyAlignment="1">
      <alignment horizontal="center" vertical="center"/>
    </xf>
    <xf numFmtId="0" fontId="33" fillId="0" borderId="31" xfId="5" applyFont="1" applyBorder="1" applyAlignment="1">
      <alignment horizontal="center" vertical="center"/>
    </xf>
    <xf numFmtId="0" fontId="33" fillId="18" borderId="31" xfId="5" applyFont="1" applyFill="1" applyBorder="1" applyAlignment="1">
      <alignment horizontal="center" vertical="center" textRotation="90" wrapText="1"/>
    </xf>
    <xf numFmtId="0" fontId="19" fillId="19" borderId="1" xfId="0" applyFont="1" applyFill="1" applyBorder="1" applyProtection="1">
      <protection locked="0"/>
    </xf>
    <xf numFmtId="166" fontId="0" fillId="0" borderId="1" xfId="3" applyFont="1" applyBorder="1" applyProtection="1"/>
    <xf numFmtId="166" fontId="0" fillId="11" borderId="6" xfId="3" applyFont="1" applyFill="1" applyBorder="1" applyProtection="1"/>
    <xf numFmtId="173" fontId="0" fillId="0" borderId="1" xfId="3" applyNumberFormat="1" applyFont="1" applyBorder="1" applyProtection="1">
      <protection locked="0"/>
    </xf>
    <xf numFmtId="173" fontId="0" fillId="0" borderId="1" xfId="3" applyNumberFormat="1" applyFont="1" applyFill="1" applyBorder="1" applyProtection="1">
      <protection locked="0"/>
    </xf>
    <xf numFmtId="169" fontId="3" fillId="0" borderId="0" xfId="2" applyNumberFormat="1" applyFont="1" applyFill="1" applyBorder="1" applyAlignment="1" applyProtection="1">
      <alignment horizontal="right"/>
      <protection locked="0"/>
    </xf>
    <xf numFmtId="173" fontId="3" fillId="0" borderId="6" xfId="3" applyNumberFormat="1" applyFont="1" applyFill="1" applyBorder="1" applyProtection="1">
      <protection locked="0"/>
    </xf>
    <xf numFmtId="173" fontId="3" fillId="0" borderId="0" xfId="3" applyNumberFormat="1" applyFont="1" applyFill="1" applyBorder="1" applyProtection="1"/>
    <xf numFmtId="173" fontId="3" fillId="0" borderId="12" xfId="3" applyNumberFormat="1" applyFont="1" applyFill="1" applyBorder="1" applyAlignment="1" applyProtection="1">
      <alignment horizontal="center"/>
      <protection locked="0"/>
    </xf>
    <xf numFmtId="169" fontId="3" fillId="0" borderId="13" xfId="2" applyNumberFormat="1" applyFont="1" applyFill="1" applyBorder="1" applyAlignment="1" applyProtection="1">
      <alignment horizontal="right"/>
      <protection locked="0"/>
    </xf>
    <xf numFmtId="173" fontId="3" fillId="0" borderId="12" xfId="3" applyNumberFormat="1" applyFont="1" applyFill="1" applyBorder="1" applyProtection="1">
      <protection locked="0"/>
    </xf>
    <xf numFmtId="173" fontId="3" fillId="0" borderId="13" xfId="3" applyNumberFormat="1" applyFont="1" applyFill="1" applyBorder="1" applyProtection="1"/>
    <xf numFmtId="0" fontId="3" fillId="0" borderId="26" xfId="0" applyFont="1" applyBorder="1" applyAlignment="1" applyProtection="1">
      <alignment horizontal="center" vertical="center"/>
      <protection locked="0"/>
    </xf>
    <xf numFmtId="166" fontId="3" fillId="0" borderId="38" xfId="3" applyFont="1" applyFill="1" applyBorder="1" applyProtection="1">
      <protection locked="0"/>
    </xf>
    <xf numFmtId="0" fontId="6" fillId="0" borderId="0" xfId="0" applyFont="1" applyProtection="1">
      <protection locked="0"/>
    </xf>
    <xf numFmtId="0" fontId="0" fillId="0" borderId="98" xfId="0" applyBorder="1" applyAlignment="1">
      <alignment horizontal="center"/>
    </xf>
    <xf numFmtId="0" fontId="0" fillId="0" borderId="102" xfId="0" applyBorder="1"/>
    <xf numFmtId="0" fontId="0" fillId="0" borderId="99" xfId="0" applyBorder="1"/>
    <xf numFmtId="0" fontId="29" fillId="0" borderId="134" xfId="0" applyFont="1" applyBorder="1" applyAlignment="1" applyProtection="1">
      <alignment horizontal="center" vertical="center"/>
      <protection locked="0"/>
    </xf>
    <xf numFmtId="0" fontId="2" fillId="13" borderId="134" xfId="0" applyFont="1" applyFill="1" applyBorder="1" applyAlignment="1" applyProtection="1">
      <alignment horizontal="right" vertical="center"/>
      <protection locked="0"/>
    </xf>
    <xf numFmtId="0" fontId="0" fillId="0" borderId="98" xfId="0" applyBorder="1" applyAlignment="1" applyProtection="1">
      <alignment horizontal="center"/>
      <protection locked="0"/>
    </xf>
    <xf numFmtId="0" fontId="0" fillId="0" borderId="88" xfId="0" applyBorder="1" applyProtection="1">
      <protection locked="0"/>
    </xf>
    <xf numFmtId="0" fontId="0" fillId="0" borderId="100" xfId="0" applyBorder="1" applyProtection="1">
      <protection locked="0"/>
    </xf>
    <xf numFmtId="0" fontId="0" fillId="0" borderId="101" xfId="0" applyBorder="1" applyProtection="1">
      <protection locked="0"/>
    </xf>
    <xf numFmtId="0" fontId="0" fillId="0" borderId="136" xfId="0" applyBorder="1" applyProtection="1">
      <protection locked="0"/>
    </xf>
    <xf numFmtId="0" fontId="0" fillId="0" borderId="102" xfId="0" applyBorder="1" applyProtection="1">
      <protection locked="0"/>
    </xf>
    <xf numFmtId="0" fontId="0" fillId="0" borderId="99" xfId="0" applyBorder="1" applyProtection="1">
      <protection locked="0"/>
    </xf>
    <xf numFmtId="49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96" xfId="0" applyNumberFormat="1" applyFont="1" applyBorder="1" applyAlignment="1" applyProtection="1">
      <alignment horizontal="center" vertical="center"/>
      <protection locked="0"/>
    </xf>
    <xf numFmtId="0" fontId="29" fillId="0" borderId="134" xfId="0" applyFont="1" applyBorder="1" applyAlignment="1">
      <alignment horizontal="center" vertical="center"/>
    </xf>
    <xf numFmtId="0" fontId="2" fillId="0" borderId="134" xfId="0" applyFont="1" applyBorder="1" applyAlignment="1">
      <alignment horizontal="right" vertical="center"/>
    </xf>
    <xf numFmtId="0" fontId="2" fillId="0" borderId="0" xfId="6"/>
    <xf numFmtId="0" fontId="29" fillId="0" borderId="102" xfId="6" applyFont="1" applyBorder="1" applyAlignment="1">
      <alignment horizontal="center" vertical="center"/>
    </xf>
    <xf numFmtId="0" fontId="29" fillId="0" borderId="99" xfId="6" applyFont="1" applyBorder="1" applyAlignment="1">
      <alignment horizontal="center" vertical="center"/>
    </xf>
    <xf numFmtId="0" fontId="2" fillId="0" borderId="99" xfId="6" applyBorder="1" applyAlignment="1">
      <alignment horizontal="right" vertical="center"/>
    </xf>
    <xf numFmtId="0" fontId="6" fillId="0" borderId="137" xfId="6" applyFont="1" applyBorder="1" applyAlignment="1">
      <alignment horizontal="center"/>
    </xf>
    <xf numFmtId="0" fontId="6" fillId="0" borderId="147" xfId="6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49" xfId="6" applyFont="1" applyBorder="1" applyAlignment="1">
      <alignment horizontal="center"/>
    </xf>
    <xf numFmtId="0" fontId="6" fillId="0" borderId="151" xfId="6" applyFont="1" applyBorder="1" applyAlignment="1">
      <alignment horizontal="center"/>
    </xf>
    <xf numFmtId="0" fontId="6" fillId="0" borderId="103" xfId="6" applyFont="1" applyBorder="1" applyAlignment="1">
      <alignment horizontal="center"/>
    </xf>
    <xf numFmtId="0" fontId="18" fillId="0" borderId="131" xfId="1" applyBorder="1" applyAlignment="1" applyProtection="1">
      <alignment horizontal="center"/>
    </xf>
    <xf numFmtId="0" fontId="2" fillId="0" borderId="131" xfId="6" applyBorder="1" applyAlignment="1">
      <alignment horizontal="center"/>
    </xf>
    <xf numFmtId="0" fontId="6" fillId="0" borderId="131" xfId="6" applyFont="1" applyBorder="1" applyAlignment="1">
      <alignment horizontal="center"/>
    </xf>
    <xf numFmtId="0" fontId="2" fillId="0" borderId="132" xfId="6" applyBorder="1" applyAlignment="1">
      <alignment horizont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6" fillId="0" borderId="0" xfId="6" applyFont="1" applyAlignment="1">
      <alignment horizontal="center"/>
    </xf>
    <xf numFmtId="0" fontId="2" fillId="0" borderId="131" xfId="6" applyBorder="1"/>
    <xf numFmtId="0" fontId="2" fillId="0" borderId="102" xfId="6" applyBorder="1" applyAlignment="1">
      <alignment horizontal="right" vertical="center"/>
    </xf>
    <xf numFmtId="0" fontId="2" fillId="0" borderId="99" xfId="6" applyBorder="1" applyAlignment="1">
      <alignment horizontal="center"/>
    </xf>
    <xf numFmtId="0" fontId="2" fillId="0" borderId="94" xfId="6" applyBorder="1"/>
    <xf numFmtId="0" fontId="2" fillId="0" borderId="134" xfId="6" applyBorder="1"/>
    <xf numFmtId="0" fontId="2" fillId="0" borderId="95" xfId="6" applyBorder="1"/>
    <xf numFmtId="0" fontId="3" fillId="0" borderId="4" xfId="6" applyFont="1" applyBorder="1" applyAlignment="1" applyProtection="1">
      <alignment horizontal="center" vertical="center"/>
      <protection locked="0"/>
    </xf>
    <xf numFmtId="0" fontId="3" fillId="20" borderId="4" xfId="6" applyFont="1" applyFill="1" applyBorder="1" applyAlignment="1" applyProtection="1">
      <alignment horizontal="center" vertical="center"/>
      <protection locked="0"/>
    </xf>
    <xf numFmtId="0" fontId="3" fillId="14" borderId="4" xfId="6" applyFont="1" applyFill="1" applyBorder="1" applyAlignment="1" applyProtection="1">
      <alignment horizontal="center" vertical="center"/>
      <protection locked="0"/>
    </xf>
    <xf numFmtId="0" fontId="3" fillId="19" borderId="4" xfId="6" applyFont="1" applyFill="1" applyBorder="1" applyAlignment="1" applyProtection="1">
      <alignment horizontal="center" vertical="center"/>
      <protection locked="0"/>
    </xf>
    <xf numFmtId="0" fontId="5" fillId="19" borderId="153" xfId="6" applyFont="1" applyFill="1" applyBorder="1" applyAlignment="1">
      <alignment horizontal="center"/>
    </xf>
    <xf numFmtId="0" fontId="5" fillId="19" borderId="147" xfId="6" applyFont="1" applyFill="1" applyBorder="1" applyAlignment="1">
      <alignment horizontal="center"/>
    </xf>
    <xf numFmtId="0" fontId="3" fillId="0" borderId="155" xfId="6" applyFont="1" applyBorder="1" applyAlignment="1" applyProtection="1">
      <alignment horizontal="center" vertical="center"/>
      <protection locked="0"/>
    </xf>
    <xf numFmtId="0" fontId="6" fillId="0" borderId="132" xfId="6" applyFont="1" applyBorder="1" applyAlignment="1">
      <alignment horizont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2" fillId="0" borderId="102" xfId="6" applyBorder="1"/>
    <xf numFmtId="0" fontId="2" fillId="0" borderId="99" xfId="6" applyBorder="1"/>
    <xf numFmtId="0" fontId="3" fillId="0" borderId="1" xfId="6" applyFont="1" applyBorder="1" applyAlignment="1" applyProtection="1">
      <alignment horizontal="center" vertical="center"/>
      <protection locked="0"/>
    </xf>
    <xf numFmtId="0" fontId="3" fillId="0" borderId="96" xfId="6" applyFont="1" applyBorder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center" vertical="center"/>
      <protection locked="0"/>
    </xf>
    <xf numFmtId="169" fontId="3" fillId="20" borderId="12" xfId="2" applyNumberFormat="1" applyFont="1" applyFill="1" applyBorder="1" applyProtection="1"/>
    <xf numFmtId="169" fontId="3" fillId="20" borderId="157" xfId="2" applyNumberFormat="1" applyFont="1" applyFill="1" applyBorder="1" applyProtection="1"/>
    <xf numFmtId="0" fontId="6" fillId="0" borderId="0" xfId="6" applyFont="1" applyAlignment="1" applyProtection="1">
      <alignment horizontal="center" vertical="center"/>
      <protection locked="0"/>
    </xf>
    <xf numFmtId="169" fontId="3" fillId="12" borderId="12" xfId="2" applyNumberFormat="1" applyFont="1" applyFill="1" applyBorder="1" applyProtection="1"/>
    <xf numFmtId="169" fontId="3" fillId="12" borderId="157" xfId="2" applyNumberFormat="1" applyFont="1" applyFill="1" applyBorder="1" applyProtection="1"/>
    <xf numFmtId="0" fontId="3" fillId="0" borderId="0" xfId="6" applyFont="1" applyAlignment="1" applyProtection="1">
      <alignment horizontal="left"/>
      <protection locked="0"/>
    </xf>
    <xf numFmtId="169" fontId="3" fillId="0" borderId="0" xfId="2" applyNumberFormat="1" applyFont="1" applyFill="1" applyBorder="1" applyProtection="1"/>
    <xf numFmtId="169" fontId="3" fillId="12" borderId="25" xfId="2" applyNumberFormat="1" applyFont="1" applyFill="1" applyBorder="1" applyProtection="1"/>
    <xf numFmtId="169" fontId="3" fillId="12" borderId="161" xfId="2" applyNumberFormat="1" applyFont="1" applyFill="1" applyBorder="1" applyProtection="1"/>
    <xf numFmtId="169" fontId="3" fillId="0" borderId="164" xfId="2" applyNumberFormat="1" applyFont="1" applyBorder="1" applyProtection="1"/>
    <xf numFmtId="169" fontId="3" fillId="0" borderId="165" xfId="2" applyNumberFormat="1" applyFont="1" applyBorder="1" applyProtection="1"/>
    <xf numFmtId="0" fontId="5" fillId="0" borderId="131" xfId="6" applyFont="1" applyBorder="1" applyAlignment="1" applyProtection="1">
      <alignment horizontal="center" vertical="center"/>
      <protection locked="0"/>
    </xf>
    <xf numFmtId="169" fontId="3" fillId="0" borderId="0" xfId="2" applyNumberFormat="1" applyFont="1" applyBorder="1" applyProtection="1"/>
    <xf numFmtId="0" fontId="3" fillId="0" borderId="0" xfId="2" applyNumberFormat="1" applyFont="1" applyFill="1" applyBorder="1" applyAlignment="1" applyProtection="1"/>
    <xf numFmtId="169" fontId="3" fillId="0" borderId="167" xfId="2" applyNumberFormat="1" applyFont="1" applyBorder="1" applyProtection="1"/>
    <xf numFmtId="0" fontId="3" fillId="0" borderId="102" xfId="6" applyFont="1" applyBorder="1" applyAlignment="1" applyProtection="1">
      <alignment horizontal="left"/>
      <protection locked="0"/>
    </xf>
    <xf numFmtId="169" fontId="3" fillId="0" borderId="168" xfId="2" applyNumberFormat="1" applyFont="1" applyBorder="1" applyProtection="1"/>
    <xf numFmtId="169" fontId="3" fillId="0" borderId="169" xfId="2" applyNumberFormat="1" applyFont="1" applyBorder="1" applyProtection="1"/>
    <xf numFmtId="0" fontId="3" fillId="0" borderId="32" xfId="6" applyFont="1" applyBorder="1" applyAlignment="1" applyProtection="1">
      <alignment horizontal="center" vertical="center"/>
      <protection locked="0"/>
    </xf>
    <xf numFmtId="166" fontId="3" fillId="0" borderId="0" xfId="3" applyFont="1" applyBorder="1" applyAlignment="1" applyProtection="1">
      <alignment horizontal="center" vertical="center"/>
      <protection locked="0"/>
    </xf>
    <xf numFmtId="0" fontId="3" fillId="0" borderId="99" xfId="6" applyFont="1" applyBorder="1" applyAlignment="1" applyProtection="1">
      <alignment horizontal="left" vertical="center"/>
      <protection locked="0"/>
    </xf>
    <xf numFmtId="0" fontId="2" fillId="0" borderId="87" xfId="6" applyBorder="1"/>
    <xf numFmtId="0" fontId="2" fillId="0" borderId="88" xfId="6" applyBorder="1"/>
    <xf numFmtId="0" fontId="2" fillId="0" borderId="93" xfId="6" applyBorder="1"/>
    <xf numFmtId="0" fontId="3" fillId="0" borderId="162" xfId="6" applyFont="1" applyBorder="1" applyAlignment="1" applyProtection="1">
      <alignment horizontal="center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92" xfId="6" applyFont="1" applyBorder="1" applyAlignment="1" applyProtection="1">
      <alignment horizontal="center" vertical="center"/>
      <protection locked="0"/>
    </xf>
    <xf numFmtId="0" fontId="3" fillId="0" borderId="45" xfId="6" applyFont="1" applyBorder="1" applyAlignment="1" applyProtection="1">
      <alignment horizontal="center" vertical="center"/>
      <protection locked="0"/>
    </xf>
    <xf numFmtId="0" fontId="29" fillId="0" borderId="0" xfId="6" applyFont="1" applyAlignment="1">
      <alignment horizontal="center" vertical="center"/>
    </xf>
    <xf numFmtId="0" fontId="2" fillId="0" borderId="0" xfId="6" applyAlignment="1">
      <alignment horizontal="right" vertical="center"/>
    </xf>
    <xf numFmtId="0" fontId="2" fillId="0" borderId="0" xfId="6" applyAlignment="1">
      <alignment horizontal="center"/>
    </xf>
    <xf numFmtId="0" fontId="6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horizontal="center"/>
      <protection locked="0"/>
    </xf>
    <xf numFmtId="0" fontId="5" fillId="0" borderId="0" xfId="6" applyFont="1" applyAlignment="1" applyProtection="1">
      <alignment vertical="center"/>
      <protection locked="0"/>
    </xf>
    <xf numFmtId="0" fontId="5" fillId="0" borderId="0" xfId="6" applyFont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left" vertical="center"/>
      <protection locked="0"/>
    </xf>
    <xf numFmtId="0" fontId="3" fillId="0" borderId="180" xfId="6" applyFont="1" applyBorder="1" applyAlignment="1" applyProtection="1">
      <alignment horizontal="left" vertical="top"/>
      <protection locked="0"/>
    </xf>
    <xf numFmtId="0" fontId="2" fillId="0" borderId="100" xfId="6" applyBorder="1" applyAlignment="1">
      <alignment horizontal="left"/>
    </xf>
    <xf numFmtId="0" fontId="2" fillId="0" borderId="101" xfId="6" applyBorder="1" applyAlignment="1">
      <alignment horizontal="left"/>
    </xf>
    <xf numFmtId="49" fontId="5" fillId="0" borderId="137" xfId="0" applyNumberFormat="1" applyFont="1" applyBorder="1" applyAlignment="1">
      <alignment horizontal="left"/>
    </xf>
    <xf numFmtId="49" fontId="5" fillId="0" borderId="98" xfId="0" applyNumberFormat="1" applyFont="1" applyBorder="1" applyAlignment="1">
      <alignment horizontal="left"/>
    </xf>
    <xf numFmtId="0" fontId="3" fillId="0" borderId="6" xfId="3" applyNumberFormat="1" applyFont="1" applyBorder="1" applyAlignment="1" applyProtection="1">
      <alignment horizontal="left" vertical="center"/>
    </xf>
    <xf numFmtId="0" fontId="3" fillId="0" borderId="12" xfId="3" applyNumberFormat="1" applyFont="1" applyBorder="1" applyAlignment="1" applyProtection="1">
      <alignment horizontal="left" vertical="center"/>
    </xf>
    <xf numFmtId="0" fontId="3" fillId="0" borderId="173" xfId="3" applyNumberFormat="1" applyFont="1" applyBorder="1" applyAlignment="1" applyProtection="1">
      <alignment horizontal="left" vertical="center"/>
      <protection locked="0"/>
    </xf>
    <xf numFmtId="0" fontId="3" fillId="0" borderId="0" xfId="6" applyFont="1" applyAlignment="1">
      <alignment horizontal="left" vertical="center"/>
    </xf>
    <xf numFmtId="0" fontId="3" fillId="0" borderId="13" xfId="6" applyFont="1" applyBorder="1" applyAlignment="1">
      <alignment horizontal="left" vertical="center"/>
    </xf>
    <xf numFmtId="0" fontId="3" fillId="0" borderId="134" xfId="6" applyFont="1" applyBorder="1" applyAlignment="1" applyProtection="1">
      <alignment horizontal="left" vertical="center"/>
      <protection locked="0"/>
    </xf>
    <xf numFmtId="0" fontId="3" fillId="0" borderId="24" xfId="3" applyNumberFormat="1" applyFont="1" applyBorder="1" applyAlignment="1" applyProtection="1">
      <alignment horizontal="left" vertical="center"/>
    </xf>
    <xf numFmtId="0" fontId="3" fillId="0" borderId="176" xfId="6" applyFont="1" applyBorder="1" applyAlignment="1" applyProtection="1">
      <alignment horizontal="left" vertical="center"/>
      <protection locked="0"/>
    </xf>
    <xf numFmtId="0" fontId="3" fillId="0" borderId="178" xfId="6" applyFont="1" applyBorder="1" applyAlignment="1" applyProtection="1">
      <alignment horizontal="left" vertical="center"/>
      <protection locked="0"/>
    </xf>
    <xf numFmtId="0" fontId="3" fillId="0" borderId="23" xfId="6" applyFont="1" applyBorder="1" applyAlignment="1" applyProtection="1">
      <alignment horizontal="center" vertical="center"/>
      <protection locked="0"/>
    </xf>
    <xf numFmtId="0" fontId="3" fillId="0" borderId="29" xfId="6" applyFont="1" applyBorder="1" applyAlignment="1" applyProtection="1">
      <alignment horizontal="center" vertical="center"/>
      <protection locked="0"/>
    </xf>
    <xf numFmtId="0" fontId="3" fillId="0" borderId="27" xfId="2" applyNumberFormat="1" applyFont="1" applyBorder="1" applyAlignment="1" applyProtection="1">
      <protection locked="0"/>
    </xf>
    <xf numFmtId="0" fontId="52" fillId="0" borderId="0" xfId="7"/>
    <xf numFmtId="0" fontId="52" fillId="0" borderId="0" xfId="7" applyAlignment="1">
      <alignment vertical="center"/>
    </xf>
    <xf numFmtId="0" fontId="46" fillId="0" borderId="0" xfId="7" applyFo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169" fontId="0" fillId="0" borderId="1" xfId="0" applyNumberFormat="1" applyBorder="1" applyProtection="1">
      <protection locked="0"/>
    </xf>
    <xf numFmtId="0" fontId="0" fillId="0" borderId="41" xfId="0" applyBorder="1" applyProtection="1">
      <protection locked="0"/>
    </xf>
    <xf numFmtId="175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0" fontId="3" fillId="0" borderId="9" xfId="0" applyFont="1" applyBorder="1" applyAlignment="1" applyProtection="1">
      <alignment horizontal="center"/>
      <protection locked="0"/>
    </xf>
    <xf numFmtId="166" fontId="5" fillId="0" borderId="0" xfId="3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indent="10"/>
      <protection locked="0"/>
    </xf>
    <xf numFmtId="166" fontId="3" fillId="0" borderId="0" xfId="3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0" xfId="2" applyNumberFormat="1" applyFont="1" applyFill="1" applyBorder="1" applyProtection="1"/>
    <xf numFmtId="166" fontId="3" fillId="0" borderId="33" xfId="0" applyNumberFormat="1" applyFont="1" applyBorder="1"/>
    <xf numFmtId="166" fontId="3" fillId="0" borderId="3" xfId="0" applyNumberFormat="1" applyFont="1" applyBorder="1"/>
    <xf numFmtId="0" fontId="3" fillId="0" borderId="4" xfId="0" applyFont="1" applyBorder="1" applyAlignment="1" applyProtection="1">
      <alignment horizontal="center"/>
      <protection locked="0"/>
    </xf>
    <xf numFmtId="168" fontId="3" fillId="0" borderId="18" xfId="2" applyNumberFormat="1" applyFont="1" applyBorder="1"/>
    <xf numFmtId="168" fontId="3" fillId="0" borderId="36" xfId="2" applyNumberFormat="1" applyFont="1" applyBorder="1"/>
    <xf numFmtId="168" fontId="3" fillId="0" borderId="15" xfId="2" applyNumberFormat="1" applyFont="1" applyBorder="1"/>
    <xf numFmtId="0" fontId="3" fillId="0" borderId="18" xfId="2" applyNumberFormat="1" applyFont="1" applyBorder="1"/>
    <xf numFmtId="49" fontId="49" fillId="0" borderId="97" xfId="7" applyNumberFormat="1" applyFont="1" applyBorder="1" applyAlignment="1">
      <alignment vertical="center"/>
    </xf>
    <xf numFmtId="49" fontId="53" fillId="0" borderId="189" xfId="7" applyNumberFormat="1" applyFont="1" applyBorder="1" applyAlignment="1">
      <alignment horizontal="center" vertical="center"/>
    </xf>
    <xf numFmtId="49" fontId="56" fillId="0" borderId="190" xfId="7" applyNumberFormat="1" applyFont="1" applyBorder="1" applyAlignment="1">
      <alignment horizontal="center" vertical="center"/>
    </xf>
    <xf numFmtId="49" fontId="48" fillId="0" borderId="106" xfId="7" applyNumberFormat="1" applyFont="1" applyBorder="1" applyAlignment="1">
      <alignment horizontal="center" vertical="center"/>
    </xf>
    <xf numFmtId="49" fontId="48" fillId="0" borderId="191" xfId="7" applyNumberFormat="1" applyFont="1" applyBorder="1" applyAlignment="1">
      <alignment horizontal="right" vertical="center"/>
    </xf>
    <xf numFmtId="49" fontId="54" fillId="0" borderId="111" xfId="7" applyNumberFormat="1" applyFont="1" applyBorder="1" applyAlignment="1">
      <alignment vertical="center"/>
    </xf>
    <xf numFmtId="49" fontId="51" fillId="0" borderId="111" xfId="7" applyNumberFormat="1" applyFont="1" applyBorder="1" applyAlignment="1">
      <alignment vertical="center"/>
    </xf>
    <xf numFmtId="49" fontId="51" fillId="0" borderId="109" xfId="7" applyNumberFormat="1" applyFont="1" applyBorder="1" applyAlignment="1">
      <alignment vertical="center"/>
    </xf>
    <xf numFmtId="49" fontId="48" fillId="0" borderId="193" xfId="7" applyNumberFormat="1" applyFont="1" applyBorder="1" applyAlignment="1">
      <alignment horizontal="right" vertical="center"/>
    </xf>
    <xf numFmtId="49" fontId="49" fillId="23" borderId="97" xfId="7" applyNumberFormat="1" applyFont="1" applyFill="1" applyBorder="1" applyAlignment="1">
      <alignment vertical="center"/>
    </xf>
    <xf numFmtId="0" fontId="52" fillId="22" borderId="58" xfId="7" applyFill="1" applyBorder="1" applyAlignment="1">
      <alignment horizontal="right" vertical="center"/>
    </xf>
    <xf numFmtId="49" fontId="51" fillId="18" borderId="58" xfId="7" applyNumberFormat="1" applyFont="1" applyFill="1" applyBorder="1" applyAlignment="1">
      <alignment horizontal="right" vertical="center"/>
    </xf>
    <xf numFmtId="49" fontId="54" fillId="18" borderId="200" xfId="7" applyNumberFormat="1" applyFont="1" applyFill="1" applyBorder="1" applyAlignment="1">
      <alignment horizontal="right" vertical="center"/>
    </xf>
    <xf numFmtId="173" fontId="3" fillId="24" borderId="12" xfId="3" applyNumberFormat="1" applyFont="1" applyFill="1" applyBorder="1" applyAlignment="1" applyProtection="1">
      <alignment horizontal="center"/>
      <protection locked="0"/>
    </xf>
    <xf numFmtId="169" fontId="3" fillId="24" borderId="27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/>
    <xf numFmtId="169" fontId="3" fillId="24" borderId="68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>
      <protection locked="0"/>
    </xf>
    <xf numFmtId="1" fontId="3" fillId="24" borderId="92" xfId="0" applyNumberFormat="1" applyFont="1" applyFill="1" applyBorder="1" applyAlignment="1">
      <alignment horizontal="center"/>
    </xf>
    <xf numFmtId="0" fontId="3" fillId="24" borderId="42" xfId="4" applyNumberFormat="1" applyFont="1" applyFill="1" applyBorder="1" applyAlignment="1" applyProtection="1">
      <alignment horizontal="center"/>
      <protection locked="0"/>
    </xf>
    <xf numFmtId="0" fontId="52" fillId="0" borderId="112" xfId="7" applyBorder="1"/>
    <xf numFmtId="166" fontId="58" fillId="0" borderId="111" xfId="3" applyFont="1" applyBorder="1" applyAlignment="1">
      <alignment vertical="center"/>
    </xf>
    <xf numFmtId="49" fontId="48" fillId="0" borderId="215" xfId="7" applyNumberFormat="1" applyFont="1" applyBorder="1" applyAlignment="1">
      <alignment vertical="center"/>
    </xf>
    <xf numFmtId="0" fontId="0" fillId="0" borderId="137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96" xfId="0" applyBorder="1"/>
    <xf numFmtId="0" fontId="0" fillId="0" borderId="149" xfId="0" applyBorder="1"/>
    <xf numFmtId="0" fontId="0" fillId="0" borderId="151" xfId="0" applyBorder="1"/>
    <xf numFmtId="0" fontId="0" fillId="0" borderId="216" xfId="0" applyBorder="1"/>
    <xf numFmtId="166" fontId="3" fillId="24" borderId="19" xfId="3" applyFont="1" applyFill="1" applyBorder="1" applyAlignment="1" applyProtection="1">
      <alignment horizontal="center"/>
    </xf>
    <xf numFmtId="166" fontId="3" fillId="24" borderId="20" xfId="3" applyFont="1" applyFill="1" applyBorder="1" applyAlignment="1" applyProtection="1">
      <alignment horizontal="center"/>
    </xf>
    <xf numFmtId="0" fontId="2" fillId="11" borderId="6" xfId="0" applyFont="1" applyFill="1" applyBorder="1" applyAlignment="1">
      <alignment horizontal="right"/>
    </xf>
    <xf numFmtId="166" fontId="3" fillId="24" borderId="92" xfId="3" applyFont="1" applyFill="1" applyBorder="1" applyAlignment="1" applyProtection="1">
      <alignment horizontal="center"/>
    </xf>
    <xf numFmtId="166" fontId="3" fillId="24" borderId="77" xfId="3" applyFont="1" applyFill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3" fillId="0" borderId="108" xfId="0" applyFont="1" applyBorder="1" applyAlignment="1" applyProtection="1">
      <alignment horizontal="left"/>
      <protection locked="0"/>
    </xf>
    <xf numFmtId="0" fontId="3" fillId="0" borderId="36" xfId="0" applyFont="1" applyBorder="1" applyAlignment="1" applyProtection="1">
      <alignment horizontal="left"/>
      <protection locked="0"/>
    </xf>
    <xf numFmtId="0" fontId="3" fillId="0" borderId="46" xfId="0" applyFont="1" applyBorder="1" applyAlignment="1" applyProtection="1">
      <alignment horizontal="left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60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3" fillId="0" borderId="119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111" xfId="0" applyFont="1" applyBorder="1" applyAlignment="1" applyProtection="1">
      <alignment horizontal="center" vertical="center"/>
      <protection locked="0"/>
    </xf>
    <xf numFmtId="166" fontId="3" fillId="0" borderId="32" xfId="3" applyFont="1" applyBorder="1" applyAlignment="1" applyProtection="1">
      <alignment horizontal="center" vertical="center"/>
      <protection locked="0"/>
    </xf>
    <xf numFmtId="166" fontId="3" fillId="0" borderId="2" xfId="3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186" xfId="0" applyFont="1" applyBorder="1" applyAlignment="1" applyProtection="1">
      <alignment horizontal="left"/>
      <protection locked="0"/>
    </xf>
    <xf numFmtId="0" fontId="3" fillId="0" borderId="12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59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0" borderId="8" xfId="0" applyFont="1" applyBorder="1" applyAlignment="1" applyProtection="1">
      <alignment horizontal="right"/>
      <protection locked="0"/>
    </xf>
    <xf numFmtId="0" fontId="6" fillId="0" borderId="33" xfId="0" applyFont="1" applyBorder="1" applyAlignment="1" applyProtection="1">
      <alignment horizontal="right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66" fontId="3" fillId="24" borderId="40" xfId="3" applyFont="1" applyFill="1" applyBorder="1" applyAlignment="1" applyProtection="1">
      <alignment horizontal="center"/>
    </xf>
    <xf numFmtId="166" fontId="3" fillId="24" borderId="16" xfId="3" applyFont="1" applyFill="1" applyBorder="1" applyAlignment="1" applyProtection="1">
      <alignment horizontal="center"/>
    </xf>
    <xf numFmtId="166" fontId="3" fillId="0" borderId="40" xfId="3" applyFont="1" applyBorder="1" applyAlignment="1" applyProtection="1">
      <alignment horizontal="center"/>
    </xf>
    <xf numFmtId="166" fontId="3" fillId="0" borderId="15" xfId="3" applyFont="1" applyBorder="1" applyAlignment="1" applyProtection="1">
      <alignment horizontal="center"/>
    </xf>
    <xf numFmtId="166" fontId="3" fillId="0" borderId="16" xfId="3" applyFont="1" applyBorder="1" applyAlignment="1" applyProtection="1">
      <alignment horizontal="center"/>
    </xf>
    <xf numFmtId="0" fontId="3" fillId="0" borderId="57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left"/>
      <protection locked="0"/>
    </xf>
    <xf numFmtId="0" fontId="3" fillId="0" borderId="40" xfId="0" applyFont="1" applyBorder="1" applyAlignment="1" applyProtection="1">
      <alignment horizontal="left"/>
      <protection locked="0"/>
    </xf>
    <xf numFmtId="0" fontId="8" fillId="3" borderId="87" xfId="0" applyFont="1" applyFill="1" applyBorder="1" applyAlignment="1" applyProtection="1">
      <alignment horizontal="center" vertical="center"/>
      <protection locked="0"/>
    </xf>
    <xf numFmtId="0" fontId="8" fillId="3" borderId="88" xfId="0" applyFont="1" applyFill="1" applyBorder="1" applyAlignment="1" applyProtection="1">
      <alignment horizontal="center" vertical="center"/>
      <protection locked="0"/>
    </xf>
    <xf numFmtId="0" fontId="8" fillId="3" borderId="93" xfId="0" applyFont="1" applyFill="1" applyBorder="1" applyAlignment="1" applyProtection="1">
      <alignment horizontal="center" vertical="center"/>
      <protection locked="0"/>
    </xf>
    <xf numFmtId="166" fontId="8" fillId="3" borderId="87" xfId="3" applyFont="1" applyFill="1" applyBorder="1" applyAlignment="1" applyProtection="1">
      <alignment horizontal="center" vertical="center"/>
    </xf>
    <xf numFmtId="166" fontId="8" fillId="3" borderId="88" xfId="3" applyFont="1" applyFill="1" applyBorder="1" applyAlignment="1" applyProtection="1">
      <alignment horizontal="center" vertical="center"/>
    </xf>
    <xf numFmtId="166" fontId="8" fillId="3" borderId="93" xfId="3" applyFont="1" applyFill="1" applyBorder="1" applyAlignment="1" applyProtection="1">
      <alignment horizontal="center" vertical="center"/>
    </xf>
    <xf numFmtId="0" fontId="6" fillId="3" borderId="32" xfId="0" applyFont="1" applyFill="1" applyBorder="1" applyAlignment="1" applyProtection="1">
      <alignment horizontal="right"/>
      <protection locked="0"/>
    </xf>
    <xf numFmtId="0" fontId="6" fillId="3" borderId="34" xfId="0" applyFont="1" applyFill="1" applyBorder="1" applyAlignment="1" applyProtection="1">
      <alignment horizontal="right"/>
      <protection locked="0"/>
    </xf>
    <xf numFmtId="0" fontId="6" fillId="3" borderId="2" xfId="0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6" fontId="3" fillId="2" borderId="10" xfId="3" applyFont="1" applyFill="1" applyBorder="1" applyAlignment="1" applyProtection="1"/>
    <xf numFmtId="166" fontId="3" fillId="2" borderId="0" xfId="3" applyFont="1" applyFill="1" applyBorder="1" applyAlignment="1" applyProtection="1"/>
    <xf numFmtId="166" fontId="3" fillId="2" borderId="3" xfId="3" applyFont="1" applyFill="1" applyBorder="1" applyAlignment="1" applyProtection="1"/>
    <xf numFmtId="166" fontId="3" fillId="24" borderId="0" xfId="3" applyFont="1" applyFill="1" applyBorder="1" applyAlignment="1" applyProtection="1"/>
    <xf numFmtId="166" fontId="3" fillId="24" borderId="3" xfId="3" applyFont="1" applyFill="1" applyBorder="1" applyAlignment="1" applyProtection="1"/>
    <xf numFmtId="166" fontId="6" fillId="3" borderId="32" xfId="3" applyFont="1" applyFill="1" applyBorder="1" applyAlignment="1" applyProtection="1">
      <alignment horizontal="center"/>
    </xf>
    <xf numFmtId="166" fontId="6" fillId="3" borderId="34" xfId="3" applyFont="1" applyFill="1" applyBorder="1" applyAlignment="1" applyProtection="1">
      <alignment horizontal="center"/>
    </xf>
    <xf numFmtId="166" fontId="6" fillId="3" borderId="2" xfId="3" applyFont="1" applyFill="1" applyBorder="1" applyAlignment="1" applyProtection="1">
      <alignment horizontal="center"/>
    </xf>
    <xf numFmtId="166" fontId="6" fillId="24" borderId="32" xfId="3" applyFont="1" applyFill="1" applyBorder="1" applyAlignment="1" applyProtection="1">
      <alignment horizontal="center"/>
    </xf>
    <xf numFmtId="166" fontId="6" fillId="24" borderId="2" xfId="3" applyFont="1" applyFill="1" applyBorder="1" applyAlignment="1" applyProtection="1">
      <alignment horizontal="center"/>
    </xf>
    <xf numFmtId="166" fontId="16" fillId="24" borderId="5" xfId="3" applyFont="1" applyFill="1" applyBorder="1" applyAlignment="1" applyProtection="1">
      <alignment vertical="center"/>
      <protection locked="0"/>
    </xf>
    <xf numFmtId="166" fontId="16" fillId="24" borderId="109" xfId="3" applyFont="1" applyFill="1" applyBorder="1" applyAlignment="1" applyProtection="1">
      <alignment vertical="center"/>
      <protection locked="0"/>
    </xf>
    <xf numFmtId="166" fontId="16" fillId="24" borderId="9" xfId="3" applyFont="1" applyFill="1" applyBorder="1" applyAlignment="1" applyProtection="1">
      <alignment vertical="center"/>
      <protection locked="0"/>
    </xf>
    <xf numFmtId="166" fontId="16" fillId="24" borderId="110" xfId="3" applyFont="1" applyFill="1" applyBorder="1" applyAlignment="1" applyProtection="1">
      <alignment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6" fillId="3" borderId="105" xfId="0" applyFont="1" applyFill="1" applyBorder="1" applyAlignment="1" applyProtection="1">
      <alignment horizontal="center"/>
      <protection locked="0"/>
    </xf>
    <xf numFmtId="0" fontId="6" fillId="3" borderId="106" xfId="0" applyFont="1" applyFill="1" applyBorder="1" applyAlignment="1" applyProtection="1">
      <alignment horizontal="center"/>
      <protection locked="0"/>
    </xf>
    <xf numFmtId="0" fontId="6" fillId="0" borderId="183" xfId="0" applyFont="1" applyBorder="1" applyAlignment="1" applyProtection="1">
      <alignment horizontal="left"/>
      <protection locked="0"/>
    </xf>
    <xf numFmtId="0" fontId="6" fillId="0" borderId="184" xfId="0" applyFont="1" applyBorder="1" applyAlignment="1" applyProtection="1">
      <alignment horizontal="left"/>
      <protection locked="0"/>
    </xf>
    <xf numFmtId="0" fontId="6" fillId="0" borderId="185" xfId="0" applyFont="1" applyBorder="1" applyAlignment="1" applyProtection="1">
      <alignment horizontal="left"/>
      <protection locked="0"/>
    </xf>
    <xf numFmtId="166" fontId="3" fillId="24" borderId="13" xfId="3" applyFont="1" applyFill="1" applyBorder="1" applyAlignment="1" applyProtection="1">
      <alignment horizontal="center"/>
    </xf>
    <xf numFmtId="166" fontId="2" fillId="3" borderId="34" xfId="3" applyFont="1" applyFill="1" applyBorder="1" applyAlignment="1" applyProtection="1">
      <alignment horizontal="center"/>
    </xf>
    <xf numFmtId="166" fontId="2" fillId="3" borderId="2" xfId="3" applyFont="1" applyFill="1" applyBorder="1" applyAlignment="1" applyProtection="1">
      <alignment horizontal="center"/>
    </xf>
    <xf numFmtId="166" fontId="3" fillId="0" borderId="21" xfId="3" applyFont="1" applyBorder="1" applyAlignment="1" applyProtection="1">
      <alignment horizontal="center"/>
    </xf>
    <xf numFmtId="166" fontId="3" fillId="0" borderId="46" xfId="3" applyFont="1" applyBorder="1" applyAlignment="1" applyProtection="1">
      <alignment horizontal="center"/>
    </xf>
    <xf numFmtId="166" fontId="3" fillId="0" borderId="0" xfId="3" applyFont="1" applyBorder="1" applyAlignment="1" applyProtection="1">
      <alignment horizontal="center"/>
    </xf>
    <xf numFmtId="166" fontId="3" fillId="0" borderId="3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left" indent="1"/>
      <protection locked="0"/>
    </xf>
    <xf numFmtId="0" fontId="3" fillId="0" borderId="34" xfId="0" applyFont="1" applyBorder="1" applyAlignment="1" applyProtection="1">
      <alignment horizontal="left" indent="1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3" xfId="0" applyFont="1" applyBorder="1" applyAlignment="1" applyProtection="1">
      <alignment horizontal="left"/>
      <protection locked="0"/>
    </xf>
    <xf numFmtId="0" fontId="3" fillId="0" borderId="11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117" xfId="0" applyFont="1" applyBorder="1" applyAlignment="1">
      <alignment horizontal="center"/>
    </xf>
    <xf numFmtId="0" fontId="6" fillId="3" borderId="111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3" fillId="0" borderId="73" xfId="0" applyFont="1" applyBorder="1" applyAlignment="1" applyProtection="1">
      <alignment horizontal="left" vertical="top"/>
      <protection locked="0"/>
    </xf>
    <xf numFmtId="0" fontId="3" fillId="0" borderId="86" xfId="0" applyFont="1" applyBorder="1" applyAlignment="1" applyProtection="1">
      <alignment horizontal="left" vertical="top"/>
      <protection locked="0"/>
    </xf>
    <xf numFmtId="0" fontId="3" fillId="0" borderId="112" xfId="0" applyFont="1" applyBorder="1" applyAlignment="1" applyProtection="1">
      <alignment horizontal="left" vertical="top"/>
      <protection locked="0"/>
    </xf>
    <xf numFmtId="0" fontId="3" fillId="0" borderId="113" xfId="0" applyFont="1" applyBorder="1" applyAlignment="1" applyProtection="1">
      <alignment horizontal="left" vertical="top"/>
      <protection locked="0"/>
    </xf>
    <xf numFmtId="0" fontId="3" fillId="0" borderId="118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11" xfId="0" applyFont="1" applyBorder="1" applyAlignment="1" applyProtection="1">
      <alignment horizontal="center"/>
      <protection locked="0"/>
    </xf>
    <xf numFmtId="0" fontId="44" fillId="0" borderId="40" xfId="0" applyFont="1" applyBorder="1" applyAlignment="1" applyProtection="1">
      <alignment horizontal="left"/>
      <protection locked="0"/>
    </xf>
    <xf numFmtId="0" fontId="44" fillId="0" borderId="84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166" fontId="5" fillId="0" borderId="32" xfId="3" applyFont="1" applyFill="1" applyBorder="1" applyAlignment="1" applyProtection="1">
      <alignment horizontal="center"/>
      <protection locked="0"/>
    </xf>
    <xf numFmtId="166" fontId="5" fillId="0" borderId="34" xfId="3" applyFont="1" applyFill="1" applyBorder="1" applyAlignment="1" applyProtection="1">
      <alignment horizontal="center"/>
      <protection locked="0"/>
    </xf>
    <xf numFmtId="166" fontId="5" fillId="0" borderId="2" xfId="3" applyFont="1" applyFill="1" applyBorder="1" applyAlignment="1" applyProtection="1">
      <alignment horizontal="center"/>
      <protection locked="0"/>
    </xf>
    <xf numFmtId="0" fontId="3" fillId="0" borderId="119" xfId="0" applyFont="1" applyBorder="1" applyAlignment="1" applyProtection="1">
      <alignment horizontal="left" vertical="top"/>
      <protection locked="0"/>
    </xf>
    <xf numFmtId="0" fontId="3" fillId="0" borderId="121" xfId="0" applyFont="1" applyBorder="1" applyAlignment="1" applyProtection="1">
      <alignment horizontal="left" vertical="top"/>
      <protection locked="0"/>
    </xf>
    <xf numFmtId="166" fontId="3" fillId="3" borderId="32" xfId="3" applyFont="1" applyFill="1" applyBorder="1" applyAlignment="1" applyProtection="1">
      <alignment horizontal="center"/>
      <protection locked="0"/>
    </xf>
    <xf numFmtId="166" fontId="3" fillId="3" borderId="2" xfId="3" applyFont="1" applyFill="1" applyBorder="1" applyAlignment="1" applyProtection="1">
      <alignment horizontal="center"/>
      <protection locked="0"/>
    </xf>
    <xf numFmtId="49" fontId="8" fillId="24" borderId="87" xfId="0" applyNumberFormat="1" applyFont="1" applyFill="1" applyBorder="1" applyAlignment="1" applyProtection="1">
      <alignment horizontal="center"/>
      <protection locked="0"/>
    </xf>
    <xf numFmtId="49" fontId="8" fillId="24" borderId="93" xfId="0" applyNumberFormat="1" applyFont="1" applyFill="1" applyBorder="1" applyAlignment="1" applyProtection="1">
      <alignment horizontal="center"/>
      <protection locked="0"/>
    </xf>
    <xf numFmtId="172" fontId="5" fillId="0" borderId="9" xfId="0" applyNumberFormat="1" applyFont="1" applyBorder="1" applyAlignment="1" applyProtection="1">
      <alignment horizontal="center" vertical="center"/>
      <protection locked="0"/>
    </xf>
    <xf numFmtId="172" fontId="5" fillId="0" borderId="11" xfId="0" applyNumberFormat="1" applyFont="1" applyBorder="1" applyAlignment="1" applyProtection="1">
      <alignment horizontal="center" vertical="center"/>
      <protection locked="0"/>
    </xf>
    <xf numFmtId="172" fontId="5" fillId="0" borderId="2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3" fillId="0" borderId="182" xfId="0" applyFont="1" applyBorder="1" applyAlignment="1" applyProtection="1">
      <alignment horizontal="left" vertical="center"/>
      <protection locked="0"/>
    </xf>
    <xf numFmtId="0" fontId="3" fillId="0" borderId="13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09" xfId="0" applyFont="1" applyBorder="1" applyAlignment="1" applyProtection="1">
      <alignment horizontal="center" vertical="center" wrapText="1"/>
      <protection locked="0"/>
    </xf>
    <xf numFmtId="0" fontId="3" fillId="0" borderId="69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44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37" xfId="0" applyFont="1" applyBorder="1" applyAlignment="1" applyProtection="1">
      <alignment horizontal="left" indent="1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10" xfId="0" applyBorder="1" applyAlignment="1" applyProtection="1">
      <alignment horizontal="center"/>
      <protection locked="0"/>
    </xf>
    <xf numFmtId="0" fontId="3" fillId="0" borderId="57" xfId="0" applyFont="1" applyBorder="1" applyAlignment="1" applyProtection="1">
      <alignment horizontal="left" indent="1"/>
      <protection locked="0"/>
    </xf>
    <xf numFmtId="0" fontId="3" fillId="0" borderId="61" xfId="0" applyFont="1" applyBorder="1" applyAlignment="1" applyProtection="1">
      <alignment horizontal="left" indent="1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3" fillId="0" borderId="53" xfId="0" applyNumberFormat="1" applyFont="1" applyBorder="1" applyAlignment="1" applyProtection="1">
      <alignment horizontal="center"/>
      <protection locked="0"/>
    </xf>
    <xf numFmtId="49" fontId="3" fillId="0" borderId="20" xfId="0" applyNumberFormat="1" applyFont="1" applyBorder="1" applyAlignment="1" applyProtection="1">
      <alignment horizontal="center"/>
      <protection locked="0"/>
    </xf>
    <xf numFmtId="166" fontId="3" fillId="0" borderId="19" xfId="3" applyFont="1" applyBorder="1" applyAlignment="1" applyProtection="1">
      <alignment horizontal="center"/>
    </xf>
    <xf numFmtId="166" fontId="3" fillId="0" borderId="13" xfId="3" applyFont="1" applyBorder="1" applyAlignment="1" applyProtection="1">
      <alignment horizontal="center"/>
    </xf>
    <xf numFmtId="166" fontId="3" fillId="0" borderId="20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107" xfId="0" applyFont="1" applyBorder="1" applyAlignment="1" applyProtection="1">
      <alignment horizontal="left"/>
      <protection locked="0"/>
    </xf>
    <xf numFmtId="0" fontId="3" fillId="0" borderId="19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85" xfId="0" applyFont="1" applyBorder="1" applyProtection="1"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0" fontId="3" fillId="0" borderId="70" xfId="0" applyFont="1" applyBorder="1" applyAlignment="1" applyProtection="1">
      <alignment horizontal="left"/>
      <protection locked="0"/>
    </xf>
    <xf numFmtId="0" fontId="3" fillId="0" borderId="114" xfId="0" applyFont="1" applyBorder="1" applyAlignment="1" applyProtection="1">
      <alignment horizontal="center" vertical="center"/>
      <protection locked="0"/>
    </xf>
    <xf numFmtId="0" fontId="3" fillId="0" borderId="77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2" xfId="0" applyFont="1" applyBorder="1" applyAlignment="1" applyProtection="1">
      <alignment horizontal="left"/>
      <protection locked="0"/>
    </xf>
    <xf numFmtId="0" fontId="6" fillId="3" borderId="34" xfId="0" applyFont="1" applyFill="1" applyBorder="1" applyAlignment="1" applyProtection="1">
      <alignment horizontal="right" vertical="center"/>
      <protection locked="0"/>
    </xf>
    <xf numFmtId="166" fontId="3" fillId="0" borderId="36" xfId="3" applyFont="1" applyBorder="1" applyAlignment="1" applyProtection="1">
      <alignment horizontal="center"/>
    </xf>
    <xf numFmtId="166" fontId="3" fillId="0" borderId="71" xfId="3" applyFont="1" applyBorder="1" applyAlignment="1" applyProtection="1">
      <alignment horizontal="center"/>
    </xf>
    <xf numFmtId="166" fontId="3" fillId="0" borderId="92" xfId="3" applyFont="1" applyBorder="1" applyAlignment="1" applyProtection="1">
      <alignment horizontal="center"/>
    </xf>
    <xf numFmtId="166" fontId="3" fillId="0" borderId="77" xfId="3" applyFont="1" applyBorder="1" applyAlignment="1" applyProtection="1">
      <alignment horizontal="center"/>
    </xf>
    <xf numFmtId="166" fontId="3" fillId="0" borderId="10" xfId="3" applyFont="1" applyBorder="1" applyAlignment="1" applyProtection="1">
      <alignment horizontal="center"/>
    </xf>
    <xf numFmtId="166" fontId="2" fillId="3" borderId="32" xfId="3" applyFont="1" applyFill="1" applyBorder="1" applyAlignment="1" applyProtection="1">
      <alignment horizontal="center"/>
    </xf>
    <xf numFmtId="49" fontId="3" fillId="0" borderId="114" xfId="0" applyNumberFormat="1" applyFont="1" applyBorder="1" applyAlignment="1" applyProtection="1">
      <alignment horizontal="center"/>
      <protection locked="0"/>
    </xf>
    <xf numFmtId="49" fontId="3" fillId="0" borderId="77" xfId="0" applyNumberFormat="1" applyFont="1" applyBorder="1" applyAlignment="1" applyProtection="1">
      <alignment horizont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1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0" fontId="3" fillId="0" borderId="14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horizontal="center" vertical="center"/>
      <protection locked="0"/>
    </xf>
    <xf numFmtId="0" fontId="3" fillId="0" borderId="68" xfId="0" applyFont="1" applyBorder="1" applyAlignment="1" applyProtection="1">
      <alignment horizontal="center" vertical="center"/>
      <protection locked="0"/>
    </xf>
    <xf numFmtId="0" fontId="3" fillId="0" borderId="14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0" xfId="2" applyNumberFormat="1" applyFont="1" applyBorder="1" applyAlignment="1">
      <alignment horizontal="center"/>
    </xf>
    <xf numFmtId="0" fontId="3" fillId="0" borderId="16" xfId="2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9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2" fillId="0" borderId="5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9" fillId="3" borderId="32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5" fillId="3" borderId="34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44" fillId="0" borderId="22" xfId="0" applyFont="1" applyBorder="1" applyAlignment="1">
      <alignment horizontal="left"/>
    </xf>
    <xf numFmtId="0" fontId="44" fillId="0" borderId="23" xfId="0" applyFont="1" applyBorder="1" applyAlignment="1">
      <alignment horizontal="left"/>
    </xf>
    <xf numFmtId="0" fontId="22" fillId="0" borderId="23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5" fillId="0" borderId="105" xfId="0" applyFont="1" applyBorder="1" applyAlignment="1">
      <alignment horizontal="center"/>
    </xf>
    <xf numFmtId="0" fontId="5" fillId="0" borderId="123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3" fillId="0" borderId="40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0" fillId="0" borderId="32" xfId="0" applyFont="1" applyBorder="1" applyAlignment="1" applyProtection="1">
      <alignment horizontal="center"/>
      <protection locked="0"/>
    </xf>
    <xf numFmtId="0" fontId="20" fillId="0" borderId="34" xfId="0" applyFont="1" applyBorder="1" applyAlignment="1" applyProtection="1">
      <alignment horizontal="center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6" fillId="0" borderId="129" xfId="0" applyFont="1" applyBorder="1" applyAlignment="1" applyProtection="1">
      <alignment horizontal="center"/>
      <protection locked="0"/>
    </xf>
    <xf numFmtId="0" fontId="6" fillId="0" borderId="128" xfId="0" applyFont="1" applyBorder="1" applyAlignment="1" applyProtection="1">
      <alignment horizontal="center"/>
      <protection locked="0"/>
    </xf>
    <xf numFmtId="0" fontId="33" fillId="18" borderId="31" xfId="5" applyFont="1" applyFill="1" applyBorder="1" applyAlignment="1">
      <alignment horizontal="center" vertical="center" textRotation="90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31" xfId="5" applyFont="1" applyFill="1" applyBorder="1" applyAlignment="1">
      <alignment horizontal="center" vertical="center" textRotation="90" wrapText="1"/>
    </xf>
    <xf numFmtId="0" fontId="42" fillId="18" borderId="1" xfId="5" applyFont="1" applyFill="1" applyBorder="1" applyAlignment="1">
      <alignment horizontal="center" vertical="center" textRotation="90" wrapText="1"/>
    </xf>
    <xf numFmtId="0" fontId="43" fillId="0" borderId="143" xfId="5" applyFont="1" applyBorder="1" applyAlignment="1">
      <alignment horizontal="center" vertical="center"/>
    </xf>
    <xf numFmtId="0" fontId="35" fillId="18" borderId="6" xfId="5" applyFont="1" applyFill="1" applyBorder="1" applyAlignment="1">
      <alignment horizontal="center" vertical="center" textRotation="90"/>
    </xf>
    <xf numFmtId="0" fontId="35" fillId="18" borderId="7" xfId="5" applyFont="1" applyFill="1" applyBorder="1" applyAlignment="1">
      <alignment horizontal="center" vertical="center" textRotation="90"/>
    </xf>
    <xf numFmtId="0" fontId="35" fillId="18" borderId="31" xfId="5" applyFont="1" applyFill="1" applyBorder="1" applyAlignment="1">
      <alignment horizontal="center" vertical="center" textRotation="90"/>
    </xf>
    <xf numFmtId="0" fontId="35" fillId="0" borderId="34" xfId="5" applyFont="1" applyBorder="1" applyAlignment="1">
      <alignment horizontal="center" vertical="center" textRotation="90"/>
    </xf>
    <xf numFmtId="0" fontId="42" fillId="0" borderId="34" xfId="5" applyFont="1" applyBorder="1" applyAlignment="1">
      <alignment horizontal="center" vertical="center" textRotation="90" wrapText="1"/>
    </xf>
    <xf numFmtId="0" fontId="1" fillId="0" borderId="143" xfId="5" applyBorder="1" applyAlignment="1">
      <alignment horizontal="center"/>
    </xf>
    <xf numFmtId="0" fontId="37" fillId="0" borderId="143" xfId="5" applyFont="1" applyBorder="1" applyAlignment="1">
      <alignment horizontal="center" vertical="center" wrapText="1"/>
    </xf>
    <xf numFmtId="0" fontId="37" fillId="18" borderId="6" xfId="5" applyFont="1" applyFill="1" applyBorder="1" applyAlignment="1">
      <alignment horizontal="center" vertical="center" textRotation="90" wrapText="1"/>
    </xf>
    <xf numFmtId="0" fontId="33" fillId="18" borderId="6" xfId="5" applyFont="1" applyFill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5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2" fillId="0" borderId="5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19" xfId="0" applyFont="1" applyBorder="1" applyAlignment="1">
      <alignment horizontal="left" vertical="top"/>
    </xf>
    <xf numFmtId="0" fontId="0" fillId="0" borderId="120" xfId="0" applyBorder="1" applyAlignment="1">
      <alignment horizontal="left" vertical="top"/>
    </xf>
    <xf numFmtId="0" fontId="0" fillId="3" borderId="88" xfId="0" applyFill="1" applyBorder="1" applyAlignment="1">
      <alignment horizontal="left"/>
    </xf>
    <xf numFmtId="0" fontId="0" fillId="3" borderId="93" xfId="0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0" fillId="0" borderId="112" xfId="0" applyBorder="1" applyAlignment="1">
      <alignment horizontal="left" vertical="top"/>
    </xf>
    <xf numFmtId="0" fontId="8" fillId="3" borderId="32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8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167" fontId="2" fillId="0" borderId="56" xfId="2" applyFont="1" applyBorder="1" applyAlignment="1">
      <alignment horizontal="center"/>
    </xf>
    <xf numFmtId="167" fontId="2" fillId="0" borderId="14" xfId="2" applyFont="1" applyBorder="1" applyAlignment="1">
      <alignment horizontal="center"/>
    </xf>
    <xf numFmtId="1" fontId="2" fillId="0" borderId="56" xfId="0" applyNumberFormat="1" applyFont="1" applyBorder="1" applyAlignment="1">
      <alignment horizontal="center"/>
    </xf>
    <xf numFmtId="1" fontId="2" fillId="0" borderId="68" xfId="0" applyNumberFormat="1" applyFont="1" applyBorder="1" applyAlignment="1">
      <alignment horizontal="center"/>
    </xf>
    <xf numFmtId="2" fontId="2" fillId="0" borderId="56" xfId="0" applyNumberFormat="1" applyFont="1" applyBorder="1" applyAlignment="1">
      <alignment horizontal="center"/>
    </xf>
    <xf numFmtId="2" fontId="2" fillId="0" borderId="68" xfId="0" applyNumberFormat="1" applyFont="1" applyBorder="1" applyAlignment="1">
      <alignment horizontal="center"/>
    </xf>
    <xf numFmtId="0" fontId="2" fillId="0" borderId="4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54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3" borderId="88" xfId="0" applyFont="1" applyFill="1" applyBorder="1" applyAlignment="1">
      <alignment horizontal="left"/>
    </xf>
    <xf numFmtId="0" fontId="2" fillId="3" borderId="93" xfId="0" applyFont="1" applyFill="1" applyBorder="1" applyAlignment="1">
      <alignment horizontal="left"/>
    </xf>
    <xf numFmtId="0" fontId="6" fillId="3" borderId="87" xfId="0" applyFont="1" applyFill="1" applyBorder="1" applyAlignment="1">
      <alignment horizontal="center"/>
    </xf>
    <xf numFmtId="0" fontId="6" fillId="3" borderId="88" xfId="0" applyFont="1" applyFill="1" applyBorder="1" applyAlignment="1">
      <alignment horizontal="center"/>
    </xf>
    <xf numFmtId="0" fontId="2" fillId="0" borderId="6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108" xfId="0" applyFont="1" applyBorder="1" applyAlignment="1">
      <alignment horizontal="left"/>
    </xf>
    <xf numFmtId="0" fontId="2" fillId="0" borderId="70" xfId="0" applyFont="1" applyBorder="1" applyAlignment="1">
      <alignment horizontal="left"/>
    </xf>
    <xf numFmtId="0" fontId="8" fillId="3" borderId="32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49" fontId="30" fillId="0" borderId="103" xfId="0" applyNumberFormat="1" applyFont="1" applyBorder="1" applyAlignment="1">
      <alignment horizontal="center"/>
    </xf>
    <xf numFmtId="49" fontId="30" fillId="0" borderId="131" xfId="0" applyNumberFormat="1" applyFont="1" applyBorder="1" applyAlignment="1">
      <alignment horizontal="center"/>
    </xf>
    <xf numFmtId="49" fontId="30" fillId="0" borderId="132" xfId="0" applyNumberFormat="1" applyFont="1" applyBorder="1" applyAlignment="1">
      <alignment horizontal="center"/>
    </xf>
    <xf numFmtId="49" fontId="30" fillId="0" borderId="102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49" fontId="30" fillId="0" borderId="99" xfId="0" applyNumberFormat="1" applyFont="1" applyBorder="1" applyAlignment="1">
      <alignment horizontal="center"/>
    </xf>
    <xf numFmtId="0" fontId="18" fillId="0" borderId="88" xfId="1" applyBorder="1" applyAlignment="1" applyProtection="1">
      <alignment horizontal="center"/>
    </xf>
    <xf numFmtId="0" fontId="0" fillId="0" borderId="88" xfId="0" applyBorder="1" applyAlignment="1">
      <alignment horizontal="center"/>
    </xf>
    <xf numFmtId="0" fontId="0" fillId="0" borderId="124" xfId="0" applyBorder="1" applyAlignment="1">
      <alignment horizontal="center"/>
    </xf>
    <xf numFmtId="49" fontId="5" fillId="0" borderId="128" xfId="0" applyNumberFormat="1" applyFont="1" applyBorder="1" applyAlignment="1">
      <alignment horizontal="left" vertical="center"/>
    </xf>
    <xf numFmtId="49" fontId="5" fillId="0" borderId="34" xfId="0" applyNumberFormat="1" applyFont="1" applyBorder="1" applyAlignment="1">
      <alignment horizontal="left" vertical="center"/>
    </xf>
    <xf numFmtId="49" fontId="5" fillId="0" borderId="129" xfId="0" applyNumberFormat="1" applyFont="1" applyBorder="1" applyAlignment="1">
      <alignment horizontal="left" vertical="center"/>
    </xf>
    <xf numFmtId="0" fontId="0" fillId="0" borderId="101" xfId="0" applyBorder="1" applyAlignment="1" applyProtection="1">
      <alignment horizontal="center"/>
      <protection locked="0"/>
    </xf>
    <xf numFmtId="0" fontId="0" fillId="0" borderId="130" xfId="0" applyBorder="1" applyAlignment="1" applyProtection="1">
      <alignment horizontal="center"/>
      <protection locked="0"/>
    </xf>
    <xf numFmtId="0" fontId="0" fillId="0" borderId="103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3" xfId="0" applyBorder="1" applyAlignment="1">
      <alignment horizontal="center"/>
    </xf>
    <xf numFmtId="0" fontId="0" fillId="0" borderId="132" xfId="0" applyBorder="1" applyAlignment="1">
      <alignment horizontal="center"/>
    </xf>
    <xf numFmtId="0" fontId="18" fillId="0" borderId="9" xfId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49" fontId="3" fillId="0" borderId="87" xfId="0" applyNumberFormat="1" applyFont="1" applyBorder="1" applyAlignment="1" applyProtection="1">
      <alignment horizontal="left" vertical="center"/>
      <protection locked="0"/>
    </xf>
    <xf numFmtId="49" fontId="3" fillId="0" borderId="88" xfId="0" applyNumberFormat="1" applyFont="1" applyBorder="1" applyAlignment="1" applyProtection="1">
      <alignment horizontal="left" vertical="center"/>
      <protection locked="0"/>
    </xf>
    <xf numFmtId="49" fontId="3" fillId="0" borderId="93" xfId="0" applyNumberFormat="1" applyFont="1" applyBorder="1" applyAlignment="1" applyProtection="1">
      <alignment horizontal="left" vertical="center"/>
      <protection locked="0"/>
    </xf>
    <xf numFmtId="49" fontId="3" fillId="0" borderId="128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29" xfId="0" applyNumberFormat="1" applyFont="1" applyBorder="1" applyAlignment="1" applyProtection="1">
      <alignment horizontal="left" vertical="center"/>
      <protection locked="0"/>
    </xf>
    <xf numFmtId="49" fontId="3" fillId="0" borderId="125" xfId="0" applyNumberFormat="1" applyFont="1" applyBorder="1" applyAlignment="1" applyProtection="1">
      <alignment horizontal="left" vertical="center"/>
      <protection locked="0"/>
    </xf>
    <xf numFmtId="49" fontId="3" fillId="0" borderId="126" xfId="0" applyNumberFormat="1" applyFont="1" applyBorder="1" applyAlignment="1" applyProtection="1">
      <alignment horizontal="left" vertical="center"/>
      <protection locked="0"/>
    </xf>
    <xf numFmtId="49" fontId="3" fillId="0" borderId="127" xfId="0" applyNumberFormat="1" applyFont="1" applyBorder="1" applyAlignment="1" applyProtection="1">
      <alignment horizontal="left" vertical="center"/>
      <protection locked="0"/>
    </xf>
    <xf numFmtId="49" fontId="29" fillId="0" borderId="102" xfId="0" applyNumberFormat="1" applyFont="1" applyBorder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99" xfId="0" applyNumberFormat="1" applyFont="1" applyBorder="1" applyAlignment="1">
      <alignment horizontal="center"/>
    </xf>
    <xf numFmtId="49" fontId="3" fillId="0" borderId="136" xfId="0" applyNumberFormat="1" applyFont="1" applyBorder="1" applyAlignment="1" applyProtection="1">
      <alignment horizontal="left"/>
      <protection locked="0"/>
    </xf>
    <xf numFmtId="49" fontId="3" fillId="0" borderId="88" xfId="0" applyNumberFormat="1" applyFont="1" applyBorder="1" applyAlignment="1" applyProtection="1">
      <alignment horizontal="left"/>
      <protection locked="0"/>
    </xf>
    <xf numFmtId="49" fontId="3" fillId="0" borderId="93" xfId="0" applyNumberFormat="1" applyFont="1" applyBorder="1" applyAlignment="1" applyProtection="1">
      <alignment horizontal="left"/>
      <protection locked="0"/>
    </xf>
    <xf numFmtId="49" fontId="3" fillId="0" borderId="125" xfId="0" applyNumberFormat="1" applyFont="1" applyBorder="1" applyAlignment="1" applyProtection="1">
      <alignment horizontal="left"/>
      <protection locked="0"/>
    </xf>
    <xf numFmtId="49" fontId="3" fillId="0" borderId="126" xfId="0" applyNumberFormat="1" applyFont="1" applyBorder="1" applyAlignment="1" applyProtection="1">
      <alignment horizontal="left"/>
      <protection locked="0"/>
    </xf>
    <xf numFmtId="49" fontId="3" fillId="0" borderId="127" xfId="0" applyNumberFormat="1" applyFont="1" applyBorder="1" applyAlignment="1" applyProtection="1">
      <alignment horizontal="left"/>
      <protection locked="0"/>
    </xf>
    <xf numFmtId="0" fontId="29" fillId="0" borderId="134" xfId="0" applyFont="1" applyBorder="1" applyAlignment="1">
      <alignment horizontal="center" vertical="center"/>
    </xf>
    <xf numFmtId="0" fontId="29" fillId="0" borderId="134" xfId="0" applyFont="1" applyBorder="1" applyAlignment="1" applyProtection="1">
      <alignment horizontal="center" vertical="center"/>
      <protection locked="0"/>
    </xf>
    <xf numFmtId="0" fontId="18" fillId="0" borderId="88" xfId="1" applyBorder="1" applyAlignment="1" applyProtection="1">
      <alignment horizontal="center"/>
      <protection locked="0"/>
    </xf>
    <xf numFmtId="0" fontId="0" fillId="0" borderId="88" xfId="0" applyBorder="1" applyAlignment="1" applyProtection="1">
      <alignment horizontal="center"/>
      <protection locked="0"/>
    </xf>
    <xf numFmtId="0" fontId="0" fillId="0" borderId="124" xfId="0" applyBorder="1" applyAlignment="1" applyProtection="1">
      <alignment horizontal="center"/>
      <protection locked="0"/>
    </xf>
    <xf numFmtId="0" fontId="0" fillId="0" borderId="10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134" xfId="0" applyBorder="1" applyAlignment="1" applyProtection="1">
      <alignment horizontal="center" vertical="center"/>
      <protection locked="0"/>
    </xf>
    <xf numFmtId="0" fontId="18" fillId="0" borderId="9" xfId="1" applyBorder="1" applyAlignment="1" applyProtection="1">
      <alignment horizontal="center"/>
      <protection locked="0"/>
    </xf>
    <xf numFmtId="0" fontId="0" fillId="0" borderId="133" xfId="0" applyBorder="1" applyAlignment="1" applyProtection="1">
      <alignment horizontal="center"/>
      <protection locked="0"/>
    </xf>
    <xf numFmtId="0" fontId="18" fillId="0" borderId="101" xfId="1" applyBorder="1" applyAlignment="1" applyProtection="1">
      <alignment horizontal="center"/>
      <protection locked="0"/>
    </xf>
    <xf numFmtId="0" fontId="0" fillId="0" borderId="103" xfId="0" applyBorder="1" applyAlignment="1" applyProtection="1">
      <alignment horizontal="center" vertical="center"/>
      <protection locked="0"/>
    </xf>
    <xf numFmtId="0" fontId="0" fillId="0" borderId="131" xfId="0" applyBorder="1" applyAlignment="1" applyProtection="1">
      <alignment horizontal="center" vertical="center"/>
      <protection locked="0"/>
    </xf>
    <xf numFmtId="0" fontId="0" fillId="0" borderId="132" xfId="0" applyBorder="1" applyAlignment="1" applyProtection="1">
      <alignment horizontal="center" vertical="center"/>
      <protection locked="0"/>
    </xf>
    <xf numFmtId="0" fontId="0" fillId="0" borderId="99" xfId="0" applyBorder="1" applyAlignment="1" applyProtection="1">
      <alignment horizontal="center" vertical="center"/>
      <protection locked="0"/>
    </xf>
    <xf numFmtId="0" fontId="0" fillId="0" borderId="103" xfId="0" applyBorder="1" applyAlignment="1" applyProtection="1">
      <alignment horizontal="center"/>
      <protection locked="0"/>
    </xf>
    <xf numFmtId="0" fontId="0" fillId="0" borderId="132" xfId="0" applyBorder="1" applyAlignment="1" applyProtection="1">
      <alignment horizont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3" fillId="0" borderId="159" xfId="6" applyFont="1" applyBorder="1" applyAlignment="1" applyProtection="1">
      <alignment horizontal="left" vertical="center"/>
      <protection locked="0"/>
    </xf>
    <xf numFmtId="0" fontId="3" fillId="0" borderId="13" xfId="6" applyFont="1" applyBorder="1" applyAlignment="1" applyProtection="1">
      <alignment horizontal="left" vertical="center"/>
      <protection locked="0"/>
    </xf>
    <xf numFmtId="0" fontId="3" fillId="0" borderId="160" xfId="6" applyFont="1" applyBorder="1" applyAlignment="1" applyProtection="1">
      <alignment horizontal="left" vertical="center"/>
      <protection locked="0"/>
    </xf>
    <xf numFmtId="0" fontId="3" fillId="0" borderId="170" xfId="6" applyFont="1" applyBorder="1" applyAlignment="1" applyProtection="1">
      <alignment horizontal="left" vertical="center"/>
      <protection locked="0"/>
    </xf>
    <xf numFmtId="0" fontId="3" fillId="0" borderId="171" xfId="6" applyFont="1" applyBorder="1" applyAlignment="1" applyProtection="1">
      <alignment horizontal="left" vertical="center"/>
      <protection locked="0"/>
    </xf>
    <xf numFmtId="0" fontId="3" fillId="0" borderId="175" xfId="6" applyFont="1" applyBorder="1" applyAlignment="1" applyProtection="1">
      <alignment horizontal="left" vertical="center"/>
      <protection locked="0"/>
    </xf>
    <xf numFmtId="0" fontId="6" fillId="3" borderId="125" xfId="6" applyFont="1" applyFill="1" applyBorder="1" applyAlignment="1" applyProtection="1">
      <alignment horizontal="center" vertical="center"/>
      <protection locked="0"/>
    </xf>
    <xf numFmtId="0" fontId="6" fillId="3" borderId="126" xfId="6" applyFont="1" applyFill="1" applyBorder="1" applyAlignment="1" applyProtection="1">
      <alignment horizontal="center" vertical="center"/>
      <protection locked="0"/>
    </xf>
    <xf numFmtId="0" fontId="6" fillId="3" borderId="127" xfId="6" applyFont="1" applyFill="1" applyBorder="1" applyAlignment="1" applyProtection="1">
      <alignment horizontal="center" vertical="center"/>
      <protection locked="0"/>
    </xf>
    <xf numFmtId="0" fontId="3" fillId="0" borderId="156" xfId="6" applyFont="1" applyBorder="1" applyAlignment="1" applyProtection="1">
      <alignment horizontal="left"/>
      <protection locked="0"/>
    </xf>
    <xf numFmtId="0" fontId="3" fillId="0" borderId="15" xfId="6" applyFont="1" applyBorder="1" applyAlignment="1" applyProtection="1">
      <alignment horizontal="left"/>
      <protection locked="0"/>
    </xf>
    <xf numFmtId="0" fontId="3" fillId="0" borderId="158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 vertical="center"/>
      <protection locked="0"/>
    </xf>
    <xf numFmtId="0" fontId="3" fillId="0" borderId="19" xfId="6" applyFont="1" applyBorder="1" applyAlignment="1" applyProtection="1">
      <alignment horizontal="left" vertical="center"/>
      <protection locked="0"/>
    </xf>
    <xf numFmtId="0" fontId="3" fillId="0" borderId="172" xfId="6" applyFont="1" applyBorder="1" applyAlignment="1" applyProtection="1">
      <alignment horizontal="left" vertical="center"/>
      <protection locked="0"/>
    </xf>
    <xf numFmtId="0" fontId="3" fillId="0" borderId="174" xfId="6" applyFont="1" applyBorder="1" applyAlignment="1" applyProtection="1">
      <alignment horizontal="left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148" xfId="6" applyFont="1" applyBorder="1" applyAlignment="1" applyProtection="1">
      <alignment horizontal="center" vertical="center"/>
      <protection locked="0"/>
    </xf>
    <xf numFmtId="0" fontId="3" fillId="0" borderId="23" xfId="6" applyFont="1" applyBorder="1" applyAlignment="1" applyProtection="1">
      <alignment horizontal="left" vertical="center"/>
      <protection locked="0"/>
    </xf>
    <xf numFmtId="0" fontId="3" fillId="0" borderId="177" xfId="6" applyFont="1" applyBorder="1" applyAlignment="1" applyProtection="1">
      <alignment horizontal="left" vertical="center"/>
      <protection locked="0"/>
    </xf>
    <xf numFmtId="0" fontId="3" fillId="0" borderId="29" xfId="6" applyFont="1" applyBorder="1" applyAlignment="1" applyProtection="1">
      <alignment horizontal="left" vertical="center"/>
      <protection locked="0"/>
    </xf>
    <xf numFmtId="0" fontId="3" fillId="0" borderId="179" xfId="6" applyFont="1" applyBorder="1" applyAlignment="1" applyProtection="1">
      <alignment horizontal="left" vertical="center"/>
      <protection locked="0"/>
    </xf>
    <xf numFmtId="0" fontId="3" fillId="0" borderId="128" xfId="6" applyFont="1" applyBorder="1" applyAlignment="1" applyProtection="1">
      <alignment horizontal="center" vertical="center"/>
      <protection locked="0"/>
    </xf>
    <xf numFmtId="0" fontId="3" fillId="0" borderId="34" xfId="6" applyFont="1" applyBorder="1" applyAlignment="1" applyProtection="1">
      <alignment horizontal="center" vertical="center"/>
      <protection locked="0"/>
    </xf>
    <xf numFmtId="0" fontId="3" fillId="0" borderId="129" xfId="6" applyFont="1" applyBorder="1" applyAlignment="1" applyProtection="1">
      <alignment horizontal="center" vertical="center"/>
      <protection locked="0"/>
    </xf>
    <xf numFmtId="0" fontId="2" fillId="0" borderId="102" xfId="6" applyBorder="1" applyAlignment="1">
      <alignment horizontal="center"/>
    </xf>
    <xf numFmtId="0" fontId="2" fillId="0" borderId="99" xfId="6" applyBorder="1" applyAlignment="1">
      <alignment horizontal="center"/>
    </xf>
    <xf numFmtId="0" fontId="2" fillId="19" borderId="102" xfId="6" applyFill="1" applyBorder="1" applyAlignment="1">
      <alignment horizontal="center"/>
    </xf>
    <xf numFmtId="0" fontId="2" fillId="19" borderId="99" xfId="6" applyFill="1" applyBorder="1" applyAlignment="1">
      <alignment horizontal="center"/>
    </xf>
    <xf numFmtId="0" fontId="3" fillId="0" borderId="159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/>
      <protection locked="0"/>
    </xf>
    <xf numFmtId="0" fontId="2" fillId="21" borderId="94" xfId="6" applyFill="1" applyBorder="1" applyAlignment="1">
      <alignment horizontal="center"/>
    </xf>
    <xf numFmtId="0" fontId="2" fillId="21" borderId="95" xfId="6" applyFill="1" applyBorder="1" applyAlignment="1">
      <alignment horizontal="center"/>
    </xf>
    <xf numFmtId="0" fontId="3" fillId="0" borderId="94" xfId="6" applyFont="1" applyBorder="1" applyAlignment="1" applyProtection="1">
      <alignment horizontal="left"/>
      <protection locked="0"/>
    </xf>
    <xf numFmtId="0" fontId="3" fillId="0" borderId="155" xfId="6" applyFont="1" applyBorder="1" applyAlignment="1" applyProtection="1">
      <alignment horizontal="left"/>
      <protection locked="0"/>
    </xf>
    <xf numFmtId="0" fontId="2" fillId="0" borderId="128" xfId="6" applyBorder="1" applyAlignment="1">
      <alignment horizontal="center"/>
    </xf>
    <xf numFmtId="0" fontId="2" fillId="0" borderId="129" xfId="6" applyBorder="1" applyAlignment="1">
      <alignment horizontal="center"/>
    </xf>
    <xf numFmtId="0" fontId="3" fillId="0" borderId="2" xfId="6" applyFont="1" applyBorder="1" applyAlignment="1" applyProtection="1">
      <alignment horizontal="center" vertical="center"/>
      <protection locked="0"/>
    </xf>
    <xf numFmtId="0" fontId="2" fillId="20" borderId="166" xfId="6" applyFill="1" applyBorder="1" applyAlignment="1">
      <alignment horizontal="center"/>
    </xf>
    <xf numFmtId="0" fontId="2" fillId="20" borderId="148" xfId="6" applyFill="1" applyBorder="1" applyAlignment="1">
      <alignment horizontal="center"/>
    </xf>
    <xf numFmtId="0" fontId="3" fillId="0" borderId="16" xfId="6" applyFont="1" applyBorder="1" applyAlignment="1" applyProtection="1">
      <alignment horizontal="left"/>
      <protection locked="0"/>
    </xf>
    <xf numFmtId="0" fontId="2" fillId="12" borderId="102" xfId="6" applyFill="1" applyBorder="1" applyAlignment="1">
      <alignment horizontal="center"/>
    </xf>
    <xf numFmtId="0" fontId="2" fillId="12" borderId="99" xfId="6" applyFill="1" applyBorder="1" applyAlignment="1">
      <alignment horizontal="center"/>
    </xf>
    <xf numFmtId="0" fontId="3" fillId="0" borderId="102" xfId="6" applyFont="1" applyBorder="1" applyAlignment="1" applyProtection="1">
      <alignment horizontal="left"/>
      <protection locked="0"/>
    </xf>
    <xf numFmtId="0" fontId="3" fillId="0" borderId="3" xfId="6" applyFont="1" applyBorder="1" applyAlignment="1" applyProtection="1">
      <alignment horizontal="left"/>
      <protection locked="0"/>
    </xf>
    <xf numFmtId="0" fontId="5" fillId="0" borderId="154" xfId="6" applyFont="1" applyBorder="1" applyAlignment="1" applyProtection="1">
      <alignment horizontal="center" vertical="center"/>
      <protection locked="0"/>
    </xf>
    <xf numFmtId="0" fontId="5" fillId="0" borderId="150" xfId="6" applyFont="1" applyBorder="1" applyAlignment="1" applyProtection="1">
      <alignment horizontal="center" vertical="center"/>
      <protection locked="0"/>
    </xf>
    <xf numFmtId="169" fontId="3" fillId="0" borderId="100" xfId="2" applyNumberFormat="1" applyFont="1" applyFill="1" applyBorder="1" applyAlignment="1" applyProtection="1">
      <alignment horizontal="center" vertical="center"/>
    </xf>
    <xf numFmtId="169" fontId="3" fillId="0" borderId="130" xfId="2" applyNumberFormat="1" applyFont="1" applyFill="1" applyBorder="1" applyAlignment="1" applyProtection="1">
      <alignment horizontal="center" vertic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6" fillId="11" borderId="103" xfId="6" applyFont="1" applyFill="1" applyBorder="1" applyAlignment="1">
      <alignment horizontal="center"/>
    </xf>
    <xf numFmtId="0" fontId="6" fillId="11" borderId="132" xfId="6" applyFont="1" applyFill="1" applyBorder="1" applyAlignment="1">
      <alignment horizontal="center"/>
    </xf>
    <xf numFmtId="0" fontId="3" fillId="12" borderId="159" xfId="6" applyFont="1" applyFill="1" applyBorder="1" applyAlignment="1" applyProtection="1">
      <alignment horizontal="center"/>
      <protection locked="0"/>
    </xf>
    <xf numFmtId="0" fontId="3" fillId="12" borderId="20" xfId="6" applyFont="1" applyFill="1" applyBorder="1" applyAlignment="1" applyProtection="1">
      <alignment horizontal="center"/>
      <protection locked="0"/>
    </xf>
    <xf numFmtId="0" fontId="3" fillId="0" borderId="159" xfId="6" applyFont="1" applyBorder="1" applyAlignment="1" applyProtection="1">
      <alignment horizontal="center"/>
      <protection locked="0"/>
    </xf>
    <xf numFmtId="0" fontId="3" fillId="0" borderId="13" xfId="6" applyFont="1" applyBorder="1" applyAlignment="1" applyProtection="1">
      <alignment horizontal="center"/>
      <protection locked="0"/>
    </xf>
    <xf numFmtId="0" fontId="3" fillId="0" borderId="19" xfId="6" applyFont="1" applyBorder="1" applyAlignment="1" applyProtection="1">
      <alignment horizontal="center" vertical="center"/>
      <protection locked="0"/>
    </xf>
    <xf numFmtId="0" fontId="3" fillId="0" borderId="160" xfId="6" applyFont="1" applyBorder="1" applyAlignment="1" applyProtection="1">
      <alignment horizontal="center" vertical="center"/>
      <protection locked="0"/>
    </xf>
    <xf numFmtId="0" fontId="3" fillId="0" borderId="162" xfId="6" applyFont="1" applyBorder="1" applyAlignment="1" applyProtection="1">
      <alignment horizontal="center"/>
      <protection locked="0"/>
    </xf>
    <xf numFmtId="0" fontId="3" fillId="0" borderId="92" xfId="6" applyFont="1" applyBorder="1" applyAlignment="1" applyProtection="1">
      <alignment horizontal="center"/>
      <protection locked="0"/>
    </xf>
    <xf numFmtId="0" fontId="3" fillId="0" borderId="21" xfId="6" applyFont="1" applyBorder="1" applyAlignment="1" applyProtection="1">
      <alignment horizontal="center" vertical="center"/>
      <protection locked="0"/>
    </xf>
    <xf numFmtId="0" fontId="3" fillId="0" borderId="163" xfId="6" applyFont="1" applyBorder="1" applyAlignment="1" applyProtection="1">
      <alignment horizontal="center" vertical="center"/>
      <protection locked="0"/>
    </xf>
    <xf numFmtId="0" fontId="3" fillId="20" borderId="159" xfId="6" applyFont="1" applyFill="1" applyBorder="1" applyAlignment="1" applyProtection="1">
      <alignment horizontal="center"/>
      <protection locked="0"/>
    </xf>
    <xf numFmtId="0" fontId="3" fillId="20" borderId="20" xfId="6" applyFont="1" applyFill="1" applyBorder="1" applyAlignment="1" applyProtection="1">
      <alignment horizontal="center"/>
      <protection locked="0"/>
    </xf>
    <xf numFmtId="0" fontId="3" fillId="20" borderId="13" xfId="6" applyFont="1" applyFill="1" applyBorder="1" applyAlignment="1" applyProtection="1">
      <alignment horizontal="center" vertical="center"/>
      <protection locked="0"/>
    </xf>
    <xf numFmtId="0" fontId="3" fillId="20" borderId="160" xfId="6" applyFont="1" applyFill="1" applyBorder="1" applyAlignment="1" applyProtection="1">
      <alignment horizontal="center" vertical="center"/>
      <protection locked="0"/>
    </xf>
    <xf numFmtId="0" fontId="3" fillId="20" borderId="156" xfId="6" applyFont="1" applyFill="1" applyBorder="1" applyAlignment="1" applyProtection="1">
      <alignment horizontal="center"/>
      <protection locked="0"/>
    </xf>
    <xf numFmtId="0" fontId="3" fillId="20" borderId="16" xfId="6" applyFont="1" applyFill="1" applyBorder="1" applyAlignment="1" applyProtection="1">
      <alignment horizontal="center"/>
      <protection locked="0"/>
    </xf>
    <xf numFmtId="0" fontId="3" fillId="21" borderId="156" xfId="6" applyFont="1" applyFill="1" applyBorder="1" applyAlignment="1" applyProtection="1">
      <alignment horizontal="center"/>
      <protection locked="0"/>
    </xf>
    <xf numFmtId="0" fontId="3" fillId="21" borderId="16" xfId="6" applyFont="1" applyFill="1" applyBorder="1" applyAlignment="1" applyProtection="1">
      <alignment horizontal="center"/>
      <protection locked="0"/>
    </xf>
    <xf numFmtId="0" fontId="3" fillId="21" borderId="15" xfId="6" applyFont="1" applyFill="1" applyBorder="1" applyAlignment="1" applyProtection="1">
      <alignment horizontal="center" vertical="center"/>
      <protection locked="0"/>
    </xf>
    <xf numFmtId="0" fontId="3" fillId="21" borderId="158" xfId="6" applyFont="1" applyFill="1" applyBorder="1" applyAlignment="1" applyProtection="1">
      <alignment horizontal="center" vertical="center"/>
      <protection locked="0"/>
    </xf>
    <xf numFmtId="0" fontId="6" fillId="11" borderId="87" xfId="6" applyFont="1" applyFill="1" applyBorder="1" applyAlignment="1">
      <alignment horizontal="center"/>
    </xf>
    <xf numFmtId="0" fontId="6" fillId="11" borderId="88" xfId="6" applyFont="1" applyFill="1" applyBorder="1" applyAlignment="1">
      <alignment horizontal="center"/>
    </xf>
    <xf numFmtId="0" fontId="6" fillId="11" borderId="93" xfId="6" applyFont="1" applyFill="1" applyBorder="1" applyAlignment="1">
      <alignment horizontal="center"/>
    </xf>
    <xf numFmtId="0" fontId="3" fillId="0" borderId="128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129" xfId="6" applyFont="1" applyBorder="1" applyAlignment="1">
      <alignment horizontal="left" vertical="center"/>
    </xf>
    <xf numFmtId="0" fontId="5" fillId="0" borderId="128" xfId="6" applyFont="1" applyBorder="1" applyAlignment="1">
      <alignment horizontal="left"/>
    </xf>
    <xf numFmtId="0" fontId="5" fillId="0" borderId="34" xfId="6" applyFont="1" applyBorder="1" applyAlignment="1">
      <alignment horizontal="left"/>
    </xf>
    <xf numFmtId="0" fontId="5" fillId="0" borderId="129" xfId="6" applyFont="1" applyBorder="1" applyAlignment="1">
      <alignment horizontal="left"/>
    </xf>
    <xf numFmtId="0" fontId="3" fillId="0" borderId="154" xfId="6" applyFont="1" applyBorder="1" applyAlignment="1">
      <alignment horizontal="left" vertical="center"/>
    </xf>
    <xf numFmtId="0" fontId="3" fillId="0" borderId="101" xfId="6" applyFont="1" applyBorder="1" applyAlignment="1">
      <alignment horizontal="left" vertical="center"/>
    </xf>
    <xf numFmtId="0" fontId="3" fillId="0" borderId="130" xfId="6" applyFont="1" applyBorder="1" applyAlignment="1">
      <alignment horizontal="left" vertical="center"/>
    </xf>
    <xf numFmtId="0" fontId="3" fillId="19" borderId="128" xfId="6" applyFont="1" applyFill="1" applyBorder="1" applyAlignment="1">
      <alignment horizontal="left" vertical="center"/>
    </xf>
    <xf numFmtId="0" fontId="3" fillId="19" borderId="34" xfId="6" applyFont="1" applyFill="1" applyBorder="1" applyAlignment="1">
      <alignment horizontal="left" vertical="center"/>
    </xf>
    <xf numFmtId="0" fontId="3" fillId="19" borderId="129" xfId="6" applyFont="1" applyFill="1" applyBorder="1" applyAlignment="1">
      <alignment horizontal="left" vertical="center"/>
    </xf>
    <xf numFmtId="0" fontId="5" fillId="19" borderId="34" xfId="6" applyFont="1" applyFill="1" applyBorder="1" applyAlignment="1">
      <alignment horizontal="left" vertical="center"/>
    </xf>
    <xf numFmtId="0" fontId="5" fillId="19" borderId="129" xfId="6" applyFont="1" applyFill="1" applyBorder="1" applyAlignment="1">
      <alignment horizontal="left" vertical="center"/>
    </xf>
    <xf numFmtId="0" fontId="3" fillId="20" borderId="128" xfId="6" applyFont="1" applyFill="1" applyBorder="1" applyAlignment="1">
      <alignment horizontal="left" vertical="center"/>
    </xf>
    <xf numFmtId="0" fontId="3" fillId="20" borderId="34" xfId="6" applyFont="1" applyFill="1" applyBorder="1" applyAlignment="1">
      <alignment horizontal="left" vertical="center"/>
    </xf>
    <xf numFmtId="0" fontId="3" fillId="20" borderId="129" xfId="6" applyFont="1" applyFill="1" applyBorder="1" applyAlignment="1">
      <alignment horizontal="left" vertical="center"/>
    </xf>
    <xf numFmtId="0" fontId="5" fillId="20" borderId="128" xfId="6" applyFont="1" applyFill="1" applyBorder="1" applyAlignment="1">
      <alignment horizontal="left" vertical="center"/>
    </xf>
    <xf numFmtId="0" fontId="5" fillId="20" borderId="34" xfId="6" applyFont="1" applyFill="1" applyBorder="1" applyAlignment="1">
      <alignment horizontal="left" vertical="center"/>
    </xf>
    <xf numFmtId="0" fontId="5" fillId="20" borderId="129" xfId="6" applyFont="1" applyFill="1" applyBorder="1" applyAlignment="1">
      <alignment horizontal="left" vertical="center"/>
    </xf>
    <xf numFmtId="0" fontId="3" fillId="14" borderId="128" xfId="6" applyFont="1" applyFill="1" applyBorder="1" applyAlignment="1">
      <alignment horizontal="left" vertical="center"/>
    </xf>
    <xf numFmtId="0" fontId="3" fillId="14" borderId="34" xfId="6" applyFont="1" applyFill="1" applyBorder="1" applyAlignment="1">
      <alignment horizontal="left" vertical="center"/>
    </xf>
    <xf numFmtId="0" fontId="3" fillId="14" borderId="129" xfId="6" applyFont="1" applyFill="1" applyBorder="1" applyAlignment="1">
      <alignment horizontal="left" vertical="center"/>
    </xf>
    <xf numFmtId="0" fontId="5" fillId="14" borderId="128" xfId="6" applyFont="1" applyFill="1" applyBorder="1" applyAlignment="1">
      <alignment horizontal="left" vertical="center"/>
    </xf>
    <xf numFmtId="0" fontId="5" fillId="14" borderId="34" xfId="6" applyFont="1" applyFill="1" applyBorder="1" applyAlignment="1">
      <alignment horizontal="left" vertical="center"/>
    </xf>
    <xf numFmtId="0" fontId="5" fillId="14" borderId="129" xfId="6" applyFont="1" applyFill="1" applyBorder="1" applyAlignment="1">
      <alignment horizontal="left" vertical="center"/>
    </xf>
    <xf numFmtId="49" fontId="6" fillId="11" borderId="87" xfId="6" applyNumberFormat="1" applyFont="1" applyFill="1" applyBorder="1" applyAlignment="1">
      <alignment horizontal="center"/>
    </xf>
    <xf numFmtId="49" fontId="6" fillId="11" borderId="88" xfId="6" applyNumberFormat="1" applyFont="1" applyFill="1" applyBorder="1" applyAlignment="1">
      <alignment horizontal="center"/>
    </xf>
    <xf numFmtId="49" fontId="6" fillId="11" borderId="93" xfId="6" applyNumberFormat="1" applyFont="1" applyFill="1" applyBorder="1" applyAlignment="1">
      <alignment horizontal="center"/>
    </xf>
    <xf numFmtId="0" fontId="5" fillId="0" borderId="125" xfId="6" applyFont="1" applyBorder="1" applyAlignment="1">
      <alignment horizontal="left" vertical="center"/>
    </xf>
    <xf numFmtId="0" fontId="5" fillId="0" borderId="126" xfId="6" applyFont="1" applyBorder="1" applyAlignment="1">
      <alignment horizontal="left" vertical="center"/>
    </xf>
    <xf numFmtId="0" fontId="5" fillId="0" borderId="127" xfId="6" applyFont="1" applyBorder="1" applyAlignment="1">
      <alignment horizontal="left" vertic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2" fillId="0" borderId="94" xfId="6" applyBorder="1" applyAlignment="1">
      <alignment horizontal="center" vertical="center"/>
    </xf>
    <xf numFmtId="0" fontId="2" fillId="0" borderId="134" xfId="6" applyBorder="1" applyAlignment="1">
      <alignment horizontal="center" vertical="center"/>
    </xf>
    <xf numFmtId="0" fontId="18" fillId="0" borderId="152" xfId="1" applyBorder="1" applyAlignment="1" applyProtection="1">
      <alignment horizontal="center" vertical="center"/>
    </xf>
    <xf numFmtId="0" fontId="2" fillId="0" borderId="126" xfId="6" applyBorder="1" applyAlignment="1">
      <alignment horizontal="center" vertical="center"/>
    </xf>
    <xf numFmtId="0" fontId="2" fillId="0" borderId="127" xfId="6" applyBorder="1" applyAlignment="1">
      <alignment horizontal="center" vertical="center"/>
    </xf>
    <xf numFmtId="0" fontId="2" fillId="0" borderId="101" xfId="6" applyBorder="1" applyAlignment="1">
      <alignment horizontal="left" vertical="center"/>
    </xf>
    <xf numFmtId="0" fontId="2" fillId="0" borderId="101" xfId="6" applyBorder="1" applyAlignment="1">
      <alignment horizontal="left"/>
    </xf>
    <xf numFmtId="0" fontId="2" fillId="0" borderId="130" xfId="6" applyBorder="1" applyAlignment="1">
      <alignment horizontal="left"/>
    </xf>
    <xf numFmtId="0" fontId="8" fillId="0" borderId="87" xfId="6" applyFont="1" applyBorder="1" applyAlignment="1">
      <alignment horizontal="center" vertical="center"/>
    </xf>
    <xf numFmtId="0" fontId="8" fillId="0" borderId="88" xfId="6" applyFont="1" applyBorder="1" applyAlignment="1">
      <alignment horizontal="center" vertical="center"/>
    </xf>
    <xf numFmtId="0" fontId="8" fillId="0" borderId="124" xfId="6" applyFont="1" applyBorder="1" applyAlignment="1">
      <alignment horizontal="center" vertical="center"/>
    </xf>
    <xf numFmtId="0" fontId="8" fillId="0" borderId="136" xfId="6" applyFont="1" applyBorder="1" applyAlignment="1">
      <alignment horizontal="center" vertical="center"/>
    </xf>
    <xf numFmtId="0" fontId="8" fillId="0" borderId="93" xfId="6" applyFont="1" applyBorder="1" applyAlignment="1">
      <alignment horizontal="center" vertical="center"/>
    </xf>
    <xf numFmtId="0" fontId="29" fillId="0" borderId="103" xfId="6" applyFont="1" applyBorder="1" applyAlignment="1">
      <alignment horizontal="center" vertical="center"/>
    </xf>
    <xf numFmtId="0" fontId="29" fillId="0" borderId="131" xfId="6" applyFont="1" applyBorder="1" applyAlignment="1">
      <alignment horizontal="center" vertical="center"/>
    </xf>
    <xf numFmtId="0" fontId="29" fillId="0" borderId="132" xfId="6" applyFont="1" applyBorder="1" applyAlignment="1">
      <alignment horizontal="center" vertical="center"/>
    </xf>
    <xf numFmtId="0" fontId="2" fillId="0" borderId="145" xfId="1" applyFont="1" applyBorder="1" applyAlignment="1" applyProtection="1">
      <alignment horizontal="center" vertical="center"/>
    </xf>
    <xf numFmtId="0" fontId="2" fillId="0" borderId="145" xfId="6" applyBorder="1" applyAlignment="1">
      <alignment horizontal="center" vertical="center"/>
    </xf>
    <xf numFmtId="0" fontId="2" fillId="0" borderId="146" xfId="6" applyBorder="1" applyAlignment="1">
      <alignment horizontal="center" vertical="center"/>
    </xf>
    <xf numFmtId="0" fontId="2" fillId="0" borderId="32" xfId="1" applyFont="1" applyFill="1" applyBorder="1" applyAlignment="1" applyProtection="1">
      <alignment horizontal="left" vertical="center"/>
    </xf>
    <xf numFmtId="0" fontId="2" fillId="0" borderId="34" xfId="1" applyFont="1" applyFill="1" applyBorder="1" applyAlignment="1" applyProtection="1">
      <alignment horizontal="left" vertical="center"/>
    </xf>
    <xf numFmtId="0" fontId="2" fillId="0" borderId="2" xfId="1" applyFont="1" applyFill="1" applyBorder="1" applyAlignment="1" applyProtection="1">
      <alignment horizontal="left" vertical="center"/>
    </xf>
    <xf numFmtId="0" fontId="2" fillId="0" borderId="5" xfId="1" applyFont="1" applyBorder="1" applyAlignment="1" applyProtection="1">
      <alignment horizontal="left" vertical="center"/>
    </xf>
    <xf numFmtId="0" fontId="2" fillId="0" borderId="8" xfId="1" applyFont="1" applyBorder="1" applyAlignment="1" applyProtection="1">
      <alignment horizontal="left" vertical="center"/>
    </xf>
    <xf numFmtId="0" fontId="2" fillId="0" borderId="148" xfId="1" applyFont="1" applyBorder="1" applyAlignment="1" applyProtection="1">
      <alignment horizontal="left" vertical="center"/>
    </xf>
    <xf numFmtId="0" fontId="2" fillId="0" borderId="100" xfId="1" applyFont="1" applyBorder="1" applyAlignment="1" applyProtection="1">
      <alignment horizontal="left" vertical="center"/>
    </xf>
    <xf numFmtId="0" fontId="2" fillId="0" borderId="101" xfId="1" applyFont="1" applyBorder="1" applyAlignment="1" applyProtection="1">
      <alignment horizontal="left" vertical="center"/>
    </xf>
    <xf numFmtId="0" fontId="2" fillId="0" borderId="150" xfId="1" applyFont="1" applyBorder="1" applyAlignment="1" applyProtection="1">
      <alignment horizontal="left" vertical="center"/>
    </xf>
    <xf numFmtId="0" fontId="2" fillId="0" borderId="130" xfId="1" applyFont="1" applyBorder="1" applyAlignment="1" applyProtection="1">
      <alignment horizontal="left" vertical="center"/>
    </xf>
    <xf numFmtId="0" fontId="2" fillId="0" borderId="132" xfId="6" applyBorder="1" applyAlignment="1">
      <alignment horizontal="center" vertical="center"/>
    </xf>
    <xf numFmtId="0" fontId="2" fillId="0" borderId="95" xfId="6" applyBorder="1" applyAlignment="1">
      <alignment horizontal="center" vertical="center"/>
    </xf>
    <xf numFmtId="0" fontId="2" fillId="0" borderId="103" xfId="6" applyBorder="1" applyAlignment="1">
      <alignment horizontal="center"/>
    </xf>
    <xf numFmtId="0" fontId="2" fillId="0" borderId="132" xfId="6" applyBorder="1" applyAlignment="1">
      <alignment horizontal="center"/>
    </xf>
    <xf numFmtId="0" fontId="3" fillId="0" borderId="156" xfId="6" applyFont="1" applyBorder="1" applyAlignment="1" applyProtection="1">
      <alignment horizontal="left" vertical="center"/>
      <protection locked="0"/>
    </xf>
    <xf numFmtId="0" fontId="3" fillId="0" borderId="15" xfId="6" applyFont="1" applyBorder="1" applyAlignment="1" applyProtection="1">
      <alignment horizontal="left" vertical="center"/>
      <protection locked="0"/>
    </xf>
    <xf numFmtId="0" fontId="3" fillId="0" borderId="158" xfId="6" applyFont="1" applyBorder="1" applyAlignment="1" applyProtection="1">
      <alignment horizontal="left" vertical="center"/>
      <protection locked="0"/>
    </xf>
    <xf numFmtId="0" fontId="2" fillId="0" borderId="94" xfId="6" applyBorder="1" applyAlignment="1" applyProtection="1">
      <alignment horizontal="left" vertical="center"/>
      <protection locked="0"/>
    </xf>
    <xf numFmtId="0" fontId="2" fillId="0" borderId="134" xfId="6" applyBorder="1" applyAlignment="1" applyProtection="1">
      <alignment horizontal="left" vertical="center"/>
      <protection locked="0"/>
    </xf>
    <xf numFmtId="0" fontId="2" fillId="0" borderId="95" xfId="6" applyBorder="1" applyAlignment="1" applyProtection="1">
      <alignment horizontal="left" vertical="center"/>
      <protection locked="0"/>
    </xf>
    <xf numFmtId="0" fontId="3" fillId="0" borderId="45" xfId="6" applyFont="1" applyBorder="1" applyAlignment="1" applyProtection="1">
      <alignment horizontal="left" vertical="center"/>
      <protection locked="0"/>
    </xf>
    <xf numFmtId="0" fontId="3" fillId="0" borderId="181" xfId="6" applyFont="1" applyBorder="1" applyAlignment="1" applyProtection="1">
      <alignment horizontal="left" vertical="center"/>
      <protection locked="0"/>
    </xf>
    <xf numFmtId="0" fontId="49" fillId="18" borderId="32" xfId="7" applyFont="1" applyFill="1" applyBorder="1" applyAlignment="1">
      <alignment horizontal="left" vertical="center"/>
    </xf>
    <xf numFmtId="0" fontId="49" fillId="18" borderId="34" xfId="7" applyFont="1" applyFill="1" applyBorder="1" applyAlignment="1">
      <alignment horizontal="left" vertical="center"/>
    </xf>
    <xf numFmtId="0" fontId="49" fillId="18" borderId="111" xfId="7" applyFont="1" applyFill="1" applyBorder="1" applyAlignment="1">
      <alignment horizontal="left" vertical="center"/>
    </xf>
    <xf numFmtId="49" fontId="49" fillId="0" borderId="32" xfId="7" applyNumberFormat="1" applyFont="1" applyBorder="1" applyAlignment="1">
      <alignment horizontal="left" vertical="center"/>
    </xf>
    <xf numFmtId="49" fontId="49" fillId="0" borderId="34" xfId="7" applyNumberFormat="1" applyFont="1" applyBorder="1" applyAlignment="1">
      <alignment horizontal="left" vertical="center"/>
    </xf>
    <xf numFmtId="49" fontId="49" fillId="0" borderId="129" xfId="7" applyNumberFormat="1" applyFont="1" applyBorder="1" applyAlignment="1">
      <alignment horizontal="left" vertical="center"/>
    </xf>
    <xf numFmtId="0" fontId="45" fillId="22" borderId="197" xfId="7" applyFont="1" applyFill="1" applyBorder="1" applyAlignment="1">
      <alignment horizontal="center" vertical="center"/>
    </xf>
    <xf numFmtId="0" fontId="45" fillId="22" borderId="198" xfId="7" applyFont="1" applyFill="1" applyBorder="1" applyAlignment="1">
      <alignment horizontal="center" vertical="center"/>
    </xf>
    <xf numFmtId="0" fontId="45" fillId="22" borderId="199" xfId="7" applyFont="1" applyFill="1" applyBorder="1" applyAlignment="1">
      <alignment horizontal="center" vertical="center"/>
    </xf>
    <xf numFmtId="0" fontId="45" fillId="22" borderId="112" xfId="7" applyFont="1" applyFill="1" applyBorder="1" applyAlignment="1">
      <alignment horizontal="center" vertical="center"/>
    </xf>
    <xf numFmtId="0" fontId="45" fillId="22" borderId="0" xfId="7" applyFont="1" applyFill="1" applyAlignment="1">
      <alignment horizontal="center" vertical="center"/>
    </xf>
    <xf numFmtId="0" fontId="45" fillId="22" borderId="192" xfId="7" applyFont="1" applyFill="1" applyBorder="1" applyAlignment="1">
      <alignment horizontal="center" vertical="center"/>
    </xf>
    <xf numFmtId="0" fontId="45" fillId="22" borderId="120" xfId="7" applyFont="1" applyFill="1" applyBorder="1" applyAlignment="1">
      <alignment horizontal="center" vertical="center"/>
    </xf>
    <xf numFmtId="0" fontId="45" fillId="22" borderId="11" xfId="7" applyFont="1" applyFill="1" applyBorder="1" applyAlignment="1">
      <alignment horizontal="center" vertical="center"/>
    </xf>
    <xf numFmtId="0" fontId="45" fillId="22" borderId="110" xfId="7" applyFont="1" applyFill="1" applyBorder="1" applyAlignment="1">
      <alignment horizontal="center" vertical="center"/>
    </xf>
    <xf numFmtId="0" fontId="52" fillId="22" borderId="32" xfId="7" applyFill="1" applyBorder="1" applyAlignment="1">
      <alignment horizontal="left" vertical="center"/>
    </xf>
    <xf numFmtId="0" fontId="52" fillId="22" borderId="34" xfId="7" applyFill="1" applyBorder="1" applyAlignment="1">
      <alignment horizontal="left" vertical="center"/>
    </xf>
    <xf numFmtId="0" fontId="52" fillId="22" borderId="2" xfId="7" applyFill="1" applyBorder="1" applyAlignment="1">
      <alignment horizontal="left" vertical="center"/>
    </xf>
    <xf numFmtId="0" fontId="47" fillId="22" borderId="32" xfId="8" applyFill="1" applyBorder="1" applyAlignment="1">
      <alignment horizontal="center" vertical="center"/>
    </xf>
    <xf numFmtId="0" fontId="47" fillId="22" borderId="34" xfId="8" applyFill="1" applyBorder="1" applyAlignment="1">
      <alignment horizontal="center" vertical="center"/>
    </xf>
    <xf numFmtId="0" fontId="47" fillId="22" borderId="111" xfId="8" applyFill="1" applyBorder="1" applyAlignment="1">
      <alignment horizontal="center" vertical="center"/>
    </xf>
    <xf numFmtId="166" fontId="58" fillId="0" borderId="208" xfId="3" applyFont="1" applyBorder="1" applyAlignment="1">
      <alignment horizontal="right" vertical="center"/>
    </xf>
    <xf numFmtId="166" fontId="58" fillId="0" borderId="209" xfId="3" applyFont="1" applyBorder="1" applyAlignment="1">
      <alignment horizontal="right" vertical="center"/>
    </xf>
    <xf numFmtId="166" fontId="58" fillId="0" borderId="213" xfId="3" applyFont="1" applyBorder="1" applyAlignment="1">
      <alignment horizontal="right" vertical="center"/>
    </xf>
    <xf numFmtId="49" fontId="49" fillId="23" borderId="187" xfId="7" applyNumberFormat="1" applyFont="1" applyFill="1" applyBorder="1" applyAlignment="1">
      <alignment horizontal="center" vertical="center"/>
    </xf>
    <xf numFmtId="49" fontId="49" fillId="23" borderId="211" xfId="7" applyNumberFormat="1" applyFont="1" applyFill="1" applyBorder="1" applyAlignment="1">
      <alignment horizontal="center" vertical="center"/>
    </xf>
    <xf numFmtId="49" fontId="49" fillId="0" borderId="5" xfId="7" applyNumberFormat="1" applyFont="1" applyBorder="1" applyAlignment="1">
      <alignment horizontal="left" vertical="center"/>
    </xf>
    <xf numFmtId="49" fontId="49" fillId="0" borderId="8" xfId="7" applyNumberFormat="1" applyFont="1" applyBorder="1" applyAlignment="1">
      <alignment horizontal="left" vertical="center"/>
    </xf>
    <xf numFmtId="49" fontId="49" fillId="0" borderId="148" xfId="7" applyNumberFormat="1" applyFont="1" applyBorder="1" applyAlignment="1">
      <alignment horizontal="left" vertical="center"/>
    </xf>
    <xf numFmtId="0" fontId="49" fillId="18" borderId="194" xfId="7" applyFont="1" applyFill="1" applyBorder="1" applyAlignment="1">
      <alignment horizontal="left" vertical="center"/>
    </xf>
    <xf numFmtId="0" fontId="49" fillId="18" borderId="195" xfId="7" applyFont="1" applyFill="1" applyBorder="1" applyAlignment="1">
      <alignment horizontal="left" vertical="center"/>
    </xf>
    <xf numFmtId="0" fontId="49" fillId="18" borderId="196" xfId="7" applyFont="1" applyFill="1" applyBorder="1" applyAlignment="1">
      <alignment horizontal="left" vertical="center"/>
    </xf>
    <xf numFmtId="49" fontId="48" fillId="0" borderId="105" xfId="7" applyNumberFormat="1" applyFont="1" applyBorder="1" applyAlignment="1">
      <alignment horizontal="center" vertical="center"/>
    </xf>
    <xf numFmtId="49" fontId="48" fillId="0" borderId="123" xfId="7" applyNumberFormat="1" applyFont="1" applyBorder="1" applyAlignment="1">
      <alignment horizontal="center" vertical="center"/>
    </xf>
    <xf numFmtId="49" fontId="51" fillId="0" borderId="109" xfId="7" applyNumberFormat="1" applyFont="1" applyBorder="1" applyAlignment="1">
      <alignment horizontal="left" vertical="top"/>
    </xf>
    <xf numFmtId="49" fontId="51" fillId="0" borderId="192" xfId="7" applyNumberFormat="1" applyFont="1" applyBorder="1" applyAlignment="1">
      <alignment horizontal="left" vertical="top"/>
    </xf>
    <xf numFmtId="49" fontId="49" fillId="0" borderId="111" xfId="7" applyNumberFormat="1" applyFont="1" applyBorder="1" applyAlignment="1">
      <alignment horizontal="left" vertical="center"/>
    </xf>
    <xf numFmtId="49" fontId="49" fillId="0" borderId="210" xfId="7" applyNumberFormat="1" applyFont="1" applyBorder="1" applyAlignment="1">
      <alignment horizontal="center" vertical="center"/>
    </xf>
    <xf numFmtId="49" fontId="49" fillId="0" borderId="212" xfId="7" applyNumberFormat="1" applyFont="1" applyBorder="1" applyAlignment="1">
      <alignment horizontal="center" vertical="center"/>
    </xf>
    <xf numFmtId="49" fontId="49" fillId="0" borderId="214" xfId="7" applyNumberFormat="1" applyFont="1" applyBorder="1" applyAlignment="1">
      <alignment horizontal="center" vertical="center"/>
    </xf>
    <xf numFmtId="49" fontId="51" fillId="0" borderId="207" xfId="7" applyNumberFormat="1" applyFont="1" applyBorder="1" applyAlignment="1">
      <alignment horizontal="left" vertical="top"/>
    </xf>
    <xf numFmtId="49" fontId="49" fillId="0" borderId="11" xfId="7" applyNumberFormat="1" applyFont="1" applyBorder="1" applyAlignment="1">
      <alignment horizontal="left" vertical="center"/>
    </xf>
    <xf numFmtId="49" fontId="49" fillId="0" borderId="110" xfId="7" applyNumberFormat="1" applyFont="1" applyBorder="1" applyAlignment="1">
      <alignment horizontal="left" vertical="center"/>
    </xf>
    <xf numFmtId="49" fontId="49" fillId="0" borderId="194" xfId="7" applyNumberFormat="1" applyFont="1" applyBorder="1" applyAlignment="1">
      <alignment horizontal="left" vertical="center"/>
    </xf>
    <xf numFmtId="49" fontId="49" fillId="0" borderId="195" xfId="7" applyNumberFormat="1" applyFont="1" applyBorder="1" applyAlignment="1">
      <alignment horizontal="left" vertical="center"/>
    </xf>
    <xf numFmtId="49" fontId="49" fillId="0" borderId="196" xfId="7" applyNumberFormat="1" applyFont="1" applyBorder="1" applyAlignment="1">
      <alignment horizontal="left" vertical="center"/>
    </xf>
    <xf numFmtId="49" fontId="49" fillId="23" borderId="188" xfId="7" applyNumberFormat="1" applyFont="1" applyFill="1" applyBorder="1" applyAlignment="1">
      <alignment horizontal="center" vertical="center"/>
    </xf>
    <xf numFmtId="49" fontId="53" fillId="0" borderId="197" xfId="7" applyNumberFormat="1" applyFont="1" applyBorder="1" applyAlignment="1">
      <alignment horizontal="right" vertical="center"/>
    </xf>
    <xf numFmtId="49" fontId="53" fillId="0" borderId="198" xfId="7" applyNumberFormat="1" applyFont="1" applyBorder="1" applyAlignment="1">
      <alignment horizontal="right" vertical="center"/>
    </xf>
    <xf numFmtId="49" fontId="53" fillId="0" borderId="204" xfId="7" applyNumberFormat="1" applyFont="1" applyBorder="1" applyAlignment="1">
      <alignment horizontal="right" vertical="center"/>
    </xf>
    <xf numFmtId="49" fontId="53" fillId="0" borderId="205" xfId="7" applyNumberFormat="1" applyFont="1" applyBorder="1" applyAlignment="1">
      <alignment horizontal="right" vertical="center"/>
    </xf>
    <xf numFmtId="49" fontId="53" fillId="0" borderId="202" xfId="7" applyNumberFormat="1" applyFont="1" applyBorder="1" applyAlignment="1">
      <alignment horizontal="right" vertical="center"/>
    </xf>
    <xf numFmtId="49" fontId="53" fillId="0" borderId="206" xfId="7" applyNumberFormat="1" applyFont="1" applyBorder="1" applyAlignment="1">
      <alignment horizontal="right" vertical="center"/>
    </xf>
    <xf numFmtId="166" fontId="48" fillId="0" borderId="201" xfId="3" applyFont="1" applyBorder="1" applyAlignment="1">
      <alignment horizontal="right" vertical="center"/>
    </xf>
    <xf numFmtId="166" fontId="48" fillId="0" borderId="203" xfId="3" applyFont="1" applyBorder="1" applyAlignment="1">
      <alignment horizontal="right" vertical="center"/>
    </xf>
    <xf numFmtId="0" fontId="50" fillId="0" borderId="189" xfId="7" applyFont="1" applyBorder="1" applyAlignment="1">
      <alignment horizontal="center" vertical="center"/>
    </xf>
    <xf numFmtId="0" fontId="50" fillId="0" borderId="191" xfId="7" applyFont="1" applyBorder="1" applyAlignment="1">
      <alignment horizontal="center" vertical="center"/>
    </xf>
    <xf numFmtId="0" fontId="50" fillId="0" borderId="193" xfId="7" applyFont="1" applyBorder="1" applyAlignment="1">
      <alignment horizontal="center" vertical="center"/>
    </xf>
    <xf numFmtId="49" fontId="49" fillId="0" borderId="105" xfId="7" applyNumberFormat="1" applyFont="1" applyBorder="1" applyAlignment="1">
      <alignment horizontal="left" vertical="center"/>
    </xf>
    <xf numFmtId="49" fontId="49" fillId="0" borderId="123" xfId="7" applyNumberFormat="1" applyFont="1" applyBorder="1" applyAlignment="1">
      <alignment horizontal="left" vertical="center"/>
    </xf>
    <xf numFmtId="49" fontId="49" fillId="0" borderId="106" xfId="7" applyNumberFormat="1" applyFont="1" applyBorder="1" applyAlignment="1">
      <alignment horizontal="left" vertical="center"/>
    </xf>
    <xf numFmtId="49" fontId="57" fillId="0" borderId="197" xfId="7" applyNumberFormat="1" applyFont="1" applyBorder="1" applyAlignment="1">
      <alignment horizontal="center" vertical="center"/>
    </xf>
    <xf numFmtId="49" fontId="57" fillId="0" borderId="198" xfId="7" applyNumberFormat="1" applyFont="1" applyBorder="1" applyAlignment="1">
      <alignment horizontal="center" vertical="center"/>
    </xf>
    <xf numFmtId="49" fontId="57" fillId="0" borderId="199" xfId="7" applyNumberFormat="1" applyFont="1" applyBorder="1" applyAlignment="1">
      <alignment horizontal="center" vertical="center"/>
    </xf>
    <xf numFmtId="49" fontId="57" fillId="0" borderId="205" xfId="7" applyNumberFormat="1" applyFont="1" applyBorder="1" applyAlignment="1">
      <alignment horizontal="center" vertical="center"/>
    </xf>
    <xf numFmtId="49" fontId="57" fillId="0" borderId="202" xfId="7" applyNumberFormat="1" applyFont="1" applyBorder="1" applyAlignment="1">
      <alignment horizontal="center" vertical="center"/>
    </xf>
    <xf numFmtId="49" fontId="57" fillId="0" borderId="207" xfId="7" applyNumberFormat="1" applyFont="1" applyBorder="1" applyAlignment="1">
      <alignment horizontal="center" vertical="center"/>
    </xf>
    <xf numFmtId="49" fontId="49" fillId="0" borderId="32" xfId="7" applyNumberFormat="1" applyFont="1" applyBorder="1" applyAlignment="1">
      <alignment horizontal="center" vertical="center"/>
    </xf>
    <xf numFmtId="49" fontId="49" fillId="0" borderId="34" xfId="7" applyNumberFormat="1" applyFont="1" applyBorder="1" applyAlignment="1">
      <alignment horizontal="center" vertical="center"/>
    </xf>
    <xf numFmtId="49" fontId="49" fillId="0" borderId="111" xfId="7" applyNumberFormat="1" applyFont="1" applyBorder="1" applyAlignment="1">
      <alignment horizontal="center" vertical="center"/>
    </xf>
    <xf numFmtId="49" fontId="49" fillId="0" borderId="9" xfId="7" applyNumberFormat="1" applyFont="1" applyBorder="1" applyAlignment="1">
      <alignment horizontal="center" vertical="center"/>
    </xf>
    <xf numFmtId="49" fontId="49" fillId="0" borderId="11" xfId="7" applyNumberFormat="1" applyFont="1" applyBorder="1" applyAlignment="1">
      <alignment horizontal="center" vertical="center"/>
    </xf>
    <xf numFmtId="49" fontId="49" fillId="0" borderId="110" xfId="7" applyNumberFormat="1" applyFont="1" applyBorder="1" applyAlignment="1">
      <alignment horizontal="center" vertical="center"/>
    </xf>
    <xf numFmtId="0" fontId="52" fillId="22" borderId="197" xfId="7" applyFill="1" applyBorder="1" applyAlignment="1">
      <alignment horizontal="center"/>
    </xf>
    <xf numFmtId="0" fontId="52" fillId="22" borderId="198" xfId="7" applyFill="1" applyBorder="1" applyAlignment="1">
      <alignment horizontal="center"/>
    </xf>
    <xf numFmtId="0" fontId="52" fillId="22" borderId="199" xfId="7" applyFill="1" applyBorder="1" applyAlignment="1">
      <alignment horizontal="center"/>
    </xf>
    <xf numFmtId="0" fontId="52" fillId="22" borderId="112" xfId="7" applyFill="1" applyBorder="1" applyAlignment="1">
      <alignment horizontal="center"/>
    </xf>
    <xf numFmtId="0" fontId="52" fillId="22" borderId="0" xfId="7" applyFill="1" applyAlignment="1">
      <alignment horizontal="center"/>
    </xf>
    <xf numFmtId="0" fontId="52" fillId="22" borderId="192" xfId="7" applyFill="1" applyBorder="1" applyAlignment="1">
      <alignment horizontal="center"/>
    </xf>
    <xf numFmtId="0" fontId="47" fillId="22" borderId="1" xfId="8" applyFill="1" applyBorder="1" applyAlignment="1">
      <alignment horizontal="center" vertical="center"/>
    </xf>
    <xf numFmtId="0" fontId="52" fillId="22" borderId="1" xfId="7" applyFill="1" applyBorder="1" applyAlignment="1">
      <alignment horizontal="center" vertical="center"/>
    </xf>
    <xf numFmtId="0" fontId="52" fillId="22" borderId="37" xfId="7" applyFill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wrapText="1"/>
    </xf>
    <xf numFmtId="0" fontId="2" fillId="0" borderId="131" xfId="0" applyFont="1" applyBorder="1" applyAlignment="1">
      <alignment horizontal="center" vertical="center" wrapText="1"/>
    </xf>
    <xf numFmtId="0" fontId="2" fillId="0" borderId="132" xfId="0" applyFont="1" applyBorder="1" applyAlignment="1">
      <alignment horizontal="center" vertical="center" wrapText="1"/>
    </xf>
    <xf numFmtId="0" fontId="2" fillId="0" borderId="2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3" xfId="0" applyFont="1" applyBorder="1" applyAlignment="1">
      <alignment horizontal="center" vertical="center" wrapText="1"/>
    </xf>
  </cellXfs>
  <cellStyles count="9">
    <cellStyle name="Comma" xfId="2" builtinId="3"/>
    <cellStyle name="Currency" xfId="3" builtinId="4"/>
    <cellStyle name="Hyperlink" xfId="1" builtinId="8"/>
    <cellStyle name="Lien hypertexte 2" xfId="8"/>
    <cellStyle name="Normal" xfId="0" builtinId="0"/>
    <cellStyle name="Normal 2" xfId="5"/>
    <cellStyle name="Normal 3" xfId="6"/>
    <cellStyle name="Normal 4" xfId="7"/>
    <cellStyle name="Percent" xfId="4" builtinId="5"/>
  </cellStyles>
  <dxfs count="4"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168089</xdr:colOff>
      <xdr:row>9</xdr:row>
      <xdr:rowOff>100853</xdr:rowOff>
    </xdr:from>
    <xdr:to>
      <xdr:col>17</xdr:col>
      <xdr:colOff>625885</xdr:colOff>
      <xdr:row>43</xdr:row>
      <xdr:rowOff>83122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0F9373-ECE9-C73E-A139-3508B7CA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1618" y="1624853"/>
          <a:ext cx="4267796" cy="5439534"/>
        </a:xfrm>
        <a:prstGeom prst="rect">
          <a:avLst/>
        </a:prstGeom>
      </xdr:spPr>
    </xdr:pic>
    <xdr:clientData/>
  </xdr:twoCellAnchor>
  <xdr:twoCellAnchor editAs="oneCell">
    <xdr:from>
      <xdr:col>17</xdr:col>
      <xdr:colOff>605117</xdr:colOff>
      <xdr:row>9</xdr:row>
      <xdr:rowOff>123266</xdr:rowOff>
    </xdr:from>
    <xdr:to>
      <xdr:col>26</xdr:col>
      <xdr:colOff>691811</xdr:colOff>
      <xdr:row>40</xdr:row>
      <xdr:rowOff>147497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6CED69E-B996-3437-7A31-ACBE4024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8646" y="1647266"/>
          <a:ext cx="6944694" cy="5010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CD524520-3CD4-4309-AB84-840DAA3E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407503"/>
          <a:ext cx="2933762" cy="11722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31E8A3B5-2B05-4586-BF26-ACD1E417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350353"/>
          <a:ext cx="2933762" cy="1172235"/>
        </a:xfrm>
        <a:prstGeom prst="rect">
          <a:avLst/>
        </a:prstGeom>
      </xdr:spPr>
    </xdr:pic>
    <xdr:clientData/>
  </xdr:oneCellAnchor>
  <xdr:oneCellAnchor>
    <xdr:from>
      <xdr:col>4</xdr:col>
      <xdr:colOff>2117912</xdr:colOff>
      <xdr:row>1</xdr:row>
      <xdr:rowOff>33617</xdr:rowOff>
    </xdr:from>
    <xdr:ext cx="2843993" cy="1479177"/>
    <xdr:pic>
      <xdr:nvPicPr>
        <xdr:cNvPr id="3" name="Image 2">
          <a:extLst>
            <a:ext uri="{FF2B5EF4-FFF2-40B4-BE49-F238E27FC236}">
              <a16:creationId xmlns:a16="http://schemas.microsoft.com/office/drawing/2014/main" id="{3EEFF62A-ADF8-4773-9569-BD598392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6137" y="243167"/>
          <a:ext cx="2843993" cy="1479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743585</xdr:colOff>
      <xdr:row>66</xdr:row>
      <xdr:rowOff>124181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EB1303-F62A-63E6-2AAC-30699EEE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8175"/>
          <a:ext cx="4553585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6</xdr:col>
      <xdr:colOff>734165</xdr:colOff>
      <xdr:row>103</xdr:row>
      <xdr:rowOff>9843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731B24-16F3-8D77-4DE1-9316FCF43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11325"/>
          <a:ext cx="530616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117</xdr:row>
      <xdr:rowOff>57150</xdr:rowOff>
    </xdr:from>
    <xdr:to>
      <xdr:col>3</xdr:col>
      <xdr:colOff>57466</xdr:colOff>
      <xdr:row>123</xdr:row>
      <xdr:rowOff>66812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8B34EFE-9E08-F5A4-ABF5-20F546F4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9002375"/>
          <a:ext cx="2267266" cy="9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2</xdr:col>
      <xdr:colOff>76423</xdr:colOff>
      <xdr:row>135</xdr:row>
      <xdr:rowOff>66707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7FD2741-BDF6-C6CC-AA1E-8F2869948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697950"/>
          <a:ext cx="1600423" cy="228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4</xdr:col>
      <xdr:colOff>391005</xdr:colOff>
      <xdr:row>168</xdr:row>
      <xdr:rowOff>114926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9AA92C5-C1D6-E9F7-0CD2-330C6189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831425"/>
          <a:ext cx="3439005" cy="4486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229164</xdr:colOff>
      <xdr:row>219</xdr:row>
      <xdr:rowOff>29483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470F7A6-EF5F-DB22-B609-E05ADE5B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984575"/>
          <a:ext cx="4039164" cy="65064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andre Barbeau" id="{33667764-BD93-42BD-A87F-4BB8AD566168}" userId="S::A.Barbeau@ventilationjeanroy.com::2c4f41b1-6bab-41ac-b75f-a586ad9ef33d" providerId="AD"/>
</personList>
</file>

<file path=xl/tables/table1.xml><?xml version="1.0" encoding="utf-8"?>
<table xmlns="http://schemas.openxmlformats.org/spreadsheetml/2006/main" id="1" name="Ref_table_import" displayName="Ref_table_import" ref="A1:C24" totalsRowShown="0" headerRowDxfId="3">
  <autoFilter ref="A1:C24"/>
  <tableColumns count="3">
    <tableColumn id="1" name="CellNo" dataDxfId="2"/>
    <tableColumn id="2" name="Titre" dataDxfId="1"/>
    <tableColumn id="3" name="Valeur" dataDxfId="0">
      <calculatedColumnFormula>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2-18T19:40:54.63" personId="{33667764-BD93-42BD-A87F-4BB8AD566168}" id="{980D4A3B-A485-4CF1-B561-167414B1E7D1}">
    <text xml:space="preserve">Fuck off Ronnie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AC153"/>
  <sheetViews>
    <sheetView topLeftCell="A66" zoomScaleNormal="100" zoomScaleSheetLayoutView="100" workbookViewId="0">
      <selection activeCell="Q81" sqref="Q81"/>
    </sheetView>
  </sheetViews>
  <sheetFormatPr defaultColWidth="11.44140625" defaultRowHeight="13.2" x14ac:dyDescent="0.25"/>
  <cols>
    <col min="1" max="1" width="13.33203125" style="191" customWidth="1"/>
    <col min="2" max="2" width="6.44140625" style="191" customWidth="1"/>
    <col min="3" max="3" width="15.6640625" style="191" customWidth="1"/>
    <col min="4" max="4" width="9.33203125" style="191" customWidth="1"/>
    <col min="5" max="5" width="6.5546875" style="201" customWidth="1"/>
    <col min="6" max="6" width="4.88671875" style="191" customWidth="1"/>
    <col min="7" max="7" width="7.109375" style="191" customWidth="1"/>
    <col min="8" max="8" width="10.6640625" style="211" customWidth="1"/>
    <col min="9" max="11" width="10.6640625" style="191" customWidth="1"/>
    <col min="12" max="12" width="17.109375" style="191" customWidth="1"/>
    <col min="13" max="13" width="9.44140625" style="191" customWidth="1"/>
    <col min="14" max="14" width="8.5546875" style="191" customWidth="1"/>
    <col min="15" max="15" width="11.6640625" style="191" customWidth="1"/>
    <col min="16" max="16" width="5.6640625" style="191" customWidth="1"/>
    <col min="17" max="17" width="11.6640625" style="191" customWidth="1"/>
    <col min="18" max="18" width="9.6640625" style="191" customWidth="1"/>
    <col min="19" max="19" width="5.6640625" style="201" customWidth="1"/>
    <col min="20" max="20" width="4" style="201" customWidth="1"/>
    <col min="21" max="21" width="5.44140625" style="201" customWidth="1"/>
    <col min="22" max="22" width="13.109375" style="201" customWidth="1"/>
    <col min="23" max="23" width="11.44140625" style="191"/>
    <col min="24" max="24" width="27" style="191" customWidth="1"/>
    <col min="25" max="25" width="5.5546875" style="191" customWidth="1"/>
    <col min="26" max="26" width="14.6640625" style="191" customWidth="1"/>
    <col min="27" max="27" width="15" style="191" customWidth="1"/>
    <col min="28" max="16384" width="11.44140625" style="191"/>
  </cols>
  <sheetData>
    <row r="1" spans="1:27" ht="16.2" thickBot="1" x14ac:dyDescent="0.35">
      <c r="A1" s="798" t="s">
        <v>0</v>
      </c>
      <c r="B1" s="802"/>
      <c r="C1" s="803"/>
      <c r="D1" s="803"/>
      <c r="E1" s="803"/>
      <c r="F1" s="803"/>
      <c r="G1" s="804"/>
      <c r="H1" s="187" t="s">
        <v>1</v>
      </c>
      <c r="I1" s="793"/>
      <c r="J1" s="794"/>
      <c r="K1" s="188" t="s">
        <v>2</v>
      </c>
      <c r="L1" s="189" t="s">
        <v>0</v>
      </c>
      <c r="M1" s="808" t="str">
        <f>IF(B1="","",B1)</f>
        <v/>
      </c>
      <c r="N1" s="809"/>
      <c r="O1" s="809"/>
      <c r="P1" s="809"/>
      <c r="Q1" s="810"/>
      <c r="R1" s="815" t="s">
        <v>1</v>
      </c>
      <c r="S1" s="816"/>
      <c r="T1" s="817" t="str">
        <f>IF(I1="","",I1)</f>
        <v/>
      </c>
      <c r="U1" s="818"/>
      <c r="V1" s="190" t="s">
        <v>3</v>
      </c>
    </row>
    <row r="2" spans="1:27" ht="13.5" customHeight="1" x14ac:dyDescent="0.25">
      <c r="A2" s="799"/>
      <c r="B2" s="805"/>
      <c r="C2" s="806"/>
      <c r="D2" s="806"/>
      <c r="E2" s="806"/>
      <c r="F2" s="806"/>
      <c r="G2" s="807"/>
      <c r="H2" s="192" t="s">
        <v>4</v>
      </c>
      <c r="I2" s="795"/>
      <c r="J2" s="796"/>
      <c r="K2" s="797"/>
      <c r="L2" s="698" t="s">
        <v>5</v>
      </c>
      <c r="M2" s="699"/>
      <c r="N2" s="699"/>
      <c r="O2" s="699"/>
      <c r="P2" s="699"/>
      <c r="Q2" s="699"/>
      <c r="R2" s="699"/>
      <c r="S2" s="699"/>
      <c r="T2" s="699"/>
      <c r="U2" s="699"/>
      <c r="V2" s="700"/>
      <c r="X2" s="852" t="s">
        <v>520</v>
      </c>
      <c r="Y2" s="852"/>
      <c r="Z2" s="852"/>
      <c r="AA2" s="852"/>
    </row>
    <row r="3" spans="1:27" ht="18" customHeight="1" x14ac:dyDescent="0.25">
      <c r="A3" s="610" t="s">
        <v>6</v>
      </c>
      <c r="B3" s="763"/>
      <c r="C3" s="764"/>
      <c r="D3" s="764"/>
      <c r="E3" s="764"/>
      <c r="F3" s="764"/>
      <c r="G3" s="764"/>
      <c r="H3" s="609" t="s">
        <v>7</v>
      </c>
      <c r="I3" s="695"/>
      <c r="J3" s="696"/>
      <c r="K3" s="697"/>
      <c r="L3" s="695" t="s">
        <v>8</v>
      </c>
      <c r="M3" s="696"/>
      <c r="N3" s="696"/>
      <c r="O3" s="697"/>
      <c r="P3" s="811" t="s">
        <v>9</v>
      </c>
      <c r="Q3" s="811"/>
      <c r="R3" s="695" t="s">
        <v>10</v>
      </c>
      <c r="S3" s="696"/>
      <c r="T3" s="696"/>
      <c r="U3" s="696"/>
      <c r="V3" s="697"/>
      <c r="X3" s="852"/>
      <c r="Y3" s="852"/>
      <c r="Z3" s="852"/>
      <c r="AA3" s="852"/>
    </row>
    <row r="4" spans="1:27" x14ac:dyDescent="0.25">
      <c r="A4" s="197" t="s">
        <v>11</v>
      </c>
      <c r="B4" s="763"/>
      <c r="C4" s="764"/>
      <c r="D4" s="764"/>
      <c r="E4" s="764"/>
      <c r="F4" s="764"/>
      <c r="G4" s="764"/>
      <c r="H4" s="800" t="s">
        <v>12</v>
      </c>
      <c r="I4" s="802"/>
      <c r="J4" s="803"/>
      <c r="K4" s="855"/>
      <c r="L4" s="198" t="s">
        <v>13</v>
      </c>
      <c r="M4" s="198" t="s">
        <v>14</v>
      </c>
      <c r="N4" s="194" t="s">
        <v>15</v>
      </c>
      <c r="O4" s="198" t="s">
        <v>16</v>
      </c>
      <c r="P4" s="195" t="s">
        <v>17</v>
      </c>
      <c r="Q4" s="198" t="s">
        <v>16</v>
      </c>
      <c r="R4" s="196" t="s">
        <v>18</v>
      </c>
      <c r="S4" s="198" t="s">
        <v>19</v>
      </c>
      <c r="T4" s="198" t="s">
        <v>20</v>
      </c>
      <c r="U4" s="195" t="s">
        <v>21</v>
      </c>
      <c r="V4" s="198" t="s">
        <v>16</v>
      </c>
      <c r="X4"/>
      <c r="Y4"/>
      <c r="Z4"/>
      <c r="AA4"/>
    </row>
    <row r="5" spans="1:27" x14ac:dyDescent="0.25">
      <c r="A5" s="199" t="s">
        <v>22</v>
      </c>
      <c r="B5" s="763"/>
      <c r="C5" s="764"/>
      <c r="D5" s="764"/>
      <c r="E5" s="764"/>
      <c r="F5" s="764"/>
      <c r="G5" s="764"/>
      <c r="H5" s="801"/>
      <c r="I5" s="856"/>
      <c r="J5" s="857"/>
      <c r="K5" s="858"/>
      <c r="L5" s="197" t="s">
        <v>23</v>
      </c>
      <c r="M5" s="306">
        <f>IF('SOMM. T.OFF'!B14="","",'SOMM. T.OFF'!B14)</f>
        <v>0</v>
      </c>
      <c r="N5" s="293">
        <f>IF('SOMM. T.OFF'!C14="","",'SOMM. T.OFF'!C14)</f>
        <v>0</v>
      </c>
      <c r="O5" s="307">
        <f>IF(M5="",0,M5*DONNÉES!C16)</f>
        <v>0</v>
      </c>
      <c r="P5" s="2"/>
      <c r="Q5" s="286">
        <f>IF(P5="",N5*DONNÉES!D16,P5*DONNÉES!E16)</f>
        <v>0</v>
      </c>
      <c r="R5" s="203" t="s">
        <v>24</v>
      </c>
      <c r="S5" s="55">
        <f>IF('SOMM. T.OFF'!F14="",0,'SOMM. T.OFF'!F14)</f>
        <v>0</v>
      </c>
      <c r="T5" s="204">
        <f>IF(S5=0,0,"")</f>
        <v>0</v>
      </c>
      <c r="U5" s="318">
        <f t="shared" ref="U5:U10" si="0">IF(S5=0,0,S5/T5*8)</f>
        <v>0</v>
      </c>
      <c r="V5" s="319">
        <f>IF(T5="","",U5*DONNÉES!$E$12)</f>
        <v>0</v>
      </c>
      <c r="X5" s="438" t="s">
        <v>500</v>
      </c>
      <c r="Y5" s="438" t="s">
        <v>459</v>
      </c>
      <c r="Z5" s="438" t="s">
        <v>501</v>
      </c>
      <c r="AA5" s="438" t="s">
        <v>284</v>
      </c>
    </row>
    <row r="6" spans="1:27" x14ac:dyDescent="0.25">
      <c r="A6" s="205" t="s">
        <v>25</v>
      </c>
      <c r="B6" s="763"/>
      <c r="C6" s="764"/>
      <c r="D6" s="764"/>
      <c r="E6" s="764"/>
      <c r="F6" s="764"/>
      <c r="G6" s="764"/>
      <c r="H6" s="206" t="s">
        <v>26</v>
      </c>
      <c r="I6" s="765"/>
      <c r="J6" s="766"/>
      <c r="K6" s="767"/>
      <c r="L6" s="204" t="s">
        <v>27</v>
      </c>
      <c r="M6" s="306">
        <f>IF('SOMM. T.OFF'!B15="","",'SOMM. T.OFF'!B15)</f>
        <v>0</v>
      </c>
      <c r="N6" s="293">
        <f>IF('SOMM. T.OFF'!C15="","",'SOMM. T.OFF'!C15)</f>
        <v>0</v>
      </c>
      <c r="O6" s="288">
        <f>IF(M6="",0,M6*DONNÉES!C17)</f>
        <v>0</v>
      </c>
      <c r="P6" s="308"/>
      <c r="Q6" s="288">
        <f>IF(P6="",N6*DONNÉES!D17,P6*DONNÉES!E17)</f>
        <v>0</v>
      </c>
      <c r="R6" s="208" t="s">
        <v>28</v>
      </c>
      <c r="S6" s="9">
        <f>IF('SOMM. T.OFF'!F15="",0,'SOMM. T.OFF'!F15)</f>
        <v>0</v>
      </c>
      <c r="T6" s="204">
        <f>IF(S6=0,0,"")</f>
        <v>0</v>
      </c>
      <c r="U6" s="318">
        <f t="shared" si="0"/>
        <v>0</v>
      </c>
      <c r="V6" s="288">
        <f>IF(T6="","",U6*DONNÉES!$E$12)</f>
        <v>0</v>
      </c>
      <c r="X6" s="439" t="s">
        <v>503</v>
      </c>
      <c r="Y6" s="320">
        <v>1</v>
      </c>
      <c r="Z6" s="339">
        <v>750</v>
      </c>
      <c r="AA6" s="339">
        <f>Z6*Y6</f>
        <v>750</v>
      </c>
    </row>
    <row r="7" spans="1:27" s="201" customFormat="1" ht="12.75" customHeight="1" x14ac:dyDescent="0.25">
      <c r="A7" s="205" t="s">
        <v>29</v>
      </c>
      <c r="B7" s="763"/>
      <c r="C7" s="764"/>
      <c r="D7" s="764"/>
      <c r="E7" s="764"/>
      <c r="F7" s="764"/>
      <c r="G7" s="764"/>
      <c r="H7" s="206" t="s">
        <v>30</v>
      </c>
      <c r="I7" s="765"/>
      <c r="J7" s="766"/>
      <c r="K7" s="767"/>
      <c r="L7" s="197" t="s">
        <v>31</v>
      </c>
      <c r="M7" s="306">
        <f>IF('SOMM. T.OFF'!B16="","",'SOMM. T.OFF'!B16)</f>
        <v>0</v>
      </c>
      <c r="N7" s="293">
        <f>IF('SOMM. T.OFF'!C16="","",'SOMM. T.OFF'!C16)</f>
        <v>0</v>
      </c>
      <c r="O7" s="288">
        <f>IF(M7="",0,M7*DONNÉES!C18)</f>
        <v>0</v>
      </c>
      <c r="P7" s="2"/>
      <c r="Q7" s="288">
        <f>IF(P7="",N7*DONNÉES!D18,P7*DONNÉES!E18)</f>
        <v>0</v>
      </c>
      <c r="R7" s="203" t="s">
        <v>32</v>
      </c>
      <c r="S7" s="9">
        <f>IF('SOMM. T.OFF'!F16="",0,'SOMM. T.OFF'!F16)</f>
        <v>0</v>
      </c>
      <c r="T7" s="204">
        <f>IF(S7=0,0,"")</f>
        <v>0</v>
      </c>
      <c r="U7" s="318">
        <f t="shared" si="0"/>
        <v>0</v>
      </c>
      <c r="V7" s="288">
        <f>IF(T7="","",U7*DONNÉES!$E$12)</f>
        <v>0</v>
      </c>
      <c r="X7" s="439" t="s">
        <v>504</v>
      </c>
      <c r="Y7" s="320"/>
      <c r="Z7" s="339">
        <v>500</v>
      </c>
      <c r="AA7" s="339">
        <f t="shared" ref="AA7:AA36" si="1">Z7*Y7</f>
        <v>0</v>
      </c>
    </row>
    <row r="8" spans="1:27" s="201" customFormat="1" ht="12.9" customHeight="1" x14ac:dyDescent="0.25">
      <c r="A8" s="698" t="s">
        <v>33</v>
      </c>
      <c r="B8" s="699"/>
      <c r="C8" s="699"/>
      <c r="D8" s="699"/>
      <c r="E8" s="699"/>
      <c r="F8" s="699"/>
      <c r="G8" s="699"/>
      <c r="H8" s="699"/>
      <c r="I8" s="699"/>
      <c r="J8" s="699"/>
      <c r="K8" s="700"/>
      <c r="L8" s="204" t="s">
        <v>34</v>
      </c>
      <c r="M8" s="306">
        <f ca="1">IF('SOMM. T.OFF'!B17="","",'SOMM. T.OFF'!B17)</f>
        <v>0</v>
      </c>
      <c r="N8" s="293">
        <f>IF('SOMM. T.OFF'!C17="","",'SOMM. T.OFF'!C17)</f>
        <v>0</v>
      </c>
      <c r="O8" s="288">
        <f ca="1">IF(M8="",0,M8*DONNÉES!C19)</f>
        <v>0</v>
      </c>
      <c r="P8" s="308"/>
      <c r="Q8" s="288">
        <f>IF(P8="",N8*DONNÉES!D19,P8*DONNÉES!E19)</f>
        <v>0</v>
      </c>
      <c r="R8" s="208" t="s">
        <v>35</v>
      </c>
      <c r="S8" s="9">
        <f>IF('SOMM. T.OFF'!F18="",0,'SOMM. T.OFF'!F18)</f>
        <v>0</v>
      </c>
      <c r="T8" s="204">
        <f>IF(S8=0,0,"")</f>
        <v>0</v>
      </c>
      <c r="U8" s="318">
        <f t="shared" si="0"/>
        <v>0</v>
      </c>
      <c r="V8" s="288">
        <f>IF(T8="","",U8*DONNÉES!$E$12)</f>
        <v>0</v>
      </c>
      <c r="X8" s="439" t="s">
        <v>505</v>
      </c>
      <c r="Y8" s="320"/>
      <c r="Z8" s="339">
        <v>250</v>
      </c>
      <c r="AA8" s="339">
        <f t="shared" si="1"/>
        <v>0</v>
      </c>
    </row>
    <row r="9" spans="1:27" s="201" customFormat="1" ht="12.9" customHeight="1" x14ac:dyDescent="0.25">
      <c r="A9" s="695" t="s">
        <v>36</v>
      </c>
      <c r="B9" s="696"/>
      <c r="C9" s="198" t="s">
        <v>37</v>
      </c>
      <c r="D9" s="198" t="s">
        <v>38</v>
      </c>
      <c r="E9" s="196" t="s">
        <v>39</v>
      </c>
      <c r="F9" s="196" t="s">
        <v>17</v>
      </c>
      <c r="G9" s="198" t="s">
        <v>21</v>
      </c>
      <c r="H9" s="198" t="s">
        <v>40</v>
      </c>
      <c r="I9" s="198" t="s">
        <v>41</v>
      </c>
      <c r="J9" s="198" t="s">
        <v>42</v>
      </c>
      <c r="K9" s="198" t="s">
        <v>43</v>
      </c>
      <c r="L9" s="197" t="s">
        <v>44</v>
      </c>
      <c r="M9" s="306">
        <f>IF('SOMM. T.OFF'!B18="","",'SOMM. T.OFF'!B18)</f>
        <v>0</v>
      </c>
      <c r="N9" s="293">
        <f>IF('SOMM. T.OFF'!C18="","",'SOMM. T.OFF'!C18)</f>
        <v>0</v>
      </c>
      <c r="O9" s="288">
        <f>IF(M9="",0,M9*DONNÉES!C20)</f>
        <v>0</v>
      </c>
      <c r="P9" s="2"/>
      <c r="Q9" s="288">
        <f>IF(P9="",N9*DONNÉES!D20,P9*DONNÉES!E20)</f>
        <v>0</v>
      </c>
      <c r="R9" s="203" t="s">
        <v>45</v>
      </c>
      <c r="S9" s="9">
        <f>IF('SOMM. T.OFF'!F19="",0,'SOMM. T.OFF'!F19)</f>
        <v>0</v>
      </c>
      <c r="T9" s="204">
        <f>IF(S9=0,0,"")</f>
        <v>0</v>
      </c>
      <c r="U9" s="318">
        <f t="shared" si="0"/>
        <v>0</v>
      </c>
      <c r="V9" s="288">
        <f>IF(T9="","",U9*DONNÉES!$E$12)</f>
        <v>0</v>
      </c>
      <c r="X9" s="439" t="s">
        <v>506</v>
      </c>
      <c r="Y9" s="320"/>
      <c r="Z9" s="339">
        <v>500</v>
      </c>
      <c r="AA9" s="339">
        <f t="shared" si="1"/>
        <v>0</v>
      </c>
    </row>
    <row r="10" spans="1:27" s="201" customFormat="1" ht="12.75" customHeight="1" x14ac:dyDescent="0.25">
      <c r="A10" s="859" t="s">
        <v>46</v>
      </c>
      <c r="B10" s="841"/>
      <c r="C10" s="209"/>
      <c r="D10" s="209"/>
      <c r="E10" s="210"/>
      <c r="F10" s="211"/>
      <c r="G10" s="212"/>
      <c r="H10" s="213">
        <f>IF(F10=0,0,"")</f>
        <v>0</v>
      </c>
      <c r="I10" s="276">
        <f>IF(G10=0,0,G10*DONNÉES!$E$12)</f>
        <v>0</v>
      </c>
      <c r="J10" s="214">
        <f t="shared" ref="J10:J37" si="2">IF(E10=0,0,"")</f>
        <v>0</v>
      </c>
      <c r="K10" s="214">
        <f>IF(E10=0,0,"")</f>
        <v>0</v>
      </c>
      <c r="L10" s="204" t="s">
        <v>47</v>
      </c>
      <c r="M10" s="306">
        <f>IF('SOMM. T.OFF'!B19="","",'SOMM. T.OFF'!B19)</f>
        <v>0</v>
      </c>
      <c r="N10" s="293">
        <f>IF('SOMM. T.OFF'!C19="","",'SOMM. T.OFF'!C19)</f>
        <v>0</v>
      </c>
      <c r="O10" s="288">
        <f>IF(M10="",0,M10*DONNÉES!C21)</f>
        <v>0</v>
      </c>
      <c r="P10" s="308"/>
      <c r="Q10" s="288">
        <f>IF(P10="",N10*DONNÉES!D21,P10*DONNÉES!E21)</f>
        <v>0</v>
      </c>
      <c r="R10" s="208" t="s">
        <v>48</v>
      </c>
      <c r="S10" s="9">
        <f>IF('SOMM. T.OFF'!F17="",0,'SOMM. T.OFF'!F17)</f>
        <v>0</v>
      </c>
      <c r="T10" s="204">
        <v>0</v>
      </c>
      <c r="U10" s="318">
        <f t="shared" si="0"/>
        <v>0</v>
      </c>
      <c r="V10" s="288">
        <f>IF(T10="","",U10*DONNÉES!$E$12)</f>
        <v>0</v>
      </c>
      <c r="X10" s="439" t="s">
        <v>511</v>
      </c>
      <c r="Y10" s="320"/>
      <c r="Z10" s="339">
        <v>80</v>
      </c>
      <c r="AA10" s="339">
        <f t="shared" si="1"/>
        <v>0</v>
      </c>
    </row>
    <row r="11" spans="1:27" s="201" customFormat="1" ht="12.75" customHeight="1" x14ac:dyDescent="0.25">
      <c r="A11" s="674" t="s">
        <v>49</v>
      </c>
      <c r="B11" s="677"/>
      <c r="C11" s="209"/>
      <c r="D11" s="209"/>
      <c r="E11" s="215"/>
      <c r="F11" s="216"/>
      <c r="G11" s="217"/>
      <c r="H11" s="213">
        <f t="shared" ref="H11:H30" si="3">IF(F11=0,0,"")</f>
        <v>0</v>
      </c>
      <c r="I11" s="275">
        <f>IF(G11=0,0,G11*DONNÉES!$E$12)</f>
        <v>0</v>
      </c>
      <c r="J11" s="214">
        <f t="shared" si="2"/>
        <v>0</v>
      </c>
      <c r="K11" s="214">
        <f>IF(E11=0,0,"")</f>
        <v>0</v>
      </c>
      <c r="L11" s="197"/>
      <c r="M11" s="219">
        <f>IF('SOMM. T.OFF'!B20="","",'SOMM. T.OFF'!B20)</f>
        <v>0</v>
      </c>
      <c r="N11" s="220">
        <f>IF('SOMM. T.OFF'!C20="","",'SOMM. T.OFF'!C20)</f>
        <v>0</v>
      </c>
      <c r="O11" s="207">
        <f>IF(M11="",0,M11*DONNÉES!C22)</f>
        <v>0</v>
      </c>
      <c r="Q11" s="207">
        <f>IF(P11="",N11*DONNÉES!D22,P11*DONNÉES!E22)</f>
        <v>0</v>
      </c>
      <c r="R11" s="193"/>
      <c r="S11" s="193">
        <f>IF('SOMM. T.OFF'!F20="","",'SOMM. T.OFF'!F20)</f>
        <v>0</v>
      </c>
      <c r="T11" s="193">
        <f t="shared" ref="T11" si="4">IF(S11=0,0,"")</f>
        <v>0</v>
      </c>
      <c r="U11" s="221">
        <f t="shared" ref="U11" si="5">IF(S11=0,0,S11/T11*8)</f>
        <v>0</v>
      </c>
      <c r="V11" s="207">
        <f>IF(T11="","",U11*DONNÉES!$E$12)</f>
        <v>0</v>
      </c>
      <c r="X11" s="439" t="s">
        <v>513</v>
      </c>
      <c r="Y11" s="320"/>
      <c r="Z11" s="339">
        <v>80</v>
      </c>
      <c r="AA11" s="339">
        <f t="shared" si="1"/>
        <v>0</v>
      </c>
    </row>
    <row r="12" spans="1:27" s="201" customFormat="1" ht="12.75" customHeight="1" x14ac:dyDescent="0.25">
      <c r="A12" s="674" t="s">
        <v>50</v>
      </c>
      <c r="B12" s="677"/>
      <c r="C12" s="209"/>
      <c r="D12" s="209"/>
      <c r="E12" s="215"/>
      <c r="F12" s="216"/>
      <c r="G12" s="217"/>
      <c r="H12" s="213">
        <f t="shared" si="3"/>
        <v>0</v>
      </c>
      <c r="I12" s="275">
        <f>IF(G12=0,0,G12*DONNÉES!$E$12)</f>
        <v>0</v>
      </c>
      <c r="J12" s="214">
        <f t="shared" si="2"/>
        <v>0</v>
      </c>
      <c r="K12" s="214">
        <f t="shared" ref="K12:K54" si="6">IF(E12=0,0,"")</f>
        <v>0</v>
      </c>
      <c r="L12" s="199" t="s">
        <v>51</v>
      </c>
      <c r="M12" s="309" t="s">
        <v>52</v>
      </c>
      <c r="N12" s="310"/>
      <c r="O12" s="288">
        <f>N12*DONNÉES!E26</f>
        <v>0</v>
      </c>
      <c r="P12" s="311"/>
      <c r="Q12" s="312"/>
      <c r="R12" s="819" t="s">
        <v>53</v>
      </c>
      <c r="S12" s="820"/>
      <c r="T12" s="821"/>
      <c r="U12" s="313"/>
      <c r="V12" s="314">
        <f>U12*DONNÉES!$E$25</f>
        <v>0</v>
      </c>
      <c r="X12" s="439" t="s">
        <v>512</v>
      </c>
      <c r="Y12" s="320"/>
      <c r="Z12" s="339">
        <v>80</v>
      </c>
      <c r="AA12" s="339">
        <f t="shared" si="1"/>
        <v>0</v>
      </c>
    </row>
    <row r="13" spans="1:27" s="201" customFormat="1" ht="12.75" customHeight="1" x14ac:dyDescent="0.25">
      <c r="A13" s="674" t="s">
        <v>54</v>
      </c>
      <c r="B13" s="677"/>
      <c r="C13" s="209"/>
      <c r="D13" s="209"/>
      <c r="E13" s="215"/>
      <c r="F13" s="216"/>
      <c r="G13" s="217"/>
      <c r="H13" s="213">
        <f t="shared" si="3"/>
        <v>0</v>
      </c>
      <c r="I13" s="275">
        <f>IF(G13=0,0,G13*DONNÉES!$E$12)</f>
        <v>0</v>
      </c>
      <c r="J13" s="214">
        <f t="shared" si="2"/>
        <v>0</v>
      </c>
      <c r="K13" s="214">
        <f t="shared" si="6"/>
        <v>0</v>
      </c>
      <c r="L13" s="223" t="s">
        <v>55</v>
      </c>
      <c r="M13" s="315">
        <f ca="1">SUM(M5:M11)</f>
        <v>0</v>
      </c>
      <c r="N13" s="315">
        <f>SUM(N5:N11)</f>
        <v>0</v>
      </c>
      <c r="O13" s="305">
        <f ca="1">SUM(O5:O12)</f>
        <v>0</v>
      </c>
      <c r="P13" s="316"/>
      <c r="Q13" s="305">
        <f>SUM(Q5:Q11)</f>
        <v>0</v>
      </c>
      <c r="R13" s="769"/>
      <c r="S13" s="770"/>
      <c r="T13" s="771"/>
      <c r="U13" s="317">
        <f>SUM(U5:U11)</f>
        <v>0</v>
      </c>
      <c r="V13" s="305">
        <f>SUM(V5:V12)</f>
        <v>0</v>
      </c>
      <c r="X13" s="439" t="s">
        <v>514</v>
      </c>
      <c r="Y13" s="320"/>
      <c r="Z13" s="339">
        <v>50</v>
      </c>
      <c r="AA13" s="339">
        <f t="shared" si="1"/>
        <v>0</v>
      </c>
    </row>
    <row r="14" spans="1:27" ht="13.5" customHeight="1" x14ac:dyDescent="0.25">
      <c r="A14" s="674" t="s">
        <v>56</v>
      </c>
      <c r="B14" s="677"/>
      <c r="C14" s="209"/>
      <c r="D14" s="209"/>
      <c r="E14" s="215"/>
      <c r="F14" s="216"/>
      <c r="G14" s="217"/>
      <c r="H14" s="213">
        <f t="shared" si="3"/>
        <v>0</v>
      </c>
      <c r="I14" s="275">
        <f>IF(G14=0,0,G14*DONNÉES!$E$12)</f>
        <v>0</v>
      </c>
      <c r="J14" s="214">
        <f t="shared" si="2"/>
        <v>0</v>
      </c>
      <c r="K14" s="214">
        <f t="shared" si="6"/>
        <v>0</v>
      </c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X14" s="439" t="s">
        <v>515</v>
      </c>
      <c r="Y14" s="320"/>
      <c r="Z14" s="339">
        <v>25</v>
      </c>
      <c r="AA14" s="339">
        <f t="shared" si="1"/>
        <v>0</v>
      </c>
    </row>
    <row r="15" spans="1:27" s="201" customFormat="1" ht="12.75" customHeight="1" x14ac:dyDescent="0.25">
      <c r="A15" s="674" t="s">
        <v>57</v>
      </c>
      <c r="B15" s="677"/>
      <c r="C15" s="209"/>
      <c r="D15" s="209"/>
      <c r="E15" s="215"/>
      <c r="F15" s="216"/>
      <c r="G15" s="217"/>
      <c r="H15" s="213">
        <f t="shared" si="3"/>
        <v>0</v>
      </c>
      <c r="I15" s="275">
        <f>IF(G15=0,0,G15*DONNÉES!$E$12)</f>
        <v>0</v>
      </c>
      <c r="J15" s="214">
        <f t="shared" si="2"/>
        <v>0</v>
      </c>
      <c r="K15" s="214">
        <f t="shared" si="6"/>
        <v>0</v>
      </c>
      <c r="L15" s="698" t="s">
        <v>58</v>
      </c>
      <c r="M15" s="699"/>
      <c r="N15" s="699"/>
      <c r="O15" s="699"/>
      <c r="P15" s="699"/>
      <c r="Q15" s="699"/>
      <c r="R15" s="699"/>
      <c r="S15" s="699"/>
      <c r="T15" s="699"/>
      <c r="U15" s="699"/>
      <c r="V15" s="700"/>
      <c r="X15" s="439" t="s">
        <v>516</v>
      </c>
      <c r="Y15" s="320"/>
      <c r="Z15" s="339">
        <v>3</v>
      </c>
      <c r="AA15" s="339">
        <f t="shared" si="1"/>
        <v>0</v>
      </c>
    </row>
    <row r="16" spans="1:27" s="201" customFormat="1" ht="13.5" customHeight="1" x14ac:dyDescent="0.25">
      <c r="A16" s="674" t="s">
        <v>49</v>
      </c>
      <c r="B16" s="677"/>
      <c r="C16" s="209"/>
      <c r="D16" s="209"/>
      <c r="E16" s="215"/>
      <c r="F16" s="216"/>
      <c r="G16" s="217"/>
      <c r="H16" s="213">
        <f t="shared" si="3"/>
        <v>0</v>
      </c>
      <c r="I16" s="275">
        <f>IF(G16=0,0,G16*DONNÉES!$E$12)</f>
        <v>0</v>
      </c>
      <c r="J16" s="214">
        <f t="shared" si="2"/>
        <v>0</v>
      </c>
      <c r="K16" s="214">
        <f t="shared" si="6"/>
        <v>0</v>
      </c>
      <c r="L16" s="695" t="s">
        <v>59</v>
      </c>
      <c r="M16" s="697"/>
      <c r="N16" s="695" t="s">
        <v>60</v>
      </c>
      <c r="O16" s="697"/>
      <c r="P16" s="695" t="s">
        <v>9</v>
      </c>
      <c r="Q16" s="697"/>
      <c r="R16" s="695" t="s">
        <v>10</v>
      </c>
      <c r="S16" s="696"/>
      <c r="T16" s="696"/>
      <c r="U16" s="696"/>
      <c r="V16" s="697"/>
      <c r="X16" s="439" t="s">
        <v>507</v>
      </c>
      <c r="Y16" s="320"/>
      <c r="Z16" s="339">
        <v>15</v>
      </c>
      <c r="AA16" s="339">
        <f t="shared" si="1"/>
        <v>0</v>
      </c>
    </row>
    <row r="17" spans="1:27" x14ac:dyDescent="0.25">
      <c r="A17" s="674" t="s">
        <v>61</v>
      </c>
      <c r="B17" s="677"/>
      <c r="C17" s="209"/>
      <c r="D17" s="209"/>
      <c r="E17" s="215"/>
      <c r="F17" s="216"/>
      <c r="G17" s="217"/>
      <c r="H17" s="213">
        <f t="shared" si="3"/>
        <v>0</v>
      </c>
      <c r="I17" s="275">
        <f>IF(G17=0,0,G17*DONNÉES!$E$12)</f>
        <v>0</v>
      </c>
      <c r="J17" s="214">
        <f t="shared" si="2"/>
        <v>0</v>
      </c>
      <c r="K17" s="214">
        <f t="shared" si="6"/>
        <v>0</v>
      </c>
      <c r="L17" s="226" t="s">
        <v>13</v>
      </c>
      <c r="M17" s="227" t="s">
        <v>15</v>
      </c>
      <c r="N17" s="198" t="s">
        <v>17</v>
      </c>
      <c r="O17" s="195" t="s">
        <v>16</v>
      </c>
      <c r="P17" s="198" t="s">
        <v>17</v>
      </c>
      <c r="Q17" s="196" t="s">
        <v>16</v>
      </c>
      <c r="R17" s="198" t="s">
        <v>18</v>
      </c>
      <c r="S17" s="198" t="s">
        <v>19</v>
      </c>
      <c r="T17" s="194" t="s">
        <v>20</v>
      </c>
      <c r="U17" s="198" t="s">
        <v>21</v>
      </c>
      <c r="V17" s="196" t="s">
        <v>16</v>
      </c>
      <c r="X17" s="439" t="s">
        <v>508</v>
      </c>
      <c r="Y17" s="320"/>
      <c r="Z17" s="339">
        <v>80</v>
      </c>
      <c r="AA17" s="339">
        <f t="shared" si="1"/>
        <v>0</v>
      </c>
    </row>
    <row r="18" spans="1:27" x14ac:dyDescent="0.25">
      <c r="A18" s="674" t="s">
        <v>49</v>
      </c>
      <c r="B18" s="677"/>
      <c r="C18" s="209"/>
      <c r="D18" s="209"/>
      <c r="E18" s="215"/>
      <c r="F18" s="216"/>
      <c r="G18" s="217"/>
      <c r="H18" s="213">
        <f t="shared" si="3"/>
        <v>0</v>
      </c>
      <c r="I18" s="275">
        <f>IF(G18=0,0,G18*DONNÉES!$E$12)</f>
        <v>0</v>
      </c>
      <c r="J18" s="214">
        <f t="shared" si="2"/>
        <v>0</v>
      </c>
      <c r="K18" s="214">
        <f>IF(E18=0,0,"")</f>
        <v>0</v>
      </c>
      <c r="L18" s="228" t="s">
        <v>23</v>
      </c>
      <c r="M18" s="229"/>
      <c r="N18" s="230"/>
      <c r="O18" s="231">
        <f>N18*DONNÉES!E34</f>
        <v>0</v>
      </c>
      <c r="P18" s="228"/>
      <c r="Q18" s="202">
        <f>M18*DONNÉES!E47</f>
        <v>0</v>
      </c>
      <c r="R18" s="232" t="s">
        <v>62</v>
      </c>
      <c r="S18" s="296">
        <f>SPIRALE!T23</f>
        <v>0</v>
      </c>
      <c r="T18" s="233">
        <f>IF(S18=0,1,"??")</f>
        <v>1</v>
      </c>
      <c r="U18" s="297">
        <f>IF(S18="","",S18/T18*8)</f>
        <v>0</v>
      </c>
      <c r="V18" s="298">
        <f>IF(T18="",0,U18*DONNÉES!$E$12)</f>
        <v>0</v>
      </c>
      <c r="X18" s="439" t="s">
        <v>510</v>
      </c>
      <c r="Y18" s="320"/>
      <c r="Z18" s="339">
        <v>150</v>
      </c>
      <c r="AA18" s="339">
        <f t="shared" si="1"/>
        <v>0</v>
      </c>
    </row>
    <row r="19" spans="1:27" x14ac:dyDescent="0.25">
      <c r="A19" s="674" t="s">
        <v>63</v>
      </c>
      <c r="B19" s="677"/>
      <c r="C19" s="209"/>
      <c r="D19" s="209"/>
      <c r="E19" s="215"/>
      <c r="F19" s="216"/>
      <c r="G19" s="217"/>
      <c r="H19" s="213">
        <f t="shared" si="3"/>
        <v>0</v>
      </c>
      <c r="I19" s="275">
        <f>IF(G19=0,0,G19*DONNÉES!$E$12)</f>
        <v>0</v>
      </c>
      <c r="J19" s="214">
        <f t="shared" si="2"/>
        <v>0</v>
      </c>
      <c r="K19" s="214">
        <f t="shared" si="6"/>
        <v>0</v>
      </c>
      <c r="L19" s="204" t="s">
        <v>27</v>
      </c>
      <c r="M19" s="234"/>
      <c r="N19" s="200"/>
      <c r="O19" s="235">
        <f>N19*DONNÉES!E35</f>
        <v>0</v>
      </c>
      <c r="P19" s="204"/>
      <c r="Q19" s="207">
        <f>IF(P19="",M19*DONNÉES!E33,P19*DONNÉES!E32)</f>
        <v>0</v>
      </c>
      <c r="R19" s="208" t="s">
        <v>64</v>
      </c>
      <c r="S19" s="9">
        <f>SPIRALE!T24</f>
        <v>0</v>
      </c>
      <c r="T19" s="233">
        <f>IF(S19=0,1,"??")</f>
        <v>1</v>
      </c>
      <c r="U19" s="299">
        <f>IF(S19="","",S19/T19*8)</f>
        <v>0</v>
      </c>
      <c r="V19" s="300">
        <f>IF(T19="",0,U19*DONNÉES!$E$12)</f>
        <v>0</v>
      </c>
      <c r="X19" s="439" t="s">
        <v>509</v>
      </c>
      <c r="Y19" s="320"/>
      <c r="Z19" s="339">
        <v>350</v>
      </c>
      <c r="AA19" s="339">
        <f t="shared" si="1"/>
        <v>0</v>
      </c>
    </row>
    <row r="20" spans="1:27" x14ac:dyDescent="0.25">
      <c r="A20" s="674" t="s">
        <v>49</v>
      </c>
      <c r="B20" s="677"/>
      <c r="C20" s="209"/>
      <c r="D20" s="209"/>
      <c r="E20" s="215"/>
      <c r="F20" s="216"/>
      <c r="G20" s="217"/>
      <c r="H20" s="213">
        <f t="shared" si="3"/>
        <v>0</v>
      </c>
      <c r="I20" s="275">
        <f>IF(G20=0,0,G20*DONNÉES!$E$12)</f>
        <v>0</v>
      </c>
      <c r="J20" s="214">
        <f t="shared" si="2"/>
        <v>0</v>
      </c>
      <c r="K20" s="214">
        <f t="shared" si="6"/>
        <v>0</v>
      </c>
      <c r="L20" s="197" t="s">
        <v>31</v>
      </c>
      <c r="M20" s="236"/>
      <c r="N20" s="237"/>
      <c r="O20" s="235">
        <f>N20*DONNÉES!E36</f>
        <v>0</v>
      </c>
      <c r="P20" s="204"/>
      <c r="Q20" s="207">
        <f>IF(P20="",M20*DONNÉES!E33,P20*DONNÉES!E32)</f>
        <v>0</v>
      </c>
      <c r="R20" s="203"/>
      <c r="S20" s="197"/>
      <c r="T20" s="238"/>
      <c r="U20" s="301" t="str">
        <f>IF(S20="","",S20/T20*8)</f>
        <v/>
      </c>
      <c r="V20" s="300">
        <f>IF(T20="",0,U20*DONNÉES!$E$12)</f>
        <v>0</v>
      </c>
      <c r="X20" s="439" t="s">
        <v>517</v>
      </c>
      <c r="Y20" s="320"/>
      <c r="Z20" s="339">
        <v>50</v>
      </c>
      <c r="AA20" s="339">
        <f t="shared" si="1"/>
        <v>0</v>
      </c>
    </row>
    <row r="21" spans="1:27" x14ac:dyDescent="0.25">
      <c r="A21" s="674" t="s">
        <v>65</v>
      </c>
      <c r="B21" s="677"/>
      <c r="C21" s="209"/>
      <c r="D21" s="209"/>
      <c r="E21" s="215"/>
      <c r="F21" s="216"/>
      <c r="G21" s="217"/>
      <c r="H21" s="213">
        <f t="shared" si="3"/>
        <v>0</v>
      </c>
      <c r="I21" s="275">
        <f>IF(G21=0,0,G21*DONNÉES!$E$12)</f>
        <v>0</v>
      </c>
      <c r="J21" s="214">
        <f t="shared" si="2"/>
        <v>0</v>
      </c>
      <c r="K21" s="214">
        <f t="shared" si="6"/>
        <v>0</v>
      </c>
      <c r="L21" s="204"/>
      <c r="M21" s="234"/>
      <c r="N21" s="200"/>
      <c r="O21" s="235">
        <f>N21*DONNÉES!E37</f>
        <v>0</v>
      </c>
      <c r="P21" s="197"/>
      <c r="Q21" s="207">
        <f>IF(P21="",M21*DONNÉES!E33,P21*DONNÉES!E32)</f>
        <v>0</v>
      </c>
      <c r="R21" s="193"/>
      <c r="S21" s="193"/>
      <c r="T21" s="193"/>
      <c r="U21" s="299" t="str">
        <f>IF(S21="","",S21/T21*8)</f>
        <v/>
      </c>
      <c r="V21" s="300">
        <f>IF(T21="",0,U21*DONNÉES!$E$12)</f>
        <v>0</v>
      </c>
      <c r="X21" s="439" t="s">
        <v>518</v>
      </c>
      <c r="Y21" s="320"/>
      <c r="Z21" s="339">
        <v>50</v>
      </c>
      <c r="AA21" s="339">
        <f t="shared" si="1"/>
        <v>0</v>
      </c>
    </row>
    <row r="22" spans="1:27" x14ac:dyDescent="0.25">
      <c r="A22" s="674" t="s">
        <v>66</v>
      </c>
      <c r="B22" s="677"/>
      <c r="C22" s="209"/>
      <c r="D22" s="209"/>
      <c r="E22" s="215"/>
      <c r="F22" s="216"/>
      <c r="G22" s="217"/>
      <c r="H22" s="213">
        <f t="shared" si="3"/>
        <v>0</v>
      </c>
      <c r="I22" s="275">
        <f>IF(G22=0,0,G22*DONNÉES!$E$12)</f>
        <v>0</v>
      </c>
      <c r="J22" s="214">
        <f t="shared" si="2"/>
        <v>0</v>
      </c>
      <c r="K22" s="214">
        <f t="shared" si="6"/>
        <v>0</v>
      </c>
      <c r="L22" s="239"/>
      <c r="M22" s="749" t="s">
        <v>55</v>
      </c>
      <c r="N22" s="702"/>
      <c r="O22" s="240">
        <f>SUM(O18:O21)</f>
        <v>0</v>
      </c>
      <c r="P22" s="225"/>
      <c r="Q22" s="224">
        <f>SUM(Q18:Q21)</f>
        <v>0</v>
      </c>
      <c r="R22" s="241" t="s">
        <v>67</v>
      </c>
      <c r="S22" s="242" t="s">
        <v>68</v>
      </c>
      <c r="T22" s="243"/>
      <c r="U22" s="302"/>
      <c r="V22" s="303">
        <f>U22*DONNÉES!E25</f>
        <v>0</v>
      </c>
      <c r="X22" s="335" t="s">
        <v>525</v>
      </c>
      <c r="Y22" s="320"/>
      <c r="Z22" s="339">
        <v>300</v>
      </c>
      <c r="AA22" s="339">
        <f>Z22*Y22</f>
        <v>0</v>
      </c>
    </row>
    <row r="23" spans="1:27" x14ac:dyDescent="0.25">
      <c r="A23" s="674" t="s">
        <v>49</v>
      </c>
      <c r="B23" s="677"/>
      <c r="C23" s="209"/>
      <c r="D23" s="209"/>
      <c r="E23" s="215"/>
      <c r="F23" s="216"/>
      <c r="G23" s="217"/>
      <c r="H23" s="213">
        <f t="shared" si="3"/>
        <v>0</v>
      </c>
      <c r="I23" s="275">
        <f>IF(G23=0,0,G23*DONNÉES!$E$12)</f>
        <v>0</v>
      </c>
      <c r="J23" s="214">
        <f t="shared" si="2"/>
        <v>0</v>
      </c>
      <c r="K23" s="214">
        <f t="shared" si="6"/>
        <v>0</v>
      </c>
      <c r="L23" s="244"/>
      <c r="M23" s="786" t="s">
        <v>69</v>
      </c>
      <c r="N23" s="787"/>
      <c r="O23" s="788"/>
      <c r="P23" s="791">
        <f>SPIRALE!$F$6</f>
        <v>0</v>
      </c>
      <c r="Q23" s="792"/>
      <c r="R23" s="701" t="s">
        <v>55</v>
      </c>
      <c r="S23" s="749"/>
      <c r="T23" s="702"/>
      <c r="U23" s="304">
        <f>SUM(U15:U22)</f>
        <v>0</v>
      </c>
      <c r="V23" s="305">
        <f>SUM(V15:V22)</f>
        <v>0</v>
      </c>
      <c r="X23" s="439" t="s">
        <v>519</v>
      </c>
      <c r="Y23" s="320"/>
      <c r="Z23" s="339">
        <v>500</v>
      </c>
      <c r="AA23" s="339">
        <f>Z23*Y23</f>
        <v>0</v>
      </c>
    </row>
    <row r="24" spans="1:27" x14ac:dyDescent="0.25">
      <c r="A24" s="674" t="s">
        <v>70</v>
      </c>
      <c r="B24" s="675"/>
      <c r="C24" s="209"/>
      <c r="D24" s="209"/>
      <c r="E24" s="215"/>
      <c r="F24" s="216"/>
      <c r="G24" s="217"/>
      <c r="H24" s="213">
        <f t="shared" si="3"/>
        <v>0</v>
      </c>
      <c r="I24" s="275">
        <f>IF(G24=0,0,G24*DONNÉES!$E$12)</f>
        <v>0</v>
      </c>
      <c r="J24" s="214">
        <f t="shared" si="2"/>
        <v>0</v>
      </c>
      <c r="K24" s="214">
        <f t="shared" si="6"/>
        <v>0</v>
      </c>
      <c r="L24" s="620"/>
      <c r="M24" s="619"/>
      <c r="N24" s="619"/>
      <c r="O24" s="619"/>
      <c r="P24" s="621"/>
      <c r="Q24" s="621"/>
      <c r="R24" s="622"/>
      <c r="S24" s="622"/>
      <c r="T24" s="622"/>
      <c r="U24" s="623"/>
      <c r="V24" s="624"/>
      <c r="X24" s="439"/>
      <c r="Y24" s="320"/>
      <c r="Z24" s="339"/>
      <c r="AA24" s="339"/>
    </row>
    <row r="25" spans="1:27" x14ac:dyDescent="0.25">
      <c r="A25" s="674" t="s">
        <v>71</v>
      </c>
      <c r="B25" s="677"/>
      <c r="C25" s="209"/>
      <c r="D25" s="209"/>
      <c r="E25" s="215"/>
      <c r="F25" s="216"/>
      <c r="G25" s="217"/>
      <c r="H25" s="213">
        <f t="shared" si="3"/>
        <v>0</v>
      </c>
      <c r="I25" s="275">
        <f>IF(G25=0,0,G25*DONNÉES!$E$12)</f>
        <v>0</v>
      </c>
      <c r="J25" s="214">
        <f t="shared" si="2"/>
        <v>0</v>
      </c>
      <c r="K25" s="214">
        <f t="shared" si="6"/>
        <v>0</v>
      </c>
      <c r="L25" s="620"/>
      <c r="M25" s="619"/>
      <c r="N25" s="619"/>
      <c r="O25" s="619"/>
      <c r="P25" s="621"/>
      <c r="Q25" s="621"/>
      <c r="R25" s="622"/>
      <c r="S25" s="622"/>
      <c r="T25" s="622"/>
      <c r="U25" s="623"/>
      <c r="V25" s="625"/>
      <c r="X25" s="439"/>
      <c r="Y25" s="320"/>
      <c r="Z25" s="339"/>
      <c r="AA25" s="339"/>
    </row>
    <row r="26" spans="1:27" x14ac:dyDescent="0.25">
      <c r="A26" s="674" t="s">
        <v>74</v>
      </c>
      <c r="B26" s="677"/>
      <c r="C26" s="209"/>
      <c r="D26" s="209"/>
      <c r="E26" s="215"/>
      <c r="F26" s="216"/>
      <c r="G26" s="217"/>
      <c r="H26" s="213">
        <f t="shared" si="3"/>
        <v>0</v>
      </c>
      <c r="I26" s="275">
        <f>IF(G26=0,0,G26*DONNÉES!$E$12)</f>
        <v>0</v>
      </c>
      <c r="J26" s="214">
        <f t="shared" si="2"/>
        <v>0</v>
      </c>
      <c r="K26" s="214">
        <f t="shared" si="6"/>
        <v>0</v>
      </c>
      <c r="L26" s="620"/>
      <c r="M26" s="619"/>
      <c r="N26" s="619"/>
      <c r="O26" s="619"/>
      <c r="P26" s="621"/>
      <c r="Q26" s="621"/>
      <c r="R26" s="622"/>
      <c r="S26" s="622"/>
      <c r="T26" s="622"/>
      <c r="U26" s="623"/>
      <c r="V26" s="625"/>
      <c r="X26" s="439"/>
      <c r="Y26" s="320"/>
      <c r="Z26" s="339"/>
      <c r="AA26" s="339"/>
    </row>
    <row r="27" spans="1:27" x14ac:dyDescent="0.25">
      <c r="A27" s="674" t="s">
        <v>79</v>
      </c>
      <c r="B27" s="677"/>
      <c r="C27" s="209"/>
      <c r="D27" s="209"/>
      <c r="E27" s="215"/>
      <c r="F27" s="216"/>
      <c r="G27" s="217"/>
      <c r="H27" s="213">
        <f t="shared" si="3"/>
        <v>0</v>
      </c>
      <c r="I27" s="275">
        <f>IF(G27=0,0,G27*DONNÉES!$E$12)</f>
        <v>0</v>
      </c>
      <c r="J27" s="214">
        <f t="shared" si="2"/>
        <v>0</v>
      </c>
      <c r="K27" s="214">
        <f t="shared" si="6"/>
        <v>0</v>
      </c>
      <c r="L27" s="620"/>
      <c r="M27" s="619"/>
      <c r="N27" s="619"/>
      <c r="O27" s="619"/>
      <c r="P27" s="621"/>
      <c r="Q27" s="621"/>
      <c r="R27" s="622"/>
      <c r="S27" s="622"/>
      <c r="T27" s="622"/>
      <c r="U27" s="623"/>
      <c r="V27" s="625"/>
      <c r="X27" s="439"/>
      <c r="Y27" s="320"/>
      <c r="Z27" s="339"/>
      <c r="AA27" s="339"/>
    </row>
    <row r="28" spans="1:27" x14ac:dyDescent="0.25">
      <c r="A28" s="674" t="s">
        <v>82</v>
      </c>
      <c r="B28" s="677"/>
      <c r="C28" s="209"/>
      <c r="D28" s="209"/>
      <c r="E28" s="215"/>
      <c r="F28" s="216"/>
      <c r="G28" s="217"/>
      <c r="H28" s="213">
        <f t="shared" si="3"/>
        <v>0</v>
      </c>
      <c r="I28" s="275">
        <f>IF(G28=0,0,G28*DONNÉES!$E$12)</f>
        <v>0</v>
      </c>
      <c r="J28" s="214">
        <f t="shared" si="2"/>
        <v>0</v>
      </c>
      <c r="K28" s="214">
        <f t="shared" si="6"/>
        <v>0</v>
      </c>
      <c r="L28" s="620"/>
      <c r="M28" s="619"/>
      <c r="N28" s="619"/>
      <c r="O28" s="619"/>
      <c r="P28" s="621"/>
      <c r="Q28" s="621"/>
      <c r="R28" s="622"/>
      <c r="S28" s="622"/>
      <c r="T28" s="622"/>
      <c r="U28" s="623"/>
      <c r="V28" s="625"/>
      <c r="X28" s="439"/>
      <c r="Y28" s="320"/>
      <c r="Z28" s="339"/>
      <c r="AA28" s="339"/>
    </row>
    <row r="29" spans="1:27" x14ac:dyDescent="0.25">
      <c r="A29" s="674" t="s">
        <v>84</v>
      </c>
      <c r="B29" s="677"/>
      <c r="C29" s="209"/>
      <c r="D29" s="209"/>
      <c r="E29" s="215"/>
      <c r="F29" s="216"/>
      <c r="G29" s="217"/>
      <c r="H29" s="213">
        <f t="shared" si="3"/>
        <v>0</v>
      </c>
      <c r="I29" s="275">
        <f>IF(G29=0,0,G29*DONNÉES!$E$12)</f>
        <v>0</v>
      </c>
      <c r="J29" s="214">
        <f t="shared" si="2"/>
        <v>0</v>
      </c>
      <c r="K29" s="214">
        <f t="shared" si="6"/>
        <v>0</v>
      </c>
      <c r="L29" s="620"/>
      <c r="M29" s="619"/>
      <c r="N29" s="619"/>
      <c r="O29" s="619"/>
      <c r="P29" s="621"/>
      <c r="Q29" s="621"/>
      <c r="R29" s="622"/>
      <c r="S29" s="622"/>
      <c r="T29" s="622"/>
      <c r="U29" s="623"/>
      <c r="V29" s="625"/>
      <c r="X29" s="439"/>
      <c r="Y29" s="320"/>
      <c r="Z29" s="339"/>
      <c r="AA29" s="339"/>
    </row>
    <row r="30" spans="1:27" x14ac:dyDescent="0.25">
      <c r="A30" s="674" t="s">
        <v>88</v>
      </c>
      <c r="B30" s="677"/>
      <c r="C30" s="209"/>
      <c r="D30" s="209"/>
      <c r="E30" s="215"/>
      <c r="F30" s="216"/>
      <c r="G30" s="217"/>
      <c r="H30" s="213">
        <f t="shared" si="3"/>
        <v>0</v>
      </c>
      <c r="I30" s="275">
        <f>IF(G30=0,0,G30*DONNÉES!$E$12)</f>
        <v>0</v>
      </c>
      <c r="J30" s="214">
        <f t="shared" si="2"/>
        <v>0</v>
      </c>
      <c r="K30" s="214">
        <f t="shared" si="6"/>
        <v>0</v>
      </c>
      <c r="L30" s="618"/>
      <c r="M30" s="254"/>
      <c r="N30" s="254"/>
      <c r="O30" s="254"/>
      <c r="P30" s="254"/>
      <c r="Q30" s="254"/>
      <c r="R30" s="254"/>
      <c r="S30" s="254"/>
      <c r="T30" s="254"/>
      <c r="U30" s="254"/>
      <c r="V30" s="626"/>
      <c r="X30" s="439" t="s">
        <v>519</v>
      </c>
      <c r="Y30" s="320"/>
      <c r="Z30" s="339">
        <v>250</v>
      </c>
      <c r="AA30" s="339">
        <f>Z30*Y30</f>
        <v>0</v>
      </c>
    </row>
    <row r="31" spans="1:27" x14ac:dyDescent="0.25">
      <c r="A31" s="612" t="s">
        <v>735</v>
      </c>
      <c r="B31" s="613"/>
      <c r="C31" s="209"/>
      <c r="D31" s="209"/>
      <c r="E31" s="215"/>
      <c r="F31" s="216"/>
      <c r="G31" s="217"/>
      <c r="H31" s="213">
        <v>0</v>
      </c>
      <c r="I31" s="275">
        <f>IF(G31=0,0,G31*DONNÉES!$E$12)</f>
        <v>0</v>
      </c>
      <c r="J31" s="214">
        <f t="shared" si="2"/>
        <v>0</v>
      </c>
      <c r="K31" s="214">
        <f t="shared" si="6"/>
        <v>0</v>
      </c>
      <c r="L31" s="698" t="s">
        <v>72</v>
      </c>
      <c r="M31" s="699"/>
      <c r="N31" s="699"/>
      <c r="O31" s="772"/>
      <c r="P31" s="773" t="s">
        <v>73</v>
      </c>
      <c r="Q31" s="699"/>
      <c r="R31" s="699"/>
      <c r="S31" s="699"/>
      <c r="T31" s="699"/>
      <c r="U31" s="699"/>
      <c r="V31" s="700"/>
      <c r="X31" s="439" t="s">
        <v>519</v>
      </c>
      <c r="Y31" s="320"/>
      <c r="Z31" s="339">
        <v>100</v>
      </c>
      <c r="AA31" s="339">
        <f>Z31*Y31</f>
        <v>0</v>
      </c>
    </row>
    <row r="32" spans="1:27" x14ac:dyDescent="0.25">
      <c r="A32" s="674" t="s">
        <v>736</v>
      </c>
      <c r="B32" s="675"/>
      <c r="C32" s="209"/>
      <c r="D32" s="209"/>
      <c r="E32" s="215"/>
      <c r="F32" s="216"/>
      <c r="G32" s="217"/>
      <c r="H32" s="213">
        <v>0</v>
      </c>
      <c r="I32" s="275">
        <f>IF(G32=0,0,G32*DONNÉES!$E$12)</f>
        <v>0</v>
      </c>
      <c r="J32" s="214">
        <f t="shared" si="2"/>
        <v>0</v>
      </c>
      <c r="K32" s="214">
        <f t="shared" si="6"/>
        <v>0</v>
      </c>
      <c r="L32" s="695" t="s">
        <v>75</v>
      </c>
      <c r="M32" s="697"/>
      <c r="N32" s="194" t="s">
        <v>76</v>
      </c>
      <c r="O32" s="194" t="s">
        <v>77</v>
      </c>
      <c r="P32" s="722" t="s">
        <v>36</v>
      </c>
      <c r="Q32" s="696"/>
      <c r="R32" s="696"/>
      <c r="S32" s="696"/>
      <c r="T32" s="697"/>
      <c r="U32" s="194" t="s">
        <v>78</v>
      </c>
      <c r="V32" s="198" t="s">
        <v>77</v>
      </c>
      <c r="X32" s="439" t="s">
        <v>519</v>
      </c>
      <c r="Y32" s="320"/>
      <c r="Z32" s="339">
        <v>50</v>
      </c>
      <c r="AA32" s="339">
        <f>Z32*Y32</f>
        <v>0</v>
      </c>
    </row>
    <row r="33" spans="1:29" x14ac:dyDescent="0.25">
      <c r="A33" s="674" t="s">
        <v>738</v>
      </c>
      <c r="B33" s="677"/>
      <c r="C33" s="209"/>
      <c r="D33" s="209"/>
      <c r="E33" s="215"/>
      <c r="F33" s="216"/>
      <c r="G33" s="217"/>
      <c r="H33" s="213">
        <f t="shared" ref="H33:H41" si="7">IF(F33=0,0,"")</f>
        <v>0</v>
      </c>
      <c r="I33" s="275">
        <f>IF(G33=0,0,G33*DONNÉES!$E$12)</f>
        <v>0</v>
      </c>
      <c r="J33" s="214">
        <f t="shared" si="2"/>
        <v>0</v>
      </c>
      <c r="K33" s="214">
        <f t="shared" si="6"/>
        <v>0</v>
      </c>
      <c r="L33" s="724" t="s">
        <v>80</v>
      </c>
      <c r="M33" s="694"/>
      <c r="N33" s="291">
        <f>IF('SOMM. T.OFF'!D32="","",'SOMM. T.OFF'!D32)</f>
        <v>0</v>
      </c>
      <c r="O33" s="292">
        <f>N33*DONNÉES!E27</f>
        <v>0</v>
      </c>
      <c r="P33" s="789" t="s">
        <v>81</v>
      </c>
      <c r="Q33" s="790"/>
      <c r="R33" s="768" t="s">
        <v>482</v>
      </c>
      <c r="S33" s="693"/>
      <c r="T33" s="694"/>
      <c r="U33" s="245">
        <f>IF('SOMM. T.OFF'!H49=0,0,'SOMM. T.OFF'!H49)</f>
        <v>0</v>
      </c>
      <c r="V33" s="286">
        <f>U33*DONNÉES!I12</f>
        <v>0</v>
      </c>
      <c r="X33" s="320"/>
      <c r="Y33" s="320"/>
      <c r="Z33" s="339"/>
      <c r="AA33" s="339">
        <f t="shared" si="1"/>
        <v>0</v>
      </c>
    </row>
    <row r="34" spans="1:29" x14ac:dyDescent="0.25">
      <c r="A34" s="674" t="s">
        <v>739</v>
      </c>
      <c r="B34" s="675"/>
      <c r="C34" s="209"/>
      <c r="D34" s="209"/>
      <c r="E34" s="215"/>
      <c r="F34" s="216"/>
      <c r="G34" s="217"/>
      <c r="H34" s="213">
        <f t="shared" si="7"/>
        <v>0</v>
      </c>
      <c r="I34" s="275">
        <f>IF(G34=0,0,G34*DONNÉES!$E$12)</f>
        <v>0</v>
      </c>
      <c r="J34" s="214">
        <f t="shared" si="2"/>
        <v>0</v>
      </c>
      <c r="K34" s="214">
        <f t="shared" si="6"/>
        <v>0</v>
      </c>
      <c r="L34" s="674" t="s">
        <v>83</v>
      </c>
      <c r="M34" s="678"/>
      <c r="N34" s="293">
        <f>IF('SOMM. T.OFF'!D33="","",'SOMM. T.OFF'!D33)</f>
        <v>0</v>
      </c>
      <c r="O34" s="281">
        <f>N34*DONNÉES!E28</f>
        <v>0</v>
      </c>
      <c r="P34" s="778"/>
      <c r="Q34" s="779"/>
      <c r="R34" s="762" t="s">
        <v>483</v>
      </c>
      <c r="S34" s="677"/>
      <c r="T34" s="678"/>
      <c r="U34" s="247">
        <f>IF('SOMM. T.OFF'!H50=0,0,'SOMM. T.OFF'!H50)</f>
        <v>0</v>
      </c>
      <c r="V34" s="287">
        <f>U34*DONNÉES!I13</f>
        <v>0</v>
      </c>
      <c r="X34" s="320"/>
      <c r="Y34" s="320"/>
      <c r="Z34" s="339"/>
      <c r="AA34" s="339">
        <f t="shared" si="1"/>
        <v>0</v>
      </c>
    </row>
    <row r="35" spans="1:29" x14ac:dyDescent="0.25">
      <c r="A35" s="674" t="s">
        <v>740</v>
      </c>
      <c r="B35" s="677"/>
      <c r="C35" s="209"/>
      <c r="D35" s="209"/>
      <c r="E35" s="215"/>
      <c r="F35" s="216"/>
      <c r="G35" s="217"/>
      <c r="H35" s="213">
        <f t="shared" si="7"/>
        <v>0</v>
      </c>
      <c r="I35" s="275">
        <f>IF(G35=0,0,G35*DONNÉES!$E$12)</f>
        <v>0</v>
      </c>
      <c r="J35" s="214">
        <f t="shared" si="2"/>
        <v>0</v>
      </c>
      <c r="K35" s="214">
        <f t="shared" si="6"/>
        <v>0</v>
      </c>
      <c r="L35" s="674" t="s">
        <v>85</v>
      </c>
      <c r="M35" s="678"/>
      <c r="N35" s="293">
        <f>IF('SOMM. T.OFF'!D34="","",'SOMM. T.OFF'!D34)</f>
        <v>0</v>
      </c>
      <c r="O35" s="281">
        <f>N35*DONNÉES!E29</f>
        <v>0</v>
      </c>
      <c r="P35" s="774" t="s">
        <v>86</v>
      </c>
      <c r="Q35" s="775"/>
      <c r="R35" s="762" t="s">
        <v>87</v>
      </c>
      <c r="S35" s="677"/>
      <c r="T35" s="678"/>
      <c r="U35" s="247">
        <f>IF('SOMM. T.OFF'!F58="",0,'SOMM. T.OFF'!F58)</f>
        <v>0</v>
      </c>
      <c r="V35" s="287">
        <f>U35*DONNÉES!I14</f>
        <v>0</v>
      </c>
      <c r="X35" s="320"/>
      <c r="Y35" s="320"/>
      <c r="Z35" s="339"/>
      <c r="AA35" s="339">
        <f t="shared" si="1"/>
        <v>0</v>
      </c>
    </row>
    <row r="36" spans="1:29" x14ac:dyDescent="0.25">
      <c r="A36" s="674" t="s">
        <v>92</v>
      </c>
      <c r="B36" s="677"/>
      <c r="C36" s="209"/>
      <c r="D36" s="209"/>
      <c r="E36" s="215"/>
      <c r="F36" s="216">
        <f>IF('SOMM. T.OFF'!E52=0,0,'SOMM. T.OFF'!E52)</f>
        <v>0</v>
      </c>
      <c r="G36" s="217"/>
      <c r="H36" s="213">
        <v>0</v>
      </c>
      <c r="I36" s="275">
        <f>IF(G36=0,0,G36*DONNÉES!$E$12)</f>
        <v>0</v>
      </c>
      <c r="J36" s="214">
        <f t="shared" si="2"/>
        <v>0</v>
      </c>
      <c r="K36" s="214">
        <f t="shared" si="6"/>
        <v>0</v>
      </c>
      <c r="L36" s="723" t="s">
        <v>89</v>
      </c>
      <c r="M36" s="673"/>
      <c r="N36" s="294">
        <f>IF('SOMM. T.OFF'!D35="","",'SOMM. T.OFF'!D35)</f>
        <v>0</v>
      </c>
      <c r="O36" s="283">
        <f>N36*DONNÉES!E30</f>
        <v>0</v>
      </c>
      <c r="P36" s="778"/>
      <c r="Q36" s="779"/>
      <c r="R36" s="762" t="s">
        <v>90</v>
      </c>
      <c r="S36" s="677"/>
      <c r="T36" s="678"/>
      <c r="U36" s="247">
        <f>IF('SOMM. T.OFF'!F59="",0,'SOMM. T.OFF'!F59)</f>
        <v>0</v>
      </c>
      <c r="V36" s="287">
        <f>U36*DONNÉES!I15</f>
        <v>0</v>
      </c>
      <c r="X36" s="320"/>
      <c r="Y36" s="320"/>
      <c r="Z36" s="339"/>
      <c r="AA36" s="339">
        <f t="shared" si="1"/>
        <v>0</v>
      </c>
    </row>
    <row r="37" spans="1:29" x14ac:dyDescent="0.25">
      <c r="A37" s="674" t="s">
        <v>737</v>
      </c>
      <c r="B37" s="677"/>
      <c r="C37" s="209"/>
      <c r="D37" s="209"/>
      <c r="E37" s="215"/>
      <c r="F37" s="216">
        <f>'SOMM. T.OFF'!E62</f>
        <v>0</v>
      </c>
      <c r="G37" s="217"/>
      <c r="H37" s="213">
        <v>0</v>
      </c>
      <c r="I37" s="275">
        <f>IF(G37=0,0,G37*DONNÉES!$E$12)</f>
        <v>0</v>
      </c>
      <c r="J37" s="214">
        <f t="shared" si="2"/>
        <v>0</v>
      </c>
      <c r="K37" s="214">
        <f t="shared" si="6"/>
        <v>0</v>
      </c>
      <c r="L37" s="248"/>
      <c r="M37" s="701" t="s">
        <v>55</v>
      </c>
      <c r="N37" s="702"/>
      <c r="O37" s="295">
        <f>SUM(O33:O36)</f>
        <v>0</v>
      </c>
      <c r="P37" s="676" t="s">
        <v>637</v>
      </c>
      <c r="Q37" s="677"/>
      <c r="R37" s="677"/>
      <c r="S37" s="677"/>
      <c r="T37" s="678"/>
      <c r="U37" s="204">
        <f>IF('SOMM. T.OFF'!E51=0,0,'SOMM. T.OFF'!E51)</f>
        <v>0</v>
      </c>
      <c r="V37" s="287">
        <f>U37*DONNÉES!I16</f>
        <v>0</v>
      </c>
      <c r="X37" s="440"/>
      <c r="Y37" s="712" t="s">
        <v>502</v>
      </c>
      <c r="Z37" s="713"/>
      <c r="AA37" s="441">
        <f>SUM(AA6:AA36)</f>
        <v>750</v>
      </c>
    </row>
    <row r="38" spans="1:29" x14ac:dyDescent="0.25">
      <c r="A38" s="612" t="s">
        <v>96</v>
      </c>
      <c r="B38" s="613"/>
      <c r="C38" s="209"/>
      <c r="D38" s="209"/>
      <c r="E38" s="215"/>
      <c r="F38" s="216">
        <f>IF(AND('SOMM. T.OFF'!E53,'SOMM. T.OFF'!E54,0),0,'SOMM. T.OFF'!E53+'SOMM. T.OFF'!E54)</f>
        <v>0</v>
      </c>
      <c r="G38" s="217"/>
      <c r="H38" s="213">
        <v>0</v>
      </c>
      <c r="I38" s="275">
        <f>IF(G38=0,0,G38*DONNÉES!$E$12)</f>
        <v>0</v>
      </c>
      <c r="J38" s="214">
        <f>IF(E38=0,0,('SOMM. T.OFF'!F53*DONNÉES!I34)+('SOMM. T.OFF'!F54*DONNÉES!I35))</f>
        <v>0</v>
      </c>
      <c r="K38" s="214">
        <f t="shared" si="6"/>
        <v>0</v>
      </c>
      <c r="L38" s="812"/>
      <c r="M38" s="813"/>
      <c r="N38" s="813"/>
      <c r="O38" s="814"/>
      <c r="P38" s="676" t="s">
        <v>91</v>
      </c>
      <c r="Q38" s="677"/>
      <c r="R38" s="677"/>
      <c r="S38" s="677"/>
      <c r="T38" s="678"/>
      <c r="U38" s="204">
        <f>IF('SOMM. T.OFF'!E60=0,0,'SOMM. T.OFF'!E60)</f>
        <v>0</v>
      </c>
      <c r="V38" s="287">
        <f>U38*DONNÉES!I17</f>
        <v>0</v>
      </c>
    </row>
    <row r="39" spans="1:29" x14ac:dyDescent="0.25">
      <c r="A39" s="674" t="s">
        <v>98</v>
      </c>
      <c r="B39" s="675"/>
      <c r="D39" s="209"/>
      <c r="E39" s="215"/>
      <c r="F39" s="216"/>
      <c r="G39" s="217"/>
      <c r="H39" s="213">
        <v>0</v>
      </c>
      <c r="I39" s="275">
        <f>IF(G39=0,0,G39*DONNÉES!$E$12)</f>
        <v>0</v>
      </c>
      <c r="J39" s="214">
        <f>IF(E39=0,0,"")</f>
        <v>0</v>
      </c>
      <c r="K39" s="214">
        <f t="shared" si="6"/>
        <v>0</v>
      </c>
      <c r="L39" s="698" t="s">
        <v>93</v>
      </c>
      <c r="M39" s="699"/>
      <c r="N39" s="699"/>
      <c r="O39" s="772"/>
      <c r="P39" s="774" t="s">
        <v>94</v>
      </c>
      <c r="Q39" s="775"/>
      <c r="R39" s="762" t="s">
        <v>95</v>
      </c>
      <c r="S39" s="677"/>
      <c r="T39" s="678"/>
      <c r="U39" s="204">
        <f>IF('SOMM. T.OFF'!F47=0,0,'SOMM. T.OFF'!F47)</f>
        <v>0</v>
      </c>
      <c r="V39" s="287">
        <f>U39*DONNÉES!I18</f>
        <v>0</v>
      </c>
      <c r="X39" s="853" t="s">
        <v>711</v>
      </c>
      <c r="Y39" s="853"/>
      <c r="Z39" s="853"/>
      <c r="AA39" s="853"/>
      <c r="AB39" s="853"/>
      <c r="AC39" s="853"/>
    </row>
    <row r="40" spans="1:29" x14ac:dyDescent="0.25">
      <c r="A40" s="674" t="s">
        <v>102</v>
      </c>
      <c r="B40" s="677"/>
      <c r="C40" s="209"/>
      <c r="D40" s="209"/>
      <c r="E40" s="215"/>
      <c r="F40" s="216"/>
      <c r="G40" s="217"/>
      <c r="H40" s="213">
        <f t="shared" si="7"/>
        <v>0</v>
      </c>
      <c r="I40" s="275">
        <f>IF(G40=0,0,G40*DONNÉES!$E$12)</f>
        <v>0</v>
      </c>
      <c r="J40" s="214">
        <f>IF(E40=0,0,"")</f>
        <v>0</v>
      </c>
      <c r="K40" s="214">
        <f t="shared" ref="K40" si="8">IF(E40=0,0,"")</f>
        <v>0</v>
      </c>
      <c r="L40" s="695" t="s">
        <v>36</v>
      </c>
      <c r="M40" s="697"/>
      <c r="N40" s="194" t="s">
        <v>21</v>
      </c>
      <c r="O40" s="249" t="s">
        <v>77</v>
      </c>
      <c r="P40" s="778"/>
      <c r="Q40" s="779"/>
      <c r="R40" s="762" t="s">
        <v>97</v>
      </c>
      <c r="S40" s="677"/>
      <c r="T40" s="678"/>
      <c r="U40" s="204">
        <f>IF('SOMM. T.OFF'!F48=0,0,'SOMM. T.OFF'!F48)</f>
        <v>0</v>
      </c>
      <c r="V40" s="287">
        <f>U40*DONNÉES!I19</f>
        <v>0</v>
      </c>
      <c r="X40" s="854"/>
      <c r="Y40" s="854"/>
      <c r="Z40" s="854"/>
      <c r="AA40" s="854"/>
      <c r="AB40" s="854"/>
      <c r="AC40" s="854"/>
    </row>
    <row r="41" spans="1:29" x14ac:dyDescent="0.25">
      <c r="A41" s="674" t="s">
        <v>741</v>
      </c>
      <c r="B41" s="677"/>
      <c r="C41" s="209"/>
      <c r="D41" s="209"/>
      <c r="E41" s="215"/>
      <c r="F41" s="216"/>
      <c r="G41" s="217"/>
      <c r="H41" s="213">
        <f t="shared" si="7"/>
        <v>0</v>
      </c>
      <c r="I41" s="275">
        <f>IF(G41=0,0,G41*DONNÉES!$E$12)</f>
        <v>0</v>
      </c>
      <c r="J41" s="214">
        <f t="shared" ref="J41:J43" si="9">IF(E41=0,0,"")</f>
        <v>0</v>
      </c>
      <c r="K41" s="214">
        <f t="shared" si="6"/>
        <v>0</v>
      </c>
      <c r="L41" s="724" t="s">
        <v>99</v>
      </c>
      <c r="M41" s="694"/>
      <c r="N41" s="250"/>
      <c r="O41" s="281">
        <f>IF(N41=0,0,N41*DONNÉES!E41)</f>
        <v>0</v>
      </c>
      <c r="P41" s="774" t="s">
        <v>100</v>
      </c>
      <c r="Q41" s="775"/>
      <c r="R41" s="762" t="s">
        <v>101</v>
      </c>
      <c r="S41" s="677"/>
      <c r="T41" s="678"/>
      <c r="U41" s="204">
        <f>IF('SOMM. T.OFF'!E56=0,0,'SOMM. T.OFF'!E56)</f>
        <v>0</v>
      </c>
      <c r="V41" s="287">
        <f>U41*DONNÉES!I20</f>
        <v>0</v>
      </c>
      <c r="X41" s="320"/>
      <c r="Y41" s="601"/>
      <c r="Z41" s="439"/>
      <c r="AA41" s="439"/>
      <c r="AB41" s="439"/>
      <c r="AC41" s="320"/>
    </row>
    <row r="42" spans="1:29" x14ac:dyDescent="0.25">
      <c r="A42" s="612" t="s">
        <v>107</v>
      </c>
      <c r="B42" s="613"/>
      <c r="C42" s="613"/>
      <c r="D42" s="614"/>
      <c r="E42" s="444" t="str">
        <f>IF(INFOSPROJET!D64="","",INFOSPROJET!D64)</f>
        <v/>
      </c>
      <c r="F42" s="216"/>
      <c r="G42" s="217"/>
      <c r="H42" s="213">
        <v>0</v>
      </c>
      <c r="I42" s="275">
        <f>IF(G42=0,0,G42*DONNÉES!$E$12)</f>
        <v>0</v>
      </c>
      <c r="J42" s="214">
        <f>IF(E42="",0,"")</f>
        <v>0</v>
      </c>
      <c r="K42" s="214">
        <f>J42</f>
        <v>0</v>
      </c>
      <c r="L42" s="674" t="s">
        <v>103</v>
      </c>
      <c r="M42" s="678"/>
      <c r="N42" s="250"/>
      <c r="O42" s="281">
        <f>IF(N42=0,0,N42*DONNÉES!E42)</f>
        <v>0</v>
      </c>
      <c r="P42" s="778"/>
      <c r="Q42" s="779"/>
      <c r="R42" s="762" t="s">
        <v>104</v>
      </c>
      <c r="S42" s="677"/>
      <c r="T42" s="678"/>
      <c r="U42" s="204">
        <f>IF('SOMM. T.OFF'!F57=0,0,'SOMM. T.OFF'!F57)</f>
        <v>0</v>
      </c>
      <c r="V42" s="287">
        <f>U42*DONNÉES!I21</f>
        <v>0</v>
      </c>
      <c r="X42" s="602" t="s">
        <v>717</v>
      </c>
      <c r="Y42" s="601" t="s">
        <v>715</v>
      </c>
      <c r="Z42" s="439" t="s">
        <v>718</v>
      </c>
      <c r="AA42" s="439" t="s">
        <v>716</v>
      </c>
      <c r="AB42" s="439" t="s">
        <v>722</v>
      </c>
      <c r="AC42" s="439" t="s">
        <v>724</v>
      </c>
    </row>
    <row r="43" spans="1:29" x14ac:dyDescent="0.25">
      <c r="A43" s="674" t="s">
        <v>109</v>
      </c>
      <c r="B43" s="677"/>
      <c r="C43" s="677"/>
      <c r="D43" s="675"/>
      <c r="E43" s="215"/>
      <c r="F43" s="216"/>
      <c r="G43" s="217"/>
      <c r="H43" s="213">
        <v>0</v>
      </c>
      <c r="I43" s="275">
        <f>IF(G43=0,0,G43*DONNÉES!$E$12)</f>
        <v>0</v>
      </c>
      <c r="J43" s="214">
        <f t="shared" si="9"/>
        <v>0</v>
      </c>
      <c r="K43" s="214">
        <f t="shared" si="6"/>
        <v>0</v>
      </c>
      <c r="L43" s="674" t="s">
        <v>105</v>
      </c>
      <c r="M43" s="678"/>
      <c r="N43" s="250"/>
      <c r="O43" s="281">
        <f>IF(N43=0,0,N43*DONNÉES!E43)</f>
        <v>0</v>
      </c>
      <c r="P43" s="676" t="s">
        <v>106</v>
      </c>
      <c r="Q43" s="677"/>
      <c r="R43" s="677"/>
      <c r="S43" s="677"/>
      <c r="T43" s="678"/>
      <c r="U43" s="204">
        <f>IF('SOMM. T.OFF'!F55=0,0,'SOMM. T.OFF'!F55)</f>
        <v>0</v>
      </c>
      <c r="V43" s="287">
        <f>U43*DONNÉES!I22</f>
        <v>0</v>
      </c>
      <c r="X43" s="199" t="s">
        <v>712</v>
      </c>
      <c r="Y43" s="611" t="s">
        <v>498</v>
      </c>
      <c r="Z43" s="603">
        <f ca="1">M13</f>
        <v>0</v>
      </c>
      <c r="AA43" s="320">
        <f>AA47*3.4</f>
        <v>0</v>
      </c>
      <c r="AB43" s="439">
        <v>62.5</v>
      </c>
      <c r="AC43" s="603">
        <f ca="1">IF(Y43="x",($Z$43+$AA$43)/AB43,0)</f>
        <v>0</v>
      </c>
    </row>
    <row r="44" spans="1:29" x14ac:dyDescent="0.25">
      <c r="A44" s="674" t="s">
        <v>113</v>
      </c>
      <c r="B44" s="677"/>
      <c r="C44" s="677"/>
      <c r="D44" s="675"/>
      <c r="E44" s="444"/>
      <c r="F44" s="216">
        <f>IF('SOMM. T.OFF'!F61=0,0,'SOMM. T.OFF'!F61)</f>
        <v>0</v>
      </c>
      <c r="G44" s="217"/>
      <c r="H44" s="213">
        <f>IF(F44=0,0,F44*DONNÉES!I28)</f>
        <v>0</v>
      </c>
      <c r="I44" s="275">
        <f>IF(G44=0,0,G44*DONNÉES!$E$12)</f>
        <v>0</v>
      </c>
      <c r="J44" s="214">
        <v>0</v>
      </c>
      <c r="K44" s="214">
        <v>0</v>
      </c>
      <c r="L44" s="674" t="s">
        <v>108</v>
      </c>
      <c r="M44" s="678"/>
      <c r="N44" s="250"/>
      <c r="O44" s="281">
        <f>IF(N44=0,0,N44*DONNÉES!E44)</f>
        <v>0</v>
      </c>
      <c r="P44" s="676" t="s">
        <v>642</v>
      </c>
      <c r="Q44" s="677"/>
      <c r="R44" s="677"/>
      <c r="S44" s="677"/>
      <c r="T44" s="678"/>
      <c r="U44" s="204">
        <f>IF('SOMM. T.OFF'!F52=0,0,'SOMM. T.OFF'!F52)</f>
        <v>0</v>
      </c>
      <c r="V44" s="287">
        <f>U44*DONNÉES!I23</f>
        <v>0</v>
      </c>
      <c r="X44" s="199" t="s">
        <v>713</v>
      </c>
      <c r="Y44" s="611"/>
      <c r="Z44" s="604"/>
      <c r="AA44" s="604"/>
      <c r="AB44" s="605">
        <v>31.25</v>
      </c>
      <c r="AC44" s="603">
        <f t="shared" ref="AC44:AC45" si="10">IF(Y44="x",($Z$43+$AA$43)/AB44,0)</f>
        <v>0</v>
      </c>
    </row>
    <row r="45" spans="1:29" x14ac:dyDescent="0.25">
      <c r="A45" s="674" t="s">
        <v>472</v>
      </c>
      <c r="B45" s="677"/>
      <c r="C45" s="677"/>
      <c r="D45" s="675"/>
      <c r="E45" s="444" t="str">
        <f>IF(INFOSPROJET!D31="","",INFOSPROJET!D31)</f>
        <v/>
      </c>
      <c r="F45" s="216">
        <f>'ROND ET FLEX'!A10+'ROND ET FLEX'!Y7</f>
        <v>0</v>
      </c>
      <c r="G45" s="217"/>
      <c r="H45" s="213">
        <f>'ROND ET FLEX'!B10+'ROND ET FLEX'!Y6</f>
        <v>0</v>
      </c>
      <c r="I45" s="275">
        <f>IF(G45=0,0,G45*DONNÉES!$E$12)</f>
        <v>0</v>
      </c>
      <c r="J45" s="214">
        <v>0</v>
      </c>
      <c r="K45" s="214">
        <v>0</v>
      </c>
      <c r="L45" s="723" t="s">
        <v>110</v>
      </c>
      <c r="M45" s="673"/>
      <c r="N45" s="251"/>
      <c r="O45" s="283">
        <f>IF(N45=0,0,N45*DONNÉES!E12)</f>
        <v>0</v>
      </c>
      <c r="P45" s="774" t="s">
        <v>111</v>
      </c>
      <c r="Q45" s="775"/>
      <c r="R45" s="762" t="s">
        <v>112</v>
      </c>
      <c r="S45" s="677"/>
      <c r="T45" s="678"/>
      <c r="U45" s="204">
        <v>0</v>
      </c>
      <c r="V45" s="287">
        <f>U45*DONNÉES!I24</f>
        <v>0</v>
      </c>
      <c r="X45" s="199" t="s">
        <v>714</v>
      </c>
      <c r="Y45" s="611"/>
      <c r="Z45" s="604"/>
      <c r="AA45" s="604"/>
      <c r="AB45" s="606">
        <v>15.625</v>
      </c>
      <c r="AC45" s="603">
        <f t="shared" si="10"/>
        <v>0</v>
      </c>
    </row>
    <row r="46" spans="1:29" x14ac:dyDescent="0.25">
      <c r="A46" s="674" t="s">
        <v>116</v>
      </c>
      <c r="B46" s="677"/>
      <c r="C46" s="677"/>
      <c r="D46" s="675"/>
      <c r="E46" s="444"/>
      <c r="F46" s="216">
        <f>'ROND ET FLEX'!A3</f>
        <v>0</v>
      </c>
      <c r="G46" s="217"/>
      <c r="H46" s="213">
        <f>'ROND ET FLEX'!B3</f>
        <v>0</v>
      </c>
      <c r="I46" s="275">
        <f>IF(G46=0,0,G46*DONNÉES!$E$12)</f>
        <v>0</v>
      </c>
      <c r="J46" s="214">
        <v>0</v>
      </c>
      <c r="K46" s="214">
        <v>0</v>
      </c>
      <c r="L46" s="701" t="s">
        <v>55</v>
      </c>
      <c r="M46" s="702"/>
      <c r="N46" s="285">
        <f>SUM(N41/2,N42/2,N43/2,N44,N45)</f>
        <v>0</v>
      </c>
      <c r="O46" s="284">
        <f>SUM(O41:O45)</f>
        <v>0</v>
      </c>
      <c r="P46" s="776"/>
      <c r="Q46" s="777"/>
      <c r="R46" s="762" t="s">
        <v>114</v>
      </c>
      <c r="S46" s="677"/>
      <c r="T46" s="678"/>
      <c r="U46" s="204">
        <v>0</v>
      </c>
      <c r="V46" s="287">
        <f>U46*DONNÉES!I25</f>
        <v>0</v>
      </c>
      <c r="W46" s="437"/>
      <c r="X46" s="602" t="s">
        <v>723</v>
      </c>
      <c r="Y46" s="608"/>
      <c r="Z46" s="439" t="s">
        <v>719</v>
      </c>
      <c r="AA46" s="439" t="s">
        <v>720</v>
      </c>
      <c r="AB46" s="439" t="s">
        <v>721</v>
      </c>
      <c r="AC46" s="320"/>
    </row>
    <row r="47" spans="1:29" x14ac:dyDescent="0.25">
      <c r="A47" s="674" t="s">
        <v>497</v>
      </c>
      <c r="B47" s="677"/>
      <c r="C47" s="677"/>
      <c r="D47" s="675"/>
      <c r="E47" s="444" t="str">
        <f>IF(INFOSPROJET!D23="","X",INFOSPROJET!D23)</f>
        <v>X</v>
      </c>
      <c r="F47" s="216"/>
      <c r="G47" s="217"/>
      <c r="H47" s="279">
        <f>N13*12/56*4.6</f>
        <v>0</v>
      </c>
      <c r="I47" s="275">
        <f>IF(G47=0,0,G47*DONNÉES!$E$12)</f>
        <v>0</v>
      </c>
      <c r="J47" s="214">
        <v>0</v>
      </c>
      <c r="K47" s="214">
        <v>0</v>
      </c>
      <c r="L47" s="765"/>
      <c r="M47" s="766"/>
      <c r="N47" s="766"/>
      <c r="O47" s="780"/>
      <c r="P47" s="776"/>
      <c r="Q47" s="777"/>
      <c r="R47" s="762" t="s">
        <v>526</v>
      </c>
      <c r="S47" s="677"/>
      <c r="T47" s="678"/>
      <c r="U47" s="204">
        <v>0</v>
      </c>
      <c r="V47" s="287">
        <f>U47*DONNÉES!I26</f>
        <v>0</v>
      </c>
      <c r="X47" s="199" t="s">
        <v>712</v>
      </c>
      <c r="Y47" s="611"/>
      <c r="Z47" s="603">
        <f>N13</f>
        <v>0</v>
      </c>
      <c r="AA47" s="320">
        <f>SUM(S18:S21)+F46</f>
        <v>0</v>
      </c>
      <c r="AB47" s="320">
        <v>40</v>
      </c>
      <c r="AC47" s="603">
        <f>IF(Y47="x",($Z$43+$AA$43)/AB47,0)</f>
        <v>0</v>
      </c>
    </row>
    <row r="48" spans="1:29" x14ac:dyDescent="0.25">
      <c r="A48" s="674" t="s">
        <v>121</v>
      </c>
      <c r="B48" s="677"/>
      <c r="C48" s="677"/>
      <c r="D48" s="675"/>
      <c r="E48" s="444"/>
      <c r="F48" s="216"/>
      <c r="G48" s="217"/>
      <c r="H48" s="213">
        <v>0</v>
      </c>
      <c r="I48" s="275">
        <f>IF(E48=0,0,IF(E48="SOIR",SUM(G55,G81,U13,U23,N46)*DONNÉES!$E$12*0.25,SUM(G55,G81,U13,U23,N46)*DONNÉES!$E$12*1))</f>
        <v>0</v>
      </c>
      <c r="J48" s="214">
        <v>0</v>
      </c>
      <c r="K48" s="214">
        <v>0</v>
      </c>
      <c r="L48" s="698" t="s">
        <v>117</v>
      </c>
      <c r="M48" s="699"/>
      <c r="N48" s="699"/>
      <c r="O48" s="772"/>
      <c r="P48" s="778"/>
      <c r="Q48" s="779"/>
      <c r="R48" s="762" t="s">
        <v>527</v>
      </c>
      <c r="S48" s="677"/>
      <c r="T48" s="678"/>
      <c r="U48" s="204">
        <v>0</v>
      </c>
      <c r="V48" s="287">
        <f>U48*DONNÉES!I27</f>
        <v>0</v>
      </c>
      <c r="X48" s="199" t="s">
        <v>713</v>
      </c>
      <c r="Y48" s="611"/>
      <c r="Z48" s="604"/>
      <c r="AA48" s="604"/>
      <c r="AB48" s="320">
        <v>20</v>
      </c>
      <c r="AC48" s="603">
        <f t="shared" ref="AC48:AC49" si="11">IF(Y48="x",($Z$43+$AA$43)/AB48,0)</f>
        <v>0</v>
      </c>
    </row>
    <row r="49" spans="1:29" x14ac:dyDescent="0.25">
      <c r="A49" s="783" t="s">
        <v>464</v>
      </c>
      <c r="B49" s="784"/>
      <c r="C49" s="784"/>
      <c r="D49" s="785"/>
      <c r="E49" s="597" t="str">
        <f>IF(INFOSPROJET!D43="","",INFOSPROJET!D43)</f>
        <v/>
      </c>
      <c r="F49" s="216" t="str">
        <f>IF(E49="","0","?")</f>
        <v>0</v>
      </c>
      <c r="G49" s="217"/>
      <c r="H49" s="213">
        <f>F49*60</f>
        <v>0</v>
      </c>
      <c r="I49" s="275">
        <f>IF(G49=0,0,G49*DONNÉES!$E$12)</f>
        <v>0</v>
      </c>
      <c r="J49" s="214">
        <v>0</v>
      </c>
      <c r="K49" s="214">
        <v>0</v>
      </c>
      <c r="L49" s="781" t="s">
        <v>643</v>
      </c>
      <c r="M49" s="782"/>
      <c r="N49" s="487"/>
      <c r="O49" s="488">
        <f>IF(N49=0,0,N49*DONNÉES!E39)</f>
        <v>0</v>
      </c>
      <c r="P49" s="676" t="s">
        <v>119</v>
      </c>
      <c r="Q49" s="677"/>
      <c r="R49" s="677"/>
      <c r="S49" s="677"/>
      <c r="T49" s="678"/>
      <c r="U49" s="204"/>
      <c r="V49" s="288">
        <v>0</v>
      </c>
      <c r="X49" s="199" t="s">
        <v>714</v>
      </c>
      <c r="Y49" s="611"/>
      <c r="Z49" s="604"/>
      <c r="AA49" s="604"/>
      <c r="AB49" s="320">
        <v>10</v>
      </c>
      <c r="AC49" s="603">
        <f t="shared" si="11"/>
        <v>0</v>
      </c>
    </row>
    <row r="50" spans="1:29" x14ac:dyDescent="0.25">
      <c r="A50" s="674"/>
      <c r="B50" s="677"/>
      <c r="C50" s="677"/>
      <c r="D50" s="675"/>
      <c r="E50" s="444"/>
      <c r="F50" s="216"/>
      <c r="G50" s="217"/>
      <c r="H50" s="213">
        <f t="shared" ref="H50:H54" si="12">IF(F50=0,0,"")</f>
        <v>0</v>
      </c>
      <c r="I50" s="275">
        <f>IF(G50=0,0,G50*DONNÉES!$E$12)</f>
        <v>0</v>
      </c>
      <c r="J50" s="214">
        <f t="shared" ref="J50:J52" si="13">IF(E50=0,0,"")</f>
        <v>0</v>
      </c>
      <c r="K50" s="214">
        <f t="shared" ref="K50:K52" si="14">IF(E50=0,0,"")</f>
        <v>0</v>
      </c>
      <c r="L50" s="674" t="s">
        <v>122</v>
      </c>
      <c r="M50" s="675"/>
      <c r="N50" s="352"/>
      <c r="O50" s="246">
        <f>IF(N50=0,0,N50*DONNÉES!E40)</f>
        <v>0</v>
      </c>
      <c r="P50" s="676"/>
      <c r="Q50" s="677"/>
      <c r="R50" s="677"/>
      <c r="S50" s="677"/>
      <c r="T50" s="678"/>
      <c r="U50" s="204"/>
      <c r="V50" s="288">
        <v>0</v>
      </c>
      <c r="X50" s="439" t="s">
        <v>726</v>
      </c>
      <c r="Y50" s="320">
        <f>IF(Y43="",0,1)+IF(Y44="",0,1)+IF(Y45="",0,1)+IF(Y47="",0,1)+IF(Y48="",0,1)+IF(Y49="",0,1)</f>
        <v>1</v>
      </c>
      <c r="Z50" s="320"/>
      <c r="AA50" s="320"/>
      <c r="AB50" s="607" t="s">
        <v>725</v>
      </c>
      <c r="AC50" s="320">
        <f ca="1">(AC43+AC44+AC45+AC48+AC47+AC49)/Y50</f>
        <v>0</v>
      </c>
    </row>
    <row r="51" spans="1:29" x14ac:dyDescent="0.25">
      <c r="A51" s="674"/>
      <c r="B51" s="677"/>
      <c r="C51" s="677"/>
      <c r="D51" s="675"/>
      <c r="E51" s="215"/>
      <c r="F51" s="216"/>
      <c r="G51" s="217"/>
      <c r="H51" s="213">
        <f t="shared" si="12"/>
        <v>0</v>
      </c>
      <c r="I51" s="275">
        <f>IF(G51=0,0,G51*DONNÉES!$E$12)</f>
        <v>0</v>
      </c>
      <c r="J51" s="214">
        <f t="shared" si="13"/>
        <v>0</v>
      </c>
      <c r="K51" s="214">
        <f t="shared" si="14"/>
        <v>0</v>
      </c>
      <c r="L51" s="674" t="s">
        <v>123</v>
      </c>
      <c r="M51" s="677"/>
      <c r="N51" s="678"/>
      <c r="O51" s="246">
        <v>0</v>
      </c>
      <c r="P51" s="671"/>
      <c r="Q51" s="672"/>
      <c r="R51" s="672"/>
      <c r="S51" s="672"/>
      <c r="T51" s="673"/>
      <c r="U51" s="193"/>
      <c r="V51" s="289">
        <v>0</v>
      </c>
    </row>
    <row r="52" spans="1:29" x14ac:dyDescent="0.25">
      <c r="A52" s="674"/>
      <c r="B52" s="677"/>
      <c r="C52" s="677"/>
      <c r="D52" s="675"/>
      <c r="E52" s="597"/>
      <c r="F52" s="216"/>
      <c r="G52" s="217"/>
      <c r="H52" s="213">
        <f t="shared" si="12"/>
        <v>0</v>
      </c>
      <c r="I52" s="275">
        <f>IF(G52=0,0,G52*DONNÉES!$E$12)</f>
        <v>0</v>
      </c>
      <c r="J52" s="214">
        <f t="shared" si="13"/>
        <v>0</v>
      </c>
      <c r="K52" s="214">
        <f t="shared" si="14"/>
        <v>0</v>
      </c>
      <c r="L52" s="674" t="s">
        <v>124</v>
      </c>
      <c r="M52" s="675"/>
      <c r="N52" s="351"/>
      <c r="O52" s="648">
        <f>IF(N52&gt;65,IF(N52&gt;90,IF(N52&gt;119,$Q$74*2/8*DONNÉES!B53,$Q$74*2/8*DONNÉES!B52),$Q$74*2/8*DONNÉES!B51),0)</f>
        <v>0</v>
      </c>
      <c r="P52" s="679"/>
      <c r="Q52" s="680"/>
      <c r="R52" s="681"/>
      <c r="S52" s="701" t="s">
        <v>55</v>
      </c>
      <c r="T52" s="749"/>
      <c r="U52" s="702"/>
      <c r="V52" s="290">
        <f>SUM(V33:V51)</f>
        <v>0</v>
      </c>
    </row>
    <row r="53" spans="1:29" x14ac:dyDescent="0.25">
      <c r="A53" s="674"/>
      <c r="B53" s="677"/>
      <c r="C53" s="677"/>
      <c r="D53" s="675"/>
      <c r="E53" s="215"/>
      <c r="F53" s="216"/>
      <c r="G53" s="217"/>
      <c r="H53" s="213">
        <f t="shared" si="12"/>
        <v>0</v>
      </c>
      <c r="I53" s="275">
        <f>IF(G53=0,0,G53*DONNÉES!$E$12)</f>
        <v>0</v>
      </c>
      <c r="J53" s="214">
        <f t="shared" ref="J53:J54" si="15">IF(E53=0,0,"")</f>
        <v>0</v>
      </c>
      <c r="K53" s="214">
        <f t="shared" si="6"/>
        <v>0</v>
      </c>
      <c r="L53" s="674" t="s">
        <v>486</v>
      </c>
      <c r="M53" s="675"/>
      <c r="N53" s="645">
        <f ca="1">(Z43+AA43)/62.5*0.2</f>
        <v>0</v>
      </c>
      <c r="O53" s="646">
        <f ca="1">IF(N53=0,0,N53*DONNÉES!E45)</f>
        <v>0</v>
      </c>
      <c r="P53" s="690"/>
      <c r="Q53" s="691"/>
      <c r="R53" s="691"/>
      <c r="S53" s="691"/>
      <c r="T53" s="691"/>
      <c r="U53" s="691"/>
      <c r="V53" s="691"/>
      <c r="X53" s="272" t="s">
        <v>727</v>
      </c>
    </row>
    <row r="54" spans="1:29" x14ac:dyDescent="0.25">
      <c r="A54" s="723"/>
      <c r="B54" s="672"/>
      <c r="C54" s="672"/>
      <c r="D54" s="836"/>
      <c r="E54" s="255"/>
      <c r="F54" s="254"/>
      <c r="G54" s="256"/>
      <c r="H54" s="213">
        <f t="shared" si="12"/>
        <v>0</v>
      </c>
      <c r="I54" s="275">
        <f>IF(G54=0,0,G54*DONNÉES!$E$12)</f>
        <v>0</v>
      </c>
      <c r="J54" s="214">
        <f t="shared" si="15"/>
        <v>0</v>
      </c>
      <c r="K54" s="214">
        <f t="shared" si="6"/>
        <v>0</v>
      </c>
      <c r="L54" s="674" t="s">
        <v>487</v>
      </c>
      <c r="M54" s="675"/>
      <c r="N54" s="647">
        <f ca="1">AC50</f>
        <v>0</v>
      </c>
      <c r="O54" s="646">
        <f ca="1">IF(N54=0,0,N54*DONNÉES!E45)</f>
        <v>0</v>
      </c>
      <c r="P54" s="773" t="s">
        <v>125</v>
      </c>
      <c r="Q54" s="699"/>
      <c r="R54" s="699"/>
      <c r="S54" s="699"/>
      <c r="T54" s="699"/>
      <c r="U54" s="699"/>
      <c r="V54" s="700"/>
    </row>
    <row r="55" spans="1:29" s="201" customFormat="1" ht="13.5" customHeight="1" x14ac:dyDescent="0.2">
      <c r="A55" s="257"/>
      <c r="B55" s="701" t="s">
        <v>55</v>
      </c>
      <c r="C55" s="749"/>
      <c r="D55" s="749"/>
      <c r="E55" s="749"/>
      <c r="F55" s="702"/>
      <c r="G55" s="277">
        <f>SUM(G10:G54)</f>
        <v>0</v>
      </c>
      <c r="H55" s="278">
        <f>IF(COUNTBLANK(H10:H54)=0,SUM(H10:H44,H47:H54),"???")</f>
        <v>0</v>
      </c>
      <c r="I55" s="278">
        <f>IF(COUNTBLANK(I10:I54)=0,SUM(I10:I54),"???")</f>
        <v>0</v>
      </c>
      <c r="J55" s="278">
        <f>IF(COUNTBLANK($J$10:$J$54)=0,SUM($J$10:$J$54),"???")</f>
        <v>0</v>
      </c>
      <c r="K55" s="278">
        <f>IF(COUNTBLANK($K$10:$K$54)=0,SUM($K$10:$K$54),"???")</f>
        <v>0</v>
      </c>
      <c r="L55" s="674" t="s">
        <v>493</v>
      </c>
      <c r="M55" s="677"/>
      <c r="N55" s="678"/>
      <c r="O55" s="648">
        <f ca="1">(Z43+AA43)/62.5*0.2*DONNÉES!E45</f>
        <v>0</v>
      </c>
      <c r="P55" s="692" t="s">
        <v>126</v>
      </c>
      <c r="Q55" s="693"/>
      <c r="R55" s="693"/>
      <c r="S55" s="693"/>
      <c r="T55" s="693"/>
      <c r="U55" s="694"/>
      <c r="V55" s="207">
        <v>0</v>
      </c>
    </row>
    <row r="56" spans="1:29" x14ac:dyDescent="0.25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349" t="s">
        <v>127</v>
      </c>
      <c r="M56" s="350" t="s">
        <v>488</v>
      </c>
      <c r="N56" s="343"/>
      <c r="O56" s="246">
        <f>IF(N56=0,0,Q74/8*25)</f>
        <v>0</v>
      </c>
      <c r="P56" s="676"/>
      <c r="Q56" s="677"/>
      <c r="R56" s="677"/>
      <c r="S56" s="677"/>
      <c r="T56" s="677"/>
      <c r="U56" s="678"/>
      <c r="V56" s="207">
        <v>0</v>
      </c>
      <c r="X56" s="703" t="s">
        <v>645</v>
      </c>
      <c r="Y56" s="703"/>
      <c r="Z56" s="703"/>
      <c r="AA56" s="703"/>
    </row>
    <row r="57" spans="1:29" s="258" customFormat="1" ht="13.5" customHeight="1" x14ac:dyDescent="0.2">
      <c r="A57" s="698" t="s">
        <v>128</v>
      </c>
      <c r="B57" s="699"/>
      <c r="C57" s="699"/>
      <c r="D57" s="699"/>
      <c r="E57" s="699"/>
      <c r="F57" s="699"/>
      <c r="G57" s="699"/>
      <c r="H57" s="699"/>
      <c r="I57" s="699"/>
      <c r="J57" s="699"/>
      <c r="K57" s="700"/>
      <c r="L57" s="674" t="s">
        <v>129</v>
      </c>
      <c r="M57" s="677"/>
      <c r="N57" s="678"/>
      <c r="O57" s="246">
        <v>0</v>
      </c>
      <c r="P57" s="676"/>
      <c r="Q57" s="677"/>
      <c r="R57" s="677"/>
      <c r="S57" s="677"/>
      <c r="T57" s="677"/>
      <c r="U57" s="678"/>
      <c r="V57" s="207">
        <v>0</v>
      </c>
      <c r="X57" s="703"/>
      <c r="Y57" s="703"/>
      <c r="Z57" s="703"/>
      <c r="AA57" s="703"/>
    </row>
    <row r="58" spans="1:29" ht="13.5" customHeight="1" x14ac:dyDescent="0.25">
      <c r="A58" s="695" t="s">
        <v>36</v>
      </c>
      <c r="B58" s="696"/>
      <c r="C58" s="696"/>
      <c r="D58" s="860"/>
      <c r="E58" s="835" t="s">
        <v>39</v>
      </c>
      <c r="F58" s="697"/>
      <c r="G58" s="196" t="s">
        <v>21</v>
      </c>
      <c r="H58" s="198" t="s">
        <v>40</v>
      </c>
      <c r="I58" s="198" t="s">
        <v>41</v>
      </c>
      <c r="J58" s="198" t="s">
        <v>130</v>
      </c>
      <c r="K58" s="198" t="s">
        <v>131</v>
      </c>
      <c r="L58" s="674" t="s">
        <v>132</v>
      </c>
      <c r="M58" s="677"/>
      <c r="N58" s="678"/>
      <c r="O58" s="246">
        <v>0</v>
      </c>
      <c r="P58" s="676"/>
      <c r="Q58" s="677"/>
      <c r="R58" s="677"/>
      <c r="S58" s="677"/>
      <c r="T58" s="677"/>
      <c r="U58" s="678"/>
      <c r="V58" s="207">
        <v>0</v>
      </c>
      <c r="X58"/>
      <c r="Y58"/>
      <c r="Z58"/>
      <c r="AA58"/>
    </row>
    <row r="59" spans="1:29" x14ac:dyDescent="0.25">
      <c r="A59" s="724" t="s">
        <v>650</v>
      </c>
      <c r="B59" s="693"/>
      <c r="C59" s="693"/>
      <c r="D59" s="693"/>
      <c r="E59" s="865" t="str">
        <f>IF(INFOSPROJET!D10="","",INFOSPROJET!D10)</f>
        <v/>
      </c>
      <c r="F59" s="866"/>
      <c r="G59" s="480"/>
      <c r="H59" s="481">
        <v>0</v>
      </c>
      <c r="I59" s="482">
        <f>IF(G59=0,0,G59*DONNÉES!$E$12)</f>
        <v>0</v>
      </c>
      <c r="J59" s="483">
        <f>IF(E59="",0,IF(INFOSPROJET!G10="X","GÉNÉRAL",""))</f>
        <v>0</v>
      </c>
      <c r="K59" s="483">
        <f>IF(E59="",0,IF(INFOSPROJET!G10="X","GÉNÉRAL",""))</f>
        <v>0</v>
      </c>
      <c r="L59" s="674" t="s">
        <v>134</v>
      </c>
      <c r="M59" s="677"/>
      <c r="N59" s="678"/>
      <c r="O59" s="442">
        <v>0</v>
      </c>
      <c r="P59" s="676"/>
      <c r="Q59" s="677"/>
      <c r="R59" s="677"/>
      <c r="S59" s="677"/>
      <c r="T59" s="677"/>
      <c r="U59" s="678"/>
      <c r="V59" s="207">
        <v>0</v>
      </c>
      <c r="X59" s="438" t="s">
        <v>500</v>
      </c>
      <c r="Y59" s="438" t="s">
        <v>459</v>
      </c>
      <c r="Z59" s="438" t="s">
        <v>501</v>
      </c>
      <c r="AA59" s="438" t="s">
        <v>284</v>
      </c>
    </row>
    <row r="60" spans="1:29" x14ac:dyDescent="0.25">
      <c r="A60" s="674" t="s">
        <v>649</v>
      </c>
      <c r="B60" s="677"/>
      <c r="C60" s="677"/>
      <c r="D60" s="677"/>
      <c r="E60" s="863"/>
      <c r="F60" s="864"/>
      <c r="G60" s="484"/>
      <c r="H60" s="485">
        <v>0</v>
      </c>
      <c r="I60" s="486">
        <f>IF(G60=0,0,G60*DONNÉES!$E$12)</f>
        <v>0</v>
      </c>
      <c r="J60" s="483">
        <f>IF(E59="",0,IF(INFOSPROJET!G10="X","GÉNÉRAL",""))</f>
        <v>0</v>
      </c>
      <c r="K60" s="483">
        <f>IF(E59="",0,IF(INFOSPROJET!G10="X","GÉNÉRAL",""))</f>
        <v>0</v>
      </c>
      <c r="L60" s="674" t="s">
        <v>489</v>
      </c>
      <c r="M60" s="677"/>
      <c r="N60" s="678"/>
      <c r="O60" s="246">
        <v>0</v>
      </c>
      <c r="P60" s="676"/>
      <c r="Q60" s="677"/>
      <c r="R60" s="677"/>
      <c r="S60" s="677"/>
      <c r="T60" s="677"/>
      <c r="U60" s="678"/>
      <c r="V60" s="207">
        <v>0</v>
      </c>
      <c r="X60" s="439" t="s">
        <v>646</v>
      </c>
      <c r="Y60" s="320"/>
      <c r="Z60" s="479">
        <v>100</v>
      </c>
      <c r="AA60" s="339">
        <f>Z60*Y60</f>
        <v>0</v>
      </c>
    </row>
    <row r="61" spans="1:29" x14ac:dyDescent="0.25">
      <c r="A61" s="674" t="s">
        <v>653</v>
      </c>
      <c r="B61" s="677"/>
      <c r="C61" s="677"/>
      <c r="D61" s="677"/>
      <c r="E61" s="827" t="str">
        <f>IF(AA70=0,"","X")</f>
        <v/>
      </c>
      <c r="F61" s="828"/>
      <c r="G61" s="259"/>
      <c r="H61" s="218">
        <v>0</v>
      </c>
      <c r="I61" s="280">
        <f>IF(G61=0,0,G61*DONNÉES!$E$12)</f>
        <v>0</v>
      </c>
      <c r="J61" s="214">
        <f t="shared" ref="J61:J73" si="16">IF(E61="",0,"")</f>
        <v>0</v>
      </c>
      <c r="K61" s="214">
        <f t="shared" ref="K61:K73" si="17">IF(E61="",0,"")</f>
        <v>0</v>
      </c>
      <c r="L61" s="723" t="s">
        <v>136</v>
      </c>
      <c r="M61" s="672"/>
      <c r="N61" s="673"/>
      <c r="O61" s="443">
        <v>0</v>
      </c>
      <c r="P61" s="671"/>
      <c r="Q61" s="672"/>
      <c r="R61" s="672"/>
      <c r="S61" s="672"/>
      <c r="T61" s="672"/>
      <c r="U61" s="673"/>
      <c r="V61" s="222">
        <v>0</v>
      </c>
      <c r="X61" s="439" t="s">
        <v>651</v>
      </c>
      <c r="Y61" s="320"/>
      <c r="Z61" s="479">
        <v>50</v>
      </c>
      <c r="AA61" s="339">
        <f t="shared" ref="AA61:AA69" si="18">Z61*Y61</f>
        <v>0</v>
      </c>
    </row>
    <row r="62" spans="1:29" x14ac:dyDescent="0.25">
      <c r="A62" s="674" t="s">
        <v>133</v>
      </c>
      <c r="B62" s="677"/>
      <c r="C62" s="677"/>
      <c r="D62" s="675"/>
      <c r="E62" s="837" t="str">
        <f>IF(INFOSPROJET!D11="","",INFOSPROJET!D11)</f>
        <v/>
      </c>
      <c r="F62" s="838"/>
      <c r="G62" s="259"/>
      <c r="H62" s="218">
        <v>0</v>
      </c>
      <c r="I62" s="280">
        <f>IF(G62=0,0,G62*DONNÉES!$E$12)</f>
        <v>0</v>
      </c>
      <c r="J62" s="214">
        <f>IF(E62="",0,IF(INFOSPROJET!G11="X","GÉNÉRAL",""))</f>
        <v>0</v>
      </c>
      <c r="K62" s="214">
        <f>IF(E62="",0,IF(INFOSPROJET!G11="X","GÉNÉRAL",""))</f>
        <v>0</v>
      </c>
      <c r="L62" s="201"/>
      <c r="M62" s="701" t="s">
        <v>55</v>
      </c>
      <c r="N62" s="702"/>
      <c r="O62" s="252">
        <f ca="1">SUM(O49:O61)</f>
        <v>0</v>
      </c>
      <c r="P62" s="679"/>
      <c r="Q62" s="680"/>
      <c r="R62" s="681"/>
      <c r="S62" s="701" t="s">
        <v>55</v>
      </c>
      <c r="T62" s="749"/>
      <c r="U62" s="702"/>
      <c r="V62" s="282">
        <f>SUM(V55:V61)</f>
        <v>0</v>
      </c>
      <c r="X62" s="439" t="s">
        <v>652</v>
      </c>
      <c r="Y62" s="320"/>
      <c r="Z62" s="479">
        <v>50</v>
      </c>
      <c r="AA62" s="339">
        <f t="shared" si="18"/>
        <v>0</v>
      </c>
    </row>
    <row r="63" spans="1:29" x14ac:dyDescent="0.25">
      <c r="A63" s="674" t="s">
        <v>135</v>
      </c>
      <c r="B63" s="677"/>
      <c r="C63" s="677"/>
      <c r="D63" s="675"/>
      <c r="E63" s="861" t="str">
        <f>IF(INFOSPROJET!D12="","",INFOSPROJET!D12)</f>
        <v/>
      </c>
      <c r="F63" s="862"/>
      <c r="G63" s="259"/>
      <c r="H63" s="218">
        <v>0</v>
      </c>
      <c r="I63" s="280">
        <f>IF(G63=0,0,G63*DONNÉES!$E$12)</f>
        <v>0</v>
      </c>
      <c r="J63" s="214">
        <f>IF(E63="",0,IF(INFOSPROJET!G12="X","GÉNÉRAL",""))</f>
        <v>0</v>
      </c>
      <c r="K63" s="214">
        <f>IF(E63="",0,IF(INFOSPROJET!G12="X","GÉNÉRAL",""))</f>
        <v>0</v>
      </c>
      <c r="L63" s="714"/>
      <c r="M63" s="715"/>
      <c r="N63" s="715"/>
      <c r="O63" s="715"/>
      <c r="P63" s="715"/>
      <c r="Q63" s="715"/>
      <c r="R63" s="715"/>
      <c r="S63" s="715"/>
      <c r="T63" s="715"/>
      <c r="U63" s="715"/>
      <c r="V63" s="715"/>
      <c r="X63" s="439" t="s">
        <v>647</v>
      </c>
      <c r="Y63" s="320"/>
      <c r="Z63" s="479">
        <v>50</v>
      </c>
      <c r="AA63" s="339">
        <f>Z63*Y63</f>
        <v>0</v>
      </c>
    </row>
    <row r="64" spans="1:29" x14ac:dyDescent="0.25">
      <c r="A64" s="674" t="s">
        <v>444</v>
      </c>
      <c r="B64" s="677"/>
      <c r="C64" s="677"/>
      <c r="D64" s="675"/>
      <c r="E64" s="863"/>
      <c r="F64" s="864"/>
      <c r="G64" s="259"/>
      <c r="H64" s="218">
        <v>0</v>
      </c>
      <c r="I64" s="280">
        <f>IF(G64=0,0,G64*DONNÉES!$E$12)</f>
        <v>0</v>
      </c>
      <c r="J64" s="214">
        <f>IF(E63="",0,IF(INFOSPROJET!G12="X","GÉNÉRAL",""))</f>
        <v>0</v>
      </c>
      <c r="K64" s="214">
        <f>IF(E63="",0,IF(INFOSPROJET!G12="X","GÉNÉRAL",""))</f>
        <v>0</v>
      </c>
      <c r="L64" s="714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X64" s="439"/>
      <c r="Y64" s="320"/>
      <c r="Z64" s="479"/>
      <c r="AA64" s="339">
        <f>Z64*Y64</f>
        <v>0</v>
      </c>
    </row>
    <row r="65" spans="1:28" x14ac:dyDescent="0.25">
      <c r="A65" s="674" t="s">
        <v>137</v>
      </c>
      <c r="B65" s="677"/>
      <c r="C65" s="677"/>
      <c r="D65" s="675"/>
      <c r="E65" s="822"/>
      <c r="F65" s="823"/>
      <c r="G65" s="259"/>
      <c r="H65" s="218">
        <v>0</v>
      </c>
      <c r="I65" s="280">
        <f>IF(G65=0,0,G65*DONNÉES!$E$12)</f>
        <v>0</v>
      </c>
      <c r="J65" s="214">
        <f t="shared" ref="J65" si="19">IF(E65="",0,"")</f>
        <v>0</v>
      </c>
      <c r="K65" s="644">
        <f t="shared" ref="K65" si="20">IF(E65="",0,"")</f>
        <v>0</v>
      </c>
      <c r="L65" s="716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X65" s="199"/>
      <c r="Y65" s="439"/>
      <c r="Z65" s="479"/>
      <c r="AA65" s="339">
        <f t="shared" si="18"/>
        <v>0</v>
      </c>
    </row>
    <row r="66" spans="1:28" x14ac:dyDescent="0.25">
      <c r="A66" s="674" t="s">
        <v>118</v>
      </c>
      <c r="B66" s="677"/>
      <c r="C66" s="677"/>
      <c r="D66" s="675"/>
      <c r="E66" s="827" t="str">
        <f>IF(INFOSPROJET!D16="","",INFOSPROJET!D16)</f>
        <v/>
      </c>
      <c r="F66" s="828"/>
      <c r="G66" s="259"/>
      <c r="H66" s="218">
        <v>0</v>
      </c>
      <c r="I66" s="280">
        <f>IF(G66=0,0,G66*DONNÉES!$E$12)</f>
        <v>0</v>
      </c>
      <c r="J66" s="214">
        <f t="shared" si="16"/>
        <v>0</v>
      </c>
      <c r="K66" s="214">
        <f t="shared" si="17"/>
        <v>0</v>
      </c>
      <c r="L66" s="698" t="s">
        <v>139</v>
      </c>
      <c r="M66" s="699"/>
      <c r="N66" s="699"/>
      <c r="O66" s="699"/>
      <c r="P66" s="699"/>
      <c r="Q66" s="699"/>
      <c r="R66" s="699"/>
      <c r="S66" s="699"/>
      <c r="T66" s="699"/>
      <c r="U66" s="699"/>
      <c r="V66" s="700"/>
      <c r="X66" s="439"/>
      <c r="Y66" s="320"/>
      <c r="Z66" s="478"/>
      <c r="AA66" s="339">
        <f t="shared" si="18"/>
        <v>0</v>
      </c>
    </row>
    <row r="67" spans="1:28" x14ac:dyDescent="0.25">
      <c r="A67" s="832" t="s">
        <v>138</v>
      </c>
      <c r="B67" s="833"/>
      <c r="C67" s="833"/>
      <c r="D67" s="834"/>
      <c r="E67" s="827" t="str">
        <f>IF(INFOSPROJET!D17="","",INFOSPROJET!D17)</f>
        <v/>
      </c>
      <c r="F67" s="828"/>
      <c r="G67" s="259"/>
      <c r="H67" s="218">
        <v>0</v>
      </c>
      <c r="I67" s="280">
        <f>IF(G67=0,0,G67*DONNÉES!$E$12)</f>
        <v>0</v>
      </c>
      <c r="J67" s="214">
        <f t="shared" si="16"/>
        <v>0</v>
      </c>
      <c r="K67" s="214">
        <f t="shared" si="17"/>
        <v>0</v>
      </c>
      <c r="L67" s="682" t="s">
        <v>141</v>
      </c>
      <c r="M67" s="683"/>
      <c r="N67" s="684"/>
      <c r="O67" s="722" t="s">
        <v>36</v>
      </c>
      <c r="P67" s="696"/>
      <c r="Q67" s="697"/>
      <c r="R67" s="695" t="s">
        <v>130</v>
      </c>
      <c r="S67" s="696"/>
      <c r="T67" s="697"/>
      <c r="U67" s="685" t="s">
        <v>131</v>
      </c>
      <c r="V67" s="686"/>
      <c r="X67" s="439"/>
      <c r="Y67" s="320"/>
      <c r="Z67" s="478"/>
      <c r="AA67" s="339">
        <f t="shared" si="18"/>
        <v>0</v>
      </c>
    </row>
    <row r="68" spans="1:28" ht="12.75" customHeight="1" x14ac:dyDescent="0.25">
      <c r="A68" s="832" t="s">
        <v>140</v>
      </c>
      <c r="B68" s="833"/>
      <c r="C68" s="833"/>
      <c r="D68" s="834"/>
      <c r="E68" s="827" t="str">
        <f>IF(INFOSPROJET!D17="","",INFOSPROJET!D17)</f>
        <v/>
      </c>
      <c r="F68" s="828"/>
      <c r="G68" s="259"/>
      <c r="H68" s="218">
        <v>0</v>
      </c>
      <c r="I68" s="280">
        <f>IF(G68=0,0,G68*DONNÉES!$E$12)</f>
        <v>0</v>
      </c>
      <c r="J68" s="214">
        <f t="shared" si="16"/>
        <v>0</v>
      </c>
      <c r="K68" s="214">
        <f t="shared" si="17"/>
        <v>0</v>
      </c>
      <c r="L68" s="687"/>
      <c r="M68" s="688"/>
      <c r="N68" s="689"/>
      <c r="O68" s="692" t="s">
        <v>33</v>
      </c>
      <c r="P68" s="693"/>
      <c r="Q68" s="694"/>
      <c r="R68" s="719">
        <f>IF(COUNTBLANK(J10:J54)=0,SUM(J10:J54),"???")</f>
        <v>0</v>
      </c>
      <c r="S68" s="720"/>
      <c r="T68" s="721"/>
      <c r="U68" s="717">
        <f>IF(COUNTBLANK(K10:K54)=0,SUM(K10:K54),"???")</f>
        <v>0</v>
      </c>
      <c r="V68" s="718"/>
      <c r="X68" s="439"/>
      <c r="Y68" s="320"/>
      <c r="Z68" s="478"/>
      <c r="AA68" s="339">
        <f t="shared" si="18"/>
        <v>0</v>
      </c>
    </row>
    <row r="69" spans="1:28" ht="12.75" customHeight="1" x14ac:dyDescent="0.25">
      <c r="A69" s="674" t="s">
        <v>648</v>
      </c>
      <c r="B69" s="677"/>
      <c r="C69" s="677"/>
      <c r="D69" s="675"/>
      <c r="E69" s="827" t="str">
        <f>IF(INFOSPROJET!D15="","",INFOSPROJET!D15)</f>
        <v/>
      </c>
      <c r="F69" s="828"/>
      <c r="G69" s="484"/>
      <c r="H69" s="485">
        <v>0</v>
      </c>
      <c r="I69" s="486">
        <f>IF(G69=0,0,G69*DONNÉES!$E$12)</f>
        <v>0</v>
      </c>
      <c r="J69" s="483">
        <f t="shared" si="16"/>
        <v>0</v>
      </c>
      <c r="K69" s="483">
        <f t="shared" si="17"/>
        <v>0</v>
      </c>
      <c r="L69" s="829"/>
      <c r="M69" s="830"/>
      <c r="N69" s="831"/>
      <c r="O69" s="676" t="s">
        <v>128</v>
      </c>
      <c r="P69" s="677"/>
      <c r="Q69" s="678"/>
      <c r="R69" s="824">
        <f>IF(COUNTBLANK(J59:J80)=0,SUM(J59:J80),"???")</f>
        <v>750</v>
      </c>
      <c r="S69" s="825"/>
      <c r="T69" s="826"/>
      <c r="U69" s="662">
        <f>IF(COUNTBLANK(K59:K80)=0,SUM(K59:K80),"???")</f>
        <v>750</v>
      </c>
      <c r="V69" s="663"/>
      <c r="X69" s="439"/>
      <c r="Y69" s="320"/>
      <c r="Z69" s="478"/>
      <c r="AA69" s="339">
        <f t="shared" si="18"/>
        <v>0</v>
      </c>
    </row>
    <row r="70" spans="1:28" ht="12.75" customHeight="1" x14ac:dyDescent="0.25">
      <c r="A70" s="832" t="s">
        <v>142</v>
      </c>
      <c r="B70" s="833"/>
      <c r="C70" s="833"/>
      <c r="D70" s="834"/>
      <c r="E70" s="827" t="str">
        <f>IF(INFOSPROJET!D14="","",INFOSPROJET!D14)</f>
        <v/>
      </c>
      <c r="F70" s="828"/>
      <c r="G70" s="259"/>
      <c r="H70" s="218">
        <v>0</v>
      </c>
      <c r="I70" s="280">
        <f>IF(G70=0,0,G70*DONNÉES!$E$12)</f>
        <v>0</v>
      </c>
      <c r="J70" s="214">
        <f t="shared" si="16"/>
        <v>0</v>
      </c>
      <c r="K70" s="214">
        <f t="shared" si="17"/>
        <v>0</v>
      </c>
      <c r="L70" s="829"/>
      <c r="M70" s="830"/>
      <c r="N70" s="831"/>
      <c r="O70" s="676" t="s">
        <v>144</v>
      </c>
      <c r="P70" s="677"/>
      <c r="Q70" s="678"/>
      <c r="R70" s="824">
        <f ca="1">SUM(O13,O37,V52)</f>
        <v>0</v>
      </c>
      <c r="S70" s="825"/>
      <c r="T70" s="826"/>
      <c r="U70" s="662">
        <f ca="1">SUM(O13,O37,V52)</f>
        <v>0</v>
      </c>
      <c r="V70" s="663"/>
      <c r="Y70" s="712" t="s">
        <v>502</v>
      </c>
      <c r="Z70" s="713"/>
      <c r="AA70" s="441">
        <f>SUM(AA60:AA69)</f>
        <v>0</v>
      </c>
    </row>
    <row r="71" spans="1:28" ht="12.75" customHeight="1" x14ac:dyDescent="0.25">
      <c r="A71" s="674" t="s">
        <v>143</v>
      </c>
      <c r="B71" s="677"/>
      <c r="C71" s="677"/>
      <c r="D71" s="675"/>
      <c r="E71" s="827" t="str">
        <f>IF(INFOSPROJET!D63="","",INFOSPROJET!D63)</f>
        <v/>
      </c>
      <c r="F71" s="828"/>
      <c r="G71" s="259"/>
      <c r="H71" s="218">
        <v>0</v>
      </c>
      <c r="I71" s="280">
        <f>IF(G71=0,0,G71*DONNÉES!$E$12)</f>
        <v>0</v>
      </c>
      <c r="J71" s="214">
        <f t="shared" si="16"/>
        <v>0</v>
      </c>
      <c r="K71" s="214">
        <f t="shared" si="17"/>
        <v>0</v>
      </c>
      <c r="L71" s="829"/>
      <c r="M71" s="830"/>
      <c r="N71" s="831"/>
      <c r="O71" s="676" t="s">
        <v>146</v>
      </c>
      <c r="P71" s="677"/>
      <c r="Q71" s="678"/>
      <c r="R71" s="824">
        <f>IF(P23=0,0,P23)</f>
        <v>0</v>
      </c>
      <c r="S71" s="825"/>
      <c r="T71" s="826"/>
      <c r="U71" s="662">
        <f>IF(P23=0,0,P23)</f>
        <v>0</v>
      </c>
      <c r="V71" s="663"/>
    </row>
    <row r="72" spans="1:28" x14ac:dyDescent="0.25">
      <c r="A72" s="674" t="s">
        <v>145</v>
      </c>
      <c r="B72" s="677"/>
      <c r="C72" s="677"/>
      <c r="D72" s="675"/>
      <c r="E72" s="827" t="str">
        <f>IF(INFOSPROJET!D13="","",INFOSPROJET!D13)</f>
        <v/>
      </c>
      <c r="F72" s="828"/>
      <c r="G72" s="259"/>
      <c r="H72" s="218">
        <v>0</v>
      </c>
      <c r="I72" s="280">
        <f>IF(G72=0,0,G72*DONNÉES!$E$12)</f>
        <v>0</v>
      </c>
      <c r="J72" s="214">
        <f t="shared" si="16"/>
        <v>0</v>
      </c>
      <c r="K72" s="214">
        <f t="shared" si="17"/>
        <v>0</v>
      </c>
      <c r="L72" s="829"/>
      <c r="M72" s="830"/>
      <c r="N72" s="831"/>
      <c r="O72" s="676" t="s">
        <v>148</v>
      </c>
      <c r="P72" s="677"/>
      <c r="Q72" s="678"/>
      <c r="R72" s="824">
        <f>SUM(H45,H46)</f>
        <v>0</v>
      </c>
      <c r="S72" s="825"/>
      <c r="T72" s="826"/>
      <c r="U72" s="662">
        <f>SUM(H45,H46)</f>
        <v>0</v>
      </c>
      <c r="V72" s="663"/>
    </row>
    <row r="73" spans="1:28" x14ac:dyDescent="0.25">
      <c r="A73" s="674" t="s">
        <v>147</v>
      </c>
      <c r="B73" s="677"/>
      <c r="C73" s="677"/>
      <c r="D73" s="675"/>
      <c r="E73" s="822"/>
      <c r="F73" s="823"/>
      <c r="G73" s="259"/>
      <c r="H73" s="218">
        <v>0</v>
      </c>
      <c r="I73" s="280">
        <f>IF(G73=0,0,G73*DONNÉES!$E$12)</f>
        <v>0</v>
      </c>
      <c r="J73" s="214">
        <f t="shared" si="16"/>
        <v>0</v>
      </c>
      <c r="K73" s="214">
        <f t="shared" si="17"/>
        <v>0</v>
      </c>
      <c r="L73" s="829"/>
      <c r="M73" s="830"/>
      <c r="N73" s="831"/>
      <c r="O73" s="676" t="s">
        <v>149</v>
      </c>
      <c r="P73" s="677"/>
      <c r="Q73" s="678"/>
      <c r="R73" s="824">
        <f>IF(OR(H55="???",H81="???",Q13="???",O22="???",Q22="???",V62="???"),"???",SUM(H55,H81,Q13,O22,Q22,V62))</f>
        <v>0</v>
      </c>
      <c r="S73" s="825"/>
      <c r="T73" s="826"/>
      <c r="U73" s="662">
        <f>IF(OR(H55="???",H81="???",Q13="???",O22="???",Q22="???",V62="???"),"???",SUM(H55,H81,Q13,O22,Q22,V62))</f>
        <v>0</v>
      </c>
      <c r="V73" s="663"/>
    </row>
    <row r="74" spans="1:28" ht="12.75" customHeight="1" x14ac:dyDescent="0.25">
      <c r="A74" s="674" t="s">
        <v>521</v>
      </c>
      <c r="B74" s="677"/>
      <c r="C74" s="677"/>
      <c r="D74" s="675"/>
      <c r="E74" s="827" t="str">
        <f>IF(INFOSPROJET!D18="","X",INFOSPROJET!D18)</f>
        <v>X</v>
      </c>
      <c r="F74" s="828"/>
      <c r="G74" s="259"/>
      <c r="H74" s="218">
        <v>0</v>
      </c>
      <c r="I74" s="280">
        <f>IF(G74=0,0,G74*DONNÉES!$E$12)</f>
        <v>0</v>
      </c>
      <c r="J74" s="214">
        <f>AA37</f>
        <v>750</v>
      </c>
      <c r="K74" s="214">
        <f>J74</f>
        <v>750</v>
      </c>
      <c r="L74" s="829"/>
      <c r="M74" s="830"/>
      <c r="N74" s="831"/>
      <c r="O74" s="676" t="s">
        <v>150</v>
      </c>
      <c r="P74" s="675"/>
      <c r="Q74" s="649">
        <f>SUM(G55,G81,U13,U23,N46)</f>
        <v>0</v>
      </c>
      <c r="R74" s="824">
        <f>SUM(I55,I81,V13,V23,O46)</f>
        <v>0</v>
      </c>
      <c r="S74" s="825"/>
      <c r="T74" s="826"/>
      <c r="U74" s="662">
        <f>SUM(I55,I81,V13,V23,O46)</f>
        <v>0</v>
      </c>
      <c r="V74" s="663"/>
    </row>
    <row r="75" spans="1:28" ht="12.75" customHeight="1" thickBot="1" x14ac:dyDescent="0.3">
      <c r="A75" s="674" t="s">
        <v>151</v>
      </c>
      <c r="B75" s="677"/>
      <c r="C75" s="677"/>
      <c r="D75" s="675"/>
      <c r="E75" s="822"/>
      <c r="F75" s="823"/>
      <c r="G75" s="259"/>
      <c r="H75" s="218">
        <v>0</v>
      </c>
      <c r="I75" s="280">
        <f>IF(G75=0,0,G75*DONNÉES!$E$12)</f>
        <v>0</v>
      </c>
      <c r="J75" s="214">
        <f t="shared" ref="J75:J80" si="21">IF(E75=0,0,"")</f>
        <v>0</v>
      </c>
      <c r="K75" s="214">
        <f t="shared" ref="K75:K80" si="22">IF(E75=0,0,"")</f>
        <v>0</v>
      </c>
      <c r="L75" s="752"/>
      <c r="M75" s="753"/>
      <c r="N75" s="754"/>
      <c r="O75" s="671" t="s">
        <v>117</v>
      </c>
      <c r="P75" s="672"/>
      <c r="Q75" s="673"/>
      <c r="R75" s="758">
        <f ca="1">SUM(O49:O61)</f>
        <v>0</v>
      </c>
      <c r="S75" s="844"/>
      <c r="T75" s="759"/>
      <c r="U75" s="758">
        <f ca="1">SUM(O49:O61)</f>
        <v>0</v>
      </c>
      <c r="V75" s="759"/>
      <c r="X75" s="710" t="s">
        <v>625</v>
      </c>
      <c r="Y75" s="710"/>
    </row>
    <row r="76" spans="1:28" ht="12.75" customHeight="1" thickTop="1" x14ac:dyDescent="0.25">
      <c r="A76" s="674" t="s">
        <v>152</v>
      </c>
      <c r="B76" s="677"/>
      <c r="C76" s="677"/>
      <c r="D76" s="675"/>
      <c r="E76" s="822"/>
      <c r="F76" s="823"/>
      <c r="G76" s="259"/>
      <c r="H76" s="218">
        <v>0</v>
      </c>
      <c r="I76" s="280">
        <f>IF(G76=0,0,G76*DONNÉES!$E$12)</f>
        <v>0</v>
      </c>
      <c r="J76" s="214">
        <f t="shared" si="21"/>
        <v>0</v>
      </c>
      <c r="K76" s="214">
        <f t="shared" si="22"/>
        <v>0</v>
      </c>
      <c r="L76" s="750" t="s">
        <v>153</v>
      </c>
      <c r="M76" s="751"/>
      <c r="N76" s="260" t="s">
        <v>154</v>
      </c>
      <c r="O76" s="843" t="s">
        <v>155</v>
      </c>
      <c r="P76" s="843"/>
      <c r="Q76" s="843"/>
      <c r="R76" s="849">
        <f ca="1">IF(COUNT(R68:T75)=8,SUM(R68:T75),"???")</f>
        <v>750</v>
      </c>
      <c r="S76" s="756"/>
      <c r="T76" s="757"/>
      <c r="U76" s="756">
        <f ca="1">IF(COUNT(U68:V75)=8,SUM(U68:V75),"???")</f>
        <v>750</v>
      </c>
      <c r="V76" s="757"/>
      <c r="X76" s="711" t="s">
        <v>630</v>
      </c>
      <c r="Y76" s="711"/>
      <c r="Z76" s="339"/>
      <c r="AA76" s="704" t="s">
        <v>628</v>
      </c>
      <c r="AB76" s="705"/>
    </row>
    <row r="77" spans="1:28" ht="12.75" customHeight="1" x14ac:dyDescent="0.25">
      <c r="A77" s="674" t="s">
        <v>156</v>
      </c>
      <c r="B77" s="677"/>
      <c r="C77" s="677"/>
      <c r="D77" s="675"/>
      <c r="E77" s="822"/>
      <c r="F77" s="823"/>
      <c r="G77" s="259"/>
      <c r="H77" s="218">
        <v>0</v>
      </c>
      <c r="I77" s="280">
        <f>IF(G77=0,0,G77*DONNÉES!$E$12)</f>
        <v>0</v>
      </c>
      <c r="J77" s="214">
        <f t="shared" si="21"/>
        <v>0</v>
      </c>
      <c r="K77" s="214">
        <f t="shared" si="22"/>
        <v>0</v>
      </c>
      <c r="L77" s="745">
        <v>0</v>
      </c>
      <c r="M77" s="746"/>
      <c r="N77" s="261"/>
      <c r="O77" s="841" t="s">
        <v>157</v>
      </c>
      <c r="P77" s="841"/>
      <c r="Q77" s="841"/>
      <c r="R77" s="848">
        <f>IF(N77="",0,IF((R76*1.1)&lt;100000,R76*1.1*(3/8*0.01),(((R76*1.1)-99000)*0.001*1.1)+375))</f>
        <v>0</v>
      </c>
      <c r="S77" s="760"/>
      <c r="T77" s="761"/>
      <c r="U77" s="760">
        <f>IF(N77="",0,IF((U76*1.1)&lt;100000,U76*1.1*3/8*0.01,(((U76*1.1)-99000)*0.001*1.1)+375))</f>
        <v>0</v>
      </c>
      <c r="V77" s="761"/>
      <c r="X77" s="711" t="s">
        <v>631</v>
      </c>
      <c r="Y77" s="711"/>
      <c r="Z77" s="476">
        <f>Z76/AA77</f>
        <v>0</v>
      </c>
      <c r="AA77" s="706">
        <v>0.68</v>
      </c>
      <c r="AB77" s="707"/>
    </row>
    <row r="78" spans="1:28" ht="12.75" customHeight="1" x14ac:dyDescent="0.25">
      <c r="A78" s="674" t="s">
        <v>158</v>
      </c>
      <c r="B78" s="677"/>
      <c r="C78" s="677"/>
      <c r="D78" s="675"/>
      <c r="E78" s="822"/>
      <c r="F78" s="823"/>
      <c r="G78" s="259"/>
      <c r="H78" s="218">
        <v>0</v>
      </c>
      <c r="I78" s="280">
        <f>IF(G78=0,0,G78*DONNÉES!$E$12)</f>
        <v>0</v>
      </c>
      <c r="J78" s="214">
        <f t="shared" si="21"/>
        <v>0</v>
      </c>
      <c r="K78" s="214">
        <f t="shared" si="22"/>
        <v>0</v>
      </c>
      <c r="L78" s="747"/>
      <c r="M78" s="748"/>
      <c r="N78" s="262"/>
      <c r="O78" s="677" t="s">
        <v>159</v>
      </c>
      <c r="P78" s="677"/>
      <c r="Q78" s="677"/>
      <c r="R78" s="824">
        <f>IF(N78="",0,IF((R76+R77)&lt;180000,200,((R76/1000))))</f>
        <v>0</v>
      </c>
      <c r="S78" s="825"/>
      <c r="T78" s="826"/>
      <c r="U78" s="755">
        <f>IF(N78="",0,IF((U76+U77)&lt;180000,200,((U76/1000))))</f>
        <v>0</v>
      </c>
      <c r="V78" s="663"/>
      <c r="X78" s="711" t="s">
        <v>626</v>
      </c>
      <c r="Y78" s="711"/>
      <c r="Z78" s="476">
        <f ca="1">U80-Z76</f>
        <v>750</v>
      </c>
      <c r="AA78" s="704" t="s">
        <v>629</v>
      </c>
      <c r="AB78" s="705"/>
    </row>
    <row r="79" spans="1:28" ht="12.75" customHeight="1" x14ac:dyDescent="0.25">
      <c r="A79" s="674" t="s">
        <v>160</v>
      </c>
      <c r="B79" s="677"/>
      <c r="C79" s="677"/>
      <c r="D79" s="675"/>
      <c r="E79" s="822"/>
      <c r="F79" s="823"/>
      <c r="G79" s="259"/>
      <c r="H79" s="218">
        <v>0</v>
      </c>
      <c r="I79" s="280">
        <f>IF(G79=0,0,G79*DONNÉES!$E$12)</f>
        <v>0</v>
      </c>
      <c r="J79" s="214">
        <f t="shared" si="21"/>
        <v>0</v>
      </c>
      <c r="K79" s="214">
        <f t="shared" si="22"/>
        <v>0</v>
      </c>
      <c r="L79" s="263">
        <f>PRODUCT(L77,5%)</f>
        <v>0</v>
      </c>
      <c r="M79" s="264" t="s">
        <v>161</v>
      </c>
      <c r="N79" s="265"/>
      <c r="O79" s="842" t="s">
        <v>162</v>
      </c>
      <c r="P79" s="842"/>
      <c r="Q79" s="842"/>
      <c r="R79" s="845">
        <f>IF(N79="",0,IF((R76+R77+R78)&lt;32000,300,(R76*8.5/1000)))</f>
        <v>0</v>
      </c>
      <c r="S79" s="846"/>
      <c r="T79" s="847"/>
      <c r="U79" s="665">
        <f>IF(N79="",0,IF((U76+U77+U78)&lt;32000,300,(U76*8.5/1000)))</f>
        <v>0</v>
      </c>
      <c r="V79" s="666"/>
      <c r="X79" s="711" t="s">
        <v>632</v>
      </c>
      <c r="Y79" s="711"/>
      <c r="Z79" s="476">
        <f ca="1">Z78/AA79</f>
        <v>961.53846153846155</v>
      </c>
      <c r="AA79" s="706">
        <v>0.78</v>
      </c>
      <c r="AB79" s="707"/>
    </row>
    <row r="80" spans="1:28" ht="12.75" customHeight="1" x14ac:dyDescent="0.25">
      <c r="A80" s="723" t="s">
        <v>163</v>
      </c>
      <c r="B80" s="672"/>
      <c r="C80" s="672"/>
      <c r="D80" s="836"/>
      <c r="E80" s="850"/>
      <c r="F80" s="851"/>
      <c r="G80" s="266"/>
      <c r="H80" s="218">
        <v>0</v>
      </c>
      <c r="I80" s="280">
        <f>IF(G80=0,0,G80*DONNÉES!$E$12)</f>
        <v>0</v>
      </c>
      <c r="J80" s="214">
        <f t="shared" si="21"/>
        <v>0</v>
      </c>
      <c r="K80" s="214">
        <f t="shared" si="22"/>
        <v>0</v>
      </c>
      <c r="L80" s="263">
        <f>PRODUCT(L77,9.975%)</f>
        <v>0</v>
      </c>
      <c r="M80" s="267" t="s">
        <v>164</v>
      </c>
      <c r="N80" s="268"/>
      <c r="O80" s="731" t="s">
        <v>165</v>
      </c>
      <c r="P80" s="732"/>
      <c r="Q80" s="733"/>
      <c r="R80" s="740">
        <f ca="1">IF(COUNT(R76:T79)=4,SUM(R76:T79),"???")</f>
        <v>750</v>
      </c>
      <c r="S80" s="741"/>
      <c r="T80" s="742"/>
      <c r="U80" s="743">
        <f ca="1">IF(COUNT(U76:V79)=4,SUM(U76:V79),"???")</f>
        <v>750</v>
      </c>
      <c r="V80" s="744"/>
      <c r="X80" s="664" t="s">
        <v>375</v>
      </c>
      <c r="Y80" s="664"/>
      <c r="Z80" s="477">
        <f ca="1">Z79+Z77</f>
        <v>961.53846153846155</v>
      </c>
    </row>
    <row r="81" spans="1:26" ht="13.5" customHeight="1" thickBot="1" x14ac:dyDescent="0.3">
      <c r="A81" s="201"/>
      <c r="B81" s="839" t="s">
        <v>55</v>
      </c>
      <c r="C81" s="840"/>
      <c r="D81" s="840"/>
      <c r="E81" s="749"/>
      <c r="F81" s="702"/>
      <c r="G81" s="277">
        <f>SUM(G59:G80)</f>
        <v>0</v>
      </c>
      <c r="H81" s="278">
        <f>IF(COUNTBLANK(H59:H80)=0,SUM(H59:H80),"???")</f>
        <v>0</v>
      </c>
      <c r="I81" s="278">
        <f>IF(COUNTBLANK(I59:I80)=0,SUM(I59:I80),"???")</f>
        <v>0</v>
      </c>
      <c r="J81" s="278">
        <f>IF(COUNTBLANK($J$59:$J$80)=0,SUM($J$59:$J$80),"???")</f>
        <v>750</v>
      </c>
      <c r="K81" s="278">
        <f>IF(COUNTBLANK($K$59:$K$80)=0,SUM($K$59:$K$80),"???")</f>
        <v>750</v>
      </c>
      <c r="L81" s="269">
        <f>SUM(L77:L80)</f>
        <v>0</v>
      </c>
      <c r="M81" s="270" t="s">
        <v>166</v>
      </c>
      <c r="N81" s="253"/>
      <c r="O81" s="734" t="s">
        <v>167</v>
      </c>
      <c r="P81" s="734"/>
      <c r="Q81" s="650"/>
      <c r="R81" s="735">
        <f ca="1">+R82-R80</f>
        <v>-750</v>
      </c>
      <c r="S81" s="736"/>
      <c r="T81" s="737"/>
      <c r="U81" s="738">
        <f ca="1">+U82-U80</f>
        <v>-750</v>
      </c>
      <c r="V81" s="739"/>
      <c r="X81" s="667" t="s">
        <v>627</v>
      </c>
      <c r="Y81" s="668"/>
      <c r="Z81" s="708">
        <f ca="1">U80/Z80</f>
        <v>0.78</v>
      </c>
    </row>
    <row r="82" spans="1:26" ht="27.6" customHeight="1" thickBot="1" x14ac:dyDescent="0.3">
      <c r="E82" s="191"/>
      <c r="H82" s="191"/>
      <c r="L82" s="201"/>
      <c r="M82" s="201"/>
      <c r="N82" s="725" t="s">
        <v>168</v>
      </c>
      <c r="O82" s="726"/>
      <c r="P82" s="726"/>
      <c r="Q82" s="727"/>
      <c r="R82" s="728">
        <f>IF(N81="",0,(R80/Q81))</f>
        <v>0</v>
      </c>
      <c r="S82" s="729"/>
      <c r="T82" s="730"/>
      <c r="U82" s="728">
        <f>IF(N81="",0,U80/Q81)</f>
        <v>0</v>
      </c>
      <c r="V82" s="730"/>
      <c r="X82" s="669"/>
      <c r="Y82" s="670"/>
      <c r="Z82" s="709"/>
    </row>
    <row r="83" spans="1:26" s="271" customFormat="1" ht="15" x14ac:dyDescent="0.25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V83" s="201"/>
    </row>
    <row r="84" spans="1:26" s="273" customFormat="1" x14ac:dyDescent="0.25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</row>
    <row r="85" spans="1:26" s="273" customFormat="1" x14ac:dyDescent="0.2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</row>
    <row r="86" spans="1:26" s="273" customFormat="1" x14ac:dyDescent="0.25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</row>
    <row r="87" spans="1:26" s="273" customFormat="1" x14ac:dyDescent="0.25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</row>
    <row r="88" spans="1:26" s="273" customFormat="1" x14ac:dyDescent="0.25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</row>
    <row r="89" spans="1:26" s="273" customFormat="1" x14ac:dyDescent="0.25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272"/>
      <c r="N89" s="272"/>
      <c r="O89" s="272"/>
    </row>
    <row r="90" spans="1:26" s="273" customFormat="1" x14ac:dyDescent="0.25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272"/>
      <c r="O90" s="272"/>
    </row>
    <row r="91" spans="1:26" s="273" customFormat="1" x14ac:dyDescent="0.25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272"/>
    </row>
    <row r="92" spans="1:26" s="273" customFormat="1" x14ac:dyDescent="0.25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272"/>
    </row>
    <row r="93" spans="1:26" s="273" customFormat="1" x14ac:dyDescent="0.25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272"/>
    </row>
    <row r="94" spans="1:26" s="273" customFormat="1" x14ac:dyDescent="0.25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272"/>
    </row>
    <row r="95" spans="1:26" s="273" customFormat="1" x14ac:dyDescent="0.2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272"/>
    </row>
    <row r="96" spans="1:26" s="273" customFormat="1" x14ac:dyDescent="0.25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272"/>
    </row>
    <row r="97" spans="1:12" s="273" customFormat="1" x14ac:dyDescent="0.25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272"/>
    </row>
    <row r="98" spans="1:12" s="273" customFormat="1" x14ac:dyDescent="0.25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272"/>
    </row>
    <row r="99" spans="1:12" s="273" customFormat="1" x14ac:dyDescent="0.25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272"/>
    </row>
    <row r="100" spans="1:12" s="273" customFormat="1" x14ac:dyDescent="0.25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272"/>
    </row>
    <row r="101" spans="1:12" s="273" customFormat="1" x14ac:dyDescent="0.25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272"/>
    </row>
    <row r="102" spans="1:12" s="273" customFormat="1" x14ac:dyDescent="0.25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272"/>
    </row>
    <row r="103" spans="1:12" s="273" customFormat="1" x14ac:dyDescent="0.25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272"/>
    </row>
    <row r="104" spans="1:12" s="273" customFormat="1" x14ac:dyDescent="0.25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272"/>
    </row>
    <row r="105" spans="1:12" s="273" customFormat="1" x14ac:dyDescent="0.2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</row>
    <row r="106" spans="1:12" s="273" customFormat="1" x14ac:dyDescent="0.25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</row>
    <row r="107" spans="1:12" s="273" customFormat="1" x14ac:dyDescent="0.25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</row>
    <row r="108" spans="1:12" s="273" customFormat="1" x14ac:dyDescent="0.25">
      <c r="A108" s="272"/>
      <c r="B108" s="272"/>
      <c r="C108" s="272"/>
      <c r="D108" s="272"/>
      <c r="E108" s="272"/>
      <c r="F108" s="272"/>
      <c r="G108" s="272"/>
      <c r="H108" s="274"/>
      <c r="I108" s="272"/>
      <c r="J108" s="272"/>
      <c r="K108" s="272"/>
    </row>
    <row r="109" spans="1:12" s="273" customFormat="1" x14ac:dyDescent="0.25">
      <c r="A109" s="272"/>
      <c r="B109" s="272"/>
      <c r="C109" s="272"/>
      <c r="D109" s="272"/>
      <c r="E109" s="272"/>
      <c r="F109" s="272"/>
      <c r="G109" s="272"/>
      <c r="H109" s="274"/>
      <c r="I109" s="272"/>
      <c r="J109" s="272"/>
      <c r="K109" s="272"/>
    </row>
    <row r="110" spans="1:12" s="273" customFormat="1" x14ac:dyDescent="0.25">
      <c r="A110" s="272"/>
      <c r="B110" s="272"/>
      <c r="C110" s="272"/>
      <c r="D110" s="272"/>
      <c r="E110" s="272"/>
      <c r="F110" s="272"/>
      <c r="G110" s="272"/>
      <c r="H110" s="274"/>
      <c r="I110" s="272"/>
      <c r="J110" s="272"/>
      <c r="K110" s="272"/>
    </row>
    <row r="111" spans="1:12" s="273" customFormat="1" x14ac:dyDescent="0.25">
      <c r="A111" s="272"/>
      <c r="B111" s="272"/>
      <c r="C111" s="272"/>
      <c r="D111" s="272"/>
      <c r="E111" s="272"/>
      <c r="F111" s="272"/>
      <c r="G111" s="272"/>
      <c r="H111" s="274"/>
      <c r="I111" s="272"/>
      <c r="J111" s="272"/>
      <c r="K111" s="272"/>
    </row>
    <row r="112" spans="1:12" s="273" customFormat="1" x14ac:dyDescent="0.25">
      <c r="A112" s="272"/>
      <c r="B112" s="272"/>
      <c r="C112" s="272"/>
      <c r="D112" s="272"/>
      <c r="E112" s="272"/>
      <c r="F112" s="272"/>
      <c r="G112" s="272"/>
      <c r="H112" s="274"/>
      <c r="I112" s="272"/>
      <c r="J112" s="272"/>
      <c r="K112" s="272"/>
    </row>
    <row r="113" spans="1:11" s="273" customFormat="1" x14ac:dyDescent="0.25">
      <c r="A113" s="272"/>
      <c r="B113" s="272"/>
      <c r="C113" s="272"/>
      <c r="D113" s="272"/>
      <c r="E113" s="272"/>
      <c r="F113" s="272"/>
      <c r="G113" s="272"/>
      <c r="H113" s="274"/>
      <c r="I113" s="272"/>
      <c r="J113" s="272"/>
      <c r="K113" s="272"/>
    </row>
    <row r="114" spans="1:11" s="273" customFormat="1" x14ac:dyDescent="0.25">
      <c r="A114" s="272"/>
      <c r="B114" s="272"/>
      <c r="C114" s="272"/>
      <c r="D114" s="272"/>
      <c r="E114" s="272"/>
      <c r="F114" s="272"/>
      <c r="G114" s="272"/>
      <c r="H114" s="274"/>
      <c r="I114" s="272"/>
      <c r="J114" s="272"/>
      <c r="K114" s="272"/>
    </row>
    <row r="115" spans="1:11" s="273" customFormat="1" x14ac:dyDescent="0.25">
      <c r="A115" s="272"/>
      <c r="B115" s="272"/>
      <c r="C115" s="272"/>
      <c r="D115" s="272"/>
      <c r="E115" s="272"/>
      <c r="F115" s="272"/>
      <c r="G115" s="272"/>
      <c r="H115" s="274"/>
      <c r="I115" s="272"/>
      <c r="J115" s="272"/>
      <c r="K115" s="272"/>
    </row>
    <row r="116" spans="1:11" s="273" customFormat="1" x14ac:dyDescent="0.25">
      <c r="A116" s="272"/>
      <c r="B116" s="272"/>
      <c r="C116" s="272"/>
      <c r="D116" s="272"/>
      <c r="E116" s="272"/>
      <c r="F116" s="272"/>
      <c r="G116" s="272"/>
      <c r="H116" s="274"/>
      <c r="I116" s="272"/>
      <c r="J116" s="272"/>
      <c r="K116" s="272"/>
    </row>
    <row r="117" spans="1:11" s="273" customFormat="1" x14ac:dyDescent="0.25">
      <c r="A117" s="272"/>
      <c r="B117" s="272"/>
      <c r="C117" s="272"/>
      <c r="D117" s="272"/>
      <c r="E117" s="272"/>
      <c r="F117" s="272"/>
      <c r="G117" s="272"/>
      <c r="H117" s="274"/>
      <c r="I117" s="272"/>
      <c r="J117" s="272"/>
      <c r="K117" s="272"/>
    </row>
    <row r="118" spans="1:11" s="273" customFormat="1" x14ac:dyDescent="0.25">
      <c r="A118" s="272"/>
      <c r="B118" s="272"/>
      <c r="C118" s="272"/>
      <c r="D118" s="272"/>
      <c r="E118" s="272"/>
      <c r="F118" s="272"/>
      <c r="G118" s="272"/>
      <c r="H118" s="274"/>
      <c r="I118" s="272"/>
      <c r="J118" s="272"/>
      <c r="K118" s="272"/>
    </row>
    <row r="119" spans="1:11" s="273" customFormat="1" x14ac:dyDescent="0.25">
      <c r="A119" s="272"/>
      <c r="B119" s="272"/>
      <c r="C119" s="272"/>
      <c r="D119" s="272"/>
      <c r="E119" s="272"/>
      <c r="F119" s="272"/>
      <c r="G119" s="272"/>
      <c r="H119" s="274"/>
      <c r="I119" s="272"/>
      <c r="J119" s="272"/>
      <c r="K119" s="272"/>
    </row>
    <row r="120" spans="1:11" s="273" customFormat="1" x14ac:dyDescent="0.25">
      <c r="A120" s="272"/>
      <c r="B120" s="272"/>
      <c r="C120" s="272"/>
      <c r="D120" s="272"/>
      <c r="E120" s="272"/>
      <c r="F120" s="272"/>
      <c r="G120" s="272"/>
      <c r="H120" s="274"/>
      <c r="I120" s="272"/>
      <c r="J120" s="272"/>
      <c r="K120" s="272"/>
    </row>
    <row r="121" spans="1:11" s="273" customFormat="1" x14ac:dyDescent="0.25">
      <c r="A121" s="272"/>
      <c r="B121" s="272"/>
      <c r="C121" s="272"/>
      <c r="D121" s="272"/>
      <c r="E121" s="272"/>
      <c r="F121" s="272"/>
      <c r="G121" s="272"/>
      <c r="H121" s="274"/>
      <c r="I121" s="272"/>
      <c r="J121" s="272"/>
      <c r="K121" s="272"/>
    </row>
    <row r="122" spans="1:11" s="273" customFormat="1" x14ac:dyDescent="0.25">
      <c r="A122" s="272"/>
      <c r="B122" s="272"/>
      <c r="C122" s="272"/>
      <c r="D122" s="272"/>
      <c r="E122" s="272"/>
      <c r="F122" s="272"/>
      <c r="G122" s="272"/>
      <c r="H122" s="274"/>
      <c r="I122" s="272"/>
      <c r="J122" s="272"/>
      <c r="K122" s="272"/>
    </row>
    <row r="123" spans="1:11" s="273" customFormat="1" x14ac:dyDescent="0.25">
      <c r="A123" s="272"/>
      <c r="B123" s="272"/>
      <c r="C123" s="272"/>
      <c r="D123" s="272"/>
      <c r="E123" s="272"/>
      <c r="F123" s="272"/>
      <c r="G123" s="272"/>
      <c r="H123" s="274"/>
      <c r="I123" s="272"/>
      <c r="J123" s="272"/>
      <c r="K123" s="272"/>
    </row>
    <row r="124" spans="1:11" s="273" customFormat="1" x14ac:dyDescent="0.25">
      <c r="A124" s="272"/>
      <c r="B124" s="272"/>
      <c r="C124" s="272"/>
      <c r="D124" s="272"/>
      <c r="E124" s="272"/>
      <c r="F124" s="272"/>
      <c r="G124" s="272"/>
      <c r="H124" s="274"/>
      <c r="I124" s="272"/>
      <c r="J124" s="272"/>
      <c r="K124" s="272"/>
    </row>
    <row r="125" spans="1:11" s="273" customFormat="1" x14ac:dyDescent="0.25">
      <c r="A125" s="272"/>
      <c r="B125" s="272"/>
      <c r="C125" s="272"/>
      <c r="D125" s="272"/>
      <c r="E125" s="272"/>
      <c r="F125" s="272"/>
      <c r="G125" s="272"/>
      <c r="H125" s="274"/>
      <c r="I125" s="272"/>
      <c r="J125" s="272"/>
      <c r="K125" s="272"/>
    </row>
    <row r="126" spans="1:11" s="273" customFormat="1" x14ac:dyDescent="0.25">
      <c r="A126" s="272"/>
      <c r="B126" s="272"/>
      <c r="C126" s="272"/>
      <c r="D126" s="272"/>
      <c r="E126" s="272"/>
      <c r="F126" s="272"/>
      <c r="G126" s="272"/>
      <c r="H126" s="274"/>
      <c r="I126" s="272"/>
      <c r="J126" s="272"/>
      <c r="K126" s="272"/>
    </row>
    <row r="127" spans="1:11" s="273" customFormat="1" x14ac:dyDescent="0.25">
      <c r="A127" s="272"/>
      <c r="B127" s="272"/>
      <c r="C127" s="272"/>
      <c r="D127" s="272"/>
      <c r="E127" s="272"/>
      <c r="F127" s="272"/>
      <c r="G127" s="272"/>
      <c r="H127" s="274"/>
      <c r="I127" s="272"/>
      <c r="J127" s="272"/>
      <c r="K127" s="272"/>
    </row>
    <row r="128" spans="1:11" s="273" customFormat="1" x14ac:dyDescent="0.25">
      <c r="A128" s="272"/>
      <c r="B128" s="272"/>
      <c r="C128" s="272"/>
      <c r="D128" s="272"/>
      <c r="E128" s="272"/>
      <c r="F128" s="272"/>
      <c r="G128" s="272"/>
      <c r="H128" s="274"/>
      <c r="I128" s="272"/>
      <c r="J128" s="272"/>
      <c r="K128" s="272"/>
    </row>
    <row r="129" spans="1:11" s="273" customFormat="1" x14ac:dyDescent="0.25">
      <c r="A129" s="272"/>
      <c r="B129" s="272"/>
      <c r="C129" s="272"/>
      <c r="D129" s="272"/>
      <c r="E129" s="272"/>
      <c r="F129" s="272"/>
      <c r="G129" s="272"/>
      <c r="H129" s="274"/>
      <c r="I129" s="272"/>
      <c r="J129" s="272"/>
      <c r="K129" s="272"/>
    </row>
    <row r="130" spans="1:11" s="273" customFormat="1" x14ac:dyDescent="0.25">
      <c r="A130" s="272"/>
      <c r="B130" s="272"/>
      <c r="C130" s="272"/>
      <c r="D130" s="272"/>
      <c r="E130" s="272"/>
      <c r="F130" s="272"/>
      <c r="G130" s="272"/>
      <c r="H130" s="274"/>
      <c r="I130" s="272"/>
      <c r="J130" s="272"/>
      <c r="K130" s="272"/>
    </row>
    <row r="131" spans="1:11" s="273" customFormat="1" x14ac:dyDescent="0.25">
      <c r="A131" s="272"/>
      <c r="B131" s="272"/>
      <c r="C131" s="272"/>
      <c r="D131" s="272"/>
      <c r="E131" s="272"/>
      <c r="F131" s="272"/>
      <c r="G131" s="272"/>
      <c r="H131" s="274"/>
      <c r="I131" s="272"/>
      <c r="J131" s="272"/>
      <c r="K131" s="272"/>
    </row>
    <row r="132" spans="1:11" s="273" customFormat="1" x14ac:dyDescent="0.25">
      <c r="A132" s="272"/>
      <c r="B132" s="272"/>
      <c r="C132" s="272"/>
      <c r="D132" s="272"/>
      <c r="E132" s="272"/>
      <c r="F132" s="272"/>
      <c r="G132" s="272"/>
      <c r="H132" s="274"/>
      <c r="I132" s="272"/>
      <c r="J132" s="272"/>
      <c r="K132" s="272"/>
    </row>
    <row r="133" spans="1:11" s="273" customFormat="1" x14ac:dyDescent="0.25">
      <c r="A133" s="272"/>
      <c r="B133" s="272"/>
      <c r="C133" s="272"/>
      <c r="D133" s="272"/>
      <c r="E133" s="272"/>
      <c r="F133" s="272"/>
      <c r="G133" s="272"/>
      <c r="H133" s="274"/>
      <c r="I133" s="272"/>
      <c r="J133" s="272"/>
      <c r="K133" s="272"/>
    </row>
    <row r="134" spans="1:11" s="273" customFormat="1" x14ac:dyDescent="0.25">
      <c r="A134" s="272"/>
      <c r="B134" s="272"/>
      <c r="C134" s="272"/>
      <c r="D134" s="272"/>
      <c r="E134" s="272"/>
      <c r="F134" s="272"/>
      <c r="G134" s="272"/>
      <c r="H134" s="274"/>
      <c r="I134" s="272"/>
      <c r="J134" s="272"/>
      <c r="K134" s="272"/>
    </row>
    <row r="135" spans="1:11" s="273" customFormat="1" x14ac:dyDescent="0.25">
      <c r="A135" s="272"/>
      <c r="B135" s="272"/>
      <c r="C135" s="272"/>
      <c r="D135" s="272"/>
      <c r="E135" s="272"/>
      <c r="F135" s="272"/>
      <c r="G135" s="272"/>
      <c r="H135" s="274"/>
      <c r="I135" s="272"/>
      <c r="J135" s="272"/>
      <c r="K135" s="272"/>
    </row>
    <row r="136" spans="1:11" s="273" customFormat="1" x14ac:dyDescent="0.25">
      <c r="A136" s="272"/>
      <c r="B136" s="272"/>
      <c r="C136" s="272"/>
      <c r="D136" s="272"/>
      <c r="E136" s="272"/>
      <c r="F136" s="272"/>
      <c r="G136" s="272"/>
      <c r="H136" s="274"/>
      <c r="I136" s="272"/>
      <c r="J136" s="272"/>
      <c r="K136" s="272"/>
    </row>
    <row r="137" spans="1:11" s="273" customFormat="1" x14ac:dyDescent="0.25">
      <c r="A137" s="272"/>
      <c r="B137" s="272"/>
      <c r="C137" s="272"/>
      <c r="D137" s="272"/>
      <c r="E137" s="272"/>
      <c r="F137" s="272"/>
      <c r="G137" s="272"/>
      <c r="H137" s="274"/>
      <c r="I137" s="272"/>
      <c r="J137" s="272"/>
      <c r="K137" s="272"/>
    </row>
    <row r="138" spans="1:11" s="273" customFormat="1" x14ac:dyDescent="0.25">
      <c r="A138" s="272"/>
      <c r="B138" s="272"/>
      <c r="C138" s="272"/>
      <c r="D138" s="272"/>
      <c r="E138" s="272"/>
      <c r="F138" s="272"/>
      <c r="G138" s="272"/>
      <c r="H138" s="274"/>
      <c r="I138" s="272"/>
      <c r="J138" s="272"/>
      <c r="K138" s="272"/>
    </row>
    <row r="139" spans="1:11" s="273" customFormat="1" x14ac:dyDescent="0.25">
      <c r="A139" s="272"/>
      <c r="B139" s="272"/>
      <c r="C139" s="272"/>
      <c r="D139" s="272"/>
      <c r="E139" s="272"/>
      <c r="F139" s="272"/>
      <c r="G139" s="272"/>
      <c r="H139" s="274"/>
      <c r="I139" s="272"/>
      <c r="J139" s="272"/>
      <c r="K139" s="272"/>
    </row>
    <row r="140" spans="1:11" s="273" customFormat="1" x14ac:dyDescent="0.25">
      <c r="A140" s="272"/>
      <c r="B140" s="272"/>
      <c r="C140" s="272"/>
      <c r="D140" s="272"/>
      <c r="E140" s="272"/>
      <c r="F140" s="272"/>
      <c r="G140" s="272"/>
      <c r="H140" s="274"/>
      <c r="I140" s="272"/>
      <c r="J140" s="272"/>
      <c r="K140" s="272"/>
    </row>
    <row r="141" spans="1:11" s="273" customFormat="1" x14ac:dyDescent="0.25">
      <c r="A141" s="272"/>
      <c r="B141" s="272"/>
      <c r="C141" s="272"/>
      <c r="D141" s="272"/>
      <c r="E141" s="272"/>
      <c r="F141" s="272"/>
      <c r="G141" s="272"/>
      <c r="H141" s="274"/>
      <c r="I141" s="272"/>
      <c r="J141" s="272"/>
      <c r="K141" s="272"/>
    </row>
    <row r="142" spans="1:11" s="273" customFormat="1" x14ac:dyDescent="0.25">
      <c r="A142" s="272"/>
      <c r="B142" s="272"/>
      <c r="C142" s="272"/>
      <c r="D142" s="272"/>
      <c r="E142" s="272"/>
      <c r="F142" s="272"/>
      <c r="G142" s="272"/>
      <c r="H142" s="274"/>
      <c r="I142" s="272"/>
      <c r="J142" s="272"/>
      <c r="K142" s="272"/>
    </row>
    <row r="143" spans="1:11" s="273" customFormat="1" x14ac:dyDescent="0.25">
      <c r="A143" s="272"/>
      <c r="B143" s="272"/>
      <c r="C143" s="272"/>
      <c r="D143" s="272"/>
      <c r="E143" s="272"/>
      <c r="F143" s="272"/>
      <c r="G143" s="272"/>
      <c r="H143" s="274"/>
      <c r="I143" s="272"/>
      <c r="J143" s="272"/>
      <c r="K143" s="272"/>
    </row>
    <row r="144" spans="1:11" s="273" customFormat="1" x14ac:dyDescent="0.25">
      <c r="A144" s="272"/>
      <c r="B144" s="272"/>
      <c r="C144" s="272"/>
      <c r="D144" s="272"/>
      <c r="E144" s="272"/>
      <c r="F144" s="272"/>
      <c r="G144" s="272"/>
      <c r="H144" s="274"/>
      <c r="I144" s="272"/>
      <c r="J144" s="272"/>
      <c r="K144" s="272"/>
    </row>
    <row r="145" spans="1:1" ht="15" x14ac:dyDescent="0.25">
      <c r="A145" s="271"/>
    </row>
    <row r="146" spans="1:1" ht="15" x14ac:dyDescent="0.25">
      <c r="A146" s="271"/>
    </row>
    <row r="147" spans="1:1" ht="15" x14ac:dyDescent="0.25">
      <c r="A147" s="271"/>
    </row>
    <row r="148" spans="1:1" ht="15" x14ac:dyDescent="0.25">
      <c r="A148" s="271"/>
    </row>
    <row r="149" spans="1:1" ht="15" x14ac:dyDescent="0.25">
      <c r="A149" s="271"/>
    </row>
    <row r="150" spans="1:1" ht="15" x14ac:dyDescent="0.25">
      <c r="A150" s="271"/>
    </row>
    <row r="151" spans="1:1" ht="15" x14ac:dyDescent="0.25">
      <c r="A151" s="271"/>
    </row>
    <row r="152" spans="1:1" ht="15" x14ac:dyDescent="0.25">
      <c r="A152" s="271"/>
    </row>
    <row r="153" spans="1:1" ht="15" x14ac:dyDescent="0.25">
      <c r="A153" s="271"/>
    </row>
  </sheetData>
  <sheetProtection sheet="1" formatCells="0" formatColumns="0" formatRows="0" insertColumns="0" insertRows="0" insertHyperlinks="0" deleteColumns="0" deleteRows="0" sort="0" autoFilter="0" pivotTables="0"/>
  <mergeCells count="273">
    <mergeCell ref="A75:D75"/>
    <mergeCell ref="A76:D76"/>
    <mergeCell ref="A58:D58"/>
    <mergeCell ref="A62:D62"/>
    <mergeCell ref="A56:K56"/>
    <mergeCell ref="A57:K57"/>
    <mergeCell ref="B55:F55"/>
    <mergeCell ref="A52:D52"/>
    <mergeCell ref="A53:D53"/>
    <mergeCell ref="E69:F69"/>
    <mergeCell ref="E74:F74"/>
    <mergeCell ref="A68:D68"/>
    <mergeCell ref="A69:D69"/>
    <mergeCell ref="A70:D70"/>
    <mergeCell ref="A71:D71"/>
    <mergeCell ref="A72:D72"/>
    <mergeCell ref="A73:D73"/>
    <mergeCell ref="A74:D74"/>
    <mergeCell ref="A64:D64"/>
    <mergeCell ref="E63:F64"/>
    <mergeCell ref="E59:F60"/>
    <mergeCell ref="E66:F66"/>
    <mergeCell ref="E67:F67"/>
    <mergeCell ref="A66:D66"/>
    <mergeCell ref="X2:AA3"/>
    <mergeCell ref="X39:AC40"/>
    <mergeCell ref="I4:K5"/>
    <mergeCell ref="A32:B32"/>
    <mergeCell ref="A12:B12"/>
    <mergeCell ref="A36:B36"/>
    <mergeCell ref="A35:B35"/>
    <mergeCell ref="A22:B22"/>
    <mergeCell ref="A21:B21"/>
    <mergeCell ref="A37:B37"/>
    <mergeCell ref="A33:B33"/>
    <mergeCell ref="A26:B26"/>
    <mergeCell ref="A27:B27"/>
    <mergeCell ref="A28:B28"/>
    <mergeCell ref="A29:B29"/>
    <mergeCell ref="B3:G3"/>
    <mergeCell ref="A30:B30"/>
    <mergeCell ref="A23:B23"/>
    <mergeCell ref="A20:B20"/>
    <mergeCell ref="A19:B19"/>
    <mergeCell ref="A11:B11"/>
    <mergeCell ref="A10:B10"/>
    <mergeCell ref="A9:B9"/>
    <mergeCell ref="A16:B16"/>
    <mergeCell ref="B81:F81"/>
    <mergeCell ref="R69:T69"/>
    <mergeCell ref="R72:T72"/>
    <mergeCell ref="R73:T73"/>
    <mergeCell ref="O77:Q77"/>
    <mergeCell ref="O78:Q78"/>
    <mergeCell ref="O79:Q79"/>
    <mergeCell ref="O76:Q76"/>
    <mergeCell ref="L72:N72"/>
    <mergeCell ref="R75:T75"/>
    <mergeCell ref="R79:T79"/>
    <mergeCell ref="R78:T78"/>
    <mergeCell ref="R77:T77"/>
    <mergeCell ref="L69:N69"/>
    <mergeCell ref="L70:N70"/>
    <mergeCell ref="L71:N71"/>
    <mergeCell ref="R76:T76"/>
    <mergeCell ref="E80:F80"/>
    <mergeCell ref="E78:F78"/>
    <mergeCell ref="E77:F77"/>
    <mergeCell ref="A77:D77"/>
    <mergeCell ref="A78:D78"/>
    <mergeCell ref="A79:D79"/>
    <mergeCell ref="A80:D80"/>
    <mergeCell ref="A67:D67"/>
    <mergeCell ref="A47:D47"/>
    <mergeCell ref="A48:D48"/>
    <mergeCell ref="A50:D50"/>
    <mergeCell ref="E58:F58"/>
    <mergeCell ref="A54:D54"/>
    <mergeCell ref="A59:D59"/>
    <mergeCell ref="A60:D60"/>
    <mergeCell ref="A61:D61"/>
    <mergeCell ref="A63:D63"/>
    <mergeCell ref="A65:D65"/>
    <mergeCell ref="E65:F65"/>
    <mergeCell ref="E61:F61"/>
    <mergeCell ref="E62:F62"/>
    <mergeCell ref="E79:F79"/>
    <mergeCell ref="O71:Q71"/>
    <mergeCell ref="O69:Q69"/>
    <mergeCell ref="R71:T71"/>
    <mergeCell ref="O70:Q70"/>
    <mergeCell ref="L54:M54"/>
    <mergeCell ref="E72:F72"/>
    <mergeCell ref="E75:F75"/>
    <mergeCell ref="L61:N61"/>
    <mergeCell ref="L73:N73"/>
    <mergeCell ref="L74:N74"/>
    <mergeCell ref="P62:R62"/>
    <mergeCell ref="E76:F76"/>
    <mergeCell ref="E70:F70"/>
    <mergeCell ref="E71:F71"/>
    <mergeCell ref="E73:F73"/>
    <mergeCell ref="E68:F68"/>
    <mergeCell ref="P61:U61"/>
    <mergeCell ref="R70:T70"/>
    <mergeCell ref="O73:Q73"/>
    <mergeCell ref="R74:T74"/>
    <mergeCell ref="U69:V69"/>
    <mergeCell ref="O74:P74"/>
    <mergeCell ref="O72:Q72"/>
    <mergeCell ref="M1:Q1"/>
    <mergeCell ref="P16:Q16"/>
    <mergeCell ref="L40:M40"/>
    <mergeCell ref="P43:T43"/>
    <mergeCell ref="L44:M44"/>
    <mergeCell ref="P3:Q3"/>
    <mergeCell ref="R3:V3"/>
    <mergeCell ref="R40:T40"/>
    <mergeCell ref="R39:T39"/>
    <mergeCell ref="P38:T38"/>
    <mergeCell ref="L14:V14"/>
    <mergeCell ref="R36:T36"/>
    <mergeCell ref="P35:Q36"/>
    <mergeCell ref="L3:O3"/>
    <mergeCell ref="L38:O38"/>
    <mergeCell ref="R1:S1"/>
    <mergeCell ref="T1:U1"/>
    <mergeCell ref="L2:V2"/>
    <mergeCell ref="R16:V16"/>
    <mergeCell ref="L16:M16"/>
    <mergeCell ref="N16:O16"/>
    <mergeCell ref="R12:T12"/>
    <mergeCell ref="L15:V15"/>
    <mergeCell ref="M22:N22"/>
    <mergeCell ref="I1:J1"/>
    <mergeCell ref="A8:K8"/>
    <mergeCell ref="I2:K2"/>
    <mergeCell ref="A1:A2"/>
    <mergeCell ref="I3:K3"/>
    <mergeCell ref="B4:G4"/>
    <mergeCell ref="I6:K6"/>
    <mergeCell ref="H4:H5"/>
    <mergeCell ref="B1:G2"/>
    <mergeCell ref="A14:B14"/>
    <mergeCell ref="A13:B13"/>
    <mergeCell ref="A18:B18"/>
    <mergeCell ref="A24:B24"/>
    <mergeCell ref="A25:B25"/>
    <mergeCell ref="R23:T23"/>
    <mergeCell ref="M23:O23"/>
    <mergeCell ref="L39:O39"/>
    <mergeCell ref="P33:Q34"/>
    <mergeCell ref="L32:M32"/>
    <mergeCell ref="P31:V31"/>
    <mergeCell ref="P32:T32"/>
    <mergeCell ref="P23:Q23"/>
    <mergeCell ref="M37:N37"/>
    <mergeCell ref="A39:B39"/>
    <mergeCell ref="L50:M50"/>
    <mergeCell ref="P45:Q48"/>
    <mergeCell ref="L47:O47"/>
    <mergeCell ref="P49:T49"/>
    <mergeCell ref="L49:M49"/>
    <mergeCell ref="R41:T41"/>
    <mergeCell ref="P41:Q42"/>
    <mergeCell ref="R42:T42"/>
    <mergeCell ref="A15:B15"/>
    <mergeCell ref="A44:D44"/>
    <mergeCell ref="A45:D45"/>
    <mergeCell ref="A40:B40"/>
    <mergeCell ref="A49:D49"/>
    <mergeCell ref="A46:D46"/>
    <mergeCell ref="A41:B41"/>
    <mergeCell ref="A43:D43"/>
    <mergeCell ref="L48:O48"/>
    <mergeCell ref="P37:T37"/>
    <mergeCell ref="L41:M41"/>
    <mergeCell ref="L45:M45"/>
    <mergeCell ref="P44:T44"/>
    <mergeCell ref="R35:T35"/>
    <mergeCell ref="L34:M34"/>
    <mergeCell ref="P39:Q40"/>
    <mergeCell ref="L42:M42"/>
    <mergeCell ref="R45:T45"/>
    <mergeCell ref="L43:M43"/>
    <mergeCell ref="AA79:AB79"/>
    <mergeCell ref="B5:G5"/>
    <mergeCell ref="B6:G6"/>
    <mergeCell ref="A17:B17"/>
    <mergeCell ref="A34:B34"/>
    <mergeCell ref="B7:G7"/>
    <mergeCell ref="I7:K7"/>
    <mergeCell ref="Y37:Z37"/>
    <mergeCell ref="L51:N51"/>
    <mergeCell ref="R33:T33"/>
    <mergeCell ref="R46:T46"/>
    <mergeCell ref="R48:T48"/>
    <mergeCell ref="R47:T47"/>
    <mergeCell ref="R13:T13"/>
    <mergeCell ref="A51:D51"/>
    <mergeCell ref="L46:M46"/>
    <mergeCell ref="L35:M35"/>
    <mergeCell ref="R34:T34"/>
    <mergeCell ref="L31:O31"/>
    <mergeCell ref="S52:U52"/>
    <mergeCell ref="P54:V54"/>
    <mergeCell ref="P50:T50"/>
    <mergeCell ref="L36:M36"/>
    <mergeCell ref="L33:M33"/>
    <mergeCell ref="N82:Q82"/>
    <mergeCell ref="R82:T82"/>
    <mergeCell ref="U82:V82"/>
    <mergeCell ref="O80:Q80"/>
    <mergeCell ref="O81:P81"/>
    <mergeCell ref="R81:T81"/>
    <mergeCell ref="U81:V81"/>
    <mergeCell ref="R80:T80"/>
    <mergeCell ref="U80:V80"/>
    <mergeCell ref="L77:M78"/>
    <mergeCell ref="S62:U62"/>
    <mergeCell ref="U74:V74"/>
    <mergeCell ref="L76:M76"/>
    <mergeCell ref="L75:N75"/>
    <mergeCell ref="U78:V78"/>
    <mergeCell ref="U76:V76"/>
    <mergeCell ref="U75:V75"/>
    <mergeCell ref="O75:Q75"/>
    <mergeCell ref="U77:V77"/>
    <mergeCell ref="U71:V71"/>
    <mergeCell ref="U72:V72"/>
    <mergeCell ref="Y70:Z70"/>
    <mergeCell ref="L63:V65"/>
    <mergeCell ref="U68:V68"/>
    <mergeCell ref="L58:N58"/>
    <mergeCell ref="P59:U59"/>
    <mergeCell ref="L59:N59"/>
    <mergeCell ref="R68:T68"/>
    <mergeCell ref="O67:Q67"/>
    <mergeCell ref="O68:Q68"/>
    <mergeCell ref="U70:V70"/>
    <mergeCell ref="AA76:AB76"/>
    <mergeCell ref="AA78:AB78"/>
    <mergeCell ref="AA77:AB77"/>
    <mergeCell ref="Z81:Z82"/>
    <mergeCell ref="X75:Y75"/>
    <mergeCell ref="X76:Y76"/>
    <mergeCell ref="X77:Y77"/>
    <mergeCell ref="X78:Y78"/>
    <mergeCell ref="X79:Y79"/>
    <mergeCell ref="U73:V73"/>
    <mergeCell ref="X80:Y80"/>
    <mergeCell ref="U79:V79"/>
    <mergeCell ref="X81:Y82"/>
    <mergeCell ref="P51:T51"/>
    <mergeCell ref="L52:M52"/>
    <mergeCell ref="P56:U56"/>
    <mergeCell ref="P52:R52"/>
    <mergeCell ref="L67:N67"/>
    <mergeCell ref="U67:V67"/>
    <mergeCell ref="L68:N68"/>
    <mergeCell ref="L57:N57"/>
    <mergeCell ref="L60:N60"/>
    <mergeCell ref="P53:V53"/>
    <mergeCell ref="P57:U57"/>
    <mergeCell ref="P58:U58"/>
    <mergeCell ref="L55:N55"/>
    <mergeCell ref="L53:M53"/>
    <mergeCell ref="P55:U55"/>
    <mergeCell ref="P60:U60"/>
    <mergeCell ref="R67:T67"/>
    <mergeCell ref="L66:V66"/>
    <mergeCell ref="M62:N62"/>
    <mergeCell ref="X56:AA57"/>
  </mergeCells>
  <phoneticPr fontId="0" type="noConversion"/>
  <dataValidations count="1">
    <dataValidation type="list" allowBlank="1" showInputMessage="1" showErrorMessage="1" sqref="A7">
      <formula1>ESTIMATEUR</formula1>
    </dataValidation>
  </dataValidations>
  <printOptions horizontalCentered="1" verticalCentered="1"/>
  <pageMargins left="0" right="0" top="0.19685039370078741" bottom="0" header="0" footer="0"/>
  <pageSetup paperSize="5" scale="94" fitToWidth="0" orientation="portrait" horizontalDpi="300" verticalDpi="144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'SOMM. T.OFF'!$A$69:$A$75</xm:f>
          </x14:formula1>
          <xm:sqref>B7:G7</xm:sqref>
        </x14:dataValidation>
        <x14:dataValidation type="list" allowBlank="1" showInputMessage="1" showErrorMessage="1">
          <x14:formula1>
            <xm:f>'SOMM. T.OFF'!$D$69:$D$71</xm:f>
          </x14:formula1>
          <xm:sqref>C36</xm:sqref>
        </x14:dataValidation>
      </x14:dataValidations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codeName="Feuil3"/>
  <dimension ref="A1:AX1005"/>
  <sheetViews>
    <sheetView tabSelected="1" workbookViewId="0">
      <pane ySplit="5040" topLeftCell="A10" activePane="bottomLeft"/>
      <selection activeCell="D9" activeCellId="1" sqref="D8:H8 D9:H9"/>
      <selection pane="bottomLeft" activeCell="A20" sqref="A20"/>
    </sheetView>
  </sheetViews>
  <sheetFormatPr defaultColWidth="11.44140625" defaultRowHeight="10.199999999999999" x14ac:dyDescent="0.2"/>
  <cols>
    <col min="1" max="2" width="8.6640625" style="2" customWidth="1"/>
    <col min="3" max="3" width="7.6640625" style="2" customWidth="1"/>
    <col min="4" max="4" width="4.44140625" style="2" customWidth="1"/>
    <col min="5" max="6" width="4.5546875" style="2" customWidth="1"/>
    <col min="7" max="10" width="3.88671875" style="2" customWidth="1"/>
    <col min="11" max="11" width="4.33203125" style="2" customWidth="1"/>
    <col min="12" max="12" width="10.5546875" style="2" customWidth="1"/>
    <col min="13" max="13" width="6.33203125" style="2" customWidth="1"/>
    <col min="14" max="14" width="9.33203125" style="2" customWidth="1"/>
    <col min="15" max="15" width="6.33203125" style="2" customWidth="1"/>
    <col min="16" max="16" width="11.6640625" style="2" customWidth="1"/>
    <col min="17" max="50" width="11.6640625" style="2" hidden="1" customWidth="1"/>
    <col min="51" max="51" width="11.6640625" style="2" customWidth="1"/>
    <col min="52" max="52" width="11.44140625" style="2"/>
    <col min="53" max="53" width="11.5546875" style="2" customWidth="1"/>
    <col min="54" max="54" width="11.33203125" style="2" customWidth="1"/>
    <col min="55" max="16384" width="11.44140625" style="2"/>
  </cols>
  <sheetData>
    <row r="1" spans="1:21" ht="13.8" x14ac:dyDescent="0.25">
      <c r="A1" s="889" t="s">
        <v>169</v>
      </c>
      <c r="B1" s="890"/>
      <c r="C1" s="903" t="str">
        <f>IF(ESTIMÉ!B1="","",ESTIMÉ!B1)</f>
        <v/>
      </c>
      <c r="D1" s="903"/>
      <c r="E1" s="903"/>
      <c r="F1" s="903"/>
      <c r="G1" s="903"/>
      <c r="H1" s="903"/>
      <c r="I1" s="903"/>
      <c r="J1" s="904"/>
      <c r="K1" s="25"/>
      <c r="L1" s="889" t="s">
        <v>170</v>
      </c>
      <c r="M1" s="890"/>
      <c r="N1" s="891"/>
      <c r="O1" s="891"/>
      <c r="P1" s="892"/>
    </row>
    <row r="2" spans="1:21" x14ac:dyDescent="0.2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</row>
    <row r="3" spans="1:21" x14ac:dyDescent="0.2">
      <c r="A3" s="905" t="s">
        <v>171</v>
      </c>
      <c r="B3" s="906"/>
      <c r="C3" s="906"/>
      <c r="D3" s="906"/>
      <c r="E3" s="906"/>
      <c r="F3" s="906"/>
      <c r="G3" s="906"/>
      <c r="H3" s="906"/>
      <c r="I3" s="906"/>
      <c r="J3" s="907"/>
      <c r="K3" s="27"/>
      <c r="L3" s="896" t="s">
        <v>172</v>
      </c>
      <c r="M3" s="897"/>
      <c r="N3" s="898"/>
      <c r="O3" s="897"/>
      <c r="P3" s="899"/>
    </row>
    <row r="4" spans="1:21" ht="12.75" customHeight="1" x14ac:dyDescent="0.2">
      <c r="A4" s="908" t="s">
        <v>173</v>
      </c>
      <c r="B4" s="909"/>
      <c r="C4" s="98">
        <v>1</v>
      </c>
      <c r="D4" s="910" t="s">
        <v>658</v>
      </c>
      <c r="E4" s="911"/>
      <c r="F4" s="911"/>
      <c r="G4" s="911"/>
      <c r="H4" s="911"/>
      <c r="I4" s="912">
        <v>9</v>
      </c>
      <c r="J4" s="913"/>
      <c r="K4" s="27"/>
      <c r="L4" s="900" t="s">
        <v>175</v>
      </c>
      <c r="M4" s="884"/>
      <c r="N4" s="19" t="inlineStr">
        <is>
          <t>M</t>
        </is>
      </c>
      <c r="O4" s="901" t="s">
        <v>176</v>
      </c>
      <c r="P4" s="902"/>
    </row>
    <row r="5" spans="1:21" ht="12.75" customHeight="1" x14ac:dyDescent="0.2">
      <c r="A5" s="887" t="s">
        <v>177</v>
      </c>
      <c r="B5" s="888"/>
      <c r="C5" s="99">
        <v>2</v>
      </c>
      <c r="D5" s="887" t="s">
        <v>178</v>
      </c>
      <c r="E5" s="888"/>
      <c r="F5" s="888"/>
      <c r="G5" s="888"/>
      <c r="H5" s="888"/>
      <c r="I5" s="894">
        <v>10</v>
      </c>
      <c r="J5" s="895"/>
      <c r="K5" s="27"/>
      <c r="L5" s="6">
        <v>0</v>
      </c>
      <c r="M5" s="1">
        <v>305</v>
      </c>
      <c r="N5" s="20">
        <v>26</v>
      </c>
      <c r="O5" s="1">
        <v>0</v>
      </c>
      <c r="P5" s="7">
        <v>12</v>
      </c>
    </row>
    <row r="6" spans="1:21" ht="12.75" customHeight="1" x14ac:dyDescent="0.2">
      <c r="A6" s="887" t="s">
        <v>179</v>
      </c>
      <c r="B6" s="888"/>
      <c r="C6" s="99">
        <v>21</v>
      </c>
      <c r="D6" s="887" t="s">
        <v>742</v>
      </c>
      <c r="E6" s="888"/>
      <c r="F6" s="888"/>
      <c r="G6" s="888"/>
      <c r="H6" s="888"/>
      <c r="I6" s="894">
        <v>100</v>
      </c>
      <c r="J6" s="895"/>
      <c r="K6" s="27"/>
      <c r="L6" s="21">
        <v>310</v>
      </c>
      <c r="M6" s="22">
        <v>750</v>
      </c>
      <c r="N6" s="23">
        <v>24</v>
      </c>
      <c r="O6" s="22">
        <v>13</v>
      </c>
      <c r="P6" s="18">
        <v>30</v>
      </c>
    </row>
    <row r="7" spans="1:21" ht="12.75" customHeight="1" x14ac:dyDescent="0.2">
      <c r="A7" s="887" t="s">
        <v>181</v>
      </c>
      <c r="B7" s="888"/>
      <c r="C7" s="99">
        <v>3</v>
      </c>
      <c r="D7" s="887" t="s">
        <v>180</v>
      </c>
      <c r="E7" s="888"/>
      <c r="F7" s="888"/>
      <c r="G7" s="888"/>
      <c r="H7" s="888"/>
      <c r="I7" s="894">
        <v>11</v>
      </c>
      <c r="J7" s="895"/>
      <c r="K7" s="27"/>
      <c r="L7" s="6">
        <v>755</v>
      </c>
      <c r="M7" s="1">
        <v>1500</v>
      </c>
      <c r="N7" s="24">
        <v>22</v>
      </c>
      <c r="O7" s="1">
        <v>31</v>
      </c>
      <c r="P7" s="7">
        <v>59</v>
      </c>
    </row>
    <row r="8" spans="1:21" ht="12.75" customHeight="1" x14ac:dyDescent="0.2">
      <c r="A8" s="887" t="s">
        <v>183</v>
      </c>
      <c r="B8" s="888"/>
      <c r="C8" s="99">
        <v>4</v>
      </c>
      <c r="D8" s="783" t="s">
        <v>182</v>
      </c>
      <c r="E8" s="784"/>
      <c r="F8" s="784"/>
      <c r="G8" s="784"/>
      <c r="H8" s="785"/>
      <c r="I8" s="882">
        <v>111</v>
      </c>
      <c r="J8" s="883"/>
      <c r="K8" s="27"/>
      <c r="L8" s="21">
        <v>1505</v>
      </c>
      <c r="M8" s="22">
        <v>2100</v>
      </c>
      <c r="N8" s="23">
        <v>20</v>
      </c>
      <c r="O8" s="22">
        <v>60</v>
      </c>
      <c r="P8" s="18">
        <v>82</v>
      </c>
    </row>
    <row r="9" spans="1:21" ht="13.5" customHeight="1" thickBot="1" x14ac:dyDescent="0.25">
      <c r="A9" s="887" t="s">
        <v>185</v>
      </c>
      <c r="B9" s="888"/>
      <c r="C9" s="99">
        <v>5</v>
      </c>
      <c r="D9" s="783" t="s">
        <v>184</v>
      </c>
      <c r="E9" s="784"/>
      <c r="F9" s="784"/>
      <c r="G9" s="784"/>
      <c r="H9" s="785"/>
      <c r="I9" s="882">
        <v>12</v>
      </c>
      <c r="J9" s="883"/>
      <c r="K9" s="27"/>
      <c r="L9" s="6">
        <v>2105</v>
      </c>
      <c r="M9" s="1" t="s">
        <v>187</v>
      </c>
      <c r="N9" s="24">
        <v>18</v>
      </c>
      <c r="O9" s="1">
        <v>83</v>
      </c>
      <c r="P9" s="7" t="s">
        <v>187</v>
      </c>
    </row>
    <row r="10" spans="1:21" ht="12.75" customHeight="1" thickTop="1" x14ac:dyDescent="0.2">
      <c r="A10" s="887" t="s">
        <v>188</v>
      </c>
      <c r="B10" s="888"/>
      <c r="C10" s="99">
        <v>6</v>
      </c>
      <c r="D10" s="615" t="s">
        <v>186</v>
      </c>
      <c r="E10" s="616"/>
      <c r="F10" s="616"/>
      <c r="G10" s="616"/>
      <c r="H10" s="617"/>
      <c r="I10" s="882">
        <v>13</v>
      </c>
      <c r="J10" s="883"/>
      <c r="K10" s="27"/>
      <c r="L10" s="914" t="s">
        <v>190</v>
      </c>
      <c r="M10" s="915"/>
      <c r="N10" s="915"/>
      <c r="O10" s="915"/>
      <c r="P10" s="916"/>
    </row>
    <row r="11" spans="1:21" ht="12.75" customHeight="1" x14ac:dyDescent="0.2">
      <c r="A11" s="887" t="s">
        <v>44</v>
      </c>
      <c r="B11" s="888"/>
      <c r="C11" s="99">
        <v>61</v>
      </c>
      <c r="D11" s="783" t="s">
        <v>189</v>
      </c>
      <c r="E11" s="784"/>
      <c r="F11" s="784"/>
      <c r="G11" s="784"/>
      <c r="H11" s="785"/>
      <c r="I11" s="882">
        <v>131</v>
      </c>
      <c r="J11" s="883"/>
      <c r="K11" s="27"/>
      <c r="L11" s="4" t="s">
        <v>192</v>
      </c>
      <c r="M11" s="105" t="s">
        <v>193</v>
      </c>
      <c r="N11" s="917" t="s">
        <v>194</v>
      </c>
      <c r="O11" s="918"/>
      <c r="P11" s="109" t="s">
        <v>195</v>
      </c>
      <c r="S11" s="70"/>
      <c r="T11" s="70"/>
      <c r="U11" s="70"/>
    </row>
    <row r="12" spans="1:21" ht="12.75" customHeight="1" x14ac:dyDescent="0.2">
      <c r="A12" s="783" t="s">
        <v>196</v>
      </c>
      <c r="B12" s="785"/>
      <c r="C12" s="100">
        <v>7</v>
      </c>
      <c r="D12" s="783" t="s">
        <v>191</v>
      </c>
      <c r="E12" s="784"/>
      <c r="F12" s="784"/>
      <c r="G12" s="784"/>
      <c r="H12" s="785"/>
      <c r="I12" s="882">
        <v>14</v>
      </c>
      <c r="J12" s="883"/>
      <c r="K12" s="27"/>
      <c r="L12" s="14" t="s">
        <v>198</v>
      </c>
      <c r="M12" s="106" t="s">
        <v>199</v>
      </c>
      <c r="N12" s="783" t="s">
        <v>200</v>
      </c>
      <c r="O12" s="785"/>
      <c r="P12" s="99" t="s">
        <v>201</v>
      </c>
    </row>
    <row r="13" spans="1:21" ht="12.75" customHeight="1" x14ac:dyDescent="0.2">
      <c r="A13" s="887" t="s">
        <v>202</v>
      </c>
      <c r="B13" s="888"/>
      <c r="C13" s="101">
        <v>71</v>
      </c>
      <c r="D13" s="783" t="s">
        <v>197</v>
      </c>
      <c r="E13" s="784"/>
      <c r="F13" s="784"/>
      <c r="G13" s="784"/>
      <c r="H13" s="785"/>
      <c r="I13" s="882">
        <v>141</v>
      </c>
      <c r="J13" s="883"/>
      <c r="K13" s="27"/>
      <c r="L13" s="5" t="s">
        <v>204</v>
      </c>
      <c r="M13" s="107" t="s">
        <v>205</v>
      </c>
      <c r="N13" s="880" t="s">
        <v>206</v>
      </c>
      <c r="O13" s="881"/>
      <c r="P13" s="110" t="s">
        <v>207</v>
      </c>
    </row>
    <row r="14" spans="1:21" ht="12.75" customHeight="1" x14ac:dyDescent="0.2">
      <c r="A14" s="783" t="s">
        <v>208</v>
      </c>
      <c r="B14" s="785"/>
      <c r="C14" s="101">
        <v>8</v>
      </c>
      <c r="D14" s="615" t="s">
        <v>203</v>
      </c>
      <c r="E14" s="616"/>
      <c r="F14" s="616"/>
      <c r="G14" s="616"/>
      <c r="H14" s="617"/>
      <c r="I14" s="882">
        <v>15</v>
      </c>
      <c r="J14" s="883"/>
      <c r="K14" s="27"/>
      <c r="L14" s="44" t="s">
        <v>210</v>
      </c>
      <c r="M14" s="106" t="s">
        <v>211</v>
      </c>
      <c r="N14" s="784" t="s">
        <v>212</v>
      </c>
      <c r="O14" s="785"/>
      <c r="P14" s="99">
        <v>16</v>
      </c>
    </row>
    <row r="15" spans="1:21" ht="12.75" customHeight="1" x14ac:dyDescent="0.2">
      <c r="A15" s="885" t="s">
        <v>213</v>
      </c>
      <c r="B15" s="886"/>
      <c r="C15" s="102">
        <v>81</v>
      </c>
      <c r="D15" s="783" t="s">
        <v>209</v>
      </c>
      <c r="E15" s="784"/>
      <c r="F15" s="784"/>
      <c r="G15" s="784"/>
      <c r="H15" s="785"/>
      <c r="I15" s="882">
        <v>16</v>
      </c>
      <c r="J15" s="883"/>
      <c r="K15" s="27"/>
      <c r="L15" s="44" t="s">
        <v>44</v>
      </c>
      <c r="M15" s="106" t="s">
        <v>214</v>
      </c>
      <c r="N15" s="784" t="s">
        <v>215</v>
      </c>
      <c r="O15" s="784"/>
      <c r="P15" s="99" t="s">
        <v>214</v>
      </c>
    </row>
    <row r="16" spans="1:21" ht="12.75" customHeight="1" x14ac:dyDescent="0.2">
      <c r="A16" s="103"/>
      <c r="B16" s="103"/>
      <c r="C16" s="104"/>
      <c r="D16" s="103"/>
      <c r="E16" s="103"/>
      <c r="F16" s="103"/>
      <c r="G16" s="103"/>
      <c r="H16" s="103"/>
      <c r="I16" s="94"/>
      <c r="J16" s="94"/>
      <c r="L16" s="45" t="s">
        <v>216</v>
      </c>
      <c r="M16" s="108" t="s">
        <v>217</v>
      </c>
      <c r="N16" s="885" t="s">
        <v>218</v>
      </c>
      <c r="O16" s="886"/>
      <c r="P16" s="111" t="s">
        <v>219</v>
      </c>
    </row>
    <row r="17" spans="1:50" x14ac:dyDescent="0.2">
      <c r="A17" s="884"/>
      <c r="B17" s="884"/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</row>
    <row r="18" spans="1:50" ht="12.75" customHeight="1" x14ac:dyDescent="0.2">
      <c r="A18" s="874" t="s">
        <v>220</v>
      </c>
      <c r="B18" s="876" t="s">
        <v>221</v>
      </c>
      <c r="C18" s="878" t="s">
        <v>222</v>
      </c>
      <c r="D18" s="867" t="s">
        <v>223</v>
      </c>
      <c r="E18" s="924"/>
      <c r="F18" s="924"/>
      <c r="G18" s="924"/>
      <c r="H18" s="924"/>
      <c r="I18" s="924"/>
      <c r="J18" s="868"/>
      <c r="K18" s="919" t="s">
        <v>224</v>
      </c>
      <c r="L18" s="42" t="s">
        <v>225</v>
      </c>
      <c r="M18" s="872" t="s">
        <v>226</v>
      </c>
      <c r="N18" s="873"/>
      <c r="O18" s="867" t="s">
        <v>227</v>
      </c>
      <c r="P18" s="868"/>
      <c r="Q18" s="54" t="s">
        <v>228</v>
      </c>
      <c r="R18" s="867" t="s">
        <v>229</v>
      </c>
      <c r="S18" s="868"/>
      <c r="T18" s="867" t="s">
        <v>230</v>
      </c>
      <c r="U18" s="868"/>
      <c r="V18" s="867" t="s">
        <v>231</v>
      </c>
      <c r="W18" s="868"/>
      <c r="X18" s="867" t="s">
        <v>232</v>
      </c>
      <c r="Y18" s="868"/>
      <c r="Z18" s="55" t="s">
        <v>174</v>
      </c>
      <c r="AA18" s="867" t="s">
        <v>233</v>
      </c>
      <c r="AB18" s="868"/>
      <c r="AC18" s="867" t="s">
        <v>743</v>
      </c>
      <c r="AD18" s="868"/>
      <c r="AE18" s="868" t="s">
        <v>180</v>
      </c>
      <c r="AF18" s="871"/>
      <c r="AG18" s="871" t="s">
        <v>234</v>
      </c>
      <c r="AH18" s="871"/>
      <c r="AI18" s="871" t="s">
        <v>184</v>
      </c>
      <c r="AJ18" s="871"/>
      <c r="AK18" s="55" t="s">
        <v>235</v>
      </c>
      <c r="AL18" s="871" t="s">
        <v>236</v>
      </c>
      <c r="AM18" s="871"/>
      <c r="AN18" s="867" t="s">
        <v>237</v>
      </c>
      <c r="AO18" s="868"/>
      <c r="AP18" s="867" t="s">
        <v>238</v>
      </c>
      <c r="AQ18" s="868"/>
      <c r="AR18" s="54" t="s">
        <v>239</v>
      </c>
      <c r="AS18" s="871" t="s">
        <v>240</v>
      </c>
      <c r="AT18" s="871"/>
      <c r="AU18" s="869" t="s">
        <v>44</v>
      </c>
      <c r="AV18" s="870"/>
      <c r="AW18" s="869" t="s">
        <v>225</v>
      </c>
      <c r="AX18" s="870"/>
    </row>
    <row r="19" spans="1:50" x14ac:dyDescent="0.2">
      <c r="A19" s="875"/>
      <c r="B19" s="877"/>
      <c r="C19" s="879"/>
      <c r="D19" s="11" t="s">
        <v>241</v>
      </c>
      <c r="E19" s="8" t="s">
        <v>75</v>
      </c>
      <c r="F19" s="38" t="s">
        <v>242</v>
      </c>
      <c r="G19" s="921" t="s">
        <v>40</v>
      </c>
      <c r="H19" s="922"/>
      <c r="I19" s="922"/>
      <c r="J19" s="923"/>
      <c r="K19" s="920"/>
      <c r="L19" s="26" t="s">
        <v>14</v>
      </c>
      <c r="M19" s="11" t="s">
        <v>243</v>
      </c>
      <c r="N19" s="12" t="s">
        <v>244</v>
      </c>
      <c r="O19" s="11" t="s">
        <v>243</v>
      </c>
      <c r="P19" s="12" t="s">
        <v>244</v>
      </c>
      <c r="Q19" s="57" t="s">
        <v>245</v>
      </c>
      <c r="R19" s="60" t="s">
        <v>17</v>
      </c>
      <c r="S19" s="43" t="s">
        <v>76</v>
      </c>
      <c r="T19" s="36" t="s">
        <v>17</v>
      </c>
      <c r="U19" s="43" t="s">
        <v>76</v>
      </c>
      <c r="V19" s="60" t="s">
        <v>17</v>
      </c>
      <c r="W19" s="43" t="s">
        <v>246</v>
      </c>
      <c r="X19" s="60" t="s">
        <v>17</v>
      </c>
      <c r="Y19" s="43" t="s">
        <v>246</v>
      </c>
      <c r="Z19" s="57" t="s">
        <v>17</v>
      </c>
      <c r="AA19" s="60" t="s">
        <v>17</v>
      </c>
      <c r="AB19" s="43" t="s">
        <v>246</v>
      </c>
      <c r="AC19" s="60" t="s">
        <v>17</v>
      </c>
      <c r="AD19" s="43" t="s">
        <v>246</v>
      </c>
      <c r="AE19" s="56" t="s">
        <v>17</v>
      </c>
      <c r="AF19" s="43" t="s">
        <v>76</v>
      </c>
      <c r="AG19" s="37" t="s">
        <v>17</v>
      </c>
      <c r="AH19" s="43" t="s">
        <v>76</v>
      </c>
      <c r="AI19" s="37" t="s">
        <v>17</v>
      </c>
      <c r="AJ19" s="43" t="s">
        <v>76</v>
      </c>
      <c r="AK19" s="8" t="s">
        <v>17</v>
      </c>
      <c r="AL19" s="37" t="s">
        <v>17</v>
      </c>
      <c r="AM19" s="43" t="s">
        <v>76</v>
      </c>
      <c r="AN19" s="36" t="s">
        <v>17</v>
      </c>
      <c r="AO19" s="43" t="s">
        <v>76</v>
      </c>
      <c r="AP19" s="60" t="s">
        <v>17</v>
      </c>
      <c r="AQ19" s="43" t="s">
        <v>76</v>
      </c>
      <c r="AR19" s="57" t="s">
        <v>17</v>
      </c>
      <c r="AS19" s="37" t="s">
        <v>17</v>
      </c>
      <c r="AT19" s="43" t="s">
        <v>76</v>
      </c>
      <c r="AU19" s="37" t="s">
        <v>247</v>
      </c>
      <c r="AV19" s="43" t="s">
        <v>14</v>
      </c>
      <c r="AW19" s="37" t="s">
        <v>247</v>
      </c>
      <c r="AX19" s="43" t="s">
        <v>14</v>
      </c>
    </row>
    <row r="20" spans="1:50" x14ac:dyDescent="0.2">
      <c r="A20" s="29">
        <v>250</v>
      </c>
      <c r="B20" s="32">
        <v>150</v>
      </c>
      <c r="C20" s="35">
        <v>2.3</v>
      </c>
      <c r="D20" s="33"/>
      <c r="E20" s="22" t="inlineStr">
        <is>
          <t>BP</t>
        </is>
      </c>
      <c r="F20" s="23" t="inlineStr">
        <is>
          <t>HA</t>
        </is>
      </c>
      <c r="G20" s="23"/>
      <c r="H20" s="22"/>
      <c r="I20" s="23"/>
      <c r="J20" s="18"/>
      <c r="K20" s="13" t="str">
        <f>IF($N$4="M",IF(A20="","",IF(D20=6,16,IF(A20&lt;=$M$5,26,IF(A20&lt;=$M$6,24,IF(A20&lt;=$M$7,22,IF(A20&lt;=$M$8,20,18)))))),IF(A20="","",IF(D20=6,16,IF(A20&lt;=$P$5,26,IF(A20&lt;=$P$6,24,IF(A20&lt;=$P$7,22,IF(A20&lt;=$P$8,20,18)))))))</f>
        <v/>
      </c>
      <c r="L20" s="28" t="str">
        <f>IF($N$4="M",IF(A20="","",IF(K20=26,(A20+B20+Q20)*C20*0.02739,IF(K20=24,(A20+B20+Q20)*C20*0.02739,IF(K20=22,(A20+B20+Q20)*C20*0.0333,IF(K20=20,(A20+B20+Q20)*C20*0.0393,IF(K20=18,(A20+B20+Q20)*C20*0.0511,IF(K20=16,(A20+B20+Q20)*C20*0.0628))))))),IF(A20="","",IF(K20=26,(A20+B20+Q20)*C20*0.211,IF(K20=24,(A20+B20+Q20)*C20*0.211,IF(K20=22,(A20+B20+Q20)*C20*0.258,IF(K20=20,(A20+B20+Q20)*C20*0.304,IF(K20=18,(A20+B20+Q20)*C20*0.395,IF(K20=16,(A20+B20+Q20)*C20*0.487))))))))</f>
        <v/>
      </c>
      <c r="M20" s="10" t="str">
        <f t="shared" ref="M20:M62" si="0">IF(D20=1,0.5,IF(D20=2,"1 F",IF(D20=21,"1 R",IF(D20=3,2,""))))</f>
        <v/>
      </c>
      <c r="N20" s="17" t="str">
        <f>IF(M20="","",IF($N$4="M",(A20+B20+Q20)*C20*0.022,(A20+B20+Q20)*C20*0.17))</f>
        <v/>
      </c>
      <c r="O20" s="39" t="str">
        <f t="shared" ref="O20:O62" si="1">IF(D20=4,1,IF(D20=5,2,""))</f>
        <v/>
      </c>
      <c r="P20" s="41" t="str">
        <f>IF(O20="","",IF($N$4="M",IF(O20=1,(A20+B20+Q20)*C20*0.022*1.1,(A20+B20+Q20)*C20*0.022*1.15),IF(O20=1,(A20+B20+Q20)*C20*0.17*1.1,(A20+B20+Q20)*C20*0.17*1.15)))</f>
        <v/>
      </c>
      <c r="Q20" s="9" t="str">
        <f>IF($N$4="M",IF(A20="","",IF(D20=1,50,IF(D20=2,100,IF(D20=21,100,IF(D20=3,200,0))))),IF(A20="","",IF(D20=1,2,IF(D20=2,4,IF(D20=21,4,IF(D20=3,8,0))))))</f>
        <v/>
      </c>
      <c r="R20" s="14">
        <f>COUNTIF(G20:J20,7)</f>
        <v>0</v>
      </c>
      <c r="S20" s="58" t="str">
        <f>IF(A20="","",IF($N$4="M",A20*B20*0.000011111*R20*1.5,A20*B20/144*R20*1.5))</f>
        <v/>
      </c>
      <c r="T20" s="14">
        <f>COUNTIF(G20:J20,71)</f>
        <v>0</v>
      </c>
      <c r="U20" s="58" t="str">
        <f>IF(A20="","",IF($N$4="M",A20*B20*0.000011111*T20*1.5,A20*B20/144*T20*1.5))</f>
        <v/>
      </c>
      <c r="V20" s="14">
        <f>COUNTIF(G20:J20,8)</f>
        <v>0</v>
      </c>
      <c r="W20" s="58" t="str">
        <f>IF(A20="","",IF($N$4="M",(A20+B20)*2*0.0032808*V20,(A20+B20)*2*V20/12))</f>
        <v/>
      </c>
      <c r="X20" s="14">
        <f>COUNTIF(G20:J20,81)</f>
        <v>0</v>
      </c>
      <c r="Y20" s="58" t="str">
        <f>IF(A20="","",IF($N$4="M",(A20+B20)*2*0.0032808*X20,(A20+B20)*2*X20/12))</f>
        <v/>
      </c>
      <c r="Z20" s="31">
        <f>COUNTIF(G20:J20,9)</f>
        <v>0</v>
      </c>
      <c r="AA20" s="21">
        <f>COUNTIF(G20:J20,10)</f>
        <v>0</v>
      </c>
      <c r="AB20" s="58" t="str">
        <f>IF(A20="","",IF($N$4="M",(A20+B20)*2*0.0032808*AA20,(A20+B20)*2*AA20/12))</f>
        <v/>
      </c>
      <c r="AC20" s="630">
        <f>COUNTIF(G20:J20,100)</f>
        <v>0</v>
      </c>
      <c r="AD20" s="627"/>
      <c r="AE20" s="21">
        <f>COUNTIF(G20:J20,11)</f>
        <v>0</v>
      </c>
      <c r="AF20" s="59" t="str">
        <f>IF(A20="","",IF($N$4="M",A20*B20*0.000011111*AE20,A20*B20/144*AE20))</f>
        <v/>
      </c>
      <c r="AG20" s="21">
        <f>COUNTIF(G20:J20,111)</f>
        <v>0</v>
      </c>
      <c r="AH20" s="59" t="str">
        <f>IF(A20="","",IF($N$4="M",A20*B20*0.000011111*AG20,A20*B20/144*AG20))</f>
        <v/>
      </c>
      <c r="AI20" s="21">
        <f>COUNTIF(G20:J20,12)</f>
        <v>0</v>
      </c>
      <c r="AJ20" s="59" t="str">
        <f>IF(A20="","",IF($N$4="M",A20*B20*0.000011111*AI20,A20*B20/144*AI20))</f>
        <v/>
      </c>
      <c r="AK20" s="31">
        <f>COUNTIF(G20:J20,13)</f>
        <v>0</v>
      </c>
      <c r="AL20" s="21">
        <f>COUNTIF(G20:J20,131)</f>
        <v>0</v>
      </c>
      <c r="AM20" s="59" t="str">
        <f>IF(A20="","",IF($N$4="M",A20*B20*0.000011111*AL20,A20*B20/144*AL20))</f>
        <v/>
      </c>
      <c r="AN20" s="21">
        <f>COUNTIF(G20:J20,14)</f>
        <v>0</v>
      </c>
      <c r="AO20" s="63" t="str">
        <f>IF(A20="","",IF($N$4="M",A20*B20*0.000011111*AN20,A20*B20/144*AN20))</f>
        <v/>
      </c>
      <c r="AP20" s="21">
        <f>COUNTIF(G20:J20,141)</f>
        <v>0</v>
      </c>
      <c r="AQ20" s="63" t="str">
        <f>IF(A20="","",IF($N$4="M",A20*B20*0.000011111*AP20,A20*B20/144*AP20))</f>
        <v/>
      </c>
      <c r="AR20" s="31">
        <f>COUNTIF(G20:J20,15)</f>
        <v>0</v>
      </c>
      <c r="AS20" s="21">
        <f>COUNTIF(G20:J20,16)</f>
        <v>0</v>
      </c>
      <c r="AT20" s="63" t="str">
        <f>IF(A20="","",IF($N$4="M",A20*B20*0.000011111*AS20,A20*B20/144*AS20))</f>
        <v/>
      </c>
      <c r="AU20" s="82">
        <f>IF(D20=61,C20,0)</f>
        <v>0</v>
      </c>
      <c r="AV20" s="69">
        <f t="shared" ref="AV20:AV25" si="2">IF(D20=61,L20,0)</f>
        <v>0</v>
      </c>
      <c r="AW20" s="83" t="str">
        <f>IF(A20="","",(C20-AU20))</f>
        <v/>
      </c>
      <c r="AX20" s="71" t="str">
        <f>IF(A20="","",(L20-AV20))</f>
        <v/>
      </c>
    </row>
    <row r="21" spans="1:50" x14ac:dyDescent="0.2">
      <c r="A21" s="29">
        <v>250</v>
      </c>
      <c r="B21" s="32">
        <v>250</v>
      </c>
      <c r="C21" s="35">
        <v>3.9</v>
      </c>
      <c r="D21" s="33"/>
      <c r="E21" s="22" t="inlineStr">
        <is>
          <t>BP</t>
        </is>
      </c>
      <c r="F21" s="23" t="inlineStr">
        <is>
          <t>HA</t>
        </is>
      </c>
      <c r="G21" s="23"/>
      <c r="H21" s="22"/>
      <c r="I21" s="23"/>
      <c r="J21" s="18"/>
      <c r="K21" s="13" t="str">
        <f t="shared" ref="K21:K62" si="7">IF($N$4="M",IF(A21="","",IF(D21=6,16,IF(A21&lt;=$M$5,26,IF(A21&lt;=$M$6,24,IF(A21&lt;=$M$7,22,IF(A21&lt;=$M$8,20,18)))))),IF(A21="","",IF(D21=6,16,IF(A21&lt;=$P$5,26,IF(A21&lt;=$P$6,24,IF(A21&lt;=$P$7,22,IF(A21&lt;=$P$8,20,18)))))))</f>
        <v/>
      </c>
      <c r="L21" s="28" t="str">
        <f>IF($N$4="M",IF(A21="","",IF(K21=26,(A21+B21+Q21)*C21*0.02739,IF(K21=24,(A21+B21+Q21)*C21*0.02739,IF(K21=22,(A21+B21+Q21)*C21*0.0333,IF(K21=20,(A21+B21+Q21)*C21*0.0393,IF(K21=18,(A21+B21+Q21)*C21*0.0511,IF(K21=16,(A21+B21+Q21)*C21*0.0628))))))),IF(A21="","",IF(K21=26,(A21+B21+Q21)*C21*0.211,IF(K21=24,(A21+B21+Q21)*C21*0.211,IF(K21=22,(A21+B21+Q21)*C21*0.258,IF(K21=20,(A21+B21+Q21)*C21*0.304,IF(K21=18,(A21+B21+Q21)*C21*0.395,IF(K21=16,(A21+B21+Q21)*C21*0.487))))))))</f>
        <v/>
      </c>
      <c r="M21" s="10" t="str">
        <f t="shared" si="0"/>
        <v/>
      </c>
      <c r="N21" s="17" t="str">
        <f t="shared" ref="N21:N62" si="8">IF(M21="","",IF($N$4="M",(A21+B21+Q21)*C21*0.022,(A21+B21+Q21)*C21*0.17))</f>
        <v/>
      </c>
      <c r="O21" s="39" t="str">
        <f t="shared" si="1"/>
        <v/>
      </c>
      <c r="P21" s="41" t="str">
        <f t="shared" ref="P21:P62" si="9">IF(O21="","",IF($N$4="M",IF(O21=1,(A21+B21+Q21)*C21*0.022*1.1,(A21+B21+Q21)*C21*0.022*1.15),IF(O21=1,(A21+B21+Q21)*C21*0.17*1.1,(A21+B21+Q21)*C21*0.17*1.15)))</f>
        <v/>
      </c>
      <c r="Q21" s="9" t="str">
        <f t="shared" ref="Q21:Q83" si="10">IF($N$4="M",IF(A21="","",IF(D21=1,50,IF(D21=2,100,IF(D21=21,100,IF(D21=3,200,0))))),IF(A21="","",IF(D21=1,2,IF(D21=2,4,IF(D21=21,4,IF(D21=3,8,0))))))</f>
        <v/>
      </c>
      <c r="R21" s="14">
        <f>COUNTIF(G21:J21,7)</f>
        <v>0</v>
      </c>
      <c r="S21" s="61" t="str">
        <f t="shared" ref="S21:S84" si="11">IF(A21="","",IF($N$4="M",A21*B21*0.000011111*R21*1.5,A21*B21/144*R21*1.5))</f>
        <v/>
      </c>
      <c r="T21" s="14">
        <f>COUNTIF(G21:J21,71)</f>
        <v>0</v>
      </c>
      <c r="U21" s="58" t="str">
        <f>IF(A21="","",IF($N$4="M",A21*B21*0.000011111*T21*1.5,A21*B21/144*T21*1.5))</f>
        <v/>
      </c>
      <c r="V21" s="14">
        <f>COUNTIF(G21:J21,8)</f>
        <v>0</v>
      </c>
      <c r="W21" s="58" t="str">
        <f>IF(A21="","",IF($N$4="M",(A21+B21)*2*0.0032808*V21,(A21+B21)*2*V21/12))</f>
        <v/>
      </c>
      <c r="X21" s="14">
        <f>COUNTIF(G21:J21,81)</f>
        <v>0</v>
      </c>
      <c r="Y21" s="58" t="str">
        <f>IF(A21="","",IF($N$4="M",(A21+B21)*2*0.0032808*X21,(A21+B21)*2*X21/12))</f>
        <v/>
      </c>
      <c r="Z21" s="31">
        <f>COUNTIF(G21:J21,9)</f>
        <v>0</v>
      </c>
      <c r="AA21" s="21">
        <f>COUNTIF(G21:J21,10)</f>
        <v>0</v>
      </c>
      <c r="AB21" s="58" t="str">
        <f>IF(A21="","",IF($N$4="M",(A21+B21)*2*0.0032808*AA21,(A21+B21)*2*AA21/12))</f>
        <v/>
      </c>
      <c r="AC21" s="630">
        <f t="shared" ref="AC21:AC84" si="12">COUNTIF(G21:J21,100)</f>
        <v>0</v>
      </c>
      <c r="AD21" s="627"/>
      <c r="AE21" s="21">
        <f>COUNTIF(G21:J21,11)</f>
        <v>0</v>
      </c>
      <c r="AF21" s="58" t="str">
        <f>IF(A21="","",IF($N$4="M",A21*B21*0.000011111*AE21,A21*B21/144*AE21))</f>
        <v/>
      </c>
      <c r="AG21" s="21">
        <f>COUNTIF(G21:J21,111)</f>
        <v>0</v>
      </c>
      <c r="AH21" s="58" t="str">
        <f>IF(A21="","",IF($N$4="M",A21*B21*0.000011111*AG21,A21*B21/144*AG21))</f>
        <v/>
      </c>
      <c r="AI21" s="21">
        <f>COUNTIF(G21:J21,12)</f>
        <v>0</v>
      </c>
      <c r="AJ21" s="58" t="str">
        <f>IF(A21="","",IF($N$4="M",A21*B21*0.000011111*AI21,A21*B21/144*AI21))</f>
        <v/>
      </c>
      <c r="AK21" s="31">
        <f>COUNTIF(G21:J21,13)</f>
        <v>0</v>
      </c>
      <c r="AL21" s="21">
        <f>COUNTIF(G21:J21,131)</f>
        <v>0</v>
      </c>
      <c r="AM21" s="62" t="str">
        <f>IF(A21="","",IF($N$4="M",A21*B21*0.000011111*AL21,A21*B21/144*AL21))</f>
        <v/>
      </c>
      <c r="AN21" s="21">
        <f>COUNTIF(G21:J21,14)</f>
        <v>0</v>
      </c>
      <c r="AO21" s="62" t="str">
        <f>IF(A21="","",IF($N$4="M",A21*B21*0.000011111*AN21,A21*B21/144*AN21))</f>
        <v/>
      </c>
      <c r="AP21" s="21">
        <f t="shared" ref="AP21:AP85" si="13">COUNTIF(G21:J21,141)</f>
        <v>0</v>
      </c>
      <c r="AQ21" s="62" t="str">
        <f>IF(A21="","",IF($N$4="M",A21*B21*0.000011111*AP21,A21*B21/144*AP21))</f>
        <v/>
      </c>
      <c r="AR21" s="31">
        <f>COUNTIF(G21:J21,15)</f>
        <v>0</v>
      </c>
      <c r="AS21" s="21">
        <f>COUNTIF(G21:J21,16)</f>
        <v>0</v>
      </c>
      <c r="AT21" s="62" t="str">
        <f>IF(A21="","",IF($N$4="M",A21*B21*0.000011111*AS21,A21*B21/144*AS21))</f>
        <v/>
      </c>
      <c r="AU21" s="84">
        <f>IF(D21=61,C21,0)</f>
        <v>0</v>
      </c>
      <c r="AV21" s="32">
        <f t="shared" si="2"/>
        <v>0</v>
      </c>
      <c r="AW21" s="85" t="str">
        <f t="shared" ref="AW21:AW25" si="14">IF(A21="","",(C21-AU21))</f>
        <v/>
      </c>
      <c r="AX21" s="86" t="str">
        <f t="shared" ref="AX21:AX30" si="15">IF(A21="","",(L21-AV21))</f>
        <v/>
      </c>
    </row>
    <row r="22" spans="1:50" x14ac:dyDescent="0.2">
      <c r="A22" s="29">
        <v>2650</v>
      </c>
      <c r="B22" s="32">
        <v>2650</v>
      </c>
      <c r="C22" s="35">
        <v>2.5</v>
      </c>
      <c r="D22" s="33"/>
      <c r="E22" s="22" t="inlineStr">
        <is>
          <t>BP</t>
        </is>
      </c>
      <c r="F22" s="23" t="inlineStr">
        <is>
          <t>RE</t>
        </is>
      </c>
      <c r="G22" s="23"/>
      <c r="H22" s="22"/>
      <c r="I22" s="23"/>
      <c r="J22" s="18"/>
      <c r="K22" s="13" t="str">
        <f t="shared" si="7"/>
        <v/>
      </c>
      <c r="L22" s="28" t="str">
        <f t="shared" ref="L22:L85" si="20">IF($N$4="M",IF(A22="","",IF(K22=26,(A22+B22+Q22)*C22*0.02739,IF(K22=24,(A22+B22+Q22)*C22*0.02739,IF(K22=22,(A22+B22+Q22)*C22*0.0333,IF(K22=20,(A22+B22+Q22)*C22*0.0393,IF(K22=18,(A22+B22+Q22)*C22*0.0511,IF(K22=16,(A22+B22+Q22)*C22*0.0628))))))),IF(A22="","",IF(K22=26,(A22+B22+Q22)*C22*0.211,IF(K22=24,(A22+B22+Q22)*C22*0.211,IF(K22=22,(A22+B22+Q22)*C22*0.258,IF(K22=20,(A22+B22+Q22)*C22*0.304,IF(K22=18,(A22+B22+Q22)*C22*0.395,IF(K22=16,(A22+B22+Q22)*C22*0.487))))))))</f>
        <v/>
      </c>
      <c r="M22" s="10" t="str">
        <f t="shared" si="0"/>
        <v/>
      </c>
      <c r="N22" s="17" t="str">
        <f t="shared" si="8"/>
        <v/>
      </c>
      <c r="O22" s="39" t="str">
        <f t="shared" si="1"/>
        <v/>
      </c>
      <c r="P22" s="41" t="str">
        <f t="shared" si="9"/>
        <v/>
      </c>
      <c r="Q22" s="9" t="str">
        <f t="shared" si="10"/>
        <v/>
      </c>
      <c r="R22" s="14">
        <f t="shared" ref="R22:R85" si="21">COUNTIF(G22:J22,7)</f>
        <v>0</v>
      </c>
      <c r="S22" s="61" t="str">
        <f t="shared" si="11"/>
        <v/>
      </c>
      <c r="T22" s="14">
        <f>COUNTIF(G22:J22,71)</f>
        <v>0</v>
      </c>
      <c r="U22" s="58" t="str">
        <f>IF(A22="","",IF($N$4="M",A22*B22*0.000011111*T22*1.5,A22*B22/144*T22*1.5))</f>
        <v/>
      </c>
      <c r="V22" s="14">
        <f t="shared" ref="V22:V85" si="22">COUNTIF(G22:J22,8)</f>
        <v>0</v>
      </c>
      <c r="W22" s="58" t="str">
        <f>IF(A22="","",IF($N$4="M",(A22+B22)*2*0.0032808*V22,(A22+B22)*2*V22/12))</f>
        <v/>
      </c>
      <c r="X22" s="14">
        <f t="shared" ref="X22:X85" si="23">COUNTIF(G22:J22,81)</f>
        <v>0</v>
      </c>
      <c r="Y22" s="58" t="str">
        <f>IF(A22="","",IF($N$4="M",(A22+B22)*2*0.0032808*X22,(A22+B22)*2*X22/12))</f>
        <v/>
      </c>
      <c r="Z22" s="31">
        <f t="shared" ref="Z22:Z85" si="24">COUNTIF(G22:J22,9)</f>
        <v>0</v>
      </c>
      <c r="AA22" s="21">
        <f>COUNTIF(G22:J22,10)</f>
        <v>0</v>
      </c>
      <c r="AB22" s="58" t="str">
        <f>IF(A22="","",IF($N$4="M",(A22+B22)*2*0.0032808*AA22,(A22+B22)*2*AA22/12))</f>
        <v/>
      </c>
      <c r="AC22" s="630">
        <f t="shared" si="12"/>
        <v>0</v>
      </c>
      <c r="AD22" s="627"/>
      <c r="AE22" s="21">
        <f>COUNTIF(G22:J22,11)</f>
        <v>0</v>
      </c>
      <c r="AF22" s="58" t="str">
        <f>IF(A22="","",IF($N$4="M",A22*B22*0.000011111*AE22,A22*B22/144*AE22))</f>
        <v/>
      </c>
      <c r="AG22" s="21">
        <f>COUNTIF(G22:J22,111)</f>
        <v>0</v>
      </c>
      <c r="AH22" s="58" t="str">
        <f>IF(A22="","",IF($N$4="M",A22*B22*0.000011111*AG22,A22*B22/144*AG22))</f>
        <v/>
      </c>
      <c r="AI22" s="21">
        <f>COUNTIF(G22:J22,12)</f>
        <v>0</v>
      </c>
      <c r="AJ22" s="58" t="str">
        <f>IF(A22="","",IF($N$4="M",A22*B22*0.000011111*AI22,A22*B22/144*AI22))</f>
        <v/>
      </c>
      <c r="AK22" s="31">
        <f t="shared" ref="AK22:AK85" si="25">COUNTIF(G22:J22,13)</f>
        <v>0</v>
      </c>
      <c r="AL22" s="21">
        <f t="shared" ref="AL22:AL85" si="26">COUNTIF(G22:J22,131)</f>
        <v>0</v>
      </c>
      <c r="AM22" s="62" t="str">
        <f t="shared" ref="AM22:AM85" si="27">IF(A22="","",IF($N$4="M",A22*B22*0.000011111*AL22,A22*B22/144*AL22))</f>
        <v/>
      </c>
      <c r="AN22" s="21">
        <f>COUNTIF(G22:J22,14)</f>
        <v>0</v>
      </c>
      <c r="AO22" s="62" t="str">
        <f>IF(A22="","",IF($N$4="M",A22*B22*0.000011111*AN22,A22*B22/144*AN22))</f>
        <v/>
      </c>
      <c r="AP22" s="21">
        <f t="shared" si="13"/>
        <v>0</v>
      </c>
      <c r="AQ22" s="62" t="str">
        <f>IF(A22="","",IF($N$4="M",A22*B22*0.000011111*AP22,A22*B22/144*AP22))</f>
        <v/>
      </c>
      <c r="AR22" s="31">
        <f t="shared" ref="AR22:AR85" si="28">COUNTIF(G22:J22,15)</f>
        <v>0</v>
      </c>
      <c r="AS22" s="21">
        <f t="shared" ref="AS22:AS85" si="29">COUNTIF(G22:J22,16)</f>
        <v>0</v>
      </c>
      <c r="AT22" s="62" t="str">
        <f>IF(A22="","",IF($N$4="M",A22*B22*0.000011111*AS22,A22*B22/144*AS22))</f>
        <v/>
      </c>
      <c r="AU22" s="84">
        <f>IF(D22=61,C22,0)</f>
        <v>0</v>
      </c>
      <c r="AV22" s="32">
        <f t="shared" si="2"/>
        <v>0</v>
      </c>
      <c r="AW22" s="85" t="str">
        <f t="shared" si="14"/>
        <v/>
      </c>
      <c r="AX22" s="86" t="str">
        <f t="shared" si="15"/>
        <v/>
      </c>
    </row>
    <row r="23" spans="1:50" x14ac:dyDescent="0.2">
      <c r="A23" s="29">
        <v>300</v>
      </c>
      <c r="B23" s="32">
        <v>200</v>
      </c>
      <c r="C23" s="35">
        <v>23.7</v>
      </c>
      <c r="D23" s="33"/>
      <c r="E23" s="22" t="inlineStr">
        <is>
          <t>BP</t>
        </is>
      </c>
      <c r="F23" s="23" t="inlineStr">
        <is>
          <t>HA</t>
        </is>
      </c>
      <c r="G23" s="23"/>
      <c r="H23" s="22"/>
      <c r="I23" s="23"/>
      <c r="J23" s="18"/>
      <c r="K23" s="13" t="str">
        <f t="shared" si="7"/>
        <v/>
      </c>
      <c r="L23" s="28" t="str">
        <f t="shared" si="20"/>
        <v/>
      </c>
      <c r="M23" s="10" t="str">
        <f t="shared" si="0"/>
        <v/>
      </c>
      <c r="N23" s="17" t="str">
        <f t="shared" si="8"/>
        <v/>
      </c>
      <c r="O23" s="39" t="str">
        <f t="shared" si="1"/>
        <v/>
      </c>
      <c r="P23" s="41" t="str">
        <f t="shared" si="9"/>
        <v/>
      </c>
      <c r="Q23" s="9" t="str">
        <f t="shared" si="10"/>
        <v/>
      </c>
      <c r="R23" s="14">
        <f t="shared" si="21"/>
        <v>0</v>
      </c>
      <c r="S23" s="58" t="str">
        <f t="shared" si="11"/>
        <v/>
      </c>
      <c r="T23" s="14">
        <f t="shared" ref="T23:T86" si="30">COUNTIF(G23:J23,71)</f>
        <v>0</v>
      </c>
      <c r="U23" s="58" t="str">
        <f t="shared" ref="U23:U86" si="31">IF(A23="","",IF($N$4="M",A23*B23*0.000011111*T23*1.5,A23*B23/144*T23*1.5))</f>
        <v/>
      </c>
      <c r="V23" s="14">
        <f t="shared" si="22"/>
        <v>0</v>
      </c>
      <c r="W23" s="58" t="str">
        <f t="shared" ref="W23:W86" si="32">IF(A23="","",IF($N$4="M",(A23+B23)*2*0.0032808*V23,(A23+B23)*2*V23/12))</f>
        <v/>
      </c>
      <c r="X23" s="14">
        <f t="shared" si="23"/>
        <v>0</v>
      </c>
      <c r="Y23" s="58" t="str">
        <f t="shared" ref="Y23:Y86" si="33">IF(A23="","",IF($N$4="M",(A23+B23)*2*0.0032808*X23,(A23+B23)*2*X23/12))</f>
        <v/>
      </c>
      <c r="Z23" s="31">
        <f t="shared" si="24"/>
        <v>0</v>
      </c>
      <c r="AA23" s="21">
        <f t="shared" ref="AA23:AA86" si="34">COUNTIF(G23:J23,10)</f>
        <v>0</v>
      </c>
      <c r="AB23" s="58" t="str">
        <f t="shared" ref="AB23:AB86" si="35">IF(A23="","",IF($N$4="M",(A23+B23)*2*0.0032808*AA23,(A23+B23)*2*AA23/12))</f>
        <v/>
      </c>
      <c r="AC23" s="630">
        <f t="shared" si="12"/>
        <v>0</v>
      </c>
      <c r="AD23" s="627"/>
      <c r="AE23" s="21">
        <f t="shared" ref="AE23:AE86" si="36">COUNTIF(G23:J23,11)</f>
        <v>0</v>
      </c>
      <c r="AF23" s="58" t="str">
        <f t="shared" ref="AF23:AF86" si="37">IF(A23="","",IF($N$4="M",A23*B23*0.000011111*AE23,A23*B23/144*AE23))</f>
        <v/>
      </c>
      <c r="AG23" s="21">
        <f t="shared" ref="AG23:AG86" si="38">COUNTIF(G23:J23,111)</f>
        <v>0</v>
      </c>
      <c r="AH23" s="58" t="str">
        <f t="shared" ref="AH23:AH86" si="39">IF(A23="","",IF($N$4="M",A23*B23*0.000011111*AG23,A23*B23/144*AG23))</f>
        <v/>
      </c>
      <c r="AI23" s="21">
        <f t="shared" ref="AI23:AI86" si="40">COUNTIF(G23:J23,12)</f>
        <v>0</v>
      </c>
      <c r="AJ23" s="58" t="str">
        <f t="shared" ref="AJ23:AJ86" si="41">IF(A23="","",IF($N$4="M",A23*B23*0.000011111*AI23,A23*B23/144*AI23))</f>
        <v/>
      </c>
      <c r="AK23" s="31">
        <f t="shared" si="25"/>
        <v>0</v>
      </c>
      <c r="AL23" s="21">
        <f t="shared" si="26"/>
        <v>0</v>
      </c>
      <c r="AM23" s="62" t="str">
        <f t="shared" si="27"/>
        <v/>
      </c>
      <c r="AN23" s="21">
        <f t="shared" ref="AN23:AN86" si="42">COUNTIF(G23:J23,14)</f>
        <v>0</v>
      </c>
      <c r="AO23" s="62" t="str">
        <f t="shared" ref="AO23:AO86" si="43">IF(A23="","",IF($N$4="M",A23*B23*0.000011111*AN23,A23*B23/144*AN23))</f>
        <v/>
      </c>
      <c r="AP23" s="21">
        <f t="shared" si="13"/>
        <v>0</v>
      </c>
      <c r="AQ23" s="62" t="str">
        <f t="shared" ref="AQ23:AQ86" si="44">IF(A23="","",IF($N$4="M",A23*B23*0.000011111*AP23,A23*B23/144*AP23))</f>
        <v/>
      </c>
      <c r="AR23" s="31">
        <f t="shared" si="28"/>
        <v>0</v>
      </c>
      <c r="AS23" s="21">
        <f t="shared" si="29"/>
        <v>0</v>
      </c>
      <c r="AT23" s="62" t="str">
        <f t="shared" ref="AT23:AT86" si="45">IF(A23="","",IF($N$4="M",A23*B23*0.000011111*AS23,A23*B23/144*AS23))</f>
        <v/>
      </c>
      <c r="AU23" s="84">
        <f t="shared" ref="AU23:AU86" si="46">IF(D23=61,C23,0)</f>
        <v>0</v>
      </c>
      <c r="AV23" s="32">
        <f t="shared" si="2"/>
        <v>0</v>
      </c>
      <c r="AW23" s="85" t="str">
        <f t="shared" si="14"/>
        <v/>
      </c>
      <c r="AX23" s="86" t="str">
        <f t="shared" si="15"/>
        <v/>
      </c>
    </row>
    <row r="24" spans="1:50" x14ac:dyDescent="0.2">
      <c r="A24" s="29">
        <v>300</v>
      </c>
      <c r="B24" s="32">
        <v>250</v>
      </c>
      <c r="C24" s="35">
        <v>22.2</v>
      </c>
      <c r="D24" s="33"/>
      <c r="E24" s="22" t="inlineStr">
        <is>
          <t>BP</t>
        </is>
      </c>
      <c r="F24" s="23" t="inlineStr">
        <is>
          <t>HA</t>
        </is>
      </c>
      <c r="G24" s="23"/>
      <c r="H24" s="22"/>
      <c r="I24" s="23"/>
      <c r="J24" s="18"/>
      <c r="K24" s="13" t="str">
        <f t="shared" si="7"/>
        <v/>
      </c>
      <c r="L24" s="28" t="str">
        <f t="shared" si="20"/>
        <v/>
      </c>
      <c r="M24" s="10" t="str">
        <f t="shared" si="0"/>
        <v/>
      </c>
      <c r="N24" s="17" t="str">
        <f t="shared" si="8"/>
        <v/>
      </c>
      <c r="O24" s="39" t="str">
        <f t="shared" si="1"/>
        <v/>
      </c>
      <c r="P24" s="41" t="str">
        <f t="shared" si="9"/>
        <v/>
      </c>
      <c r="Q24" s="9" t="str">
        <f t="shared" si="10"/>
        <v/>
      </c>
      <c r="R24" s="14">
        <f t="shared" si="21"/>
        <v>0</v>
      </c>
      <c r="S24" s="61" t="str">
        <f t="shared" si="11"/>
        <v/>
      </c>
      <c r="T24" s="14">
        <f t="shared" si="30"/>
        <v>0</v>
      </c>
      <c r="U24" s="58" t="str">
        <f t="shared" si="31"/>
        <v/>
      </c>
      <c r="V24" s="14">
        <f t="shared" si="22"/>
        <v>0</v>
      </c>
      <c r="W24" s="58" t="str">
        <f t="shared" si="32"/>
        <v/>
      </c>
      <c r="X24" s="14">
        <f t="shared" si="23"/>
        <v>0</v>
      </c>
      <c r="Y24" s="58" t="str">
        <f t="shared" si="33"/>
        <v/>
      </c>
      <c r="Z24" s="31">
        <f t="shared" si="24"/>
        <v>0</v>
      </c>
      <c r="AA24" s="21">
        <f t="shared" si="34"/>
        <v>0</v>
      </c>
      <c r="AB24" s="58" t="str">
        <f t="shared" si="35"/>
        <v/>
      </c>
      <c r="AC24" s="630">
        <f t="shared" si="12"/>
        <v>0</v>
      </c>
      <c r="AD24" s="627"/>
      <c r="AE24" s="21">
        <f t="shared" si="36"/>
        <v>0</v>
      </c>
      <c r="AF24" s="58" t="str">
        <f t="shared" si="37"/>
        <v/>
      </c>
      <c r="AG24" s="21">
        <f t="shared" si="38"/>
        <v>0</v>
      </c>
      <c r="AH24" s="58" t="str">
        <f t="shared" si="39"/>
        <v/>
      </c>
      <c r="AI24" s="21">
        <f t="shared" si="40"/>
        <v>0</v>
      </c>
      <c r="AJ24" s="58" t="str">
        <f t="shared" si="41"/>
        <v/>
      </c>
      <c r="AK24" s="31">
        <f t="shared" si="25"/>
        <v>0</v>
      </c>
      <c r="AL24" s="21">
        <f t="shared" si="26"/>
        <v>0</v>
      </c>
      <c r="AM24" s="62" t="str">
        <f t="shared" si="27"/>
        <v/>
      </c>
      <c r="AN24" s="21">
        <f t="shared" si="42"/>
        <v>0</v>
      </c>
      <c r="AO24" s="62" t="str">
        <f t="shared" si="43"/>
        <v/>
      </c>
      <c r="AP24" s="21">
        <f t="shared" si="13"/>
        <v>0</v>
      </c>
      <c r="AQ24" s="62" t="str">
        <f t="shared" si="44"/>
        <v/>
      </c>
      <c r="AR24" s="31">
        <f t="shared" si="28"/>
        <v>0</v>
      </c>
      <c r="AS24" s="21">
        <f t="shared" si="29"/>
        <v>0</v>
      </c>
      <c r="AT24" s="62" t="str">
        <f t="shared" si="45"/>
        <v/>
      </c>
      <c r="AU24" s="84">
        <f t="shared" si="46"/>
        <v>0</v>
      </c>
      <c r="AV24" s="32">
        <f t="shared" si="2"/>
        <v>0</v>
      </c>
      <c r="AW24" s="85" t="str">
        <f t="shared" si="14"/>
        <v/>
      </c>
      <c r="AX24" s="86" t="str">
        <f t="shared" si="15"/>
        <v/>
      </c>
    </row>
    <row r="25" spans="1:50" x14ac:dyDescent="0.2">
      <c r="A25" s="29">
        <v>300</v>
      </c>
      <c r="B25" s="32">
        <v>300</v>
      </c>
      <c r="C25" s="35">
        <v>7.2</v>
      </c>
      <c r="D25" s="33"/>
      <c r="E25" s="22" t="inlineStr">
        <is>
          <t>BP</t>
        </is>
      </c>
      <c r="F25" s="23" t="inlineStr">
        <is>
          <t>HA</t>
        </is>
      </c>
      <c r="G25" s="23"/>
      <c r="H25" s="22"/>
      <c r="I25" s="23"/>
      <c r="J25" s="18"/>
      <c r="K25" s="13" t="str">
        <f t="shared" si="7"/>
        <v/>
      </c>
      <c r="L25" s="28" t="str">
        <f t="shared" si="20"/>
        <v/>
      </c>
      <c r="M25" s="10" t="str">
        <f t="shared" si="0"/>
        <v/>
      </c>
      <c r="N25" s="17" t="str">
        <f t="shared" si="8"/>
        <v/>
      </c>
      <c r="O25" s="39" t="str">
        <f t="shared" si="1"/>
        <v/>
      </c>
      <c r="P25" s="41" t="str">
        <f t="shared" si="9"/>
        <v/>
      </c>
      <c r="Q25" s="9" t="str">
        <f t="shared" si="10"/>
        <v/>
      </c>
      <c r="R25" s="14">
        <f t="shared" si="21"/>
        <v>0</v>
      </c>
      <c r="S25" s="61" t="str">
        <f t="shared" si="11"/>
        <v/>
      </c>
      <c r="T25" s="14">
        <f t="shared" si="30"/>
        <v>0</v>
      </c>
      <c r="U25" s="58" t="str">
        <f t="shared" si="31"/>
        <v/>
      </c>
      <c r="V25" s="14">
        <f t="shared" si="22"/>
        <v>0</v>
      </c>
      <c r="W25" s="58" t="str">
        <f t="shared" si="32"/>
        <v/>
      </c>
      <c r="X25" s="14">
        <f t="shared" si="23"/>
        <v>0</v>
      </c>
      <c r="Y25" s="58" t="str">
        <f t="shared" si="33"/>
        <v/>
      </c>
      <c r="Z25" s="31">
        <f t="shared" si="24"/>
        <v>0</v>
      </c>
      <c r="AA25" s="21">
        <f t="shared" si="34"/>
        <v>0</v>
      </c>
      <c r="AB25" s="58" t="str">
        <f t="shared" si="35"/>
        <v/>
      </c>
      <c r="AC25" s="630">
        <f t="shared" si="12"/>
        <v>0</v>
      </c>
      <c r="AD25" s="627"/>
      <c r="AE25" s="21">
        <f t="shared" si="36"/>
        <v>0</v>
      </c>
      <c r="AF25" s="58" t="str">
        <f t="shared" si="37"/>
        <v/>
      </c>
      <c r="AG25" s="21">
        <f t="shared" si="38"/>
        <v>0</v>
      </c>
      <c r="AH25" s="58" t="str">
        <f t="shared" si="39"/>
        <v/>
      </c>
      <c r="AI25" s="21">
        <f t="shared" si="40"/>
        <v>0</v>
      </c>
      <c r="AJ25" s="58" t="str">
        <f t="shared" si="41"/>
        <v/>
      </c>
      <c r="AK25" s="31">
        <f t="shared" si="25"/>
        <v>0</v>
      </c>
      <c r="AL25" s="21">
        <f t="shared" si="26"/>
        <v>0</v>
      </c>
      <c r="AM25" s="62" t="str">
        <f t="shared" si="27"/>
        <v/>
      </c>
      <c r="AN25" s="21">
        <f t="shared" si="42"/>
        <v>0</v>
      </c>
      <c r="AO25" s="62" t="str">
        <f t="shared" si="43"/>
        <v/>
      </c>
      <c r="AP25" s="21">
        <f t="shared" si="13"/>
        <v>0</v>
      </c>
      <c r="AQ25" s="62" t="str">
        <f t="shared" si="44"/>
        <v/>
      </c>
      <c r="AR25" s="31">
        <f t="shared" si="28"/>
        <v>0</v>
      </c>
      <c r="AS25" s="21">
        <f t="shared" si="29"/>
        <v>0</v>
      </c>
      <c r="AT25" s="62" t="str">
        <f t="shared" si="45"/>
        <v/>
      </c>
      <c r="AU25" s="84">
        <f t="shared" si="46"/>
        <v>0</v>
      </c>
      <c r="AV25" s="32">
        <f t="shared" si="2"/>
        <v>0</v>
      </c>
      <c r="AW25" s="85" t="str">
        <f t="shared" si="14"/>
        <v/>
      </c>
      <c r="AX25" s="86" t="str">
        <f t="shared" si="15"/>
        <v/>
      </c>
    </row>
    <row r="26" spans="1:50" x14ac:dyDescent="0.2">
      <c r="A26" s="29">
        <v>350</v>
      </c>
      <c r="B26" s="32">
        <v>250</v>
      </c>
      <c r="C26" s="35">
        <v>1.5</v>
      </c>
      <c r="D26" s="33"/>
      <c r="E26" s="22" t="inlineStr">
        <is>
          <t>BP</t>
        </is>
      </c>
      <c r="F26" s="23" t="inlineStr">
        <is>
          <t>HA</t>
        </is>
      </c>
      <c r="G26" s="23"/>
      <c r="H26" s="22"/>
      <c r="I26" s="23"/>
      <c r="J26" s="18"/>
      <c r="K26" s="13" t="str">
        <f t="shared" si="7"/>
        <v/>
      </c>
      <c r="L26" s="28" t="str">
        <f t="shared" si="20"/>
        <v/>
      </c>
      <c r="M26" s="10" t="str">
        <f t="shared" si="0"/>
        <v/>
      </c>
      <c r="N26" s="17" t="str">
        <f t="shared" si="8"/>
        <v/>
      </c>
      <c r="O26" s="39" t="str">
        <f t="shared" si="1"/>
        <v/>
      </c>
      <c r="P26" s="41" t="str">
        <f t="shared" si="9"/>
        <v/>
      </c>
      <c r="Q26" s="9" t="str">
        <f t="shared" si="10"/>
        <v/>
      </c>
      <c r="R26" s="14">
        <f t="shared" si="21"/>
        <v>0</v>
      </c>
      <c r="S26" s="61" t="str">
        <f t="shared" si="11"/>
        <v/>
      </c>
      <c r="T26" s="14">
        <f t="shared" si="30"/>
        <v>0</v>
      </c>
      <c r="U26" s="58" t="str">
        <f t="shared" si="31"/>
        <v/>
      </c>
      <c r="V26" s="14">
        <f t="shared" si="22"/>
        <v>0</v>
      </c>
      <c r="W26" s="58" t="str">
        <f t="shared" si="32"/>
        <v/>
      </c>
      <c r="X26" s="14">
        <f t="shared" si="23"/>
        <v>0</v>
      </c>
      <c r="Y26" s="58" t="str">
        <f t="shared" si="33"/>
        <v/>
      </c>
      <c r="Z26" s="31">
        <f t="shared" si="24"/>
        <v>0</v>
      </c>
      <c r="AA26" s="21">
        <f t="shared" si="34"/>
        <v>0</v>
      </c>
      <c r="AB26" s="58" t="str">
        <f t="shared" si="35"/>
        <v/>
      </c>
      <c r="AC26" s="630">
        <f t="shared" si="12"/>
        <v>0</v>
      </c>
      <c r="AD26" s="627"/>
      <c r="AE26" s="21">
        <f t="shared" si="36"/>
        <v>0</v>
      </c>
      <c r="AF26" s="58" t="str">
        <f t="shared" si="37"/>
        <v/>
      </c>
      <c r="AG26" s="21">
        <f t="shared" si="38"/>
        <v>0</v>
      </c>
      <c r="AH26" s="58" t="str">
        <f t="shared" si="39"/>
        <v/>
      </c>
      <c r="AI26" s="21">
        <f t="shared" si="40"/>
        <v>0</v>
      </c>
      <c r="AJ26" s="58" t="str">
        <f t="shared" si="41"/>
        <v/>
      </c>
      <c r="AK26" s="31">
        <f t="shared" si="25"/>
        <v>0</v>
      </c>
      <c r="AL26" s="21">
        <f t="shared" si="26"/>
        <v>0</v>
      </c>
      <c r="AM26" s="62" t="str">
        <f t="shared" si="27"/>
        <v/>
      </c>
      <c r="AN26" s="21">
        <f t="shared" si="42"/>
        <v>0</v>
      </c>
      <c r="AO26" s="62" t="str">
        <f t="shared" si="43"/>
        <v/>
      </c>
      <c r="AP26" s="21">
        <f t="shared" si="13"/>
        <v>0</v>
      </c>
      <c r="AQ26" s="62" t="str">
        <f t="shared" si="44"/>
        <v/>
      </c>
      <c r="AR26" s="31">
        <f t="shared" si="28"/>
        <v>0</v>
      </c>
      <c r="AS26" s="21">
        <f t="shared" si="29"/>
        <v>0</v>
      </c>
      <c r="AT26" s="62" t="str">
        <f t="shared" si="45"/>
        <v/>
      </c>
      <c r="AU26" s="84">
        <f t="shared" si="46"/>
        <v>0</v>
      </c>
      <c r="AV26" s="32">
        <f t="shared" ref="AV26:AV89" si="47">IF(D26=61,L26,0)</f>
        <v>0</v>
      </c>
      <c r="AW26" s="85" t="str">
        <f t="shared" ref="AW26:AW89" si="48">IF(A26="","",(C26-AU26))</f>
        <v/>
      </c>
      <c r="AX26" s="86" t="str">
        <f t="shared" si="15"/>
        <v/>
      </c>
    </row>
    <row r="27" spans="1:50" x14ac:dyDescent="0.2">
      <c r="A27" s="29">
        <v>350</v>
      </c>
      <c r="B27" s="32">
        <v>300</v>
      </c>
      <c r="C27" s="35">
        <v>5.3</v>
      </c>
      <c r="D27" s="33"/>
      <c r="E27" s="22" t="inlineStr">
        <is>
          <t>BP</t>
        </is>
      </c>
      <c r="F27" s="23" t="inlineStr">
        <is>
          <t>HA</t>
        </is>
      </c>
      <c r="G27" s="23"/>
      <c r="H27" s="22"/>
      <c r="I27" s="23"/>
      <c r="J27" s="18"/>
      <c r="K27" s="13" t="str">
        <f t="shared" si="7"/>
        <v/>
      </c>
      <c r="L27" s="28" t="str">
        <f t="shared" si="20"/>
        <v/>
      </c>
      <c r="M27" s="10" t="str">
        <f t="shared" si="0"/>
        <v/>
      </c>
      <c r="N27" s="17" t="str">
        <f t="shared" si="8"/>
        <v/>
      </c>
      <c r="O27" s="39" t="str">
        <f t="shared" si="1"/>
        <v/>
      </c>
      <c r="P27" s="41" t="str">
        <f t="shared" si="9"/>
        <v/>
      </c>
      <c r="Q27" s="9" t="str">
        <f t="shared" si="10"/>
        <v/>
      </c>
      <c r="R27" s="14">
        <f t="shared" si="21"/>
        <v>0</v>
      </c>
      <c r="S27" s="61" t="str">
        <f t="shared" si="11"/>
        <v/>
      </c>
      <c r="T27" s="14">
        <f t="shared" si="30"/>
        <v>0</v>
      </c>
      <c r="U27" s="58" t="str">
        <f t="shared" si="31"/>
        <v/>
      </c>
      <c r="V27" s="14">
        <f t="shared" si="22"/>
        <v>0</v>
      </c>
      <c r="W27" s="58" t="str">
        <f t="shared" si="32"/>
        <v/>
      </c>
      <c r="X27" s="14">
        <f t="shared" si="23"/>
        <v>0</v>
      </c>
      <c r="Y27" s="58" t="str">
        <f t="shared" si="33"/>
        <v/>
      </c>
      <c r="Z27" s="31">
        <f t="shared" si="24"/>
        <v>0</v>
      </c>
      <c r="AA27" s="21">
        <f t="shared" si="34"/>
        <v>0</v>
      </c>
      <c r="AB27" s="58" t="str">
        <f t="shared" si="35"/>
        <v/>
      </c>
      <c r="AC27" s="630">
        <f t="shared" si="12"/>
        <v>0</v>
      </c>
      <c r="AD27" s="627"/>
      <c r="AE27" s="21">
        <f t="shared" si="36"/>
        <v>0</v>
      </c>
      <c r="AF27" s="58" t="str">
        <f t="shared" si="37"/>
        <v/>
      </c>
      <c r="AG27" s="21">
        <f t="shared" si="38"/>
        <v>0</v>
      </c>
      <c r="AH27" s="58" t="str">
        <f t="shared" si="39"/>
        <v/>
      </c>
      <c r="AI27" s="21">
        <f t="shared" si="40"/>
        <v>0</v>
      </c>
      <c r="AJ27" s="58" t="str">
        <f t="shared" si="41"/>
        <v/>
      </c>
      <c r="AK27" s="31">
        <f t="shared" si="25"/>
        <v>0</v>
      </c>
      <c r="AL27" s="21">
        <f t="shared" si="26"/>
        <v>0</v>
      </c>
      <c r="AM27" s="62" t="str">
        <f t="shared" si="27"/>
        <v/>
      </c>
      <c r="AN27" s="21">
        <f t="shared" si="42"/>
        <v>0</v>
      </c>
      <c r="AO27" s="62" t="str">
        <f t="shared" si="43"/>
        <v/>
      </c>
      <c r="AP27" s="21">
        <f t="shared" si="13"/>
        <v>0</v>
      </c>
      <c r="AQ27" s="62" t="str">
        <f t="shared" si="44"/>
        <v/>
      </c>
      <c r="AR27" s="31">
        <f t="shared" si="28"/>
        <v>0</v>
      </c>
      <c r="AS27" s="21">
        <f t="shared" si="29"/>
        <v>0</v>
      </c>
      <c r="AT27" s="62" t="str">
        <f t="shared" si="45"/>
        <v/>
      </c>
      <c r="AU27" s="84">
        <f t="shared" si="46"/>
        <v>0</v>
      </c>
      <c r="AV27" s="32">
        <f t="shared" si="47"/>
        <v>0</v>
      </c>
      <c r="AW27" s="85" t="str">
        <f t="shared" si="48"/>
        <v/>
      </c>
      <c r="AX27" s="86" t="str">
        <f t="shared" si="15"/>
        <v/>
      </c>
    </row>
    <row r="28" spans="1:50" x14ac:dyDescent="0.2">
      <c r="A28" s="29">
        <v>400</v>
      </c>
      <c r="B28" s="32">
        <v>300</v>
      </c>
      <c r="C28" s="35">
        <v>14.1</v>
      </c>
      <c r="D28" s="33"/>
      <c r="E28" s="22" t="inlineStr">
        <is>
          <t>BP</t>
        </is>
      </c>
      <c r="F28" s="23" t="inlineStr">
        <is>
          <t>HA</t>
        </is>
      </c>
      <c r="G28" s="23">
        <v>7</v>
      </c>
      <c r="H28" s="22"/>
      <c r="I28" s="23"/>
      <c r="J28" s="18"/>
      <c r="K28" s="13" t="str">
        <f t="shared" si="7"/>
        <v/>
      </c>
      <c r="L28" s="28" t="str">
        <f t="shared" si="20"/>
        <v/>
      </c>
      <c r="M28" s="10" t="str">
        <f t="shared" si="0"/>
        <v/>
      </c>
      <c r="N28" s="17" t="str">
        <f t="shared" si="8"/>
        <v/>
      </c>
      <c r="O28" s="39" t="str">
        <f t="shared" si="1"/>
        <v/>
      </c>
      <c r="P28" s="41" t="str">
        <f t="shared" si="9"/>
        <v/>
      </c>
      <c r="Q28" s="9" t="str">
        <f t="shared" si="10"/>
        <v/>
      </c>
      <c r="R28" s="14">
        <f t="shared" si="21"/>
        <v>0</v>
      </c>
      <c r="S28" s="61" t="str">
        <f t="shared" si="11"/>
        <v/>
      </c>
      <c r="T28" s="14">
        <f t="shared" si="30"/>
        <v>0</v>
      </c>
      <c r="U28" s="58" t="str">
        <f t="shared" si="31"/>
        <v/>
      </c>
      <c r="V28" s="14">
        <f t="shared" si="22"/>
        <v>0</v>
      </c>
      <c r="W28" s="58" t="str">
        <f t="shared" si="32"/>
        <v/>
      </c>
      <c r="X28" s="14">
        <f t="shared" si="23"/>
        <v>0</v>
      </c>
      <c r="Y28" s="58" t="str">
        <f t="shared" si="33"/>
        <v/>
      </c>
      <c r="Z28" s="31">
        <f t="shared" si="24"/>
        <v>0</v>
      </c>
      <c r="AA28" s="21">
        <f t="shared" si="34"/>
        <v>0</v>
      </c>
      <c r="AB28" s="58" t="str">
        <f t="shared" si="35"/>
        <v/>
      </c>
      <c r="AC28" s="630">
        <f t="shared" si="12"/>
        <v>0</v>
      </c>
      <c r="AD28" s="627"/>
      <c r="AE28" s="21">
        <f t="shared" si="36"/>
        <v>0</v>
      </c>
      <c r="AF28" s="58" t="str">
        <f t="shared" si="37"/>
        <v/>
      </c>
      <c r="AG28" s="21">
        <f t="shared" si="38"/>
        <v>0</v>
      </c>
      <c r="AH28" s="58" t="str">
        <f t="shared" si="39"/>
        <v/>
      </c>
      <c r="AI28" s="21">
        <f t="shared" si="40"/>
        <v>0</v>
      </c>
      <c r="AJ28" s="58" t="str">
        <f t="shared" si="41"/>
        <v/>
      </c>
      <c r="AK28" s="31">
        <f t="shared" si="25"/>
        <v>0</v>
      </c>
      <c r="AL28" s="21">
        <f t="shared" si="26"/>
        <v>0</v>
      </c>
      <c r="AM28" s="62" t="str">
        <f t="shared" si="27"/>
        <v/>
      </c>
      <c r="AN28" s="21">
        <f t="shared" si="42"/>
        <v>0</v>
      </c>
      <c r="AO28" s="62" t="str">
        <f t="shared" si="43"/>
        <v/>
      </c>
      <c r="AP28" s="21">
        <f t="shared" si="13"/>
        <v>0</v>
      </c>
      <c r="AQ28" s="62" t="str">
        <f t="shared" si="44"/>
        <v/>
      </c>
      <c r="AR28" s="31">
        <f t="shared" si="28"/>
        <v>0</v>
      </c>
      <c r="AS28" s="21">
        <f t="shared" si="29"/>
        <v>0</v>
      </c>
      <c r="AT28" s="62" t="str">
        <f t="shared" si="45"/>
        <v/>
      </c>
      <c r="AU28" s="84">
        <f t="shared" si="46"/>
        <v>0</v>
      </c>
      <c r="AV28" s="32">
        <f t="shared" si="47"/>
        <v>0</v>
      </c>
      <c r="AW28" s="85" t="str">
        <f t="shared" si="48"/>
        <v/>
      </c>
      <c r="AX28" s="86" t="str">
        <f t="shared" si="15"/>
        <v/>
      </c>
    </row>
    <row r="29" spans="1:50" x14ac:dyDescent="0.2">
      <c r="A29" s="29">
        <v>450</v>
      </c>
      <c r="B29" s="32">
        <v>250</v>
      </c>
      <c r="C29" s="35">
        <v>2.7</v>
      </c>
      <c r="D29" s="33"/>
      <c r="E29" s="22" t="inlineStr">
        <is>
          <t>BP</t>
        </is>
      </c>
      <c r="F29" s="23" t="inlineStr">
        <is>
          <t>HA</t>
        </is>
      </c>
      <c r="G29" s="23"/>
      <c r="H29" s="22"/>
      <c r="I29" s="23"/>
      <c r="J29" s="18"/>
      <c r="K29" s="13" t="str">
        <f t="shared" si="7"/>
        <v/>
      </c>
      <c r="L29" s="28" t="str">
        <f t="shared" si="20"/>
        <v/>
      </c>
      <c r="M29" s="10" t="str">
        <f t="shared" si="0"/>
        <v/>
      </c>
      <c r="N29" s="17" t="str">
        <f t="shared" si="8"/>
        <v/>
      </c>
      <c r="O29" s="39" t="str">
        <f t="shared" si="1"/>
        <v/>
      </c>
      <c r="P29" s="41" t="str">
        <f t="shared" si="9"/>
        <v/>
      </c>
      <c r="Q29" s="9" t="str">
        <f t="shared" si="10"/>
        <v/>
      </c>
      <c r="R29" s="14">
        <f t="shared" si="21"/>
        <v>0</v>
      </c>
      <c r="S29" s="61" t="str">
        <f t="shared" si="11"/>
        <v/>
      </c>
      <c r="T29" s="14">
        <f t="shared" si="30"/>
        <v>0</v>
      </c>
      <c r="U29" s="58" t="str">
        <f t="shared" si="31"/>
        <v/>
      </c>
      <c r="V29" s="14">
        <f t="shared" si="22"/>
        <v>0</v>
      </c>
      <c r="W29" s="58" t="str">
        <f t="shared" si="32"/>
        <v/>
      </c>
      <c r="X29" s="14">
        <f t="shared" si="23"/>
        <v>0</v>
      </c>
      <c r="Y29" s="58" t="str">
        <f t="shared" si="33"/>
        <v/>
      </c>
      <c r="Z29" s="31">
        <f t="shared" si="24"/>
        <v>0</v>
      </c>
      <c r="AA29" s="21">
        <f t="shared" si="34"/>
        <v>0</v>
      </c>
      <c r="AB29" s="58" t="str">
        <f t="shared" si="35"/>
        <v/>
      </c>
      <c r="AC29" s="630">
        <f t="shared" si="12"/>
        <v>0</v>
      </c>
      <c r="AD29" s="627"/>
      <c r="AE29" s="21">
        <f t="shared" si="36"/>
        <v>0</v>
      </c>
      <c r="AF29" s="58" t="str">
        <f t="shared" si="37"/>
        <v/>
      </c>
      <c r="AG29" s="21">
        <f t="shared" si="38"/>
        <v>0</v>
      </c>
      <c r="AH29" s="58" t="str">
        <f t="shared" si="39"/>
        <v/>
      </c>
      <c r="AI29" s="21">
        <f t="shared" si="40"/>
        <v>0</v>
      </c>
      <c r="AJ29" s="58" t="str">
        <f t="shared" si="41"/>
        <v/>
      </c>
      <c r="AK29" s="31">
        <f t="shared" si="25"/>
        <v>0</v>
      </c>
      <c r="AL29" s="21">
        <f t="shared" si="26"/>
        <v>0</v>
      </c>
      <c r="AM29" s="62" t="str">
        <f t="shared" si="27"/>
        <v/>
      </c>
      <c r="AN29" s="21">
        <f t="shared" si="42"/>
        <v>0</v>
      </c>
      <c r="AO29" s="62" t="str">
        <f t="shared" si="43"/>
        <v/>
      </c>
      <c r="AP29" s="21">
        <f t="shared" si="13"/>
        <v>0</v>
      </c>
      <c r="AQ29" s="62" t="str">
        <f t="shared" si="44"/>
        <v/>
      </c>
      <c r="AR29" s="31">
        <f t="shared" si="28"/>
        <v>0</v>
      </c>
      <c r="AS29" s="21">
        <f t="shared" si="29"/>
        <v>0</v>
      </c>
      <c r="AT29" s="62" t="str">
        <f t="shared" si="45"/>
        <v/>
      </c>
      <c r="AU29" s="84">
        <f t="shared" si="46"/>
        <v>0</v>
      </c>
      <c r="AV29" s="32">
        <f t="shared" si="47"/>
        <v>0</v>
      </c>
      <c r="AW29" s="85" t="str">
        <f t="shared" si="48"/>
        <v/>
      </c>
      <c r="AX29" s="86" t="str">
        <f t="shared" si="15"/>
        <v/>
      </c>
    </row>
    <row r="30" spans="1:50" x14ac:dyDescent="0.2">
      <c r="A30" s="29">
        <v>450</v>
      </c>
      <c r="B30" s="32">
        <v>300</v>
      </c>
      <c r="C30" s="35">
        <v>2.4</v>
      </c>
      <c r="D30" s="33"/>
      <c r="E30" s="22" t="inlineStr">
        <is>
          <t>BP</t>
        </is>
      </c>
      <c r="F30" s="23" t="inlineStr">
        <is>
          <t>HA</t>
        </is>
      </c>
      <c r="G30" s="23">
        <v>7</v>
      </c>
      <c r="H30" s="22"/>
      <c r="I30" s="23"/>
      <c r="J30" s="18"/>
      <c r="K30" s="13" t="str">
        <f t="shared" si="7"/>
        <v/>
      </c>
      <c r="L30" s="28" t="str">
        <f t="shared" si="20"/>
        <v/>
      </c>
      <c r="M30" s="10" t="str">
        <f t="shared" si="0"/>
        <v/>
      </c>
      <c r="N30" s="17" t="str">
        <f t="shared" si="8"/>
        <v/>
      </c>
      <c r="O30" s="39" t="str">
        <f t="shared" si="1"/>
        <v/>
      </c>
      <c r="P30" s="41" t="str">
        <f t="shared" si="9"/>
        <v/>
      </c>
      <c r="Q30" s="9" t="str">
        <f t="shared" si="10"/>
        <v/>
      </c>
      <c r="R30" s="14">
        <f t="shared" si="21"/>
        <v>0</v>
      </c>
      <c r="S30" s="61" t="str">
        <f t="shared" si="11"/>
        <v/>
      </c>
      <c r="T30" s="14">
        <f t="shared" si="30"/>
        <v>0</v>
      </c>
      <c r="U30" s="58" t="str">
        <f t="shared" si="31"/>
        <v/>
      </c>
      <c r="V30" s="14">
        <f t="shared" si="22"/>
        <v>0</v>
      </c>
      <c r="W30" s="58" t="str">
        <f t="shared" si="32"/>
        <v/>
      </c>
      <c r="X30" s="14">
        <f t="shared" si="23"/>
        <v>0</v>
      </c>
      <c r="Y30" s="58" t="str">
        <f t="shared" si="33"/>
        <v/>
      </c>
      <c r="Z30" s="31">
        <f t="shared" si="24"/>
        <v>0</v>
      </c>
      <c r="AA30" s="21">
        <f t="shared" si="34"/>
        <v>0</v>
      </c>
      <c r="AB30" s="58" t="str">
        <f t="shared" si="35"/>
        <v/>
      </c>
      <c r="AC30" s="630">
        <f t="shared" si="12"/>
        <v>0</v>
      </c>
      <c r="AD30" s="627"/>
      <c r="AE30" s="21">
        <f t="shared" si="36"/>
        <v>0</v>
      </c>
      <c r="AF30" s="58" t="str">
        <f t="shared" si="37"/>
        <v/>
      </c>
      <c r="AG30" s="21">
        <f t="shared" si="38"/>
        <v>0</v>
      </c>
      <c r="AH30" s="58" t="str">
        <f t="shared" si="39"/>
        <v/>
      </c>
      <c r="AI30" s="21">
        <f t="shared" si="40"/>
        <v>0</v>
      </c>
      <c r="AJ30" s="58" t="str">
        <f t="shared" si="41"/>
        <v/>
      </c>
      <c r="AK30" s="31">
        <f t="shared" si="25"/>
        <v>0</v>
      </c>
      <c r="AL30" s="21">
        <f t="shared" si="26"/>
        <v>0</v>
      </c>
      <c r="AM30" s="62" t="str">
        <f t="shared" si="27"/>
        <v/>
      </c>
      <c r="AN30" s="21">
        <f t="shared" si="42"/>
        <v>0</v>
      </c>
      <c r="AO30" s="62" t="str">
        <f t="shared" si="43"/>
        <v/>
      </c>
      <c r="AP30" s="21">
        <f t="shared" si="13"/>
        <v>0</v>
      </c>
      <c r="AQ30" s="62" t="str">
        <f t="shared" si="44"/>
        <v/>
      </c>
      <c r="AR30" s="31">
        <f t="shared" si="28"/>
        <v>0</v>
      </c>
      <c r="AS30" s="21">
        <f t="shared" si="29"/>
        <v>0</v>
      </c>
      <c r="AT30" s="62" t="str">
        <f t="shared" si="45"/>
        <v/>
      </c>
      <c r="AU30" s="84">
        <f t="shared" si="46"/>
        <v>0</v>
      </c>
      <c r="AV30" s="32">
        <f t="shared" si="47"/>
        <v>0</v>
      </c>
      <c r="AW30" s="85" t="str">
        <f t="shared" si="48"/>
        <v/>
      </c>
      <c r="AX30" s="86" t="str">
        <f t="shared" si="15"/>
        <v/>
      </c>
    </row>
    <row r="31" spans="1:50" x14ac:dyDescent="0.2">
      <c r="A31" s="29">
        <v>450</v>
      </c>
      <c r="B31" s="32">
        <v>350</v>
      </c>
      <c r="C31" s="35">
        <v>1.8</v>
      </c>
      <c r="D31" s="33"/>
      <c r="E31" s="22" t="inlineStr">
        <is>
          <t>BP</t>
        </is>
      </c>
      <c r="F31" s="23" t="inlineStr">
        <is>
          <t>HA</t>
        </is>
      </c>
      <c r="G31" s="23"/>
      <c r="H31" s="22"/>
      <c r="I31" s="23"/>
      <c r="J31" s="18"/>
      <c r="K31" s="13" t="str">
        <f t="shared" si="7"/>
        <v/>
      </c>
      <c r="L31" s="28" t="str">
        <f t="shared" si="20"/>
        <v/>
      </c>
      <c r="M31" s="10" t="str">
        <f t="shared" si="0"/>
        <v/>
      </c>
      <c r="N31" s="17" t="str">
        <f t="shared" si="8"/>
        <v/>
      </c>
      <c r="O31" s="39" t="str">
        <f t="shared" si="1"/>
        <v/>
      </c>
      <c r="P31" s="41" t="str">
        <f t="shared" si="9"/>
        <v/>
      </c>
      <c r="Q31" s="9" t="str">
        <f t="shared" si="10"/>
        <v/>
      </c>
      <c r="R31" s="14">
        <f t="shared" si="21"/>
        <v>0</v>
      </c>
      <c r="S31" s="61" t="str">
        <f t="shared" si="11"/>
        <v/>
      </c>
      <c r="T31" s="14">
        <f t="shared" si="30"/>
        <v>0</v>
      </c>
      <c r="U31" s="58" t="str">
        <f t="shared" si="31"/>
        <v/>
      </c>
      <c r="V31" s="14">
        <f t="shared" si="22"/>
        <v>0</v>
      </c>
      <c r="W31" s="58" t="str">
        <f t="shared" si="32"/>
        <v/>
      </c>
      <c r="X31" s="14">
        <f t="shared" si="23"/>
        <v>0</v>
      </c>
      <c r="Y31" s="58" t="str">
        <f t="shared" si="33"/>
        <v/>
      </c>
      <c r="Z31" s="31">
        <f t="shared" si="24"/>
        <v>0</v>
      </c>
      <c r="AA31" s="21">
        <f t="shared" si="34"/>
        <v>0</v>
      </c>
      <c r="AB31" s="58" t="str">
        <f t="shared" si="35"/>
        <v/>
      </c>
      <c r="AC31" s="630">
        <f t="shared" si="12"/>
        <v>0</v>
      </c>
      <c r="AD31" s="627"/>
      <c r="AE31" s="21">
        <f t="shared" si="36"/>
        <v>0</v>
      </c>
      <c r="AF31" s="58" t="str">
        <f t="shared" si="37"/>
        <v/>
      </c>
      <c r="AG31" s="21">
        <f t="shared" si="38"/>
        <v>0</v>
      </c>
      <c r="AH31" s="58" t="str">
        <f t="shared" si="39"/>
        <v/>
      </c>
      <c r="AI31" s="21">
        <f t="shared" si="40"/>
        <v>0</v>
      </c>
      <c r="AJ31" s="58" t="str">
        <f t="shared" si="41"/>
        <v/>
      </c>
      <c r="AK31" s="31">
        <f t="shared" si="25"/>
        <v>0</v>
      </c>
      <c r="AL31" s="21">
        <f t="shared" si="26"/>
        <v>0</v>
      </c>
      <c r="AM31" s="62" t="str">
        <f t="shared" si="27"/>
        <v/>
      </c>
      <c r="AN31" s="21">
        <f t="shared" si="42"/>
        <v>0</v>
      </c>
      <c r="AO31" s="62" t="str">
        <f t="shared" si="43"/>
        <v/>
      </c>
      <c r="AP31" s="21">
        <f t="shared" si="13"/>
        <v>0</v>
      </c>
      <c r="AQ31" s="62" t="str">
        <f t="shared" si="44"/>
        <v/>
      </c>
      <c r="AR31" s="31">
        <f t="shared" si="28"/>
        <v>0</v>
      </c>
      <c r="AS31" s="21">
        <f t="shared" si="29"/>
        <v>0</v>
      </c>
      <c r="AT31" s="62" t="str">
        <f t="shared" si="45"/>
        <v/>
      </c>
      <c r="AU31" s="84">
        <f t="shared" si="46"/>
        <v>0</v>
      </c>
      <c r="AV31" s="32">
        <f t="shared" si="47"/>
        <v>0</v>
      </c>
      <c r="AW31" s="85" t="str">
        <f t="shared" si="48"/>
        <v/>
      </c>
      <c r="AX31" s="86" t="str">
        <f>IF(A31="","",(L31-AV31))</f>
        <v/>
      </c>
    </row>
    <row r="32" spans="1:50" x14ac:dyDescent="0.2">
      <c r="A32" s="29">
        <v>450</v>
      </c>
      <c r="B32" s="32">
        <v>450</v>
      </c>
      <c r="C32" s="35">
        <v>2.3</v>
      </c>
      <c r="D32" s="33"/>
      <c r="E32" s="22" t="inlineStr">
        <is>
          <t>BP</t>
        </is>
      </c>
      <c r="F32" s="23" t="inlineStr">
        <is>
          <t>HA</t>
        </is>
      </c>
      <c r="G32" s="23"/>
      <c r="H32" s="22"/>
      <c r="I32" s="23"/>
      <c r="J32" s="18"/>
      <c r="K32" s="13" t="str">
        <f t="shared" si="7"/>
        <v/>
      </c>
      <c r="L32" s="28" t="str">
        <f t="shared" si="20"/>
        <v/>
      </c>
      <c r="M32" s="10" t="str">
        <f t="shared" si="0"/>
        <v/>
      </c>
      <c r="N32" s="17" t="str">
        <f t="shared" si="8"/>
        <v/>
      </c>
      <c r="O32" s="39" t="str">
        <f t="shared" si="1"/>
        <v/>
      </c>
      <c r="P32" s="41" t="str">
        <f t="shared" si="9"/>
        <v/>
      </c>
      <c r="Q32" s="9" t="str">
        <f t="shared" si="10"/>
        <v/>
      </c>
      <c r="R32" s="14">
        <f t="shared" si="21"/>
        <v>0</v>
      </c>
      <c r="S32" s="61" t="str">
        <f t="shared" si="11"/>
        <v/>
      </c>
      <c r="T32" s="14">
        <f t="shared" si="30"/>
        <v>0</v>
      </c>
      <c r="U32" s="58" t="str">
        <f t="shared" si="31"/>
        <v/>
      </c>
      <c r="V32" s="14">
        <f t="shared" si="22"/>
        <v>0</v>
      </c>
      <c r="W32" s="58" t="str">
        <f t="shared" si="32"/>
        <v/>
      </c>
      <c r="X32" s="14">
        <f t="shared" si="23"/>
        <v>0</v>
      </c>
      <c r="Y32" s="58" t="str">
        <f t="shared" si="33"/>
        <v/>
      </c>
      <c r="Z32" s="31">
        <f t="shared" si="24"/>
        <v>0</v>
      </c>
      <c r="AA32" s="21">
        <f t="shared" si="34"/>
        <v>0</v>
      </c>
      <c r="AB32" s="58" t="str">
        <f t="shared" si="35"/>
        <v/>
      </c>
      <c r="AC32" s="630">
        <f t="shared" si="12"/>
        <v>0</v>
      </c>
      <c r="AD32" s="627"/>
      <c r="AE32" s="21">
        <f t="shared" si="36"/>
        <v>0</v>
      </c>
      <c r="AF32" s="58" t="str">
        <f t="shared" si="37"/>
        <v/>
      </c>
      <c r="AG32" s="21">
        <f t="shared" si="38"/>
        <v>0</v>
      </c>
      <c r="AH32" s="58" t="str">
        <f t="shared" si="39"/>
        <v/>
      </c>
      <c r="AI32" s="21">
        <f t="shared" si="40"/>
        <v>0</v>
      </c>
      <c r="AJ32" s="58" t="str">
        <f t="shared" si="41"/>
        <v/>
      </c>
      <c r="AK32" s="31">
        <f t="shared" si="25"/>
        <v>0</v>
      </c>
      <c r="AL32" s="21">
        <f t="shared" si="26"/>
        <v>0</v>
      </c>
      <c r="AM32" s="62" t="str">
        <f t="shared" si="27"/>
        <v/>
      </c>
      <c r="AN32" s="21">
        <f t="shared" si="42"/>
        <v>0</v>
      </c>
      <c r="AO32" s="62" t="str">
        <f t="shared" si="43"/>
        <v/>
      </c>
      <c r="AP32" s="21">
        <f t="shared" si="13"/>
        <v>0</v>
      </c>
      <c r="AQ32" s="62" t="str">
        <f t="shared" si="44"/>
        <v/>
      </c>
      <c r="AR32" s="31">
        <f t="shared" si="28"/>
        <v>0</v>
      </c>
      <c r="AS32" s="21">
        <f t="shared" si="29"/>
        <v>0</v>
      </c>
      <c r="AT32" s="62" t="str">
        <f t="shared" si="45"/>
        <v/>
      </c>
      <c r="AU32" s="84">
        <f t="shared" si="46"/>
        <v>0</v>
      </c>
      <c r="AV32" s="32">
        <f t="shared" si="47"/>
        <v>0</v>
      </c>
      <c r="AW32" s="85" t="str">
        <f t="shared" si="48"/>
        <v/>
      </c>
      <c r="AX32" s="86" t="str">
        <f>IF(A32="","",(L32-AV32))</f>
        <v/>
      </c>
    </row>
    <row r="33" spans="1:50" x14ac:dyDescent="0.2">
      <c r="A33" s="29">
        <v>500</v>
      </c>
      <c r="B33" s="32">
        <v>350</v>
      </c>
      <c r="C33" s="35">
        <v>12.3</v>
      </c>
      <c r="D33" s="33"/>
      <c r="E33" s="22" t="inlineStr">
        <is>
          <t>BP</t>
        </is>
      </c>
      <c r="F33" s="23" t="inlineStr">
        <is>
          <t>HA</t>
        </is>
      </c>
      <c r="G33" s="23">
        <v>7</v>
      </c>
      <c r="H33" s="22"/>
      <c r="I33" s="23"/>
      <c r="J33" s="18"/>
      <c r="K33" s="13" t="str">
        <f t="shared" si="7"/>
        <v/>
      </c>
      <c r="L33" s="28" t="str">
        <f t="shared" si="20"/>
        <v/>
      </c>
      <c r="M33" s="10" t="str">
        <f t="shared" si="0"/>
        <v/>
      </c>
      <c r="N33" s="17" t="str">
        <f t="shared" si="8"/>
        <v/>
      </c>
      <c r="O33" s="39" t="str">
        <f t="shared" si="1"/>
        <v/>
      </c>
      <c r="P33" s="41" t="str">
        <f t="shared" si="9"/>
        <v/>
      </c>
      <c r="Q33" s="9" t="str">
        <f t="shared" si="10"/>
        <v/>
      </c>
      <c r="R33" s="14">
        <f t="shared" si="21"/>
        <v>0</v>
      </c>
      <c r="S33" s="61" t="str">
        <f t="shared" si="11"/>
        <v/>
      </c>
      <c r="T33" s="14">
        <f t="shared" si="30"/>
        <v>0</v>
      </c>
      <c r="U33" s="58" t="str">
        <f t="shared" si="31"/>
        <v/>
      </c>
      <c r="V33" s="14">
        <f t="shared" si="22"/>
        <v>0</v>
      </c>
      <c r="W33" s="58" t="str">
        <f t="shared" si="32"/>
        <v/>
      </c>
      <c r="X33" s="14">
        <f t="shared" si="23"/>
        <v>0</v>
      </c>
      <c r="Y33" s="58" t="str">
        <f t="shared" si="33"/>
        <v/>
      </c>
      <c r="Z33" s="31">
        <f t="shared" si="24"/>
        <v>0</v>
      </c>
      <c r="AA33" s="21">
        <f t="shared" si="34"/>
        <v>0</v>
      </c>
      <c r="AB33" s="58" t="str">
        <f t="shared" si="35"/>
        <v/>
      </c>
      <c r="AC33" s="630">
        <f t="shared" si="12"/>
        <v>0</v>
      </c>
      <c r="AD33" s="627"/>
      <c r="AE33" s="21">
        <f t="shared" si="36"/>
        <v>0</v>
      </c>
      <c r="AF33" s="58" t="str">
        <f t="shared" si="37"/>
        <v/>
      </c>
      <c r="AG33" s="21">
        <f t="shared" si="38"/>
        <v>0</v>
      </c>
      <c r="AH33" s="58" t="str">
        <f t="shared" si="39"/>
        <v/>
      </c>
      <c r="AI33" s="21">
        <f t="shared" si="40"/>
        <v>0</v>
      </c>
      <c r="AJ33" s="58" t="str">
        <f t="shared" si="41"/>
        <v/>
      </c>
      <c r="AK33" s="31">
        <f t="shared" si="25"/>
        <v>0</v>
      </c>
      <c r="AL33" s="21">
        <f t="shared" si="26"/>
        <v>0</v>
      </c>
      <c r="AM33" s="62" t="str">
        <f t="shared" si="27"/>
        <v/>
      </c>
      <c r="AN33" s="21">
        <f t="shared" si="42"/>
        <v>0</v>
      </c>
      <c r="AO33" s="62" t="str">
        <f t="shared" si="43"/>
        <v/>
      </c>
      <c r="AP33" s="21">
        <f t="shared" si="13"/>
        <v>0</v>
      </c>
      <c r="AQ33" s="62" t="str">
        <f t="shared" si="44"/>
        <v/>
      </c>
      <c r="AR33" s="31">
        <f t="shared" si="28"/>
        <v>0</v>
      </c>
      <c r="AS33" s="21">
        <f t="shared" si="29"/>
        <v>0</v>
      </c>
      <c r="AT33" s="62" t="str">
        <f t="shared" si="45"/>
        <v/>
      </c>
      <c r="AU33" s="84">
        <f t="shared" si="46"/>
        <v>0</v>
      </c>
      <c r="AV33" s="32">
        <f t="shared" si="47"/>
        <v>0</v>
      </c>
      <c r="AW33" s="85" t="str">
        <f t="shared" si="48"/>
        <v/>
      </c>
      <c r="AX33" s="86" t="str">
        <f>IF(A33="","",(L33-AV33))</f>
        <v/>
      </c>
    </row>
    <row r="34" spans="1:50" x14ac:dyDescent="0.2">
      <c r="A34" s="29">
        <v>500</v>
      </c>
      <c r="B34" s="32">
        <v>500</v>
      </c>
      <c r="C34" s="35">
        <v>8.0</v>
      </c>
      <c r="D34" s="33"/>
      <c r="E34" s="22" t="inlineStr">
        <is>
          <t>BP</t>
        </is>
      </c>
      <c r="F34" s="23" t="inlineStr">
        <is>
          <t>HA</t>
        </is>
      </c>
      <c r="G34" s="23">
        <v>8</v>
      </c>
      <c r="H34" s="22"/>
      <c r="I34" s="23"/>
      <c r="J34" s="18"/>
      <c r="K34" s="13" t="str">
        <f t="shared" si="7"/>
        <v/>
      </c>
      <c r="L34" s="28" t="str">
        <f t="shared" si="20"/>
        <v/>
      </c>
      <c r="M34" s="10" t="str">
        <f t="shared" si="0"/>
        <v/>
      </c>
      <c r="N34" s="17" t="str">
        <f t="shared" si="8"/>
        <v/>
      </c>
      <c r="O34" s="39" t="str">
        <f t="shared" si="1"/>
        <v/>
      </c>
      <c r="P34" s="41" t="str">
        <f t="shared" si="9"/>
        <v/>
      </c>
      <c r="Q34" s="9" t="str">
        <f t="shared" si="10"/>
        <v/>
      </c>
      <c r="R34" s="14">
        <f t="shared" si="21"/>
        <v>0</v>
      </c>
      <c r="S34" s="61" t="str">
        <f t="shared" si="11"/>
        <v/>
      </c>
      <c r="T34" s="14">
        <f t="shared" si="30"/>
        <v>0</v>
      </c>
      <c r="U34" s="58" t="str">
        <f t="shared" si="31"/>
        <v/>
      </c>
      <c r="V34" s="14">
        <f t="shared" si="22"/>
        <v>0</v>
      </c>
      <c r="W34" s="58" t="str">
        <f t="shared" si="32"/>
        <v/>
      </c>
      <c r="X34" s="14">
        <f t="shared" si="23"/>
        <v>0</v>
      </c>
      <c r="Y34" s="58" t="str">
        <f t="shared" si="33"/>
        <v/>
      </c>
      <c r="Z34" s="31">
        <f t="shared" si="24"/>
        <v>0</v>
      </c>
      <c r="AA34" s="21">
        <f t="shared" si="34"/>
        <v>0</v>
      </c>
      <c r="AB34" s="58" t="str">
        <f t="shared" si="35"/>
        <v/>
      </c>
      <c r="AC34" s="630">
        <f t="shared" si="12"/>
        <v>0</v>
      </c>
      <c r="AD34" s="627"/>
      <c r="AE34" s="21">
        <f t="shared" si="36"/>
        <v>0</v>
      </c>
      <c r="AF34" s="58" t="str">
        <f t="shared" si="37"/>
        <v/>
      </c>
      <c r="AG34" s="21">
        <f t="shared" si="38"/>
        <v>0</v>
      </c>
      <c r="AH34" s="58" t="str">
        <f t="shared" si="39"/>
        <v/>
      </c>
      <c r="AI34" s="21">
        <f t="shared" si="40"/>
        <v>0</v>
      </c>
      <c r="AJ34" s="58" t="str">
        <f t="shared" si="41"/>
        <v/>
      </c>
      <c r="AK34" s="31">
        <f t="shared" si="25"/>
        <v>0</v>
      </c>
      <c r="AL34" s="21">
        <f t="shared" si="26"/>
        <v>0</v>
      </c>
      <c r="AM34" s="62" t="str">
        <f t="shared" si="27"/>
        <v/>
      </c>
      <c r="AN34" s="21">
        <f t="shared" si="42"/>
        <v>0</v>
      </c>
      <c r="AO34" s="62" t="str">
        <f t="shared" si="43"/>
        <v/>
      </c>
      <c r="AP34" s="21">
        <f t="shared" si="13"/>
        <v>0</v>
      </c>
      <c r="AQ34" s="62" t="str">
        <f t="shared" si="44"/>
        <v/>
      </c>
      <c r="AR34" s="31">
        <f t="shared" si="28"/>
        <v>0</v>
      </c>
      <c r="AS34" s="21">
        <f t="shared" si="29"/>
        <v>0</v>
      </c>
      <c r="AT34" s="62" t="str">
        <f t="shared" si="45"/>
        <v/>
      </c>
      <c r="AU34" s="84">
        <f t="shared" si="46"/>
        <v>0</v>
      </c>
      <c r="AV34" s="32">
        <f t="shared" si="47"/>
        <v>0</v>
      </c>
      <c r="AW34" s="85" t="str">
        <f t="shared" si="48"/>
        <v/>
      </c>
      <c r="AX34" s="86" t="str">
        <f t="shared" ref="AX34:AX97" si="54">IF(A34="","",(L34-AV34))</f>
        <v/>
      </c>
    </row>
    <row r="35" spans="1:50" x14ac:dyDescent="0.2">
      <c r="A35" s="29">
        <v>650</v>
      </c>
      <c r="B35" s="32">
        <v>450</v>
      </c>
      <c r="C35" s="35">
        <v>17.0</v>
      </c>
      <c r="D35" s="33"/>
      <c r="E35" s="22" t="inlineStr">
        <is>
          <t>BP</t>
        </is>
      </c>
      <c r="F35" s="23" t="inlineStr">
        <is>
          <t>HA</t>
        </is>
      </c>
      <c r="G35" s="23"/>
      <c r="H35" s="22"/>
      <c r="I35" s="23"/>
      <c r="J35" s="18"/>
      <c r="K35" s="13" t="str">
        <f t="shared" si="7"/>
        <v/>
      </c>
      <c r="L35" s="28" t="str">
        <f t="shared" si="20"/>
        <v/>
      </c>
      <c r="M35" s="10" t="str">
        <f t="shared" si="0"/>
        <v/>
      </c>
      <c r="N35" s="17" t="str">
        <f t="shared" si="8"/>
        <v/>
      </c>
      <c r="O35" s="39" t="str">
        <f t="shared" si="1"/>
        <v/>
      </c>
      <c r="P35" s="41" t="str">
        <f t="shared" si="9"/>
        <v/>
      </c>
      <c r="Q35" s="9" t="str">
        <f t="shared" si="10"/>
        <v/>
      </c>
      <c r="R35" s="14">
        <f t="shared" si="21"/>
        <v>0</v>
      </c>
      <c r="S35" s="61" t="str">
        <f t="shared" si="11"/>
        <v/>
      </c>
      <c r="T35" s="14">
        <f t="shared" si="30"/>
        <v>0</v>
      </c>
      <c r="U35" s="58" t="str">
        <f t="shared" si="31"/>
        <v/>
      </c>
      <c r="V35" s="14">
        <f t="shared" si="22"/>
        <v>0</v>
      </c>
      <c r="W35" s="58" t="str">
        <f t="shared" si="32"/>
        <v/>
      </c>
      <c r="X35" s="14">
        <f t="shared" si="23"/>
        <v>0</v>
      </c>
      <c r="Y35" s="58" t="str">
        <f t="shared" si="33"/>
        <v/>
      </c>
      <c r="Z35" s="31">
        <f t="shared" si="24"/>
        <v>0</v>
      </c>
      <c r="AA35" s="21">
        <f t="shared" si="34"/>
        <v>0</v>
      </c>
      <c r="AB35" s="58" t="str">
        <f t="shared" si="35"/>
        <v/>
      </c>
      <c r="AC35" s="630">
        <f t="shared" si="12"/>
        <v>0</v>
      </c>
      <c r="AD35" s="627"/>
      <c r="AE35" s="21">
        <f t="shared" si="36"/>
        <v>0</v>
      </c>
      <c r="AF35" s="58" t="str">
        <f t="shared" si="37"/>
        <v/>
      </c>
      <c r="AG35" s="21">
        <f t="shared" si="38"/>
        <v>0</v>
      </c>
      <c r="AH35" s="58" t="str">
        <f t="shared" si="39"/>
        <v/>
      </c>
      <c r="AI35" s="21">
        <f t="shared" si="40"/>
        <v>0</v>
      </c>
      <c r="AJ35" s="58" t="str">
        <f t="shared" si="41"/>
        <v/>
      </c>
      <c r="AK35" s="31">
        <f t="shared" si="25"/>
        <v>0</v>
      </c>
      <c r="AL35" s="21">
        <f t="shared" si="26"/>
        <v>0</v>
      </c>
      <c r="AM35" s="62" t="str">
        <f t="shared" si="27"/>
        <v/>
      </c>
      <c r="AN35" s="21">
        <f t="shared" si="42"/>
        <v>0</v>
      </c>
      <c r="AO35" s="62" t="str">
        <f t="shared" si="43"/>
        <v/>
      </c>
      <c r="AP35" s="21">
        <f t="shared" si="13"/>
        <v>0</v>
      </c>
      <c r="AQ35" s="62" t="str">
        <f t="shared" si="44"/>
        <v/>
      </c>
      <c r="AR35" s="31">
        <f t="shared" si="28"/>
        <v>0</v>
      </c>
      <c r="AS35" s="21">
        <f t="shared" si="29"/>
        <v>0</v>
      </c>
      <c r="AT35" s="62" t="str">
        <f t="shared" si="45"/>
        <v/>
      </c>
      <c r="AU35" s="84">
        <f t="shared" si="46"/>
        <v>0</v>
      </c>
      <c r="AV35" s="32">
        <f t="shared" si="47"/>
        <v>0</v>
      </c>
      <c r="AW35" s="85" t="str">
        <f t="shared" si="48"/>
        <v/>
      </c>
      <c r="AX35" s="86" t="str">
        <f t="shared" si="54"/>
        <v/>
      </c>
    </row>
    <row r="36" spans="1:50" x14ac:dyDescent="0.2">
      <c r="A36" s="29">
        <v>650</v>
      </c>
      <c r="B36" s="32">
        <v>650</v>
      </c>
      <c r="C36" s="35">
        <v>3.1</v>
      </c>
      <c r="D36" s="33"/>
      <c r="E36" s="22" t="inlineStr">
        <is>
          <t>BP</t>
        </is>
      </c>
      <c r="F36" s="23" t="inlineStr">
        <is>
          <t>HA</t>
        </is>
      </c>
      <c r="G36" s="23">
        <v>7</v>
      </c>
      <c r="H36" s="22"/>
      <c r="I36" s="23"/>
      <c r="J36" s="18"/>
      <c r="K36" s="13" t="str">
        <f t="shared" si="7"/>
        <v/>
      </c>
      <c r="L36" s="28" t="str">
        <f t="shared" si="20"/>
        <v/>
      </c>
      <c r="M36" s="10" t="str">
        <f t="shared" si="0"/>
        <v/>
      </c>
      <c r="N36" s="17" t="str">
        <f t="shared" si="8"/>
        <v/>
      </c>
      <c r="O36" s="39" t="str">
        <f t="shared" si="1"/>
        <v/>
      </c>
      <c r="P36" s="41" t="str">
        <f t="shared" si="9"/>
        <v/>
      </c>
      <c r="Q36" s="9" t="str">
        <f t="shared" si="10"/>
        <v/>
      </c>
      <c r="R36" s="14">
        <f t="shared" si="21"/>
        <v>0</v>
      </c>
      <c r="S36" s="61" t="str">
        <f t="shared" si="11"/>
        <v/>
      </c>
      <c r="T36" s="14">
        <f t="shared" si="30"/>
        <v>0</v>
      </c>
      <c r="U36" s="58" t="str">
        <f t="shared" si="31"/>
        <v/>
      </c>
      <c r="V36" s="14">
        <f t="shared" si="22"/>
        <v>0</v>
      </c>
      <c r="W36" s="58" t="str">
        <f t="shared" si="32"/>
        <v/>
      </c>
      <c r="X36" s="14">
        <f t="shared" si="23"/>
        <v>0</v>
      </c>
      <c r="Y36" s="58" t="str">
        <f t="shared" si="33"/>
        <v/>
      </c>
      <c r="Z36" s="31">
        <f t="shared" si="24"/>
        <v>0</v>
      </c>
      <c r="AA36" s="21">
        <f t="shared" si="34"/>
        <v>0</v>
      </c>
      <c r="AB36" s="58" t="str">
        <f t="shared" si="35"/>
        <v/>
      </c>
      <c r="AC36" s="630">
        <f t="shared" si="12"/>
        <v>0</v>
      </c>
      <c r="AD36" s="627"/>
      <c r="AE36" s="21">
        <f t="shared" si="36"/>
        <v>0</v>
      </c>
      <c r="AF36" s="58" t="str">
        <f t="shared" si="37"/>
        <v/>
      </c>
      <c r="AG36" s="21">
        <f t="shared" si="38"/>
        <v>0</v>
      </c>
      <c r="AH36" s="58" t="str">
        <f t="shared" si="39"/>
        <v/>
      </c>
      <c r="AI36" s="21">
        <f t="shared" si="40"/>
        <v>0</v>
      </c>
      <c r="AJ36" s="58" t="str">
        <f t="shared" si="41"/>
        <v/>
      </c>
      <c r="AK36" s="31">
        <f t="shared" si="25"/>
        <v>0</v>
      </c>
      <c r="AL36" s="21">
        <f t="shared" si="26"/>
        <v>0</v>
      </c>
      <c r="AM36" s="62" t="str">
        <f t="shared" si="27"/>
        <v/>
      </c>
      <c r="AN36" s="21">
        <f t="shared" si="42"/>
        <v>0</v>
      </c>
      <c r="AO36" s="62" t="str">
        <f t="shared" si="43"/>
        <v/>
      </c>
      <c r="AP36" s="21">
        <f t="shared" si="13"/>
        <v>0</v>
      </c>
      <c r="AQ36" s="62" t="str">
        <f t="shared" si="44"/>
        <v/>
      </c>
      <c r="AR36" s="31">
        <f t="shared" si="28"/>
        <v>0</v>
      </c>
      <c r="AS36" s="21">
        <f t="shared" si="29"/>
        <v>0</v>
      </c>
      <c r="AT36" s="62" t="str">
        <f t="shared" si="45"/>
        <v/>
      </c>
      <c r="AU36" s="84">
        <f t="shared" si="46"/>
        <v>0</v>
      </c>
      <c r="AV36" s="32">
        <f t="shared" si="47"/>
        <v>0</v>
      </c>
      <c r="AW36" s="85" t="str">
        <f t="shared" si="48"/>
        <v/>
      </c>
      <c r="AX36" s="86" t="str">
        <f t="shared" si="54"/>
        <v/>
      </c>
    </row>
    <row r="37" spans="1:50" x14ac:dyDescent="0.2">
      <c r="A37" s="29">
        <v>900</v>
      </c>
      <c r="B37" s="32">
        <v>550</v>
      </c>
      <c r="C37" s="35">
        <v>12.5</v>
      </c>
      <c r="D37" s="33"/>
      <c r="E37" s="22" t="inlineStr">
        <is>
          <t>BP</t>
        </is>
      </c>
      <c r="F37" s="23" t="inlineStr">
        <is>
          <t>RE</t>
        </is>
      </c>
      <c r="G37" s="23"/>
      <c r="H37" s="22"/>
      <c r="I37" s="23"/>
      <c r="J37" s="18"/>
      <c r="K37" s="13" t="str">
        <f t="shared" si="7"/>
        <v/>
      </c>
      <c r="L37" s="28" t="str">
        <f t="shared" si="20"/>
        <v/>
      </c>
      <c r="M37" s="10" t="str">
        <f t="shared" si="0"/>
        <v/>
      </c>
      <c r="N37" s="17" t="str">
        <f t="shared" si="8"/>
        <v/>
      </c>
      <c r="O37" s="39" t="str">
        <f t="shared" si="1"/>
        <v/>
      </c>
      <c r="P37" s="41" t="str">
        <f t="shared" si="9"/>
        <v/>
      </c>
      <c r="Q37" s="9" t="str">
        <f t="shared" si="10"/>
        <v/>
      </c>
      <c r="R37" s="14">
        <f t="shared" si="21"/>
        <v>0</v>
      </c>
      <c r="S37" s="61" t="str">
        <f t="shared" si="11"/>
        <v/>
      </c>
      <c r="T37" s="14">
        <f t="shared" si="30"/>
        <v>0</v>
      </c>
      <c r="U37" s="58" t="str">
        <f t="shared" si="31"/>
        <v/>
      </c>
      <c r="V37" s="14">
        <f t="shared" si="22"/>
        <v>0</v>
      </c>
      <c r="W37" s="58" t="str">
        <f t="shared" si="32"/>
        <v/>
      </c>
      <c r="X37" s="14">
        <f t="shared" si="23"/>
        <v>0</v>
      </c>
      <c r="Y37" s="58" t="str">
        <f t="shared" si="33"/>
        <v/>
      </c>
      <c r="Z37" s="31">
        <f t="shared" si="24"/>
        <v>0</v>
      </c>
      <c r="AA37" s="21">
        <f t="shared" si="34"/>
        <v>0</v>
      </c>
      <c r="AB37" s="58" t="str">
        <f t="shared" si="35"/>
        <v/>
      </c>
      <c r="AC37" s="630">
        <f t="shared" si="12"/>
        <v>0</v>
      </c>
      <c r="AD37" s="627"/>
      <c r="AE37" s="21">
        <f t="shared" si="36"/>
        <v>0</v>
      </c>
      <c r="AF37" s="58" t="str">
        <f t="shared" si="37"/>
        <v/>
      </c>
      <c r="AG37" s="21">
        <f t="shared" si="38"/>
        <v>0</v>
      </c>
      <c r="AH37" s="58" t="str">
        <f t="shared" si="39"/>
        <v/>
      </c>
      <c r="AI37" s="21">
        <f t="shared" si="40"/>
        <v>0</v>
      </c>
      <c r="AJ37" s="58" t="str">
        <f t="shared" si="41"/>
        <v/>
      </c>
      <c r="AK37" s="31">
        <f t="shared" si="25"/>
        <v>0</v>
      </c>
      <c r="AL37" s="21">
        <f t="shared" si="26"/>
        <v>0</v>
      </c>
      <c r="AM37" s="62" t="str">
        <f t="shared" si="27"/>
        <v/>
      </c>
      <c r="AN37" s="21">
        <f t="shared" si="42"/>
        <v>0</v>
      </c>
      <c r="AO37" s="62" t="str">
        <f t="shared" si="43"/>
        <v/>
      </c>
      <c r="AP37" s="21">
        <f t="shared" si="13"/>
        <v>0</v>
      </c>
      <c r="AQ37" s="62" t="str">
        <f t="shared" si="44"/>
        <v/>
      </c>
      <c r="AR37" s="31">
        <f t="shared" si="28"/>
        <v>0</v>
      </c>
      <c r="AS37" s="21">
        <f t="shared" si="29"/>
        <v>0</v>
      </c>
      <c r="AT37" s="62" t="str">
        <f t="shared" si="45"/>
        <v/>
      </c>
      <c r="AU37" s="84">
        <f t="shared" si="46"/>
        <v>0</v>
      </c>
      <c r="AV37" s="32">
        <f t="shared" si="47"/>
        <v>0</v>
      </c>
      <c r="AW37" s="85" t="str">
        <f t="shared" si="48"/>
        <v/>
      </c>
      <c r="AX37" s="86" t="str">
        <f t="shared" si="54"/>
        <v/>
      </c>
    </row>
    <row r="38" spans="1:50" x14ac:dyDescent="0.2">
      <c r="A38" s="29">
        <v>200</v>
      </c>
      <c r="B38" s="32">
        <v>200</v>
      </c>
      <c r="C38" s="35">
        <v>23.8</v>
      </c>
      <c r="D38" s="33"/>
      <c r="E38" s="22" t="inlineStr">
        <is>
          <t>BP</t>
        </is>
      </c>
      <c r="F38" s="23" t="inlineStr">
        <is>
          <t>HA</t>
        </is>
      </c>
      <c r="G38" s="23"/>
      <c r="H38" s="22"/>
      <c r="I38" s="23"/>
      <c r="J38" s="18"/>
      <c r="K38" s="13" t="str">
        <f t="shared" si="7"/>
        <v/>
      </c>
      <c r="L38" s="28" t="str">
        <f t="shared" si="20"/>
        <v/>
      </c>
      <c r="M38" s="10" t="str">
        <f t="shared" si="0"/>
        <v/>
      </c>
      <c r="N38" s="17" t="str">
        <f t="shared" si="8"/>
        <v/>
      </c>
      <c r="O38" s="39" t="str">
        <f t="shared" si="1"/>
        <v/>
      </c>
      <c r="P38" s="41" t="str">
        <f t="shared" si="9"/>
        <v/>
      </c>
      <c r="Q38" s="9" t="str">
        <f t="shared" si="10"/>
        <v/>
      </c>
      <c r="R38" s="14">
        <f t="shared" si="21"/>
        <v>0</v>
      </c>
      <c r="S38" s="61" t="str">
        <f t="shared" si="11"/>
        <v/>
      </c>
      <c r="T38" s="14">
        <f t="shared" si="30"/>
        <v>0</v>
      </c>
      <c r="U38" s="58" t="str">
        <f t="shared" si="31"/>
        <v/>
      </c>
      <c r="V38" s="14">
        <f t="shared" si="22"/>
        <v>0</v>
      </c>
      <c r="W38" s="58" t="str">
        <f t="shared" si="32"/>
        <v/>
      </c>
      <c r="X38" s="14">
        <f t="shared" si="23"/>
        <v>0</v>
      </c>
      <c r="Y38" s="58" t="str">
        <f t="shared" si="33"/>
        <v/>
      </c>
      <c r="Z38" s="31">
        <f t="shared" si="24"/>
        <v>0</v>
      </c>
      <c r="AA38" s="21">
        <f t="shared" si="34"/>
        <v>0</v>
      </c>
      <c r="AB38" s="58" t="str">
        <f t="shared" si="35"/>
        <v/>
      </c>
      <c r="AC38" s="630">
        <f t="shared" si="12"/>
        <v>0</v>
      </c>
      <c r="AD38" s="627"/>
      <c r="AE38" s="21">
        <f t="shared" si="36"/>
        <v>0</v>
      </c>
      <c r="AF38" s="58" t="str">
        <f t="shared" si="37"/>
        <v/>
      </c>
      <c r="AG38" s="21">
        <f t="shared" si="38"/>
        <v>0</v>
      </c>
      <c r="AH38" s="58" t="str">
        <f t="shared" si="39"/>
        <v/>
      </c>
      <c r="AI38" s="21">
        <f t="shared" si="40"/>
        <v>0</v>
      </c>
      <c r="AJ38" s="58" t="str">
        <f t="shared" si="41"/>
        <v/>
      </c>
      <c r="AK38" s="31">
        <f t="shared" si="25"/>
        <v>0</v>
      </c>
      <c r="AL38" s="21">
        <f t="shared" si="26"/>
        <v>0</v>
      </c>
      <c r="AM38" s="62" t="str">
        <f t="shared" si="27"/>
        <v/>
      </c>
      <c r="AN38" s="21">
        <f t="shared" si="42"/>
        <v>0</v>
      </c>
      <c r="AO38" s="62" t="str">
        <f t="shared" si="43"/>
        <v/>
      </c>
      <c r="AP38" s="21">
        <f t="shared" si="13"/>
        <v>0</v>
      </c>
      <c r="AQ38" s="62" t="str">
        <f t="shared" si="44"/>
        <v/>
      </c>
      <c r="AR38" s="31">
        <f t="shared" si="28"/>
        <v>0</v>
      </c>
      <c r="AS38" s="21">
        <f t="shared" si="29"/>
        <v>0</v>
      </c>
      <c r="AT38" s="62" t="str">
        <f t="shared" si="45"/>
        <v/>
      </c>
      <c r="AU38" s="84">
        <f t="shared" si="46"/>
        <v>0</v>
      </c>
      <c r="AV38" s="32">
        <f t="shared" si="47"/>
        <v>0</v>
      </c>
      <c r="AW38" s="85" t="str">
        <f t="shared" si="48"/>
        <v/>
      </c>
      <c r="AX38" s="86" t="str">
        <f t="shared" si="54"/>
        <v/>
      </c>
    </row>
    <row r="39" spans="1:50" x14ac:dyDescent="0.2">
      <c r="A39" s="29">
        <v>300</v>
      </c>
      <c r="B39" s="32">
        <v>200</v>
      </c>
      <c r="C39" s="35">
        <v>14.4</v>
      </c>
      <c r="D39" s="33"/>
      <c r="E39" s="22" t="inlineStr">
        <is>
          <t>BP</t>
        </is>
      </c>
      <c r="F39" s="23" t="inlineStr">
        <is>
          <t>HA</t>
        </is>
      </c>
      <c r="G39" s="23"/>
      <c r="H39" s="22"/>
      <c r="I39" s="23"/>
      <c r="J39" s="18"/>
      <c r="K39" s="13" t="str">
        <f t="shared" si="7"/>
        <v/>
      </c>
      <c r="L39" s="28" t="str">
        <f t="shared" si="20"/>
        <v/>
      </c>
      <c r="M39" s="10" t="str">
        <f t="shared" si="0"/>
        <v/>
      </c>
      <c r="N39" s="17" t="str">
        <f t="shared" si="8"/>
        <v/>
      </c>
      <c r="O39" s="39" t="str">
        <f t="shared" si="1"/>
        <v/>
      </c>
      <c r="P39" s="41" t="str">
        <f t="shared" si="9"/>
        <v/>
      </c>
      <c r="Q39" s="9" t="str">
        <f t="shared" si="10"/>
        <v/>
      </c>
      <c r="R39" s="14">
        <f t="shared" si="21"/>
        <v>0</v>
      </c>
      <c r="S39" s="61" t="str">
        <f t="shared" si="11"/>
        <v/>
      </c>
      <c r="T39" s="14">
        <f t="shared" si="30"/>
        <v>0</v>
      </c>
      <c r="U39" s="58" t="str">
        <f t="shared" si="31"/>
        <v/>
      </c>
      <c r="V39" s="14">
        <f t="shared" si="22"/>
        <v>0</v>
      </c>
      <c r="W39" s="58" t="str">
        <f t="shared" si="32"/>
        <v/>
      </c>
      <c r="X39" s="14">
        <f t="shared" si="23"/>
        <v>0</v>
      </c>
      <c r="Y39" s="58" t="str">
        <f t="shared" si="33"/>
        <v/>
      </c>
      <c r="Z39" s="31">
        <f t="shared" si="24"/>
        <v>0</v>
      </c>
      <c r="AA39" s="21">
        <f t="shared" si="34"/>
        <v>0</v>
      </c>
      <c r="AB39" s="58" t="str">
        <f t="shared" si="35"/>
        <v/>
      </c>
      <c r="AC39" s="630">
        <f t="shared" si="12"/>
        <v>0</v>
      </c>
      <c r="AD39" s="627"/>
      <c r="AE39" s="21">
        <f t="shared" si="36"/>
        <v>0</v>
      </c>
      <c r="AF39" s="58" t="str">
        <f t="shared" si="37"/>
        <v/>
      </c>
      <c r="AG39" s="21">
        <f t="shared" si="38"/>
        <v>0</v>
      </c>
      <c r="AH39" s="58" t="str">
        <f t="shared" si="39"/>
        <v/>
      </c>
      <c r="AI39" s="21">
        <f t="shared" si="40"/>
        <v>0</v>
      </c>
      <c r="AJ39" s="58" t="str">
        <f t="shared" si="41"/>
        <v/>
      </c>
      <c r="AK39" s="31">
        <f t="shared" si="25"/>
        <v>0</v>
      </c>
      <c r="AL39" s="21">
        <f t="shared" si="26"/>
        <v>0</v>
      </c>
      <c r="AM39" s="62" t="str">
        <f t="shared" si="27"/>
        <v/>
      </c>
      <c r="AN39" s="21">
        <f t="shared" si="42"/>
        <v>0</v>
      </c>
      <c r="AO39" s="62" t="str">
        <f t="shared" si="43"/>
        <v/>
      </c>
      <c r="AP39" s="21">
        <f t="shared" si="13"/>
        <v>0</v>
      </c>
      <c r="AQ39" s="62" t="str">
        <f t="shared" si="44"/>
        <v/>
      </c>
      <c r="AR39" s="31">
        <f t="shared" si="28"/>
        <v>0</v>
      </c>
      <c r="AS39" s="21">
        <f t="shared" si="29"/>
        <v>0</v>
      </c>
      <c r="AT39" s="62" t="str">
        <f t="shared" si="45"/>
        <v/>
      </c>
      <c r="AU39" s="84">
        <f t="shared" si="46"/>
        <v>0</v>
      </c>
      <c r="AV39" s="32">
        <f t="shared" si="47"/>
        <v>0</v>
      </c>
      <c r="AW39" s="85" t="str">
        <f t="shared" si="48"/>
        <v/>
      </c>
      <c r="AX39" s="86" t="str">
        <f t="shared" si="54"/>
        <v/>
      </c>
    </row>
    <row r="40" spans="1:50" x14ac:dyDescent="0.2">
      <c r="A40" s="29">
        <v>300</v>
      </c>
      <c r="B40" s="32">
        <v>300</v>
      </c>
      <c r="C40" s="35">
        <v>2.8</v>
      </c>
      <c r="D40" s="33"/>
      <c r="E40" s="22" t="inlineStr">
        <is>
          <t>BP</t>
        </is>
      </c>
      <c r="F40" s="23" t="inlineStr">
        <is>
          <t>HA</t>
        </is>
      </c>
      <c r="G40" s="23"/>
      <c r="H40" s="22"/>
      <c r="I40" s="23"/>
      <c r="J40" s="18"/>
      <c r="K40" s="13" t="str">
        <f t="shared" si="7"/>
        <v/>
      </c>
      <c r="L40" s="28" t="str">
        <f t="shared" si="20"/>
        <v/>
      </c>
      <c r="M40" s="10" t="str">
        <f t="shared" si="0"/>
        <v/>
      </c>
      <c r="N40" s="17" t="str">
        <f t="shared" si="8"/>
        <v/>
      </c>
      <c r="O40" s="39" t="str">
        <f t="shared" si="1"/>
        <v/>
      </c>
      <c r="P40" s="41" t="str">
        <f t="shared" si="9"/>
        <v/>
      </c>
      <c r="Q40" s="9" t="str">
        <f t="shared" si="10"/>
        <v/>
      </c>
      <c r="R40" s="14">
        <f t="shared" si="21"/>
        <v>0</v>
      </c>
      <c r="S40" s="61" t="str">
        <f t="shared" si="11"/>
        <v/>
      </c>
      <c r="T40" s="14">
        <f t="shared" si="30"/>
        <v>0</v>
      </c>
      <c r="U40" s="58" t="str">
        <f t="shared" si="31"/>
        <v/>
      </c>
      <c r="V40" s="14">
        <f t="shared" si="22"/>
        <v>0</v>
      </c>
      <c r="W40" s="58" t="str">
        <f t="shared" si="32"/>
        <v/>
      </c>
      <c r="X40" s="14">
        <f t="shared" si="23"/>
        <v>0</v>
      </c>
      <c r="Y40" s="58" t="str">
        <f t="shared" si="33"/>
        <v/>
      </c>
      <c r="Z40" s="31">
        <f t="shared" si="24"/>
        <v>0</v>
      </c>
      <c r="AA40" s="21">
        <f t="shared" si="34"/>
        <v>0</v>
      </c>
      <c r="AB40" s="58" t="str">
        <f t="shared" si="35"/>
        <v/>
      </c>
      <c r="AC40" s="630">
        <f t="shared" si="12"/>
        <v>0</v>
      </c>
      <c r="AD40" s="627"/>
      <c r="AE40" s="21">
        <f t="shared" si="36"/>
        <v>0</v>
      </c>
      <c r="AF40" s="58" t="str">
        <f t="shared" si="37"/>
        <v/>
      </c>
      <c r="AG40" s="21">
        <f t="shared" si="38"/>
        <v>0</v>
      </c>
      <c r="AH40" s="58" t="str">
        <f t="shared" si="39"/>
        <v/>
      </c>
      <c r="AI40" s="21">
        <f t="shared" si="40"/>
        <v>0</v>
      </c>
      <c r="AJ40" s="58" t="str">
        <f t="shared" si="41"/>
        <v/>
      </c>
      <c r="AK40" s="31">
        <f t="shared" si="25"/>
        <v>0</v>
      </c>
      <c r="AL40" s="21">
        <f t="shared" si="26"/>
        <v>0</v>
      </c>
      <c r="AM40" s="62" t="str">
        <f t="shared" si="27"/>
        <v/>
      </c>
      <c r="AN40" s="21">
        <f t="shared" si="42"/>
        <v>0</v>
      </c>
      <c r="AO40" s="62" t="str">
        <f t="shared" si="43"/>
        <v/>
      </c>
      <c r="AP40" s="21">
        <f t="shared" si="13"/>
        <v>0</v>
      </c>
      <c r="AQ40" s="62" t="str">
        <f t="shared" si="44"/>
        <v/>
      </c>
      <c r="AR40" s="31">
        <f t="shared" si="28"/>
        <v>0</v>
      </c>
      <c r="AS40" s="21">
        <f t="shared" si="29"/>
        <v>0</v>
      </c>
      <c r="AT40" s="62" t="str">
        <f t="shared" si="45"/>
        <v/>
      </c>
      <c r="AU40" s="84">
        <f t="shared" si="46"/>
        <v>0</v>
      </c>
      <c r="AV40" s="32">
        <f t="shared" si="47"/>
        <v>0</v>
      </c>
      <c r="AW40" s="85" t="str">
        <f t="shared" si="48"/>
        <v/>
      </c>
      <c r="AX40" s="86" t="str">
        <f t="shared" si="54"/>
        <v/>
      </c>
    </row>
    <row r="41" spans="1:50" x14ac:dyDescent="0.2">
      <c r="A41" s="29">
        <v>400</v>
      </c>
      <c r="B41" s="32">
        <v>300</v>
      </c>
      <c r="C41" s="35">
        <v>5.3</v>
      </c>
      <c r="D41" s="33"/>
      <c r="E41" s="22" t="inlineStr">
        <is>
          <t>BP</t>
        </is>
      </c>
      <c r="F41" s="23" t="inlineStr">
        <is>
          <t>HA</t>
        </is>
      </c>
      <c r="G41" s="23"/>
      <c r="H41" s="22"/>
      <c r="I41" s="23"/>
      <c r="J41" s="18"/>
      <c r="K41" s="13" t="str">
        <f t="shared" si="7"/>
        <v/>
      </c>
      <c r="L41" s="28" t="str">
        <f t="shared" si="20"/>
        <v/>
      </c>
      <c r="M41" s="10" t="str">
        <f t="shared" si="0"/>
        <v/>
      </c>
      <c r="N41" s="17" t="str">
        <f t="shared" si="8"/>
        <v/>
      </c>
      <c r="O41" s="39" t="str">
        <f t="shared" si="1"/>
        <v/>
      </c>
      <c r="P41" s="41" t="str">
        <f t="shared" si="9"/>
        <v/>
      </c>
      <c r="Q41" s="9" t="str">
        <f t="shared" si="10"/>
        <v/>
      </c>
      <c r="R41" s="14">
        <f t="shared" si="21"/>
        <v>0</v>
      </c>
      <c r="S41" s="61" t="str">
        <f t="shared" si="11"/>
        <v/>
      </c>
      <c r="T41" s="14">
        <f t="shared" si="30"/>
        <v>0</v>
      </c>
      <c r="U41" s="58" t="str">
        <f t="shared" si="31"/>
        <v/>
      </c>
      <c r="V41" s="14">
        <f t="shared" si="22"/>
        <v>0</v>
      </c>
      <c r="W41" s="58" t="str">
        <f t="shared" si="32"/>
        <v/>
      </c>
      <c r="X41" s="14">
        <f t="shared" si="23"/>
        <v>0</v>
      </c>
      <c r="Y41" s="58" t="str">
        <f t="shared" si="33"/>
        <v/>
      </c>
      <c r="Z41" s="31">
        <f t="shared" si="24"/>
        <v>0</v>
      </c>
      <c r="AA41" s="21">
        <f t="shared" si="34"/>
        <v>0</v>
      </c>
      <c r="AB41" s="58" t="str">
        <f t="shared" si="35"/>
        <v/>
      </c>
      <c r="AC41" s="630">
        <f t="shared" si="12"/>
        <v>0</v>
      </c>
      <c r="AD41" s="627"/>
      <c r="AE41" s="21">
        <f t="shared" si="36"/>
        <v>0</v>
      </c>
      <c r="AF41" s="58" t="str">
        <f t="shared" si="37"/>
        <v/>
      </c>
      <c r="AG41" s="21">
        <f t="shared" si="38"/>
        <v>0</v>
      </c>
      <c r="AH41" s="58" t="str">
        <f t="shared" si="39"/>
        <v/>
      </c>
      <c r="AI41" s="21">
        <f t="shared" si="40"/>
        <v>0</v>
      </c>
      <c r="AJ41" s="58" t="str">
        <f t="shared" si="41"/>
        <v/>
      </c>
      <c r="AK41" s="31">
        <f t="shared" si="25"/>
        <v>0</v>
      </c>
      <c r="AL41" s="21">
        <f t="shared" si="26"/>
        <v>0</v>
      </c>
      <c r="AM41" s="62" t="str">
        <f t="shared" si="27"/>
        <v/>
      </c>
      <c r="AN41" s="21">
        <f t="shared" si="42"/>
        <v>0</v>
      </c>
      <c r="AO41" s="62" t="str">
        <f t="shared" si="43"/>
        <v/>
      </c>
      <c r="AP41" s="21">
        <f t="shared" si="13"/>
        <v>0</v>
      </c>
      <c r="AQ41" s="62" t="str">
        <f t="shared" si="44"/>
        <v/>
      </c>
      <c r="AR41" s="31">
        <f t="shared" si="28"/>
        <v>0</v>
      </c>
      <c r="AS41" s="21">
        <f t="shared" si="29"/>
        <v>0</v>
      </c>
      <c r="AT41" s="62" t="str">
        <f t="shared" si="45"/>
        <v/>
      </c>
      <c r="AU41" s="84">
        <f t="shared" si="46"/>
        <v>0</v>
      </c>
      <c r="AV41" s="32">
        <f t="shared" si="47"/>
        <v>0</v>
      </c>
      <c r="AW41" s="85" t="str">
        <f t="shared" si="48"/>
        <v/>
      </c>
      <c r="AX41" s="86" t="str">
        <f t="shared" si="54"/>
        <v/>
      </c>
    </row>
    <row r="42" spans="1:50" x14ac:dyDescent="0.2">
      <c r="A42" s="29">
        <v>400</v>
      </c>
      <c r="B42" s="32">
        <v>350</v>
      </c>
      <c r="C42" s="35">
        <v>2.7</v>
      </c>
      <c r="D42" s="33"/>
      <c r="E42" s="22" t="inlineStr">
        <is>
          <t>BP</t>
        </is>
      </c>
      <c r="F42" s="23" t="inlineStr">
        <is>
          <t>HA</t>
        </is>
      </c>
      <c r="G42" s="23"/>
      <c r="H42" s="22"/>
      <c r="I42" s="23"/>
      <c r="J42" s="18"/>
      <c r="K42" s="13" t="str">
        <f t="shared" si="7"/>
        <v/>
      </c>
      <c r="L42" s="28" t="str">
        <f t="shared" si="20"/>
        <v/>
      </c>
      <c r="M42" s="10" t="str">
        <f t="shared" si="0"/>
        <v/>
      </c>
      <c r="N42" s="17" t="str">
        <f t="shared" si="8"/>
        <v/>
      </c>
      <c r="O42" s="39" t="str">
        <f t="shared" si="1"/>
        <v/>
      </c>
      <c r="P42" s="41" t="str">
        <f t="shared" si="9"/>
        <v/>
      </c>
      <c r="Q42" s="9" t="str">
        <f t="shared" si="10"/>
        <v/>
      </c>
      <c r="R42" s="14">
        <f t="shared" si="21"/>
        <v>0</v>
      </c>
      <c r="S42" s="61" t="str">
        <f t="shared" si="11"/>
        <v/>
      </c>
      <c r="T42" s="14">
        <f t="shared" si="30"/>
        <v>0</v>
      </c>
      <c r="U42" s="58" t="str">
        <f t="shared" si="31"/>
        <v/>
      </c>
      <c r="V42" s="14">
        <f t="shared" si="22"/>
        <v>0</v>
      </c>
      <c r="W42" s="58" t="str">
        <f t="shared" si="32"/>
        <v/>
      </c>
      <c r="X42" s="14">
        <f t="shared" si="23"/>
        <v>0</v>
      </c>
      <c r="Y42" s="58" t="str">
        <f t="shared" si="33"/>
        <v/>
      </c>
      <c r="Z42" s="31">
        <f t="shared" si="24"/>
        <v>0</v>
      </c>
      <c r="AA42" s="21">
        <f t="shared" si="34"/>
        <v>0</v>
      </c>
      <c r="AB42" s="58" t="str">
        <f t="shared" si="35"/>
        <v/>
      </c>
      <c r="AC42" s="630">
        <f t="shared" si="12"/>
        <v>0</v>
      </c>
      <c r="AD42" s="627"/>
      <c r="AE42" s="21">
        <f t="shared" si="36"/>
        <v>0</v>
      </c>
      <c r="AF42" s="58" t="str">
        <f t="shared" si="37"/>
        <v/>
      </c>
      <c r="AG42" s="21">
        <f t="shared" si="38"/>
        <v>0</v>
      </c>
      <c r="AH42" s="58" t="str">
        <f t="shared" si="39"/>
        <v/>
      </c>
      <c r="AI42" s="21">
        <f t="shared" si="40"/>
        <v>0</v>
      </c>
      <c r="AJ42" s="58" t="str">
        <f t="shared" si="41"/>
        <v/>
      </c>
      <c r="AK42" s="31">
        <f t="shared" si="25"/>
        <v>0</v>
      </c>
      <c r="AL42" s="21">
        <f t="shared" si="26"/>
        <v>0</v>
      </c>
      <c r="AM42" s="62" t="str">
        <f t="shared" si="27"/>
        <v/>
      </c>
      <c r="AN42" s="21">
        <f t="shared" si="42"/>
        <v>0</v>
      </c>
      <c r="AO42" s="62" t="str">
        <f t="shared" si="43"/>
        <v/>
      </c>
      <c r="AP42" s="21">
        <f t="shared" si="13"/>
        <v>0</v>
      </c>
      <c r="AQ42" s="62" t="str">
        <f t="shared" si="44"/>
        <v/>
      </c>
      <c r="AR42" s="31">
        <f t="shared" si="28"/>
        <v>0</v>
      </c>
      <c r="AS42" s="21">
        <f t="shared" si="29"/>
        <v>0</v>
      </c>
      <c r="AT42" s="62" t="str">
        <f t="shared" si="45"/>
        <v/>
      </c>
      <c r="AU42" s="84">
        <f t="shared" si="46"/>
        <v>0</v>
      </c>
      <c r="AV42" s="32">
        <f t="shared" si="47"/>
        <v>0</v>
      </c>
      <c r="AW42" s="85" t="str">
        <f t="shared" si="48"/>
        <v/>
      </c>
      <c r="AX42" s="86" t="str">
        <f t="shared" si="54"/>
        <v/>
      </c>
    </row>
    <row r="43" spans="1:50" x14ac:dyDescent="0.2">
      <c r="A43" s="29">
        <v>500</v>
      </c>
      <c r="B43" s="32">
        <v>500</v>
      </c>
      <c r="C43" s="35">
        <v>1.6</v>
      </c>
      <c r="D43" s="33"/>
      <c r="E43" s="22" t="inlineStr">
        <is>
          <t>BP</t>
        </is>
      </c>
      <c r="F43" s="23" t="inlineStr">
        <is>
          <t>HA</t>
        </is>
      </c>
      <c r="G43" s="23">
        <v>8</v>
      </c>
      <c r="H43" s="22"/>
      <c r="I43" s="23"/>
      <c r="J43" s="18"/>
      <c r="K43" s="13" t="str">
        <f t="shared" si="7"/>
        <v/>
      </c>
      <c r="L43" s="28" t="str">
        <f t="shared" si="20"/>
        <v/>
      </c>
      <c r="M43" s="10" t="str">
        <f t="shared" si="0"/>
        <v/>
      </c>
      <c r="N43" s="17" t="str">
        <f t="shared" si="8"/>
        <v/>
      </c>
      <c r="O43" s="39" t="str">
        <f t="shared" si="1"/>
        <v/>
      </c>
      <c r="P43" s="41" t="str">
        <f t="shared" si="9"/>
        <v/>
      </c>
      <c r="Q43" s="9" t="str">
        <f t="shared" si="10"/>
        <v/>
      </c>
      <c r="R43" s="14">
        <f t="shared" si="21"/>
        <v>0</v>
      </c>
      <c r="S43" s="61" t="str">
        <f t="shared" si="11"/>
        <v/>
      </c>
      <c r="T43" s="14">
        <f t="shared" si="30"/>
        <v>0</v>
      </c>
      <c r="U43" s="58" t="str">
        <f t="shared" si="31"/>
        <v/>
      </c>
      <c r="V43" s="14">
        <f t="shared" si="22"/>
        <v>0</v>
      </c>
      <c r="W43" s="58" t="str">
        <f t="shared" si="32"/>
        <v/>
      </c>
      <c r="X43" s="14">
        <f t="shared" si="23"/>
        <v>0</v>
      </c>
      <c r="Y43" s="58" t="str">
        <f t="shared" si="33"/>
        <v/>
      </c>
      <c r="Z43" s="31">
        <f t="shared" si="24"/>
        <v>0</v>
      </c>
      <c r="AA43" s="21">
        <f t="shared" si="34"/>
        <v>0</v>
      </c>
      <c r="AB43" s="58" t="str">
        <f t="shared" si="35"/>
        <v/>
      </c>
      <c r="AC43" s="630">
        <f t="shared" si="12"/>
        <v>0</v>
      </c>
      <c r="AD43" s="627"/>
      <c r="AE43" s="21">
        <f t="shared" si="36"/>
        <v>0</v>
      </c>
      <c r="AF43" s="58" t="str">
        <f t="shared" si="37"/>
        <v/>
      </c>
      <c r="AG43" s="21">
        <f t="shared" si="38"/>
        <v>0</v>
      </c>
      <c r="AH43" s="58" t="str">
        <f t="shared" si="39"/>
        <v/>
      </c>
      <c r="AI43" s="21">
        <f t="shared" si="40"/>
        <v>0</v>
      </c>
      <c r="AJ43" s="58" t="str">
        <f t="shared" si="41"/>
        <v/>
      </c>
      <c r="AK43" s="31">
        <f t="shared" si="25"/>
        <v>0</v>
      </c>
      <c r="AL43" s="21">
        <f t="shared" si="26"/>
        <v>0</v>
      </c>
      <c r="AM43" s="62" t="str">
        <f t="shared" si="27"/>
        <v/>
      </c>
      <c r="AN43" s="21">
        <f t="shared" si="42"/>
        <v>0</v>
      </c>
      <c r="AO43" s="62" t="str">
        <f t="shared" si="43"/>
        <v/>
      </c>
      <c r="AP43" s="21">
        <f t="shared" si="13"/>
        <v>0</v>
      </c>
      <c r="AQ43" s="62" t="str">
        <f t="shared" si="44"/>
        <v/>
      </c>
      <c r="AR43" s="31">
        <f t="shared" si="28"/>
        <v>0</v>
      </c>
      <c r="AS43" s="21">
        <f t="shared" si="29"/>
        <v>0</v>
      </c>
      <c r="AT43" s="62" t="str">
        <f t="shared" si="45"/>
        <v/>
      </c>
      <c r="AU43" s="84">
        <f t="shared" si="46"/>
        <v>0</v>
      </c>
      <c r="AV43" s="32">
        <f t="shared" si="47"/>
        <v>0</v>
      </c>
      <c r="AW43" s="85" t="str">
        <f t="shared" si="48"/>
        <v/>
      </c>
      <c r="AX43" s="86" t="str">
        <f t="shared" si="54"/>
        <v/>
      </c>
    </row>
    <row r="44" spans="1:50" x14ac:dyDescent="0.2">
      <c r="A44" s="29">
        <v>700</v>
      </c>
      <c r="B44" s="32">
        <v>700</v>
      </c>
      <c r="C44" s="35">
        <v>4.3</v>
      </c>
      <c r="D44" s="33"/>
      <c r="E44" s="22" t="inlineStr">
        <is>
          <t>BP</t>
        </is>
      </c>
      <c r="F44" s="23" t="inlineStr">
        <is>
          <t>HA</t>
        </is>
      </c>
      <c r="G44" s="23"/>
      <c r="H44" s="22"/>
      <c r="I44" s="23"/>
      <c r="J44" s="18"/>
      <c r="K44" s="13" t="str">
        <f t="shared" si="7"/>
        <v/>
      </c>
      <c r="L44" s="28" t="str">
        <f t="shared" si="20"/>
        <v/>
      </c>
      <c r="M44" s="10" t="str">
        <f t="shared" si="0"/>
        <v/>
      </c>
      <c r="N44" s="17" t="str">
        <f t="shared" si="8"/>
        <v/>
      </c>
      <c r="O44" s="39" t="str">
        <f t="shared" si="1"/>
        <v/>
      </c>
      <c r="P44" s="41" t="str">
        <f t="shared" si="9"/>
        <v/>
      </c>
      <c r="Q44" s="9" t="str">
        <f t="shared" si="10"/>
        <v/>
      </c>
      <c r="R44" s="14">
        <f t="shared" si="21"/>
        <v>0</v>
      </c>
      <c r="S44" s="61" t="str">
        <f t="shared" si="11"/>
        <v/>
      </c>
      <c r="T44" s="14">
        <f t="shared" si="30"/>
        <v>0</v>
      </c>
      <c r="U44" s="58" t="str">
        <f t="shared" si="31"/>
        <v/>
      </c>
      <c r="V44" s="14">
        <f t="shared" si="22"/>
        <v>0</v>
      </c>
      <c r="W44" s="58" t="str">
        <f t="shared" si="32"/>
        <v/>
      </c>
      <c r="X44" s="14">
        <f t="shared" si="23"/>
        <v>0</v>
      </c>
      <c r="Y44" s="58" t="str">
        <f t="shared" si="33"/>
        <v/>
      </c>
      <c r="Z44" s="31">
        <f t="shared" si="24"/>
        <v>0</v>
      </c>
      <c r="AA44" s="21">
        <f t="shared" si="34"/>
        <v>0</v>
      </c>
      <c r="AB44" s="58" t="str">
        <f t="shared" si="35"/>
        <v/>
      </c>
      <c r="AC44" s="630">
        <f t="shared" si="12"/>
        <v>0</v>
      </c>
      <c r="AD44" s="627"/>
      <c r="AE44" s="21">
        <f t="shared" si="36"/>
        <v>0</v>
      </c>
      <c r="AF44" s="58" t="str">
        <f t="shared" si="37"/>
        <v/>
      </c>
      <c r="AG44" s="21">
        <f t="shared" si="38"/>
        <v>0</v>
      </c>
      <c r="AH44" s="58" t="str">
        <f t="shared" si="39"/>
        <v/>
      </c>
      <c r="AI44" s="21">
        <f t="shared" si="40"/>
        <v>0</v>
      </c>
      <c r="AJ44" s="58" t="str">
        <f t="shared" si="41"/>
        <v/>
      </c>
      <c r="AK44" s="31">
        <f t="shared" si="25"/>
        <v>0</v>
      </c>
      <c r="AL44" s="21">
        <f t="shared" si="26"/>
        <v>0</v>
      </c>
      <c r="AM44" s="62" t="str">
        <f t="shared" si="27"/>
        <v/>
      </c>
      <c r="AN44" s="21">
        <f t="shared" si="42"/>
        <v>0</v>
      </c>
      <c r="AO44" s="62" t="str">
        <f t="shared" si="43"/>
        <v/>
      </c>
      <c r="AP44" s="21">
        <f t="shared" si="13"/>
        <v>0</v>
      </c>
      <c r="AQ44" s="62" t="str">
        <f t="shared" si="44"/>
        <v/>
      </c>
      <c r="AR44" s="31">
        <f t="shared" si="28"/>
        <v>0</v>
      </c>
      <c r="AS44" s="21">
        <f t="shared" si="29"/>
        <v>0</v>
      </c>
      <c r="AT44" s="62" t="str">
        <f t="shared" si="45"/>
        <v/>
      </c>
      <c r="AU44" s="84">
        <f t="shared" si="46"/>
        <v>0</v>
      </c>
      <c r="AV44" s="32">
        <f t="shared" si="47"/>
        <v>0</v>
      </c>
      <c r="AW44" s="85" t="str">
        <f t="shared" si="48"/>
        <v/>
      </c>
      <c r="AX44" s="86" t="str">
        <f t="shared" si="54"/>
        <v/>
      </c>
    </row>
    <row r="45" spans="1:50" x14ac:dyDescent="0.2">
      <c r="A45" s="29">
        <v>950</v>
      </c>
      <c r="B45" s="32">
        <v>950</v>
      </c>
      <c r="C45" s="35">
        <v>1.5</v>
      </c>
      <c r="D45" s="33"/>
      <c r="E45" s="22" t="inlineStr">
        <is>
          <t>BP</t>
        </is>
      </c>
      <c r="F45" s="23" t="inlineStr">
        <is>
          <t>RE</t>
        </is>
      </c>
      <c r="G45" s="23">
        <v>81</v>
      </c>
      <c r="H45" s="22"/>
      <c r="I45" s="23"/>
      <c r="J45" s="18"/>
      <c r="K45" s="13" t="str">
        <f t="shared" si="7"/>
        <v/>
      </c>
      <c r="L45" s="28" t="str">
        <f t="shared" si="20"/>
        <v/>
      </c>
      <c r="M45" s="10" t="str">
        <f t="shared" si="0"/>
        <v/>
      </c>
      <c r="N45" s="17" t="str">
        <f t="shared" si="8"/>
        <v/>
      </c>
      <c r="O45" s="39" t="str">
        <f t="shared" si="1"/>
        <v/>
      </c>
      <c r="P45" s="41" t="str">
        <f t="shared" si="9"/>
        <v/>
      </c>
      <c r="Q45" s="9" t="str">
        <f t="shared" si="10"/>
        <v/>
      </c>
      <c r="R45" s="14">
        <f t="shared" si="21"/>
        <v>0</v>
      </c>
      <c r="S45" s="61" t="str">
        <f t="shared" si="11"/>
        <v/>
      </c>
      <c r="T45" s="14">
        <f t="shared" si="30"/>
        <v>0</v>
      </c>
      <c r="U45" s="58" t="str">
        <f t="shared" si="31"/>
        <v/>
      </c>
      <c r="V45" s="14">
        <f t="shared" si="22"/>
        <v>0</v>
      </c>
      <c r="W45" s="58" t="str">
        <f t="shared" si="32"/>
        <v/>
      </c>
      <c r="X45" s="14">
        <f t="shared" si="23"/>
        <v>0</v>
      </c>
      <c r="Y45" s="58" t="str">
        <f t="shared" si="33"/>
        <v/>
      </c>
      <c r="Z45" s="31">
        <f t="shared" si="24"/>
        <v>0</v>
      </c>
      <c r="AA45" s="21">
        <f t="shared" si="34"/>
        <v>0</v>
      </c>
      <c r="AB45" s="58" t="str">
        <f t="shared" si="35"/>
        <v/>
      </c>
      <c r="AC45" s="630">
        <f t="shared" si="12"/>
        <v>0</v>
      </c>
      <c r="AD45" s="627"/>
      <c r="AE45" s="21">
        <f t="shared" si="36"/>
        <v>0</v>
      </c>
      <c r="AF45" s="58" t="str">
        <f t="shared" si="37"/>
        <v/>
      </c>
      <c r="AG45" s="21">
        <f t="shared" si="38"/>
        <v>0</v>
      </c>
      <c r="AH45" s="58" t="str">
        <f t="shared" si="39"/>
        <v/>
      </c>
      <c r="AI45" s="21">
        <f t="shared" si="40"/>
        <v>0</v>
      </c>
      <c r="AJ45" s="58" t="str">
        <f t="shared" si="41"/>
        <v/>
      </c>
      <c r="AK45" s="31">
        <f t="shared" si="25"/>
        <v>0</v>
      </c>
      <c r="AL45" s="21">
        <f t="shared" si="26"/>
        <v>0</v>
      </c>
      <c r="AM45" s="62" t="str">
        <f t="shared" si="27"/>
        <v/>
      </c>
      <c r="AN45" s="21">
        <f t="shared" si="42"/>
        <v>0</v>
      </c>
      <c r="AO45" s="62" t="str">
        <f t="shared" si="43"/>
        <v/>
      </c>
      <c r="AP45" s="21">
        <f t="shared" si="13"/>
        <v>0</v>
      </c>
      <c r="AQ45" s="62" t="str">
        <f t="shared" si="44"/>
        <v/>
      </c>
      <c r="AR45" s="31">
        <f t="shared" si="28"/>
        <v>0</v>
      </c>
      <c r="AS45" s="21">
        <f t="shared" si="29"/>
        <v>0</v>
      </c>
      <c r="AT45" s="62" t="str">
        <f t="shared" si="45"/>
        <v/>
      </c>
      <c r="AU45" s="84">
        <f t="shared" si="46"/>
        <v>0</v>
      </c>
      <c r="AV45" s="32">
        <f t="shared" si="47"/>
        <v>0</v>
      </c>
      <c r="AW45" s="85" t="str">
        <f t="shared" si="48"/>
        <v/>
      </c>
      <c r="AX45" s="86" t="str">
        <f t="shared" si="54"/>
        <v/>
      </c>
    </row>
    <row r="46" spans="1:50" x14ac:dyDescent="0.2">
      <c r="A46" s="29">
        <v>1000</v>
      </c>
      <c r="B46" s="32">
        <v>400</v>
      </c>
      <c r="C46" s="35">
        <v>7.2</v>
      </c>
      <c r="D46" s="33"/>
      <c r="E46" s="22" t="inlineStr">
        <is>
          <t>BP</t>
        </is>
      </c>
      <c r="F46" s="23" t="inlineStr">
        <is>
          <t>RE</t>
        </is>
      </c>
      <c r="G46" s="23"/>
      <c r="H46" s="22"/>
      <c r="I46" s="23"/>
      <c r="J46" s="18"/>
      <c r="K46" s="13" t="str">
        <f t="shared" si="7"/>
        <v/>
      </c>
      <c r="L46" s="28" t="str">
        <f t="shared" si="20"/>
        <v/>
      </c>
      <c r="M46" s="10" t="str">
        <f t="shared" si="0"/>
        <v/>
      </c>
      <c r="N46" s="17" t="str">
        <f t="shared" si="8"/>
        <v/>
      </c>
      <c r="O46" s="39" t="str">
        <f t="shared" si="1"/>
        <v/>
      </c>
      <c r="P46" s="41" t="str">
        <f t="shared" si="9"/>
        <v/>
      </c>
      <c r="Q46" s="9" t="str">
        <f t="shared" si="10"/>
        <v/>
      </c>
      <c r="R46" s="14">
        <f t="shared" si="21"/>
        <v>0</v>
      </c>
      <c r="S46" s="61" t="str">
        <f t="shared" si="11"/>
        <v/>
      </c>
      <c r="T46" s="14">
        <f t="shared" si="30"/>
        <v>0</v>
      </c>
      <c r="U46" s="58" t="str">
        <f t="shared" si="31"/>
        <v/>
      </c>
      <c r="V46" s="14">
        <f t="shared" si="22"/>
        <v>0</v>
      </c>
      <c r="W46" s="58" t="str">
        <f t="shared" si="32"/>
        <v/>
      </c>
      <c r="X46" s="14">
        <f t="shared" si="23"/>
        <v>0</v>
      </c>
      <c r="Y46" s="58" t="str">
        <f t="shared" si="33"/>
        <v/>
      </c>
      <c r="Z46" s="31">
        <f t="shared" si="24"/>
        <v>0</v>
      </c>
      <c r="AA46" s="21">
        <f t="shared" si="34"/>
        <v>0</v>
      </c>
      <c r="AB46" s="58" t="str">
        <f t="shared" si="35"/>
        <v/>
      </c>
      <c r="AC46" s="630">
        <f t="shared" si="12"/>
        <v>0</v>
      </c>
      <c r="AD46" s="627"/>
      <c r="AE46" s="21">
        <f t="shared" si="36"/>
        <v>0</v>
      </c>
      <c r="AF46" s="58" t="str">
        <f t="shared" si="37"/>
        <v/>
      </c>
      <c r="AG46" s="21">
        <f t="shared" si="38"/>
        <v>0</v>
      </c>
      <c r="AH46" s="58" t="str">
        <f t="shared" si="39"/>
        <v/>
      </c>
      <c r="AI46" s="21">
        <f t="shared" si="40"/>
        <v>0</v>
      </c>
      <c r="AJ46" s="58" t="str">
        <f t="shared" si="41"/>
        <v/>
      </c>
      <c r="AK46" s="31">
        <f t="shared" si="25"/>
        <v>0</v>
      </c>
      <c r="AL46" s="21">
        <f t="shared" si="26"/>
        <v>0</v>
      </c>
      <c r="AM46" s="62" t="str">
        <f t="shared" si="27"/>
        <v/>
      </c>
      <c r="AN46" s="21">
        <f t="shared" si="42"/>
        <v>0</v>
      </c>
      <c r="AO46" s="62" t="str">
        <f t="shared" si="43"/>
        <v/>
      </c>
      <c r="AP46" s="21">
        <f t="shared" si="13"/>
        <v>0</v>
      </c>
      <c r="AQ46" s="62" t="str">
        <f t="shared" si="44"/>
        <v/>
      </c>
      <c r="AR46" s="31">
        <f t="shared" si="28"/>
        <v>0</v>
      </c>
      <c r="AS46" s="21">
        <f t="shared" si="29"/>
        <v>0</v>
      </c>
      <c r="AT46" s="62" t="str">
        <f t="shared" si="45"/>
        <v/>
      </c>
      <c r="AU46" s="84">
        <f t="shared" si="46"/>
        <v>0</v>
      </c>
      <c r="AV46" s="32">
        <f t="shared" si="47"/>
        <v>0</v>
      </c>
      <c r="AW46" s="85" t="str">
        <f t="shared" si="48"/>
        <v/>
      </c>
      <c r="AX46" s="86" t="str">
        <f t="shared" si="54"/>
        <v/>
      </c>
    </row>
    <row r="47" spans="1:50" x14ac:dyDescent="0.2">
      <c r="A47" s="29">
        <v>1200</v>
      </c>
      <c r="B47" s="32">
        <v>750</v>
      </c>
      <c r="C47" s="35">
        <v>2.5</v>
      </c>
      <c r="D47" s="33"/>
      <c r="E47" s="22" t="inlineStr">
        <is>
          <t>BP</t>
        </is>
      </c>
      <c r="F47" s="23" t="inlineStr">
        <is>
          <t>RE</t>
        </is>
      </c>
      <c r="G47" s="23"/>
      <c r="H47" s="22"/>
      <c r="I47" s="23"/>
      <c r="J47" s="18"/>
      <c r="K47" s="13" t="str">
        <f t="shared" si="7"/>
        <v/>
      </c>
      <c r="L47" s="28" t="str">
        <f t="shared" si="20"/>
        <v/>
      </c>
      <c r="M47" s="10" t="str">
        <f t="shared" si="0"/>
        <v/>
      </c>
      <c r="N47" s="17" t="str">
        <f t="shared" si="8"/>
        <v/>
      </c>
      <c r="O47" s="39" t="str">
        <f t="shared" si="1"/>
        <v/>
      </c>
      <c r="P47" s="41" t="str">
        <f t="shared" si="9"/>
        <v/>
      </c>
      <c r="Q47" s="9" t="str">
        <f t="shared" si="10"/>
        <v/>
      </c>
      <c r="R47" s="14">
        <f t="shared" si="21"/>
        <v>0</v>
      </c>
      <c r="S47" s="61" t="str">
        <f t="shared" si="11"/>
        <v/>
      </c>
      <c r="T47" s="14">
        <f t="shared" si="30"/>
        <v>0</v>
      </c>
      <c r="U47" s="58" t="str">
        <f t="shared" si="31"/>
        <v/>
      </c>
      <c r="V47" s="14">
        <f t="shared" si="22"/>
        <v>0</v>
      </c>
      <c r="W47" s="58" t="str">
        <f t="shared" si="32"/>
        <v/>
      </c>
      <c r="X47" s="14">
        <f t="shared" si="23"/>
        <v>0</v>
      </c>
      <c r="Y47" s="58" t="str">
        <f t="shared" si="33"/>
        <v/>
      </c>
      <c r="Z47" s="31">
        <f t="shared" si="24"/>
        <v>0</v>
      </c>
      <c r="AA47" s="21">
        <f t="shared" si="34"/>
        <v>0</v>
      </c>
      <c r="AB47" s="58" t="str">
        <f t="shared" si="35"/>
        <v/>
      </c>
      <c r="AC47" s="630">
        <f t="shared" si="12"/>
        <v>0</v>
      </c>
      <c r="AD47" s="627"/>
      <c r="AE47" s="21">
        <f t="shared" si="36"/>
        <v>0</v>
      </c>
      <c r="AF47" s="58" t="str">
        <f t="shared" si="37"/>
        <v/>
      </c>
      <c r="AG47" s="21">
        <f t="shared" si="38"/>
        <v>0</v>
      </c>
      <c r="AH47" s="58" t="str">
        <f t="shared" si="39"/>
        <v/>
      </c>
      <c r="AI47" s="21">
        <f t="shared" si="40"/>
        <v>0</v>
      </c>
      <c r="AJ47" s="58" t="str">
        <f t="shared" si="41"/>
        <v/>
      </c>
      <c r="AK47" s="31">
        <f t="shared" si="25"/>
        <v>0</v>
      </c>
      <c r="AL47" s="21">
        <f t="shared" si="26"/>
        <v>0</v>
      </c>
      <c r="AM47" s="62" t="str">
        <f t="shared" si="27"/>
        <v/>
      </c>
      <c r="AN47" s="21">
        <f t="shared" si="42"/>
        <v>0</v>
      </c>
      <c r="AO47" s="62" t="str">
        <f t="shared" si="43"/>
        <v/>
      </c>
      <c r="AP47" s="21">
        <f t="shared" si="13"/>
        <v>0</v>
      </c>
      <c r="AQ47" s="62" t="str">
        <f t="shared" si="44"/>
        <v/>
      </c>
      <c r="AR47" s="31">
        <f t="shared" si="28"/>
        <v>0</v>
      </c>
      <c r="AS47" s="21">
        <f t="shared" si="29"/>
        <v>0</v>
      </c>
      <c r="AT47" s="62" t="str">
        <f t="shared" si="45"/>
        <v/>
      </c>
      <c r="AU47" s="84">
        <f t="shared" si="46"/>
        <v>0</v>
      </c>
      <c r="AV47" s="32">
        <f t="shared" si="47"/>
        <v>0</v>
      </c>
      <c r="AW47" s="85" t="str">
        <f t="shared" si="48"/>
        <v/>
      </c>
      <c r="AX47" s="86" t="str">
        <f t="shared" si="54"/>
        <v/>
      </c>
    </row>
    <row r="48" spans="1:50" x14ac:dyDescent="0.2">
      <c r="A48" s="29">
        <v>1250</v>
      </c>
      <c r="B48" s="32">
        <v>1250</v>
      </c>
      <c r="C48" s="35">
        <v>4.0</v>
      </c>
      <c r="D48" s="33"/>
      <c r="E48" s="22" t="inlineStr">
        <is>
          <t>BP</t>
        </is>
      </c>
      <c r="F48" s="23" t="inlineStr">
        <is>
          <t>RE</t>
        </is>
      </c>
      <c r="G48" s="23"/>
      <c r="H48" s="22"/>
      <c r="I48" s="23"/>
      <c r="J48" s="18"/>
      <c r="K48" s="13" t="str">
        <f t="shared" si="7"/>
        <v/>
      </c>
      <c r="L48" s="28" t="str">
        <f t="shared" si="20"/>
        <v/>
      </c>
      <c r="M48" s="10" t="str">
        <f t="shared" si="0"/>
        <v/>
      </c>
      <c r="N48" s="17" t="str">
        <f t="shared" si="8"/>
        <v/>
      </c>
      <c r="O48" s="39" t="str">
        <f t="shared" si="1"/>
        <v/>
      </c>
      <c r="P48" s="41" t="str">
        <f t="shared" si="9"/>
        <v/>
      </c>
      <c r="Q48" s="9" t="str">
        <f t="shared" si="10"/>
        <v/>
      </c>
      <c r="R48" s="14">
        <f t="shared" si="21"/>
        <v>0</v>
      </c>
      <c r="S48" s="61" t="str">
        <f t="shared" si="11"/>
        <v/>
      </c>
      <c r="T48" s="14">
        <f t="shared" si="30"/>
        <v>0</v>
      </c>
      <c r="U48" s="58" t="str">
        <f t="shared" si="31"/>
        <v/>
      </c>
      <c r="V48" s="14">
        <f t="shared" si="22"/>
        <v>0</v>
      </c>
      <c r="W48" s="58" t="str">
        <f t="shared" si="32"/>
        <v/>
      </c>
      <c r="X48" s="14">
        <f t="shared" si="23"/>
        <v>0</v>
      </c>
      <c r="Y48" s="58" t="str">
        <f t="shared" si="33"/>
        <v/>
      </c>
      <c r="Z48" s="31">
        <f t="shared" si="24"/>
        <v>0</v>
      </c>
      <c r="AA48" s="21">
        <f t="shared" si="34"/>
        <v>0</v>
      </c>
      <c r="AB48" s="58" t="str">
        <f t="shared" si="35"/>
        <v/>
      </c>
      <c r="AC48" s="630">
        <f t="shared" si="12"/>
        <v>0</v>
      </c>
      <c r="AD48" s="627"/>
      <c r="AE48" s="21">
        <f t="shared" si="36"/>
        <v>0</v>
      </c>
      <c r="AF48" s="58" t="str">
        <f t="shared" si="37"/>
        <v/>
      </c>
      <c r="AG48" s="21">
        <f t="shared" si="38"/>
        <v>0</v>
      </c>
      <c r="AH48" s="58" t="str">
        <f t="shared" si="39"/>
        <v/>
      </c>
      <c r="AI48" s="21">
        <f t="shared" si="40"/>
        <v>0</v>
      </c>
      <c r="AJ48" s="58" t="str">
        <f t="shared" si="41"/>
        <v/>
      </c>
      <c r="AK48" s="31">
        <f t="shared" si="25"/>
        <v>0</v>
      </c>
      <c r="AL48" s="21">
        <f t="shared" si="26"/>
        <v>0</v>
      </c>
      <c r="AM48" s="62" t="str">
        <f t="shared" si="27"/>
        <v/>
      </c>
      <c r="AN48" s="21">
        <f t="shared" si="42"/>
        <v>0</v>
      </c>
      <c r="AO48" s="62" t="str">
        <f t="shared" si="43"/>
        <v/>
      </c>
      <c r="AP48" s="21">
        <f t="shared" si="13"/>
        <v>0</v>
      </c>
      <c r="AQ48" s="62" t="str">
        <f t="shared" si="44"/>
        <v/>
      </c>
      <c r="AR48" s="31">
        <f t="shared" si="28"/>
        <v>0</v>
      </c>
      <c r="AS48" s="21">
        <f t="shared" si="29"/>
        <v>0</v>
      </c>
      <c r="AT48" s="62" t="str">
        <f t="shared" si="45"/>
        <v/>
      </c>
      <c r="AU48" s="84">
        <f t="shared" si="46"/>
        <v>0</v>
      </c>
      <c r="AV48" s="32">
        <f t="shared" si="47"/>
        <v>0</v>
      </c>
      <c r="AW48" s="85" t="str">
        <f t="shared" si="48"/>
        <v/>
      </c>
      <c r="AX48" s="86" t="str">
        <f t="shared" si="54"/>
        <v/>
      </c>
    </row>
    <row r="49" spans="1:50" x14ac:dyDescent="0.2">
      <c r="A49" s="29">
        <v>400</v>
      </c>
      <c r="B49" s="32">
        <v>300</v>
      </c>
      <c r="C49" s="35">
        <v>6.1</v>
      </c>
      <c r="D49" s="33"/>
      <c r="E49" s="22" t="inlineStr">
        <is>
          <t>BP</t>
        </is>
      </c>
      <c r="F49" s="23" t="inlineStr">
        <is>
          <t>HA</t>
        </is>
      </c>
      <c r="G49" s="23"/>
      <c r="H49" s="22"/>
      <c r="I49" s="23"/>
      <c r="J49" s="18"/>
      <c r="K49" s="13" t="str">
        <f t="shared" si="7"/>
        <v/>
      </c>
      <c r="L49" s="28" t="str">
        <f t="shared" si="20"/>
        <v/>
      </c>
      <c r="M49" s="10" t="str">
        <f t="shared" si="0"/>
        <v/>
      </c>
      <c r="N49" s="17" t="str">
        <f t="shared" si="8"/>
        <v/>
      </c>
      <c r="O49" s="39" t="str">
        <f t="shared" si="1"/>
        <v/>
      </c>
      <c r="P49" s="41" t="str">
        <f t="shared" si="9"/>
        <v/>
      </c>
      <c r="Q49" s="9" t="str">
        <f t="shared" si="10"/>
        <v/>
      </c>
      <c r="R49" s="14">
        <f t="shared" si="21"/>
        <v>0</v>
      </c>
      <c r="S49" s="61" t="str">
        <f t="shared" si="11"/>
        <v/>
      </c>
      <c r="T49" s="14">
        <f t="shared" si="30"/>
        <v>0</v>
      </c>
      <c r="U49" s="58" t="str">
        <f t="shared" si="31"/>
        <v/>
      </c>
      <c r="V49" s="14">
        <f t="shared" si="22"/>
        <v>0</v>
      </c>
      <c r="W49" s="58" t="str">
        <f t="shared" si="32"/>
        <v/>
      </c>
      <c r="X49" s="14">
        <f t="shared" si="23"/>
        <v>0</v>
      </c>
      <c r="Y49" s="58" t="str">
        <f t="shared" si="33"/>
        <v/>
      </c>
      <c r="Z49" s="31">
        <f t="shared" si="24"/>
        <v>0</v>
      </c>
      <c r="AA49" s="21">
        <f t="shared" si="34"/>
        <v>0</v>
      </c>
      <c r="AB49" s="58" t="str">
        <f t="shared" si="35"/>
        <v/>
      </c>
      <c r="AC49" s="630">
        <f t="shared" si="12"/>
        <v>0</v>
      </c>
      <c r="AD49" s="627"/>
      <c r="AE49" s="21">
        <f t="shared" si="36"/>
        <v>0</v>
      </c>
      <c r="AF49" s="58" t="str">
        <f t="shared" si="37"/>
        <v/>
      </c>
      <c r="AG49" s="21">
        <f t="shared" si="38"/>
        <v>0</v>
      </c>
      <c r="AH49" s="58" t="str">
        <f t="shared" si="39"/>
        <v/>
      </c>
      <c r="AI49" s="21">
        <f t="shared" si="40"/>
        <v>0</v>
      </c>
      <c r="AJ49" s="58" t="str">
        <f t="shared" si="41"/>
        <v/>
      </c>
      <c r="AK49" s="31">
        <f t="shared" si="25"/>
        <v>0</v>
      </c>
      <c r="AL49" s="21">
        <f t="shared" si="26"/>
        <v>0</v>
      </c>
      <c r="AM49" s="62" t="str">
        <f t="shared" si="27"/>
        <v/>
      </c>
      <c r="AN49" s="21">
        <f t="shared" si="42"/>
        <v>0</v>
      </c>
      <c r="AO49" s="62" t="str">
        <f t="shared" si="43"/>
        <v/>
      </c>
      <c r="AP49" s="21">
        <f t="shared" si="13"/>
        <v>0</v>
      </c>
      <c r="AQ49" s="62" t="str">
        <f t="shared" si="44"/>
        <v/>
      </c>
      <c r="AR49" s="31">
        <f t="shared" si="28"/>
        <v>0</v>
      </c>
      <c r="AS49" s="21">
        <f t="shared" si="29"/>
        <v>0</v>
      </c>
      <c r="AT49" s="62" t="str">
        <f t="shared" si="45"/>
        <v/>
      </c>
      <c r="AU49" s="84">
        <f t="shared" si="46"/>
        <v>0</v>
      </c>
      <c r="AV49" s="32">
        <f t="shared" si="47"/>
        <v>0</v>
      </c>
      <c r="AW49" s="85" t="str">
        <f t="shared" si="48"/>
        <v/>
      </c>
      <c r="AX49" s="86" t="str">
        <f t="shared" si="54"/>
        <v/>
      </c>
    </row>
    <row r="50" spans="1:50" x14ac:dyDescent="0.2">
      <c r="A50" s="29">
        <v>500</v>
      </c>
      <c r="B50" s="32">
        <v>500</v>
      </c>
      <c r="C50" s="35">
        <v>6.7</v>
      </c>
      <c r="D50" s="33"/>
      <c r="E50" s="22" t="inlineStr">
        <is>
          <t>BP</t>
        </is>
      </c>
      <c r="F50" s="23" t="inlineStr">
        <is>
          <t>HA</t>
        </is>
      </c>
      <c r="G50" s="23"/>
      <c r="H50" s="22"/>
      <c r="I50" s="23"/>
      <c r="J50" s="18"/>
      <c r="K50" s="13" t="str">
        <f t="shared" si="7"/>
        <v/>
      </c>
      <c r="L50" s="28" t="str">
        <f t="shared" si="20"/>
        <v/>
      </c>
      <c r="M50" s="10" t="str">
        <f t="shared" si="0"/>
        <v/>
      </c>
      <c r="N50" s="17" t="str">
        <f t="shared" si="8"/>
        <v/>
      </c>
      <c r="O50" s="39" t="str">
        <f t="shared" si="1"/>
        <v/>
      </c>
      <c r="P50" s="41" t="str">
        <f t="shared" si="9"/>
        <v/>
      </c>
      <c r="Q50" s="9" t="str">
        <f t="shared" si="10"/>
        <v/>
      </c>
      <c r="R50" s="14">
        <f t="shared" si="21"/>
        <v>0</v>
      </c>
      <c r="S50" s="61" t="str">
        <f t="shared" si="11"/>
        <v/>
      </c>
      <c r="T50" s="14">
        <f t="shared" si="30"/>
        <v>0</v>
      </c>
      <c r="U50" s="58" t="str">
        <f t="shared" si="31"/>
        <v/>
      </c>
      <c r="V50" s="14">
        <f t="shared" si="22"/>
        <v>0</v>
      </c>
      <c r="W50" s="58" t="str">
        <f t="shared" si="32"/>
        <v/>
      </c>
      <c r="X50" s="14">
        <f t="shared" si="23"/>
        <v>0</v>
      </c>
      <c r="Y50" s="58" t="str">
        <f t="shared" si="33"/>
        <v/>
      </c>
      <c r="Z50" s="31">
        <f t="shared" si="24"/>
        <v>0</v>
      </c>
      <c r="AA50" s="21">
        <f t="shared" si="34"/>
        <v>0</v>
      </c>
      <c r="AB50" s="58" t="str">
        <f t="shared" si="35"/>
        <v/>
      </c>
      <c r="AC50" s="630">
        <f t="shared" si="12"/>
        <v>0</v>
      </c>
      <c r="AD50" s="627"/>
      <c r="AE50" s="21">
        <f t="shared" si="36"/>
        <v>0</v>
      </c>
      <c r="AF50" s="58" t="str">
        <f t="shared" si="37"/>
        <v/>
      </c>
      <c r="AG50" s="21">
        <f t="shared" si="38"/>
        <v>0</v>
      </c>
      <c r="AH50" s="58" t="str">
        <f t="shared" si="39"/>
        <v/>
      </c>
      <c r="AI50" s="21">
        <f t="shared" si="40"/>
        <v>0</v>
      </c>
      <c r="AJ50" s="58" t="str">
        <f t="shared" si="41"/>
        <v/>
      </c>
      <c r="AK50" s="31">
        <f t="shared" si="25"/>
        <v>0</v>
      </c>
      <c r="AL50" s="21">
        <f t="shared" si="26"/>
        <v>0</v>
      </c>
      <c r="AM50" s="62" t="str">
        <f t="shared" si="27"/>
        <v/>
      </c>
      <c r="AN50" s="21">
        <f t="shared" si="42"/>
        <v>0</v>
      </c>
      <c r="AO50" s="62" t="str">
        <f t="shared" si="43"/>
        <v/>
      </c>
      <c r="AP50" s="21">
        <f t="shared" si="13"/>
        <v>0</v>
      </c>
      <c r="AQ50" s="62" t="str">
        <f t="shared" si="44"/>
        <v/>
      </c>
      <c r="AR50" s="31">
        <f t="shared" si="28"/>
        <v>0</v>
      </c>
      <c r="AS50" s="21">
        <f t="shared" si="29"/>
        <v>0</v>
      </c>
      <c r="AT50" s="62" t="str">
        <f t="shared" si="45"/>
        <v/>
      </c>
      <c r="AU50" s="84">
        <f t="shared" si="46"/>
        <v>0</v>
      </c>
      <c r="AV50" s="32">
        <f t="shared" si="47"/>
        <v>0</v>
      </c>
      <c r="AW50" s="85" t="str">
        <f t="shared" si="48"/>
        <v/>
      </c>
      <c r="AX50" s="86" t="str">
        <f t="shared" si="54"/>
        <v/>
      </c>
    </row>
    <row r="51" spans="1:50" x14ac:dyDescent="0.2">
      <c r="A51" s="29">
        <v>550</v>
      </c>
      <c r="B51" s="32">
        <v>400</v>
      </c>
      <c r="C51" s="35">
        <v>21.7</v>
      </c>
      <c r="D51" s="33"/>
      <c r="E51" s="22" t="inlineStr">
        <is>
          <t>BP</t>
        </is>
      </c>
      <c r="F51" s="23" t="inlineStr">
        <is>
          <t>HA</t>
        </is>
      </c>
      <c r="G51" s="23">
        <v>7</v>
      </c>
      <c r="H51" s="22"/>
      <c r="I51" s="23"/>
      <c r="J51" s="18"/>
      <c r="K51" s="13" t="str">
        <f t="shared" si="7"/>
        <v/>
      </c>
      <c r="L51" s="28" t="str">
        <f t="shared" si="20"/>
        <v/>
      </c>
      <c r="M51" s="10" t="str">
        <f t="shared" si="0"/>
        <v/>
      </c>
      <c r="N51" s="17" t="str">
        <f t="shared" si="8"/>
        <v/>
      </c>
      <c r="O51" s="39" t="str">
        <f t="shared" si="1"/>
        <v/>
      </c>
      <c r="P51" s="41" t="str">
        <f t="shared" si="9"/>
        <v/>
      </c>
      <c r="Q51" s="9" t="str">
        <f t="shared" si="10"/>
        <v/>
      </c>
      <c r="R51" s="14">
        <f t="shared" si="21"/>
        <v>0</v>
      </c>
      <c r="S51" s="61" t="str">
        <f t="shared" si="11"/>
        <v/>
      </c>
      <c r="T51" s="14">
        <f t="shared" si="30"/>
        <v>0</v>
      </c>
      <c r="U51" s="58" t="str">
        <f t="shared" si="31"/>
        <v/>
      </c>
      <c r="V51" s="14">
        <f t="shared" si="22"/>
        <v>0</v>
      </c>
      <c r="W51" s="58" t="str">
        <f t="shared" si="32"/>
        <v/>
      </c>
      <c r="X51" s="14">
        <f t="shared" si="23"/>
        <v>0</v>
      </c>
      <c r="Y51" s="58" t="str">
        <f t="shared" si="33"/>
        <v/>
      </c>
      <c r="Z51" s="31">
        <f t="shared" si="24"/>
        <v>0</v>
      </c>
      <c r="AA51" s="21">
        <f t="shared" si="34"/>
        <v>0</v>
      </c>
      <c r="AB51" s="58" t="str">
        <f t="shared" si="35"/>
        <v/>
      </c>
      <c r="AC51" s="630">
        <f t="shared" si="12"/>
        <v>0</v>
      </c>
      <c r="AD51" s="627"/>
      <c r="AE51" s="21">
        <f t="shared" si="36"/>
        <v>0</v>
      </c>
      <c r="AF51" s="58" t="str">
        <f t="shared" si="37"/>
        <v/>
      </c>
      <c r="AG51" s="21">
        <f t="shared" si="38"/>
        <v>0</v>
      </c>
      <c r="AH51" s="58" t="str">
        <f t="shared" si="39"/>
        <v/>
      </c>
      <c r="AI51" s="21">
        <f t="shared" si="40"/>
        <v>0</v>
      </c>
      <c r="AJ51" s="58" t="str">
        <f t="shared" si="41"/>
        <v/>
      </c>
      <c r="AK51" s="31">
        <f t="shared" si="25"/>
        <v>0</v>
      </c>
      <c r="AL51" s="21">
        <f t="shared" si="26"/>
        <v>0</v>
      </c>
      <c r="AM51" s="62" t="str">
        <f t="shared" si="27"/>
        <v/>
      </c>
      <c r="AN51" s="21">
        <f t="shared" si="42"/>
        <v>0</v>
      </c>
      <c r="AO51" s="62" t="str">
        <f t="shared" si="43"/>
        <v/>
      </c>
      <c r="AP51" s="21">
        <f t="shared" si="13"/>
        <v>0</v>
      </c>
      <c r="AQ51" s="62" t="str">
        <f t="shared" si="44"/>
        <v/>
      </c>
      <c r="AR51" s="31">
        <f t="shared" si="28"/>
        <v>0</v>
      </c>
      <c r="AS51" s="21">
        <f t="shared" si="29"/>
        <v>0</v>
      </c>
      <c r="AT51" s="62" t="str">
        <f t="shared" si="45"/>
        <v/>
      </c>
      <c r="AU51" s="84">
        <f t="shared" si="46"/>
        <v>0</v>
      </c>
      <c r="AV51" s="32">
        <f t="shared" si="47"/>
        <v>0</v>
      </c>
      <c r="AW51" s="85" t="str">
        <f t="shared" si="48"/>
        <v/>
      </c>
      <c r="AX51" s="86" t="str">
        <f t="shared" si="54"/>
        <v/>
      </c>
    </row>
    <row r="52" spans="1:50" x14ac:dyDescent="0.2">
      <c r="A52" s="29">
        <v>700</v>
      </c>
      <c r="B52" s="32">
        <v>700</v>
      </c>
      <c r="C52" s="35">
        <v>9.5</v>
      </c>
      <c r="D52" s="33"/>
      <c r="E52" s="22" t="inlineStr">
        <is>
          <t>BP</t>
        </is>
      </c>
      <c r="F52" s="23" t="inlineStr">
        <is>
          <t>HA</t>
        </is>
      </c>
      <c r="G52" s="23"/>
      <c r="H52" s="22"/>
      <c r="I52" s="23"/>
      <c r="J52" s="18"/>
      <c r="K52" s="13" t="str">
        <f t="shared" si="7"/>
        <v/>
      </c>
      <c r="L52" s="28" t="str">
        <f t="shared" si="20"/>
        <v/>
      </c>
      <c r="M52" s="10" t="str">
        <f t="shared" si="0"/>
        <v/>
      </c>
      <c r="N52" s="17" t="str">
        <f t="shared" si="8"/>
        <v/>
      </c>
      <c r="O52" s="39" t="str">
        <f t="shared" si="1"/>
        <v/>
      </c>
      <c r="P52" s="41" t="str">
        <f t="shared" si="9"/>
        <v/>
      </c>
      <c r="Q52" s="9" t="str">
        <f t="shared" si="10"/>
        <v/>
      </c>
      <c r="R52" s="14">
        <f t="shared" si="21"/>
        <v>0</v>
      </c>
      <c r="S52" s="61" t="str">
        <f t="shared" si="11"/>
        <v/>
      </c>
      <c r="T52" s="14">
        <f t="shared" si="30"/>
        <v>0</v>
      </c>
      <c r="U52" s="58" t="str">
        <f t="shared" si="31"/>
        <v/>
      </c>
      <c r="V52" s="14">
        <f t="shared" si="22"/>
        <v>0</v>
      </c>
      <c r="W52" s="58" t="str">
        <f t="shared" si="32"/>
        <v/>
      </c>
      <c r="X52" s="14">
        <f t="shared" si="23"/>
        <v>0</v>
      </c>
      <c r="Y52" s="58" t="str">
        <f t="shared" si="33"/>
        <v/>
      </c>
      <c r="Z52" s="31">
        <f t="shared" si="24"/>
        <v>0</v>
      </c>
      <c r="AA52" s="21">
        <f t="shared" si="34"/>
        <v>0</v>
      </c>
      <c r="AB52" s="58" t="str">
        <f t="shared" si="35"/>
        <v/>
      </c>
      <c r="AC52" s="630">
        <f t="shared" si="12"/>
        <v>0</v>
      </c>
      <c r="AD52" s="627"/>
      <c r="AE52" s="21">
        <f t="shared" si="36"/>
        <v>0</v>
      </c>
      <c r="AF52" s="58" t="str">
        <f t="shared" si="37"/>
        <v/>
      </c>
      <c r="AG52" s="21">
        <f t="shared" si="38"/>
        <v>0</v>
      </c>
      <c r="AH52" s="58" t="str">
        <f t="shared" si="39"/>
        <v/>
      </c>
      <c r="AI52" s="21">
        <f t="shared" si="40"/>
        <v>0</v>
      </c>
      <c r="AJ52" s="58" t="str">
        <f t="shared" si="41"/>
        <v/>
      </c>
      <c r="AK52" s="31">
        <f t="shared" si="25"/>
        <v>0</v>
      </c>
      <c r="AL52" s="21">
        <f t="shared" si="26"/>
        <v>0</v>
      </c>
      <c r="AM52" s="62" t="str">
        <f t="shared" si="27"/>
        <v/>
      </c>
      <c r="AN52" s="21">
        <f t="shared" si="42"/>
        <v>0</v>
      </c>
      <c r="AO52" s="62" t="str">
        <f t="shared" si="43"/>
        <v/>
      </c>
      <c r="AP52" s="21">
        <f t="shared" si="13"/>
        <v>0</v>
      </c>
      <c r="AQ52" s="62" t="str">
        <f t="shared" si="44"/>
        <v/>
      </c>
      <c r="AR52" s="31">
        <f t="shared" si="28"/>
        <v>0</v>
      </c>
      <c r="AS52" s="21">
        <f t="shared" si="29"/>
        <v>0</v>
      </c>
      <c r="AT52" s="62" t="str">
        <f t="shared" si="45"/>
        <v/>
      </c>
      <c r="AU52" s="84">
        <f t="shared" si="46"/>
        <v>0</v>
      </c>
      <c r="AV52" s="32">
        <f t="shared" si="47"/>
        <v>0</v>
      </c>
      <c r="AW52" s="85" t="str">
        <f t="shared" si="48"/>
        <v/>
      </c>
      <c r="AX52" s="86" t="str">
        <f t="shared" si="54"/>
        <v/>
      </c>
    </row>
    <row r="53" spans="1:50" x14ac:dyDescent="0.2">
      <c r="A53" s="29">
        <v>750</v>
      </c>
      <c r="B53" s="32">
        <v>550</v>
      </c>
      <c r="C53" s="35">
        <v>16.1</v>
      </c>
      <c r="D53" s="33"/>
      <c r="E53" s="22" t="inlineStr">
        <is>
          <t>BP</t>
        </is>
      </c>
      <c r="F53" s="23" t="inlineStr">
        <is>
          <t>HA</t>
        </is>
      </c>
      <c r="G53" s="23"/>
      <c r="H53" s="22"/>
      <c r="I53" s="23"/>
      <c r="J53" s="18"/>
      <c r="K53" s="13" t="str">
        <f t="shared" si="7"/>
        <v/>
      </c>
      <c r="L53" s="28" t="str">
        <f t="shared" si="20"/>
        <v/>
      </c>
      <c r="M53" s="10" t="str">
        <f t="shared" si="0"/>
        <v/>
      </c>
      <c r="N53" s="17" t="str">
        <f t="shared" si="8"/>
        <v/>
      </c>
      <c r="O53" s="39" t="str">
        <f t="shared" si="1"/>
        <v/>
      </c>
      <c r="P53" s="41" t="str">
        <f t="shared" si="9"/>
        <v/>
      </c>
      <c r="Q53" s="9" t="str">
        <f t="shared" si="10"/>
        <v/>
      </c>
      <c r="R53" s="14">
        <f t="shared" si="21"/>
        <v>0</v>
      </c>
      <c r="S53" s="61" t="str">
        <f t="shared" si="11"/>
        <v/>
      </c>
      <c r="T53" s="14">
        <f t="shared" si="30"/>
        <v>0</v>
      </c>
      <c r="U53" s="58" t="str">
        <f t="shared" si="31"/>
        <v/>
      </c>
      <c r="V53" s="14">
        <f t="shared" si="22"/>
        <v>0</v>
      </c>
      <c r="W53" s="58" t="str">
        <f t="shared" si="32"/>
        <v/>
      </c>
      <c r="X53" s="14">
        <f t="shared" si="23"/>
        <v>0</v>
      </c>
      <c r="Y53" s="58" t="str">
        <f t="shared" si="33"/>
        <v/>
      </c>
      <c r="Z53" s="31">
        <f t="shared" si="24"/>
        <v>0</v>
      </c>
      <c r="AA53" s="21">
        <f t="shared" si="34"/>
        <v>0</v>
      </c>
      <c r="AB53" s="58" t="str">
        <f t="shared" si="35"/>
        <v/>
      </c>
      <c r="AC53" s="630">
        <f t="shared" si="12"/>
        <v>0</v>
      </c>
      <c r="AD53" s="627"/>
      <c r="AE53" s="21">
        <f t="shared" si="36"/>
        <v>0</v>
      </c>
      <c r="AF53" s="58" t="str">
        <f t="shared" si="37"/>
        <v/>
      </c>
      <c r="AG53" s="21">
        <f t="shared" si="38"/>
        <v>0</v>
      </c>
      <c r="AH53" s="58" t="str">
        <f t="shared" si="39"/>
        <v/>
      </c>
      <c r="AI53" s="21">
        <f t="shared" si="40"/>
        <v>0</v>
      </c>
      <c r="AJ53" s="58" t="str">
        <f t="shared" si="41"/>
        <v/>
      </c>
      <c r="AK53" s="31">
        <f t="shared" si="25"/>
        <v>0</v>
      </c>
      <c r="AL53" s="21">
        <f t="shared" si="26"/>
        <v>0</v>
      </c>
      <c r="AM53" s="62" t="str">
        <f t="shared" si="27"/>
        <v/>
      </c>
      <c r="AN53" s="21">
        <f t="shared" si="42"/>
        <v>0</v>
      </c>
      <c r="AO53" s="62" t="str">
        <f t="shared" si="43"/>
        <v/>
      </c>
      <c r="AP53" s="21">
        <f t="shared" si="13"/>
        <v>0</v>
      </c>
      <c r="AQ53" s="62" t="str">
        <f t="shared" si="44"/>
        <v/>
      </c>
      <c r="AR53" s="31">
        <f t="shared" si="28"/>
        <v>0</v>
      </c>
      <c r="AS53" s="21">
        <f t="shared" si="29"/>
        <v>0</v>
      </c>
      <c r="AT53" s="62" t="str">
        <f t="shared" si="45"/>
        <v/>
      </c>
      <c r="AU53" s="84">
        <f t="shared" si="46"/>
        <v>0</v>
      </c>
      <c r="AV53" s="32">
        <f t="shared" si="47"/>
        <v>0</v>
      </c>
      <c r="AW53" s="85" t="str">
        <f t="shared" si="48"/>
        <v/>
      </c>
      <c r="AX53" s="86" t="str">
        <f t="shared" si="54"/>
        <v/>
      </c>
    </row>
    <row r="54" spans="1:50" x14ac:dyDescent="0.2">
      <c r="A54" s="29">
        <v>750</v>
      </c>
      <c r="B54" s="32">
        <v>750</v>
      </c>
      <c r="C54" s="35">
        <v>24.2</v>
      </c>
      <c r="D54" s="33"/>
      <c r="E54" s="22" t="inlineStr">
        <is>
          <t>BP</t>
        </is>
      </c>
      <c r="F54" s="23" t="inlineStr">
        <is>
          <t>HA</t>
        </is>
      </c>
      <c r="G54" s="23">
        <v>7</v>
      </c>
      <c r="H54" s="22"/>
      <c r="I54" s="23"/>
      <c r="J54" s="18"/>
      <c r="K54" s="13" t="str">
        <f t="shared" si="7"/>
        <v/>
      </c>
      <c r="L54" s="28" t="str">
        <f t="shared" si="20"/>
        <v/>
      </c>
      <c r="M54" s="10" t="str">
        <f t="shared" si="0"/>
        <v/>
      </c>
      <c r="N54" s="17" t="str">
        <f t="shared" si="8"/>
        <v/>
      </c>
      <c r="O54" s="39" t="str">
        <f t="shared" si="1"/>
        <v/>
      </c>
      <c r="P54" s="41" t="str">
        <f t="shared" si="9"/>
        <v/>
      </c>
      <c r="Q54" s="9" t="str">
        <f t="shared" si="10"/>
        <v/>
      </c>
      <c r="R54" s="14">
        <f t="shared" si="21"/>
        <v>0</v>
      </c>
      <c r="S54" s="61" t="str">
        <f t="shared" si="11"/>
        <v/>
      </c>
      <c r="T54" s="14">
        <f t="shared" si="30"/>
        <v>0</v>
      </c>
      <c r="U54" s="58" t="str">
        <f t="shared" si="31"/>
        <v/>
      </c>
      <c r="V54" s="14">
        <f t="shared" si="22"/>
        <v>0</v>
      </c>
      <c r="W54" s="58" t="str">
        <f t="shared" si="32"/>
        <v/>
      </c>
      <c r="X54" s="14">
        <f t="shared" si="23"/>
        <v>0</v>
      </c>
      <c r="Y54" s="58" t="str">
        <f t="shared" si="33"/>
        <v/>
      </c>
      <c r="Z54" s="31">
        <f t="shared" si="24"/>
        <v>0</v>
      </c>
      <c r="AA54" s="21">
        <f t="shared" si="34"/>
        <v>0</v>
      </c>
      <c r="AB54" s="58" t="str">
        <f t="shared" si="35"/>
        <v/>
      </c>
      <c r="AC54" s="630">
        <f t="shared" si="12"/>
        <v>0</v>
      </c>
      <c r="AD54" s="627"/>
      <c r="AE54" s="21">
        <f t="shared" si="36"/>
        <v>0</v>
      </c>
      <c r="AF54" s="58" t="str">
        <f t="shared" si="37"/>
        <v/>
      </c>
      <c r="AG54" s="21">
        <f t="shared" si="38"/>
        <v>0</v>
      </c>
      <c r="AH54" s="58" t="str">
        <f t="shared" si="39"/>
        <v/>
      </c>
      <c r="AI54" s="21">
        <f t="shared" si="40"/>
        <v>0</v>
      </c>
      <c r="AJ54" s="58" t="str">
        <f t="shared" si="41"/>
        <v/>
      </c>
      <c r="AK54" s="31">
        <f t="shared" si="25"/>
        <v>0</v>
      </c>
      <c r="AL54" s="21">
        <f t="shared" si="26"/>
        <v>0</v>
      </c>
      <c r="AM54" s="62" t="str">
        <f t="shared" si="27"/>
        <v/>
      </c>
      <c r="AN54" s="21">
        <f t="shared" si="42"/>
        <v>0</v>
      </c>
      <c r="AO54" s="62" t="str">
        <f t="shared" si="43"/>
        <v/>
      </c>
      <c r="AP54" s="21">
        <f t="shared" si="13"/>
        <v>0</v>
      </c>
      <c r="AQ54" s="62" t="str">
        <f t="shared" si="44"/>
        <v/>
      </c>
      <c r="AR54" s="31">
        <f t="shared" si="28"/>
        <v>0</v>
      </c>
      <c r="AS54" s="21">
        <f t="shared" si="29"/>
        <v>0</v>
      </c>
      <c r="AT54" s="62" t="str">
        <f t="shared" si="45"/>
        <v/>
      </c>
      <c r="AU54" s="84">
        <f t="shared" si="46"/>
        <v>0</v>
      </c>
      <c r="AV54" s="32">
        <f t="shared" si="47"/>
        <v>0</v>
      </c>
      <c r="AW54" s="85" t="str">
        <f t="shared" si="48"/>
        <v/>
      </c>
      <c r="AX54" s="86" t="str">
        <f t="shared" si="54"/>
        <v/>
      </c>
    </row>
    <row r="55" spans="1:50" x14ac:dyDescent="0.2">
      <c r="A55" s="29">
        <v>950</v>
      </c>
      <c r="B55" s="32">
        <v>500</v>
      </c>
      <c r="C55" s="35">
        <v>2.1</v>
      </c>
      <c r="D55" s="33"/>
      <c r="E55" s="22" t="inlineStr">
        <is>
          <t>BP</t>
        </is>
      </c>
      <c r="F55" s="23" t="inlineStr">
        <is>
          <t>RE</t>
        </is>
      </c>
      <c r="G55" s="23"/>
      <c r="H55" s="22"/>
      <c r="I55" s="23"/>
      <c r="J55" s="18"/>
      <c r="K55" s="13" t="str">
        <f t="shared" si="7"/>
        <v/>
      </c>
      <c r="L55" s="28" t="str">
        <f t="shared" si="20"/>
        <v/>
      </c>
      <c r="M55" s="10" t="str">
        <f t="shared" si="0"/>
        <v/>
      </c>
      <c r="N55" s="17" t="str">
        <f t="shared" si="8"/>
        <v/>
      </c>
      <c r="O55" s="39" t="str">
        <f t="shared" si="1"/>
        <v/>
      </c>
      <c r="P55" s="41" t="str">
        <f t="shared" si="9"/>
        <v/>
      </c>
      <c r="Q55" s="9" t="str">
        <f t="shared" si="10"/>
        <v/>
      </c>
      <c r="R55" s="14">
        <f t="shared" si="21"/>
        <v>0</v>
      </c>
      <c r="S55" s="61" t="str">
        <f t="shared" si="11"/>
        <v/>
      </c>
      <c r="T55" s="14">
        <f t="shared" si="30"/>
        <v>0</v>
      </c>
      <c r="U55" s="58" t="str">
        <f t="shared" si="31"/>
        <v/>
      </c>
      <c r="V55" s="14">
        <f t="shared" si="22"/>
        <v>0</v>
      </c>
      <c r="W55" s="58" t="str">
        <f t="shared" si="32"/>
        <v/>
      </c>
      <c r="X55" s="14">
        <f t="shared" si="23"/>
        <v>0</v>
      </c>
      <c r="Y55" s="58" t="str">
        <f t="shared" si="33"/>
        <v/>
      </c>
      <c r="Z55" s="31">
        <f t="shared" si="24"/>
        <v>0</v>
      </c>
      <c r="AA55" s="21">
        <f t="shared" si="34"/>
        <v>0</v>
      </c>
      <c r="AB55" s="58" t="str">
        <f t="shared" si="35"/>
        <v/>
      </c>
      <c r="AC55" s="630">
        <f t="shared" si="12"/>
        <v>0</v>
      </c>
      <c r="AD55" s="627"/>
      <c r="AE55" s="21">
        <f t="shared" si="36"/>
        <v>0</v>
      </c>
      <c r="AF55" s="58" t="str">
        <f t="shared" si="37"/>
        <v/>
      </c>
      <c r="AG55" s="21">
        <f t="shared" si="38"/>
        <v>0</v>
      </c>
      <c r="AH55" s="58" t="str">
        <f t="shared" si="39"/>
        <v/>
      </c>
      <c r="AI55" s="21">
        <f t="shared" si="40"/>
        <v>0</v>
      </c>
      <c r="AJ55" s="58" t="str">
        <f t="shared" si="41"/>
        <v/>
      </c>
      <c r="AK55" s="31">
        <f t="shared" si="25"/>
        <v>0</v>
      </c>
      <c r="AL55" s="21">
        <f t="shared" si="26"/>
        <v>0</v>
      </c>
      <c r="AM55" s="62" t="str">
        <f t="shared" si="27"/>
        <v/>
      </c>
      <c r="AN55" s="21">
        <f t="shared" si="42"/>
        <v>0</v>
      </c>
      <c r="AO55" s="62" t="str">
        <f t="shared" si="43"/>
        <v/>
      </c>
      <c r="AP55" s="21">
        <f t="shared" si="13"/>
        <v>0</v>
      </c>
      <c r="AQ55" s="62" t="str">
        <f t="shared" si="44"/>
        <v/>
      </c>
      <c r="AR55" s="31">
        <f t="shared" si="28"/>
        <v>0</v>
      </c>
      <c r="AS55" s="21">
        <f t="shared" si="29"/>
        <v>0</v>
      </c>
      <c r="AT55" s="62" t="str">
        <f t="shared" si="45"/>
        <v/>
      </c>
      <c r="AU55" s="84">
        <f t="shared" si="46"/>
        <v>0</v>
      </c>
      <c r="AV55" s="32">
        <f t="shared" si="47"/>
        <v>0</v>
      </c>
      <c r="AW55" s="85" t="str">
        <f t="shared" si="48"/>
        <v/>
      </c>
      <c r="AX55" s="86" t="str">
        <f t="shared" si="54"/>
        <v/>
      </c>
    </row>
    <row r="56" spans="1:50" x14ac:dyDescent="0.2">
      <c r="A56" s="29">
        <v>950</v>
      </c>
      <c r="B56" s="32">
        <v>700</v>
      </c>
      <c r="C56" s="35">
        <v>2.9</v>
      </c>
      <c r="D56" s="33"/>
      <c r="E56" s="22" t="inlineStr">
        <is>
          <t>BP</t>
        </is>
      </c>
      <c r="F56" s="23" t="inlineStr">
        <is>
          <t>RE</t>
        </is>
      </c>
      <c r="G56" s="23"/>
      <c r="H56" s="22"/>
      <c r="I56" s="23"/>
      <c r="J56" s="18"/>
      <c r="K56" s="13" t="str">
        <f t="shared" si="7"/>
        <v/>
      </c>
      <c r="L56" s="28" t="str">
        <f t="shared" si="20"/>
        <v/>
      </c>
      <c r="M56" s="10" t="str">
        <f t="shared" si="0"/>
        <v/>
      </c>
      <c r="N56" s="17" t="str">
        <f t="shared" si="8"/>
        <v/>
      </c>
      <c r="O56" s="39" t="str">
        <f t="shared" si="1"/>
        <v/>
      </c>
      <c r="P56" s="41" t="str">
        <f t="shared" si="9"/>
        <v/>
      </c>
      <c r="Q56" s="9" t="str">
        <f t="shared" si="10"/>
        <v/>
      </c>
      <c r="R56" s="14">
        <f t="shared" si="21"/>
        <v>0</v>
      </c>
      <c r="S56" s="61" t="str">
        <f t="shared" si="11"/>
        <v/>
      </c>
      <c r="T56" s="14">
        <f t="shared" si="30"/>
        <v>0</v>
      </c>
      <c r="U56" s="58" t="str">
        <f t="shared" si="31"/>
        <v/>
      </c>
      <c r="V56" s="14">
        <f t="shared" si="22"/>
        <v>0</v>
      </c>
      <c r="W56" s="58" t="str">
        <f t="shared" si="32"/>
        <v/>
      </c>
      <c r="X56" s="14">
        <f t="shared" si="23"/>
        <v>0</v>
      </c>
      <c r="Y56" s="58" t="str">
        <f t="shared" si="33"/>
        <v/>
      </c>
      <c r="Z56" s="31">
        <f t="shared" si="24"/>
        <v>0</v>
      </c>
      <c r="AA56" s="21">
        <f t="shared" si="34"/>
        <v>0</v>
      </c>
      <c r="AB56" s="58" t="str">
        <f t="shared" si="35"/>
        <v/>
      </c>
      <c r="AC56" s="630">
        <f t="shared" si="12"/>
        <v>0</v>
      </c>
      <c r="AD56" s="627"/>
      <c r="AE56" s="21">
        <f t="shared" si="36"/>
        <v>0</v>
      </c>
      <c r="AF56" s="58" t="str">
        <f t="shared" si="37"/>
        <v/>
      </c>
      <c r="AG56" s="21">
        <f t="shared" si="38"/>
        <v>0</v>
      </c>
      <c r="AH56" s="58" t="str">
        <f t="shared" si="39"/>
        <v/>
      </c>
      <c r="AI56" s="21">
        <f t="shared" si="40"/>
        <v>0</v>
      </c>
      <c r="AJ56" s="58" t="str">
        <f t="shared" si="41"/>
        <v/>
      </c>
      <c r="AK56" s="31">
        <f t="shared" si="25"/>
        <v>0</v>
      </c>
      <c r="AL56" s="21">
        <f t="shared" si="26"/>
        <v>0</v>
      </c>
      <c r="AM56" s="62" t="str">
        <f t="shared" si="27"/>
        <v/>
      </c>
      <c r="AN56" s="21">
        <f t="shared" si="42"/>
        <v>0</v>
      </c>
      <c r="AO56" s="62" t="str">
        <f t="shared" si="43"/>
        <v/>
      </c>
      <c r="AP56" s="21">
        <f t="shared" si="13"/>
        <v>0</v>
      </c>
      <c r="AQ56" s="62" t="str">
        <f t="shared" si="44"/>
        <v/>
      </c>
      <c r="AR56" s="31">
        <f t="shared" si="28"/>
        <v>0</v>
      </c>
      <c r="AS56" s="21">
        <f t="shared" si="29"/>
        <v>0</v>
      </c>
      <c r="AT56" s="62" t="str">
        <f t="shared" si="45"/>
        <v/>
      </c>
      <c r="AU56" s="84">
        <f t="shared" si="46"/>
        <v>0</v>
      </c>
      <c r="AV56" s="32">
        <f t="shared" si="47"/>
        <v>0</v>
      </c>
      <c r="AW56" s="85" t="str">
        <f t="shared" si="48"/>
        <v/>
      </c>
      <c r="AX56" s="86" t="str">
        <f t="shared" si="54"/>
        <v/>
      </c>
    </row>
    <row r="57" spans="1:50" x14ac:dyDescent="0.2">
      <c r="A57" s="29">
        <v>400</v>
      </c>
      <c r="B57" s="32">
        <v>300</v>
      </c>
      <c r="C57" s="35">
        <v>1.5</v>
      </c>
      <c r="D57" s="33"/>
      <c r="E57" s="22" t="inlineStr">
        <is>
          <t>BP</t>
        </is>
      </c>
      <c r="F57" s="23" t="inlineStr">
        <is>
          <t>HA</t>
        </is>
      </c>
      <c r="G57" s="23"/>
      <c r="H57" s="22"/>
      <c r="I57" s="23"/>
      <c r="J57" s="18"/>
      <c r="K57" s="13" t="str">
        <f t="shared" si="7"/>
        <v/>
      </c>
      <c r="L57" s="28" t="str">
        <f t="shared" si="20"/>
        <v/>
      </c>
      <c r="M57" s="10" t="str">
        <f t="shared" si="0"/>
        <v/>
      </c>
      <c r="N57" s="17" t="str">
        <f t="shared" si="8"/>
        <v/>
      </c>
      <c r="O57" s="39" t="str">
        <f t="shared" si="1"/>
        <v/>
      </c>
      <c r="P57" s="41" t="str">
        <f t="shared" si="9"/>
        <v/>
      </c>
      <c r="Q57" s="9" t="str">
        <f t="shared" si="10"/>
        <v/>
      </c>
      <c r="R57" s="14">
        <f t="shared" si="21"/>
        <v>0</v>
      </c>
      <c r="S57" s="61" t="str">
        <f t="shared" si="11"/>
        <v/>
      </c>
      <c r="T57" s="14">
        <f t="shared" si="30"/>
        <v>0</v>
      </c>
      <c r="U57" s="58" t="str">
        <f t="shared" si="31"/>
        <v/>
      </c>
      <c r="V57" s="14">
        <f t="shared" si="22"/>
        <v>0</v>
      </c>
      <c r="W57" s="58" t="str">
        <f t="shared" si="32"/>
        <v/>
      </c>
      <c r="X57" s="14">
        <f t="shared" si="23"/>
        <v>0</v>
      </c>
      <c r="Y57" s="58" t="str">
        <f t="shared" si="33"/>
        <v/>
      </c>
      <c r="Z57" s="31">
        <f t="shared" si="24"/>
        <v>0</v>
      </c>
      <c r="AA57" s="21">
        <f t="shared" si="34"/>
        <v>0</v>
      </c>
      <c r="AB57" s="58" t="str">
        <f t="shared" si="35"/>
        <v/>
      </c>
      <c r="AC57" s="630">
        <f t="shared" si="12"/>
        <v>0</v>
      </c>
      <c r="AD57" s="627"/>
      <c r="AE57" s="21">
        <f t="shared" si="36"/>
        <v>0</v>
      </c>
      <c r="AF57" s="58" t="str">
        <f t="shared" si="37"/>
        <v/>
      </c>
      <c r="AG57" s="21">
        <f t="shared" si="38"/>
        <v>0</v>
      </c>
      <c r="AH57" s="58" t="str">
        <f t="shared" si="39"/>
        <v/>
      </c>
      <c r="AI57" s="21">
        <f t="shared" si="40"/>
        <v>0</v>
      </c>
      <c r="AJ57" s="58" t="str">
        <f t="shared" si="41"/>
        <v/>
      </c>
      <c r="AK57" s="31">
        <f t="shared" si="25"/>
        <v>0</v>
      </c>
      <c r="AL57" s="21">
        <f t="shared" si="26"/>
        <v>0</v>
      </c>
      <c r="AM57" s="62" t="str">
        <f t="shared" si="27"/>
        <v/>
      </c>
      <c r="AN57" s="21">
        <f t="shared" si="42"/>
        <v>0</v>
      </c>
      <c r="AO57" s="62" t="str">
        <f t="shared" si="43"/>
        <v/>
      </c>
      <c r="AP57" s="21">
        <f t="shared" si="13"/>
        <v>0</v>
      </c>
      <c r="AQ57" s="62" t="str">
        <f t="shared" si="44"/>
        <v/>
      </c>
      <c r="AR57" s="31">
        <f t="shared" si="28"/>
        <v>0</v>
      </c>
      <c r="AS57" s="21">
        <f t="shared" si="29"/>
        <v>0</v>
      </c>
      <c r="AT57" s="62" t="str">
        <f t="shared" si="45"/>
        <v/>
      </c>
      <c r="AU57" s="84">
        <f t="shared" si="46"/>
        <v>0</v>
      </c>
      <c r="AV57" s="32">
        <f t="shared" si="47"/>
        <v>0</v>
      </c>
      <c r="AW57" s="85" t="str">
        <f t="shared" si="48"/>
        <v/>
      </c>
      <c r="AX57" s="86" t="str">
        <f t="shared" si="54"/>
        <v/>
      </c>
    </row>
    <row r="58" spans="1:50" x14ac:dyDescent="0.2">
      <c r="A58" s="29">
        <v>500</v>
      </c>
      <c r="B58" s="32">
        <v>450</v>
      </c>
      <c r="C58" s="35">
        <v>2.0</v>
      </c>
      <c r="D58" s="33"/>
      <c r="E58" s="22" t="inlineStr">
        <is>
          <t>BP</t>
        </is>
      </c>
      <c r="F58" s="23" t="inlineStr">
        <is>
          <t>HA</t>
        </is>
      </c>
      <c r="G58" s="23"/>
      <c r="H58" s="22"/>
      <c r="I58" s="23"/>
      <c r="J58" s="18"/>
      <c r="K58" s="13" t="str">
        <f t="shared" si="7"/>
        <v/>
      </c>
      <c r="L58" s="28" t="str">
        <f t="shared" si="20"/>
        <v/>
      </c>
      <c r="M58" s="10" t="str">
        <f t="shared" si="0"/>
        <v/>
      </c>
      <c r="N58" s="17" t="str">
        <f t="shared" si="8"/>
        <v/>
      </c>
      <c r="O58" s="39" t="str">
        <f t="shared" si="1"/>
        <v/>
      </c>
      <c r="P58" s="41" t="str">
        <f t="shared" si="9"/>
        <v/>
      </c>
      <c r="Q58" s="9" t="str">
        <f t="shared" si="10"/>
        <v/>
      </c>
      <c r="R58" s="14">
        <f t="shared" si="21"/>
        <v>0</v>
      </c>
      <c r="S58" s="61" t="str">
        <f t="shared" si="11"/>
        <v/>
      </c>
      <c r="T58" s="14">
        <f t="shared" si="30"/>
        <v>0</v>
      </c>
      <c r="U58" s="58" t="str">
        <f t="shared" si="31"/>
        <v/>
      </c>
      <c r="V58" s="14">
        <f t="shared" si="22"/>
        <v>0</v>
      </c>
      <c r="W58" s="58" t="str">
        <f t="shared" si="32"/>
        <v/>
      </c>
      <c r="X58" s="14">
        <f t="shared" si="23"/>
        <v>0</v>
      </c>
      <c r="Y58" s="58" t="str">
        <f t="shared" si="33"/>
        <v/>
      </c>
      <c r="Z58" s="31">
        <f t="shared" si="24"/>
        <v>0</v>
      </c>
      <c r="AA58" s="21">
        <f t="shared" si="34"/>
        <v>0</v>
      </c>
      <c r="AB58" s="58" t="str">
        <f t="shared" si="35"/>
        <v/>
      </c>
      <c r="AC58" s="630">
        <f t="shared" si="12"/>
        <v>0</v>
      </c>
      <c r="AD58" s="627"/>
      <c r="AE58" s="21">
        <f t="shared" si="36"/>
        <v>0</v>
      </c>
      <c r="AF58" s="58" t="str">
        <f t="shared" si="37"/>
        <v/>
      </c>
      <c r="AG58" s="21">
        <f t="shared" si="38"/>
        <v>0</v>
      </c>
      <c r="AH58" s="58" t="str">
        <f t="shared" si="39"/>
        <v/>
      </c>
      <c r="AI58" s="21">
        <f t="shared" si="40"/>
        <v>0</v>
      </c>
      <c r="AJ58" s="58" t="str">
        <f t="shared" si="41"/>
        <v/>
      </c>
      <c r="AK58" s="31">
        <f t="shared" si="25"/>
        <v>0</v>
      </c>
      <c r="AL58" s="21">
        <f t="shared" si="26"/>
        <v>0</v>
      </c>
      <c r="AM58" s="62" t="str">
        <f t="shared" si="27"/>
        <v/>
      </c>
      <c r="AN58" s="21">
        <f t="shared" si="42"/>
        <v>0</v>
      </c>
      <c r="AO58" s="62" t="str">
        <f t="shared" si="43"/>
        <v/>
      </c>
      <c r="AP58" s="21">
        <f t="shared" si="13"/>
        <v>0</v>
      </c>
      <c r="AQ58" s="62" t="str">
        <f t="shared" si="44"/>
        <v/>
      </c>
      <c r="AR58" s="31">
        <f t="shared" si="28"/>
        <v>0</v>
      </c>
      <c r="AS58" s="21">
        <f t="shared" si="29"/>
        <v>0</v>
      </c>
      <c r="AT58" s="62" t="str">
        <f t="shared" si="45"/>
        <v/>
      </c>
      <c r="AU58" s="84">
        <f t="shared" si="46"/>
        <v>0</v>
      </c>
      <c r="AV58" s="32">
        <f t="shared" si="47"/>
        <v>0</v>
      </c>
      <c r="AW58" s="85" t="str">
        <f t="shared" si="48"/>
        <v/>
      </c>
      <c r="AX58" s="86" t="str">
        <f t="shared" si="54"/>
        <v/>
      </c>
    </row>
    <row r="59" spans="1:50" x14ac:dyDescent="0.2">
      <c r="A59" s="29">
        <v>600</v>
      </c>
      <c r="B59" s="32">
        <v>600</v>
      </c>
      <c r="C59" s="35">
        <v>6.7</v>
      </c>
      <c r="D59" s="33"/>
      <c r="E59" s="22" t="inlineStr">
        <is>
          <t>BP</t>
        </is>
      </c>
      <c r="F59" s="23" t="inlineStr">
        <is>
          <t>HA</t>
        </is>
      </c>
      <c r="G59" s="23"/>
      <c r="H59" s="22"/>
      <c r="I59" s="23"/>
      <c r="J59" s="18"/>
      <c r="K59" s="13" t="str">
        <f t="shared" si="7"/>
        <v/>
      </c>
      <c r="L59" s="28" t="str">
        <f t="shared" si="20"/>
        <v/>
      </c>
      <c r="M59" s="10" t="str">
        <f t="shared" si="0"/>
        <v/>
      </c>
      <c r="N59" s="17" t="str">
        <f t="shared" si="8"/>
        <v/>
      </c>
      <c r="O59" s="39" t="str">
        <f t="shared" si="1"/>
        <v/>
      </c>
      <c r="P59" s="41" t="str">
        <f t="shared" si="9"/>
        <v/>
      </c>
      <c r="Q59" s="9" t="str">
        <f t="shared" si="10"/>
        <v/>
      </c>
      <c r="R59" s="14">
        <f t="shared" si="21"/>
        <v>0</v>
      </c>
      <c r="S59" s="61" t="str">
        <f t="shared" si="11"/>
        <v/>
      </c>
      <c r="T59" s="14">
        <f t="shared" si="30"/>
        <v>0</v>
      </c>
      <c r="U59" s="58" t="str">
        <f t="shared" si="31"/>
        <v/>
      </c>
      <c r="V59" s="14">
        <f t="shared" si="22"/>
        <v>0</v>
      </c>
      <c r="W59" s="58" t="str">
        <f t="shared" si="32"/>
        <v/>
      </c>
      <c r="X59" s="14">
        <f t="shared" si="23"/>
        <v>0</v>
      </c>
      <c r="Y59" s="58" t="str">
        <f t="shared" si="33"/>
        <v/>
      </c>
      <c r="Z59" s="31">
        <f t="shared" si="24"/>
        <v>0</v>
      </c>
      <c r="AA59" s="21">
        <f t="shared" si="34"/>
        <v>0</v>
      </c>
      <c r="AB59" s="58" t="str">
        <f t="shared" si="35"/>
        <v/>
      </c>
      <c r="AC59" s="630">
        <f t="shared" si="12"/>
        <v>0</v>
      </c>
      <c r="AD59" s="627"/>
      <c r="AE59" s="21">
        <f t="shared" si="36"/>
        <v>0</v>
      </c>
      <c r="AF59" s="58" t="str">
        <f t="shared" si="37"/>
        <v/>
      </c>
      <c r="AG59" s="21">
        <f t="shared" si="38"/>
        <v>0</v>
      </c>
      <c r="AH59" s="58" t="str">
        <f t="shared" si="39"/>
        <v/>
      </c>
      <c r="AI59" s="21">
        <f t="shared" si="40"/>
        <v>0</v>
      </c>
      <c r="AJ59" s="58" t="str">
        <f t="shared" si="41"/>
        <v/>
      </c>
      <c r="AK59" s="31">
        <f t="shared" si="25"/>
        <v>0</v>
      </c>
      <c r="AL59" s="21">
        <f t="shared" si="26"/>
        <v>0</v>
      </c>
      <c r="AM59" s="62" t="str">
        <f t="shared" si="27"/>
        <v/>
      </c>
      <c r="AN59" s="21">
        <f t="shared" si="42"/>
        <v>0</v>
      </c>
      <c r="AO59" s="62" t="str">
        <f t="shared" si="43"/>
        <v/>
      </c>
      <c r="AP59" s="21">
        <f t="shared" si="13"/>
        <v>0</v>
      </c>
      <c r="AQ59" s="62" t="str">
        <f t="shared" si="44"/>
        <v/>
      </c>
      <c r="AR59" s="31">
        <f t="shared" si="28"/>
        <v>0</v>
      </c>
      <c r="AS59" s="21">
        <f t="shared" si="29"/>
        <v>0</v>
      </c>
      <c r="AT59" s="62" t="str">
        <f t="shared" si="45"/>
        <v/>
      </c>
      <c r="AU59" s="84">
        <f t="shared" si="46"/>
        <v>0</v>
      </c>
      <c r="AV59" s="32">
        <f t="shared" si="47"/>
        <v>0</v>
      </c>
      <c r="AW59" s="85" t="str">
        <f t="shared" si="48"/>
        <v/>
      </c>
      <c r="AX59" s="86" t="str">
        <f t="shared" si="54"/>
        <v/>
      </c>
    </row>
    <row r="60" spans="1:50" x14ac:dyDescent="0.2">
      <c r="A60" s="29">
        <v>850</v>
      </c>
      <c r="B60" s="32">
        <v>600</v>
      </c>
      <c r="C60" s="35">
        <v>2.8</v>
      </c>
      <c r="D60" s="33"/>
      <c r="E60" s="22" t="inlineStr">
        <is>
          <t>BP</t>
        </is>
      </c>
      <c r="F60" s="23" t="inlineStr">
        <is>
          <t>RE</t>
        </is>
      </c>
      <c r="G60" s="23">
        <v>81</v>
      </c>
      <c r="H60" s="22"/>
      <c r="I60" s="23"/>
      <c r="J60" s="18"/>
      <c r="K60" s="13" t="str">
        <f t="shared" si="7"/>
        <v/>
      </c>
      <c r="L60" s="28" t="str">
        <f t="shared" si="20"/>
        <v/>
      </c>
      <c r="M60" s="10" t="str">
        <f t="shared" si="0"/>
        <v/>
      </c>
      <c r="N60" s="17" t="str">
        <f t="shared" si="8"/>
        <v/>
      </c>
      <c r="O60" s="39" t="str">
        <f t="shared" si="1"/>
        <v/>
      </c>
      <c r="P60" s="41" t="str">
        <f t="shared" si="9"/>
        <v/>
      </c>
      <c r="Q60" s="9" t="str">
        <f t="shared" si="10"/>
        <v/>
      </c>
      <c r="R60" s="14">
        <f t="shared" si="21"/>
        <v>0</v>
      </c>
      <c r="S60" s="61" t="str">
        <f t="shared" si="11"/>
        <v/>
      </c>
      <c r="T60" s="14">
        <f t="shared" si="30"/>
        <v>0</v>
      </c>
      <c r="U60" s="58" t="str">
        <f t="shared" si="31"/>
        <v/>
      </c>
      <c r="V60" s="14">
        <f t="shared" si="22"/>
        <v>0</v>
      </c>
      <c r="W60" s="58" t="str">
        <f t="shared" si="32"/>
        <v/>
      </c>
      <c r="X60" s="14">
        <f t="shared" si="23"/>
        <v>0</v>
      </c>
      <c r="Y60" s="58" t="str">
        <f t="shared" si="33"/>
        <v/>
      </c>
      <c r="Z60" s="31">
        <f t="shared" si="24"/>
        <v>0</v>
      </c>
      <c r="AA60" s="21">
        <f t="shared" si="34"/>
        <v>0</v>
      </c>
      <c r="AB60" s="58" t="str">
        <f t="shared" si="35"/>
        <v/>
      </c>
      <c r="AC60" s="630">
        <f t="shared" si="12"/>
        <v>0</v>
      </c>
      <c r="AD60" s="627"/>
      <c r="AE60" s="21">
        <f t="shared" si="36"/>
        <v>0</v>
      </c>
      <c r="AF60" s="58" t="str">
        <f t="shared" si="37"/>
        <v/>
      </c>
      <c r="AG60" s="21">
        <f t="shared" si="38"/>
        <v>0</v>
      </c>
      <c r="AH60" s="58" t="str">
        <f t="shared" si="39"/>
        <v/>
      </c>
      <c r="AI60" s="21">
        <f t="shared" si="40"/>
        <v>0</v>
      </c>
      <c r="AJ60" s="58" t="str">
        <f t="shared" si="41"/>
        <v/>
      </c>
      <c r="AK60" s="31">
        <f t="shared" si="25"/>
        <v>0</v>
      </c>
      <c r="AL60" s="21">
        <f t="shared" si="26"/>
        <v>0</v>
      </c>
      <c r="AM60" s="62" t="str">
        <f t="shared" si="27"/>
        <v/>
      </c>
      <c r="AN60" s="21">
        <f t="shared" si="42"/>
        <v>0</v>
      </c>
      <c r="AO60" s="62" t="str">
        <f t="shared" si="43"/>
        <v/>
      </c>
      <c r="AP60" s="21">
        <f t="shared" si="13"/>
        <v>0</v>
      </c>
      <c r="AQ60" s="62" t="str">
        <f t="shared" si="44"/>
        <v/>
      </c>
      <c r="AR60" s="31">
        <f t="shared" si="28"/>
        <v>0</v>
      </c>
      <c r="AS60" s="21">
        <f t="shared" si="29"/>
        <v>0</v>
      </c>
      <c r="AT60" s="62" t="str">
        <f t="shared" si="45"/>
        <v/>
      </c>
      <c r="AU60" s="84">
        <f t="shared" si="46"/>
        <v>0</v>
      </c>
      <c r="AV60" s="32">
        <f t="shared" si="47"/>
        <v>0</v>
      </c>
      <c r="AW60" s="85" t="str">
        <f t="shared" si="48"/>
        <v/>
      </c>
      <c r="AX60" s="86" t="str">
        <f t="shared" si="54"/>
        <v/>
      </c>
    </row>
    <row r="61" spans="1:50" x14ac:dyDescent="0.2">
      <c r="A61" s="29">
        <v>400</v>
      </c>
      <c r="B61" s="32">
        <v>250</v>
      </c>
      <c r="C61" s="35">
        <v>2.9</v>
      </c>
      <c r="D61" s="33"/>
      <c r="E61" s="22" t="inlineStr">
        <is>
          <t>BP</t>
        </is>
      </c>
      <c r="F61" s="23" t="inlineStr">
        <is>
          <t>HA</t>
        </is>
      </c>
      <c r="G61" s="23"/>
      <c r="H61" s="22"/>
      <c r="I61" s="23"/>
      <c r="J61" s="18"/>
      <c r="K61" s="13" t="str">
        <f t="shared" si="7"/>
        <v/>
      </c>
      <c r="L61" s="28" t="str">
        <f t="shared" si="20"/>
        <v/>
      </c>
      <c r="M61" s="10" t="str">
        <f t="shared" si="0"/>
        <v/>
      </c>
      <c r="N61" s="17" t="str">
        <f t="shared" si="8"/>
        <v/>
      </c>
      <c r="O61" s="39" t="str">
        <f t="shared" si="1"/>
        <v/>
      </c>
      <c r="P61" s="41" t="str">
        <f t="shared" si="9"/>
        <v/>
      </c>
      <c r="Q61" s="9" t="str">
        <f t="shared" si="10"/>
        <v/>
      </c>
      <c r="R61" s="14">
        <f t="shared" si="21"/>
        <v>0</v>
      </c>
      <c r="S61" s="61" t="str">
        <f t="shared" si="11"/>
        <v/>
      </c>
      <c r="T61" s="14">
        <f t="shared" si="30"/>
        <v>0</v>
      </c>
      <c r="U61" s="58" t="str">
        <f t="shared" si="31"/>
        <v/>
      </c>
      <c r="V61" s="14">
        <f t="shared" si="22"/>
        <v>0</v>
      </c>
      <c r="W61" s="58" t="str">
        <f t="shared" si="32"/>
        <v/>
      </c>
      <c r="X61" s="14">
        <f t="shared" si="23"/>
        <v>0</v>
      </c>
      <c r="Y61" s="58" t="str">
        <f t="shared" si="33"/>
        <v/>
      </c>
      <c r="Z61" s="31">
        <f t="shared" si="24"/>
        <v>0</v>
      </c>
      <c r="AA61" s="21">
        <f t="shared" si="34"/>
        <v>0</v>
      </c>
      <c r="AB61" s="58" t="str">
        <f t="shared" si="35"/>
        <v/>
      </c>
      <c r="AC61" s="630">
        <f t="shared" si="12"/>
        <v>0</v>
      </c>
      <c r="AD61" s="627"/>
      <c r="AE61" s="21">
        <f t="shared" si="36"/>
        <v>0</v>
      </c>
      <c r="AF61" s="58" t="str">
        <f t="shared" si="37"/>
        <v/>
      </c>
      <c r="AG61" s="21">
        <f t="shared" si="38"/>
        <v>0</v>
      </c>
      <c r="AH61" s="58" t="str">
        <f t="shared" si="39"/>
        <v/>
      </c>
      <c r="AI61" s="21">
        <f t="shared" si="40"/>
        <v>0</v>
      </c>
      <c r="AJ61" s="58" t="str">
        <f t="shared" si="41"/>
        <v/>
      </c>
      <c r="AK61" s="31">
        <f t="shared" si="25"/>
        <v>0</v>
      </c>
      <c r="AL61" s="21">
        <f t="shared" si="26"/>
        <v>0</v>
      </c>
      <c r="AM61" s="62" t="str">
        <f t="shared" si="27"/>
        <v/>
      </c>
      <c r="AN61" s="21">
        <f t="shared" si="42"/>
        <v>0</v>
      </c>
      <c r="AO61" s="62" t="str">
        <f t="shared" si="43"/>
        <v/>
      </c>
      <c r="AP61" s="21">
        <f t="shared" si="13"/>
        <v>0</v>
      </c>
      <c r="AQ61" s="62" t="str">
        <f t="shared" si="44"/>
        <v/>
      </c>
      <c r="AR61" s="31">
        <f t="shared" si="28"/>
        <v>0</v>
      </c>
      <c r="AS61" s="21">
        <f t="shared" si="29"/>
        <v>0</v>
      </c>
      <c r="AT61" s="62" t="str">
        <f t="shared" si="45"/>
        <v/>
      </c>
      <c r="AU61" s="84">
        <f t="shared" si="46"/>
        <v>0</v>
      </c>
      <c r="AV61" s="32">
        <f t="shared" si="47"/>
        <v>0</v>
      </c>
      <c r="AW61" s="85" t="str">
        <f t="shared" si="48"/>
        <v/>
      </c>
      <c r="AX61" s="86" t="str">
        <f t="shared" si="54"/>
        <v/>
      </c>
    </row>
    <row r="62" spans="1:50" x14ac:dyDescent="0.2">
      <c r="A62" s="29">
        <v>550</v>
      </c>
      <c r="B62" s="32">
        <v>400</v>
      </c>
      <c r="C62" s="35">
        <v>0.7</v>
      </c>
      <c r="D62" s="33"/>
      <c r="E62" s="22" t="inlineStr">
        <is>
          <t>BP</t>
        </is>
      </c>
      <c r="F62" s="23" t="inlineStr">
        <is>
          <t>HA</t>
        </is>
      </c>
      <c r="G62" s="23"/>
      <c r="H62" s="22"/>
      <c r="I62" s="23"/>
      <c r="J62" s="18"/>
      <c r="K62" s="13" t="str">
        <f t="shared" si="7"/>
        <v/>
      </c>
      <c r="L62" s="28" t="str">
        <f t="shared" si="20"/>
        <v/>
      </c>
      <c r="M62" s="10" t="str">
        <f t="shared" si="0"/>
        <v/>
      </c>
      <c r="N62" s="17" t="str">
        <f t="shared" si="8"/>
        <v/>
      </c>
      <c r="O62" s="39" t="str">
        <f t="shared" si="1"/>
        <v/>
      </c>
      <c r="P62" s="41" t="str">
        <f t="shared" si="9"/>
        <v/>
      </c>
      <c r="Q62" s="9" t="str">
        <f t="shared" si="10"/>
        <v/>
      </c>
      <c r="R62" s="14">
        <f t="shared" si="21"/>
        <v>0</v>
      </c>
      <c r="S62" s="61" t="str">
        <f t="shared" si="11"/>
        <v/>
      </c>
      <c r="T62" s="14">
        <f t="shared" si="30"/>
        <v>0</v>
      </c>
      <c r="U62" s="58" t="str">
        <f t="shared" si="31"/>
        <v/>
      </c>
      <c r="V62" s="14">
        <f t="shared" si="22"/>
        <v>0</v>
      </c>
      <c r="W62" s="58" t="str">
        <f t="shared" si="32"/>
        <v/>
      </c>
      <c r="X62" s="14">
        <f t="shared" si="23"/>
        <v>0</v>
      </c>
      <c r="Y62" s="58" t="str">
        <f t="shared" si="33"/>
        <v/>
      </c>
      <c r="Z62" s="31">
        <f t="shared" si="24"/>
        <v>0</v>
      </c>
      <c r="AA62" s="21">
        <f t="shared" si="34"/>
        <v>0</v>
      </c>
      <c r="AB62" s="58" t="str">
        <f t="shared" si="35"/>
        <v/>
      </c>
      <c r="AC62" s="630">
        <f t="shared" si="12"/>
        <v>0</v>
      </c>
      <c r="AD62" s="627"/>
      <c r="AE62" s="21">
        <f t="shared" si="36"/>
        <v>0</v>
      </c>
      <c r="AF62" s="58" t="str">
        <f t="shared" si="37"/>
        <v/>
      </c>
      <c r="AG62" s="21">
        <f t="shared" si="38"/>
        <v>0</v>
      </c>
      <c r="AH62" s="58" t="str">
        <f t="shared" si="39"/>
        <v/>
      </c>
      <c r="AI62" s="21">
        <f t="shared" si="40"/>
        <v>0</v>
      </c>
      <c r="AJ62" s="58" t="str">
        <f t="shared" si="41"/>
        <v/>
      </c>
      <c r="AK62" s="31">
        <f t="shared" si="25"/>
        <v>0</v>
      </c>
      <c r="AL62" s="21">
        <f t="shared" si="26"/>
        <v>0</v>
      </c>
      <c r="AM62" s="62" t="str">
        <f t="shared" si="27"/>
        <v/>
      </c>
      <c r="AN62" s="21">
        <f t="shared" si="42"/>
        <v>0</v>
      </c>
      <c r="AO62" s="62" t="str">
        <f t="shared" si="43"/>
        <v/>
      </c>
      <c r="AP62" s="21">
        <f t="shared" si="13"/>
        <v>0</v>
      </c>
      <c r="AQ62" s="62" t="str">
        <f t="shared" si="44"/>
        <v/>
      </c>
      <c r="AR62" s="31">
        <f t="shared" si="28"/>
        <v>0</v>
      </c>
      <c r="AS62" s="21">
        <f t="shared" si="29"/>
        <v>0</v>
      </c>
      <c r="AT62" s="62" t="str">
        <f t="shared" si="45"/>
        <v/>
      </c>
      <c r="AU62" s="84">
        <f t="shared" si="46"/>
        <v>0</v>
      </c>
      <c r="AV62" s="32">
        <f t="shared" si="47"/>
        <v>0</v>
      </c>
      <c r="AW62" s="85" t="str">
        <f t="shared" si="48"/>
        <v/>
      </c>
      <c r="AX62" s="86" t="str">
        <f t="shared" si="54"/>
        <v/>
      </c>
    </row>
    <row r="63" spans="1:50" x14ac:dyDescent="0.2">
      <c r="A63" s="29">
        <v>250</v>
      </c>
      <c r="B63" s="32">
        <v>250</v>
      </c>
      <c r="C63" s="35">
        <v>2.2</v>
      </c>
      <c r="D63" s="33"/>
      <c r="E63" s="22" t="inlineStr">
        <is>
          <t>BP</t>
        </is>
      </c>
      <c r="F63" s="23" t="inlineStr">
        <is>
          <t>HA</t>
        </is>
      </c>
      <c r="G63" s="23"/>
      <c r="H63" s="22"/>
      <c r="I63" s="23"/>
      <c r="J63" s="18"/>
      <c r="K63" s="13" t="str">
        <f t="shared" ref="K63:K86" si="58">IF($N$4="M",IF(A63="","",IF(D63=6,16,IF(A63&lt;=$M$5,26,IF(A63&lt;=$M$6,24,IF(A63&lt;=$M$7,22,IF(A63&lt;=$M$8,20,18)))))),IF(A63="","",IF(D63=6,16,IF(A63&lt;=$P$5,26,IF(A63&lt;=$P$6,24,IF(A63&lt;=$P$7,22,IF(A63&lt;=$P$8,20,18)))))))</f>
        <v/>
      </c>
      <c r="L63" s="28" t="str">
        <f t="shared" si="20"/>
        <v/>
      </c>
      <c r="M63" s="10" t="str">
        <f t="shared" ref="M63:M86" si="59">IF(D63=1,0.5,IF(D63=2,"1 F",IF(D63=21,"1 R",IF(D63=3,2,""))))</f>
        <v/>
      </c>
      <c r="N63" s="17" t="str">
        <f t="shared" ref="N63:N83" si="60">IF(M63="","",IF($N$4="M",(A63+B63+Q63)*C63*0.022,(A63+B63+Q63)*C63*0.17))</f>
        <v/>
      </c>
      <c r="O63" s="39" t="str">
        <f t="shared" ref="O63:O86" si="61">IF(D63=4,1,IF(D63=5,2,""))</f>
        <v/>
      </c>
      <c r="P63" s="41" t="str">
        <f t="shared" ref="P63:P83" si="62">IF(O63="","",IF($N$4="M",IF(O63=1,(A63+B63+Q63)*C63*0.022*1.1,(A63+B63+Q63)*C63*0.022*1.15),IF(O63=1,(A63+B63+Q63)*C63*0.17*1.1,(A63+B63+Q63)*C63*0.17*1.15)))</f>
        <v/>
      </c>
      <c r="Q63" s="9" t="str">
        <f t="shared" si="10"/>
        <v/>
      </c>
      <c r="R63" s="14">
        <f t="shared" si="21"/>
        <v>0</v>
      </c>
      <c r="S63" s="61" t="str">
        <f t="shared" si="11"/>
        <v/>
      </c>
      <c r="T63" s="14">
        <f t="shared" si="30"/>
        <v>0</v>
      </c>
      <c r="U63" s="58" t="str">
        <f t="shared" si="31"/>
        <v/>
      </c>
      <c r="V63" s="14">
        <f t="shared" si="22"/>
        <v>0</v>
      </c>
      <c r="W63" s="58" t="str">
        <f t="shared" si="32"/>
        <v/>
      </c>
      <c r="X63" s="14">
        <f t="shared" si="23"/>
        <v>0</v>
      </c>
      <c r="Y63" s="58" t="str">
        <f t="shared" si="33"/>
        <v/>
      </c>
      <c r="Z63" s="31">
        <f t="shared" si="24"/>
        <v>0</v>
      </c>
      <c r="AA63" s="21">
        <f t="shared" si="34"/>
        <v>0</v>
      </c>
      <c r="AB63" s="58" t="str">
        <f t="shared" si="35"/>
        <v/>
      </c>
      <c r="AC63" s="630">
        <f t="shared" si="12"/>
        <v>0</v>
      </c>
      <c r="AD63" s="627"/>
      <c r="AE63" s="21">
        <f t="shared" si="36"/>
        <v>0</v>
      </c>
      <c r="AF63" s="58" t="str">
        <f t="shared" si="37"/>
        <v/>
      </c>
      <c r="AG63" s="21">
        <f t="shared" si="38"/>
        <v>0</v>
      </c>
      <c r="AH63" s="58" t="str">
        <f t="shared" si="39"/>
        <v/>
      </c>
      <c r="AI63" s="21">
        <f t="shared" si="40"/>
        <v>0</v>
      </c>
      <c r="AJ63" s="58" t="str">
        <f t="shared" si="41"/>
        <v/>
      </c>
      <c r="AK63" s="31">
        <f t="shared" si="25"/>
        <v>0</v>
      </c>
      <c r="AL63" s="21">
        <f t="shared" si="26"/>
        <v>0</v>
      </c>
      <c r="AM63" s="62" t="str">
        <f t="shared" si="27"/>
        <v/>
      </c>
      <c r="AN63" s="21">
        <f t="shared" si="42"/>
        <v>0</v>
      </c>
      <c r="AO63" s="62" t="str">
        <f t="shared" si="43"/>
        <v/>
      </c>
      <c r="AP63" s="21">
        <f t="shared" si="13"/>
        <v>0</v>
      </c>
      <c r="AQ63" s="62" t="str">
        <f t="shared" si="44"/>
        <v/>
      </c>
      <c r="AR63" s="31">
        <f t="shared" si="28"/>
        <v>0</v>
      </c>
      <c r="AS63" s="21">
        <f t="shared" si="29"/>
        <v>0</v>
      </c>
      <c r="AT63" s="62" t="str">
        <f t="shared" si="45"/>
        <v/>
      </c>
      <c r="AU63" s="84">
        <f t="shared" si="46"/>
        <v>0</v>
      </c>
      <c r="AV63" s="32">
        <f t="shared" si="47"/>
        <v>0</v>
      </c>
      <c r="AW63" s="85" t="str">
        <f t="shared" si="48"/>
        <v/>
      </c>
      <c r="AX63" s="86" t="str">
        <f t="shared" si="54"/>
        <v/>
      </c>
    </row>
    <row r="64" spans="1:50" x14ac:dyDescent="0.2">
      <c r="A64" s="29">
        <v>300</v>
      </c>
      <c r="B64" s="32">
        <v>300</v>
      </c>
      <c r="C64" s="35">
        <v>4.3</v>
      </c>
      <c r="D64" s="33"/>
      <c r="E64" s="22" t="inlineStr">
        <is>
          <t>BP</t>
        </is>
      </c>
      <c r="F64" s="23" t="inlineStr">
        <is>
          <t>HA</t>
        </is>
      </c>
      <c r="G64" s="23"/>
      <c r="H64" s="22"/>
      <c r="I64" s="23"/>
      <c r="J64" s="18"/>
      <c r="K64" s="13" t="str">
        <f t="shared" si="58"/>
        <v/>
      </c>
      <c r="L64" s="28" t="str">
        <f t="shared" si="20"/>
        <v/>
      </c>
      <c r="M64" s="10" t="str">
        <f t="shared" si="59"/>
        <v/>
      </c>
      <c r="N64" s="17" t="str">
        <f t="shared" si="60"/>
        <v/>
      </c>
      <c r="O64" s="39" t="str">
        <f t="shared" si="61"/>
        <v/>
      </c>
      <c r="P64" s="41" t="str">
        <f t="shared" si="62"/>
        <v/>
      </c>
      <c r="Q64" s="9" t="str">
        <f t="shared" si="10"/>
        <v/>
      </c>
      <c r="R64" s="14">
        <f t="shared" si="21"/>
        <v>0</v>
      </c>
      <c r="S64" s="61" t="str">
        <f t="shared" si="11"/>
        <v/>
      </c>
      <c r="T64" s="14">
        <f t="shared" si="30"/>
        <v>0</v>
      </c>
      <c r="U64" s="58" t="str">
        <f t="shared" si="31"/>
        <v/>
      </c>
      <c r="V64" s="14">
        <f t="shared" si="22"/>
        <v>0</v>
      </c>
      <c r="W64" s="58" t="str">
        <f t="shared" si="32"/>
        <v/>
      </c>
      <c r="X64" s="14">
        <f t="shared" si="23"/>
        <v>0</v>
      </c>
      <c r="Y64" s="58" t="str">
        <f t="shared" si="33"/>
        <v/>
      </c>
      <c r="Z64" s="31">
        <f t="shared" si="24"/>
        <v>0</v>
      </c>
      <c r="AA64" s="21">
        <f t="shared" si="34"/>
        <v>0</v>
      </c>
      <c r="AB64" s="58" t="str">
        <f t="shared" si="35"/>
        <v/>
      </c>
      <c r="AC64" s="630">
        <f t="shared" si="12"/>
        <v>0</v>
      </c>
      <c r="AD64" s="627"/>
      <c r="AE64" s="21">
        <f t="shared" si="36"/>
        <v>0</v>
      </c>
      <c r="AF64" s="58" t="str">
        <f t="shared" si="37"/>
        <v/>
      </c>
      <c r="AG64" s="21">
        <f t="shared" si="38"/>
        <v>0</v>
      </c>
      <c r="AH64" s="58" t="str">
        <f t="shared" si="39"/>
        <v/>
      </c>
      <c r="AI64" s="21">
        <f t="shared" si="40"/>
        <v>0</v>
      </c>
      <c r="AJ64" s="58" t="str">
        <f t="shared" si="41"/>
        <v/>
      </c>
      <c r="AK64" s="31">
        <f t="shared" si="25"/>
        <v>0</v>
      </c>
      <c r="AL64" s="21">
        <f t="shared" si="26"/>
        <v>0</v>
      </c>
      <c r="AM64" s="62" t="str">
        <f t="shared" si="27"/>
        <v/>
      </c>
      <c r="AN64" s="21">
        <f t="shared" si="42"/>
        <v>0</v>
      </c>
      <c r="AO64" s="62" t="str">
        <f t="shared" si="43"/>
        <v/>
      </c>
      <c r="AP64" s="21">
        <f t="shared" si="13"/>
        <v>0</v>
      </c>
      <c r="AQ64" s="62" t="str">
        <f t="shared" si="44"/>
        <v/>
      </c>
      <c r="AR64" s="31">
        <f t="shared" si="28"/>
        <v>0</v>
      </c>
      <c r="AS64" s="21">
        <f t="shared" si="29"/>
        <v>0</v>
      </c>
      <c r="AT64" s="62" t="str">
        <f t="shared" si="45"/>
        <v/>
      </c>
      <c r="AU64" s="84">
        <f t="shared" si="46"/>
        <v>0</v>
      </c>
      <c r="AV64" s="32">
        <f t="shared" si="47"/>
        <v>0</v>
      </c>
      <c r="AW64" s="85" t="str">
        <f t="shared" si="48"/>
        <v/>
      </c>
      <c r="AX64" s="86" t="str">
        <f t="shared" si="54"/>
        <v/>
      </c>
    </row>
    <row r="65" spans="1:50" x14ac:dyDescent="0.2">
      <c r="A65" s="29">
        <v>1150</v>
      </c>
      <c r="B65" s="32">
        <v>220</v>
      </c>
      <c r="C65" s="35">
        <v>1.7</v>
      </c>
      <c r="D65" s="33"/>
      <c r="E65" s="22" t="inlineStr">
        <is>
          <t>BP</t>
        </is>
      </c>
      <c r="F65" s="23" t="inlineStr">
        <is>
          <t>RE</t>
        </is>
      </c>
      <c r="G65" s="23"/>
      <c r="H65" s="22"/>
      <c r="I65" s="23"/>
      <c r="J65" s="18"/>
      <c r="K65" s="13" t="str">
        <f t="shared" si="58"/>
        <v/>
      </c>
      <c r="L65" s="28" t="str">
        <f t="shared" si="20"/>
        <v/>
      </c>
      <c r="M65" s="10" t="str">
        <f t="shared" si="59"/>
        <v/>
      </c>
      <c r="N65" s="17" t="str">
        <f t="shared" si="60"/>
        <v/>
      </c>
      <c r="O65" s="39" t="str">
        <f t="shared" si="61"/>
        <v/>
      </c>
      <c r="P65" s="41" t="str">
        <f t="shared" si="62"/>
        <v/>
      </c>
      <c r="Q65" s="9" t="str">
        <f t="shared" si="10"/>
        <v/>
      </c>
      <c r="R65" s="14">
        <f t="shared" si="21"/>
        <v>0</v>
      </c>
      <c r="S65" s="61" t="str">
        <f t="shared" si="11"/>
        <v/>
      </c>
      <c r="T65" s="14">
        <f t="shared" si="30"/>
        <v>0</v>
      </c>
      <c r="U65" s="58" t="str">
        <f t="shared" si="31"/>
        <v/>
      </c>
      <c r="V65" s="14">
        <f t="shared" si="22"/>
        <v>0</v>
      </c>
      <c r="W65" s="58" t="str">
        <f t="shared" si="32"/>
        <v/>
      </c>
      <c r="X65" s="14">
        <f t="shared" si="23"/>
        <v>0</v>
      </c>
      <c r="Y65" s="58" t="str">
        <f t="shared" si="33"/>
        <v/>
      </c>
      <c r="Z65" s="31">
        <f t="shared" si="24"/>
        <v>0</v>
      </c>
      <c r="AA65" s="21">
        <f t="shared" si="34"/>
        <v>0</v>
      </c>
      <c r="AB65" s="58" t="str">
        <f t="shared" si="35"/>
        <v/>
      </c>
      <c r="AC65" s="630">
        <f t="shared" si="12"/>
        <v>0</v>
      </c>
      <c r="AD65" s="627"/>
      <c r="AE65" s="21">
        <f t="shared" si="36"/>
        <v>0</v>
      </c>
      <c r="AF65" s="58" t="str">
        <f t="shared" si="37"/>
        <v/>
      </c>
      <c r="AG65" s="21">
        <f t="shared" si="38"/>
        <v>0</v>
      </c>
      <c r="AH65" s="58" t="str">
        <f t="shared" si="39"/>
        <v/>
      </c>
      <c r="AI65" s="21">
        <f t="shared" si="40"/>
        <v>0</v>
      </c>
      <c r="AJ65" s="58" t="str">
        <f t="shared" si="41"/>
        <v/>
      </c>
      <c r="AK65" s="31">
        <f t="shared" si="25"/>
        <v>0</v>
      </c>
      <c r="AL65" s="21">
        <f t="shared" si="26"/>
        <v>0</v>
      </c>
      <c r="AM65" s="62" t="str">
        <f t="shared" si="27"/>
        <v/>
      </c>
      <c r="AN65" s="21">
        <f t="shared" si="42"/>
        <v>0</v>
      </c>
      <c r="AO65" s="62" t="str">
        <f t="shared" si="43"/>
        <v/>
      </c>
      <c r="AP65" s="21">
        <f t="shared" si="13"/>
        <v>0</v>
      </c>
      <c r="AQ65" s="62" t="str">
        <f t="shared" si="44"/>
        <v/>
      </c>
      <c r="AR65" s="31">
        <f t="shared" si="28"/>
        <v>0</v>
      </c>
      <c r="AS65" s="21">
        <f t="shared" si="29"/>
        <v>0</v>
      </c>
      <c r="AT65" s="62" t="str">
        <f t="shared" si="45"/>
        <v/>
      </c>
      <c r="AU65" s="84">
        <f t="shared" si="46"/>
        <v>0</v>
      </c>
      <c r="AV65" s="32">
        <f t="shared" si="47"/>
        <v>0</v>
      </c>
      <c r="AW65" s="85" t="str">
        <f t="shared" si="48"/>
        <v/>
      </c>
      <c r="AX65" s="86" t="str">
        <f t="shared" si="54"/>
        <v/>
      </c>
    </row>
    <row r="66" spans="1:50" x14ac:dyDescent="0.2">
      <c r="A66" s="29">
        <v>250</v>
      </c>
      <c r="B66" s="32">
        <v>150</v>
      </c>
      <c r="C66" s="35">
        <v>6.8</v>
      </c>
      <c r="D66" s="33"/>
      <c r="E66" s="22" t="inlineStr">
        <is>
          <t>BP</t>
        </is>
      </c>
      <c r="F66" s="23" t="inlineStr">
        <is>
          <t>HA</t>
        </is>
      </c>
      <c r="G66" s="23"/>
      <c r="H66" s="22"/>
      <c r="I66" s="23"/>
      <c r="J66" s="18"/>
      <c r="K66" s="13" t="str">
        <f t="shared" si="58"/>
        <v/>
      </c>
      <c r="L66" s="28" t="str">
        <f t="shared" si="20"/>
        <v/>
      </c>
      <c r="M66" s="10" t="str">
        <f t="shared" si="59"/>
        <v/>
      </c>
      <c r="N66" s="17" t="str">
        <f t="shared" si="60"/>
        <v/>
      </c>
      <c r="O66" s="39" t="str">
        <f t="shared" si="61"/>
        <v/>
      </c>
      <c r="P66" s="41" t="str">
        <f t="shared" si="62"/>
        <v/>
      </c>
      <c r="Q66" s="9" t="str">
        <f t="shared" si="10"/>
        <v/>
      </c>
      <c r="R66" s="14">
        <f t="shared" si="21"/>
        <v>0</v>
      </c>
      <c r="S66" s="61" t="str">
        <f t="shared" si="11"/>
        <v/>
      </c>
      <c r="T66" s="14">
        <f t="shared" si="30"/>
        <v>0</v>
      </c>
      <c r="U66" s="58" t="str">
        <f t="shared" si="31"/>
        <v/>
      </c>
      <c r="V66" s="14">
        <f t="shared" si="22"/>
        <v>0</v>
      </c>
      <c r="W66" s="58" t="str">
        <f t="shared" si="32"/>
        <v/>
      </c>
      <c r="X66" s="14">
        <f t="shared" si="23"/>
        <v>0</v>
      </c>
      <c r="Y66" s="58" t="str">
        <f t="shared" si="33"/>
        <v/>
      </c>
      <c r="Z66" s="31">
        <f t="shared" si="24"/>
        <v>0</v>
      </c>
      <c r="AA66" s="21">
        <f t="shared" si="34"/>
        <v>0</v>
      </c>
      <c r="AB66" s="58" t="str">
        <f t="shared" si="35"/>
        <v/>
      </c>
      <c r="AC66" s="630">
        <f t="shared" si="12"/>
        <v>0</v>
      </c>
      <c r="AD66" s="627"/>
      <c r="AE66" s="21">
        <f t="shared" si="36"/>
        <v>0</v>
      </c>
      <c r="AF66" s="58" t="str">
        <f t="shared" si="37"/>
        <v/>
      </c>
      <c r="AG66" s="21">
        <f t="shared" si="38"/>
        <v>0</v>
      </c>
      <c r="AH66" s="58" t="str">
        <f t="shared" si="39"/>
        <v/>
      </c>
      <c r="AI66" s="21">
        <f t="shared" si="40"/>
        <v>0</v>
      </c>
      <c r="AJ66" s="58" t="str">
        <f t="shared" si="41"/>
        <v/>
      </c>
      <c r="AK66" s="31">
        <f t="shared" si="25"/>
        <v>0</v>
      </c>
      <c r="AL66" s="21">
        <f t="shared" si="26"/>
        <v>0</v>
      </c>
      <c r="AM66" s="62" t="str">
        <f t="shared" si="27"/>
        <v/>
      </c>
      <c r="AN66" s="21">
        <f t="shared" si="42"/>
        <v>0</v>
      </c>
      <c r="AO66" s="62" t="str">
        <f t="shared" si="43"/>
        <v/>
      </c>
      <c r="AP66" s="21">
        <f t="shared" si="13"/>
        <v>0</v>
      </c>
      <c r="AQ66" s="62" t="str">
        <f t="shared" si="44"/>
        <v/>
      </c>
      <c r="AR66" s="31">
        <f t="shared" si="28"/>
        <v>0</v>
      </c>
      <c r="AS66" s="21">
        <f t="shared" si="29"/>
        <v>0</v>
      </c>
      <c r="AT66" s="62" t="str">
        <f t="shared" si="45"/>
        <v/>
      </c>
      <c r="AU66" s="84">
        <f t="shared" si="46"/>
        <v>0</v>
      </c>
      <c r="AV66" s="32">
        <f t="shared" si="47"/>
        <v>0</v>
      </c>
      <c r="AW66" s="85" t="str">
        <f t="shared" si="48"/>
        <v/>
      </c>
      <c r="AX66" s="86" t="str">
        <f t="shared" si="54"/>
        <v/>
      </c>
    </row>
    <row r="67" spans="1:50" x14ac:dyDescent="0.2">
      <c r="A67" s="29">
        <v>250</v>
      </c>
      <c r="B67" s="32">
        <v>250</v>
      </c>
      <c r="C67" s="35">
        <v>1.4</v>
      </c>
      <c r="D67" s="33"/>
      <c r="E67" s="22" t="inlineStr">
        <is>
          <t>BP</t>
        </is>
      </c>
      <c r="F67" s="23" t="inlineStr">
        <is>
          <t>HA</t>
        </is>
      </c>
      <c r="G67" s="23"/>
      <c r="H67" s="22"/>
      <c r="I67" s="23"/>
      <c r="J67" s="18"/>
      <c r="K67" s="13" t="str">
        <f t="shared" si="58"/>
        <v/>
      </c>
      <c r="L67" s="28" t="str">
        <f t="shared" si="20"/>
        <v/>
      </c>
      <c r="M67" s="10" t="str">
        <f t="shared" si="59"/>
        <v/>
      </c>
      <c r="N67" s="17" t="str">
        <f t="shared" si="60"/>
        <v/>
      </c>
      <c r="O67" s="39" t="str">
        <f t="shared" si="61"/>
        <v/>
      </c>
      <c r="P67" s="41" t="str">
        <f t="shared" si="62"/>
        <v/>
      </c>
      <c r="Q67" s="9" t="str">
        <f t="shared" si="10"/>
        <v/>
      </c>
      <c r="R67" s="14">
        <f t="shared" si="21"/>
        <v>0</v>
      </c>
      <c r="S67" s="61" t="str">
        <f t="shared" si="11"/>
        <v/>
      </c>
      <c r="T67" s="14">
        <f t="shared" si="30"/>
        <v>0</v>
      </c>
      <c r="U67" s="58" t="str">
        <f t="shared" si="31"/>
        <v/>
      </c>
      <c r="V67" s="14">
        <f t="shared" si="22"/>
        <v>0</v>
      </c>
      <c r="W67" s="58" t="str">
        <f t="shared" si="32"/>
        <v/>
      </c>
      <c r="X67" s="14">
        <f t="shared" si="23"/>
        <v>0</v>
      </c>
      <c r="Y67" s="58" t="str">
        <f t="shared" si="33"/>
        <v/>
      </c>
      <c r="Z67" s="31">
        <f t="shared" si="24"/>
        <v>0</v>
      </c>
      <c r="AA67" s="21">
        <f t="shared" si="34"/>
        <v>0</v>
      </c>
      <c r="AB67" s="58" t="str">
        <f t="shared" si="35"/>
        <v/>
      </c>
      <c r="AC67" s="630">
        <f t="shared" si="12"/>
        <v>0</v>
      </c>
      <c r="AD67" s="627"/>
      <c r="AE67" s="21">
        <f t="shared" si="36"/>
        <v>0</v>
      </c>
      <c r="AF67" s="58" t="str">
        <f t="shared" si="37"/>
        <v/>
      </c>
      <c r="AG67" s="21">
        <f t="shared" si="38"/>
        <v>0</v>
      </c>
      <c r="AH67" s="58" t="str">
        <f t="shared" si="39"/>
        <v/>
      </c>
      <c r="AI67" s="21">
        <f t="shared" si="40"/>
        <v>0</v>
      </c>
      <c r="AJ67" s="58" t="str">
        <f t="shared" si="41"/>
        <v/>
      </c>
      <c r="AK67" s="31">
        <f t="shared" si="25"/>
        <v>0</v>
      </c>
      <c r="AL67" s="21">
        <f t="shared" si="26"/>
        <v>0</v>
      </c>
      <c r="AM67" s="62" t="str">
        <f t="shared" si="27"/>
        <v/>
      </c>
      <c r="AN67" s="21">
        <f t="shared" si="42"/>
        <v>0</v>
      </c>
      <c r="AO67" s="62" t="str">
        <f t="shared" si="43"/>
        <v/>
      </c>
      <c r="AP67" s="21">
        <f t="shared" si="13"/>
        <v>0</v>
      </c>
      <c r="AQ67" s="62" t="str">
        <f t="shared" si="44"/>
        <v/>
      </c>
      <c r="AR67" s="31">
        <f t="shared" si="28"/>
        <v>0</v>
      </c>
      <c r="AS67" s="21">
        <f t="shared" si="29"/>
        <v>0</v>
      </c>
      <c r="AT67" s="62" t="str">
        <f t="shared" si="45"/>
        <v/>
      </c>
      <c r="AU67" s="84">
        <f t="shared" si="46"/>
        <v>0</v>
      </c>
      <c r="AV67" s="32">
        <f t="shared" si="47"/>
        <v>0</v>
      </c>
      <c r="AW67" s="85" t="str">
        <f t="shared" si="48"/>
        <v/>
      </c>
      <c r="AX67" s="86" t="str">
        <f t="shared" si="54"/>
        <v/>
      </c>
    </row>
    <row r="68" spans="1:50" x14ac:dyDescent="0.2">
      <c r="A68" s="29">
        <v>350</v>
      </c>
      <c r="B68" s="32">
        <v>300</v>
      </c>
      <c r="C68" s="35">
        <v>2.4</v>
      </c>
      <c r="D68" s="33"/>
      <c r="E68" s="22" t="inlineStr">
        <is>
          <t>BP</t>
        </is>
      </c>
      <c r="F68" s="23" t="inlineStr">
        <is>
          <t>HA</t>
        </is>
      </c>
      <c r="G68" s="23"/>
      <c r="H68" s="22"/>
      <c r="I68" s="23"/>
      <c r="J68" s="18"/>
      <c r="K68" s="13" t="str">
        <f t="shared" si="58"/>
        <v/>
      </c>
      <c r="L68" s="28" t="str">
        <f t="shared" si="20"/>
        <v/>
      </c>
      <c r="M68" s="10" t="str">
        <f t="shared" si="59"/>
        <v/>
      </c>
      <c r="N68" s="17" t="str">
        <f t="shared" si="60"/>
        <v/>
      </c>
      <c r="O68" s="39" t="str">
        <f t="shared" si="61"/>
        <v/>
      </c>
      <c r="P68" s="41" t="str">
        <f t="shared" si="62"/>
        <v/>
      </c>
      <c r="Q68" s="9" t="str">
        <f t="shared" si="10"/>
        <v/>
      </c>
      <c r="R68" s="14">
        <f t="shared" si="21"/>
        <v>0</v>
      </c>
      <c r="S68" s="61" t="str">
        <f t="shared" si="11"/>
        <v/>
      </c>
      <c r="T68" s="14">
        <f t="shared" si="30"/>
        <v>0</v>
      </c>
      <c r="U68" s="58" t="str">
        <f t="shared" si="31"/>
        <v/>
      </c>
      <c r="V68" s="14">
        <f t="shared" si="22"/>
        <v>0</v>
      </c>
      <c r="W68" s="58" t="str">
        <f t="shared" si="32"/>
        <v/>
      </c>
      <c r="X68" s="14">
        <f t="shared" si="23"/>
        <v>0</v>
      </c>
      <c r="Y68" s="58" t="str">
        <f t="shared" si="33"/>
        <v/>
      </c>
      <c r="Z68" s="31">
        <f t="shared" si="24"/>
        <v>0</v>
      </c>
      <c r="AA68" s="21">
        <f t="shared" si="34"/>
        <v>0</v>
      </c>
      <c r="AB68" s="58" t="str">
        <f t="shared" si="35"/>
        <v/>
      </c>
      <c r="AC68" s="630">
        <f t="shared" si="12"/>
        <v>0</v>
      </c>
      <c r="AD68" s="627"/>
      <c r="AE68" s="21">
        <f t="shared" si="36"/>
        <v>0</v>
      </c>
      <c r="AF68" s="58" t="str">
        <f t="shared" si="37"/>
        <v/>
      </c>
      <c r="AG68" s="21">
        <f t="shared" si="38"/>
        <v>0</v>
      </c>
      <c r="AH68" s="58" t="str">
        <f t="shared" si="39"/>
        <v/>
      </c>
      <c r="AI68" s="21">
        <f t="shared" si="40"/>
        <v>0</v>
      </c>
      <c r="AJ68" s="58" t="str">
        <f t="shared" si="41"/>
        <v/>
      </c>
      <c r="AK68" s="31">
        <f t="shared" si="25"/>
        <v>0</v>
      </c>
      <c r="AL68" s="21">
        <f t="shared" si="26"/>
        <v>0</v>
      </c>
      <c r="AM68" s="62" t="str">
        <f t="shared" si="27"/>
        <v/>
      </c>
      <c r="AN68" s="21">
        <f t="shared" si="42"/>
        <v>0</v>
      </c>
      <c r="AO68" s="62" t="str">
        <f t="shared" si="43"/>
        <v/>
      </c>
      <c r="AP68" s="21">
        <f t="shared" si="13"/>
        <v>0</v>
      </c>
      <c r="AQ68" s="62" t="str">
        <f t="shared" si="44"/>
        <v/>
      </c>
      <c r="AR68" s="31">
        <f t="shared" si="28"/>
        <v>0</v>
      </c>
      <c r="AS68" s="21">
        <f t="shared" si="29"/>
        <v>0</v>
      </c>
      <c r="AT68" s="62" t="str">
        <f t="shared" si="45"/>
        <v/>
      </c>
      <c r="AU68" s="84">
        <f t="shared" si="46"/>
        <v>0</v>
      </c>
      <c r="AV68" s="32">
        <f t="shared" si="47"/>
        <v>0</v>
      </c>
      <c r="AW68" s="85" t="str">
        <f t="shared" si="48"/>
        <v/>
      </c>
      <c r="AX68" s="86" t="str">
        <f t="shared" si="54"/>
        <v/>
      </c>
    </row>
    <row r="69" spans="1:50" x14ac:dyDescent="0.2">
      <c r="A69" s="29">
        <v>400</v>
      </c>
      <c r="B69" s="32">
        <v>250</v>
      </c>
      <c r="C69" s="35">
        <v>2.3</v>
      </c>
      <c r="D69" s="33"/>
      <c r="E69" s="22" t="inlineStr">
        <is>
          <t>BP</t>
        </is>
      </c>
      <c r="F69" s="23" t="inlineStr">
        <is>
          <t>HA</t>
        </is>
      </c>
      <c r="G69" s="23"/>
      <c r="H69" s="22"/>
      <c r="I69" s="23"/>
      <c r="J69" s="18"/>
      <c r="K69" s="13" t="str">
        <f t="shared" si="58"/>
        <v/>
      </c>
      <c r="L69" s="28" t="str">
        <f t="shared" si="20"/>
        <v/>
      </c>
      <c r="M69" s="10" t="str">
        <f t="shared" si="59"/>
        <v/>
      </c>
      <c r="N69" s="17" t="str">
        <f t="shared" si="60"/>
        <v/>
      </c>
      <c r="O69" s="39" t="str">
        <f t="shared" si="61"/>
        <v/>
      </c>
      <c r="P69" s="41" t="str">
        <f t="shared" si="62"/>
        <v/>
      </c>
      <c r="Q69" s="9" t="str">
        <f t="shared" si="10"/>
        <v/>
      </c>
      <c r="R69" s="14">
        <f t="shared" si="21"/>
        <v>0</v>
      </c>
      <c r="S69" s="61" t="str">
        <f t="shared" si="11"/>
        <v/>
      </c>
      <c r="T69" s="14">
        <f t="shared" si="30"/>
        <v>0</v>
      </c>
      <c r="U69" s="58" t="str">
        <f t="shared" si="31"/>
        <v/>
      </c>
      <c r="V69" s="14">
        <f t="shared" si="22"/>
        <v>0</v>
      </c>
      <c r="W69" s="58" t="str">
        <f t="shared" si="32"/>
        <v/>
      </c>
      <c r="X69" s="14">
        <f t="shared" si="23"/>
        <v>0</v>
      </c>
      <c r="Y69" s="58" t="str">
        <f t="shared" si="33"/>
        <v/>
      </c>
      <c r="Z69" s="31">
        <f t="shared" si="24"/>
        <v>0</v>
      </c>
      <c r="AA69" s="21">
        <f t="shared" si="34"/>
        <v>0</v>
      </c>
      <c r="AB69" s="58" t="str">
        <f t="shared" si="35"/>
        <v/>
      </c>
      <c r="AC69" s="630">
        <f t="shared" si="12"/>
        <v>0</v>
      </c>
      <c r="AD69" s="627"/>
      <c r="AE69" s="21">
        <f t="shared" si="36"/>
        <v>0</v>
      </c>
      <c r="AF69" s="58" t="str">
        <f t="shared" si="37"/>
        <v/>
      </c>
      <c r="AG69" s="21">
        <f t="shared" si="38"/>
        <v>0</v>
      </c>
      <c r="AH69" s="58" t="str">
        <f t="shared" si="39"/>
        <v/>
      </c>
      <c r="AI69" s="21">
        <f t="shared" si="40"/>
        <v>0</v>
      </c>
      <c r="AJ69" s="58" t="str">
        <f t="shared" si="41"/>
        <v/>
      </c>
      <c r="AK69" s="31">
        <f t="shared" si="25"/>
        <v>0</v>
      </c>
      <c r="AL69" s="21">
        <f t="shared" si="26"/>
        <v>0</v>
      </c>
      <c r="AM69" s="62" t="str">
        <f t="shared" si="27"/>
        <v/>
      </c>
      <c r="AN69" s="21">
        <f t="shared" si="42"/>
        <v>0</v>
      </c>
      <c r="AO69" s="62" t="str">
        <f t="shared" si="43"/>
        <v/>
      </c>
      <c r="AP69" s="21">
        <f t="shared" si="13"/>
        <v>0</v>
      </c>
      <c r="AQ69" s="62" t="str">
        <f t="shared" si="44"/>
        <v/>
      </c>
      <c r="AR69" s="31">
        <f t="shared" si="28"/>
        <v>0</v>
      </c>
      <c r="AS69" s="21">
        <f t="shared" si="29"/>
        <v>0</v>
      </c>
      <c r="AT69" s="62" t="str">
        <f t="shared" si="45"/>
        <v/>
      </c>
      <c r="AU69" s="84">
        <f t="shared" si="46"/>
        <v>0</v>
      </c>
      <c r="AV69" s="32">
        <f t="shared" si="47"/>
        <v>0</v>
      </c>
      <c r="AW69" s="85" t="str">
        <f t="shared" si="48"/>
        <v/>
      </c>
      <c r="AX69" s="86" t="str">
        <f t="shared" si="54"/>
        <v/>
      </c>
    </row>
    <row r="70" spans="1:50" x14ac:dyDescent="0.2">
      <c r="A70" s="29">
        <v>550</v>
      </c>
      <c r="B70" s="32">
        <v>400</v>
      </c>
      <c r="C70" s="35">
        <v>0.6</v>
      </c>
      <c r="D70" s="33"/>
      <c r="E70" s="22" t="inlineStr">
        <is>
          <t>BP</t>
        </is>
      </c>
      <c r="F70" s="23" t="inlineStr">
        <is>
          <t>HA</t>
        </is>
      </c>
      <c r="G70" s="23"/>
      <c r="H70" s="22"/>
      <c r="I70" s="23"/>
      <c r="J70" s="18"/>
      <c r="K70" s="13" t="str">
        <f t="shared" si="58"/>
        <v/>
      </c>
      <c r="L70" s="28" t="str">
        <f t="shared" si="20"/>
        <v/>
      </c>
      <c r="M70" s="10" t="str">
        <f t="shared" si="59"/>
        <v/>
      </c>
      <c r="N70" s="17" t="str">
        <f t="shared" si="60"/>
        <v/>
      </c>
      <c r="O70" s="39" t="str">
        <f t="shared" si="61"/>
        <v/>
      </c>
      <c r="P70" s="41" t="str">
        <f t="shared" si="62"/>
        <v/>
      </c>
      <c r="Q70" s="9" t="str">
        <f t="shared" si="10"/>
        <v/>
      </c>
      <c r="R70" s="14">
        <f t="shared" si="21"/>
        <v>0</v>
      </c>
      <c r="S70" s="61" t="str">
        <f t="shared" si="11"/>
        <v/>
      </c>
      <c r="T70" s="14">
        <f t="shared" si="30"/>
        <v>0</v>
      </c>
      <c r="U70" s="58" t="str">
        <f t="shared" si="31"/>
        <v/>
      </c>
      <c r="V70" s="14">
        <f t="shared" si="22"/>
        <v>0</v>
      </c>
      <c r="W70" s="58" t="str">
        <f t="shared" si="32"/>
        <v/>
      </c>
      <c r="X70" s="14">
        <f t="shared" si="23"/>
        <v>0</v>
      </c>
      <c r="Y70" s="58" t="str">
        <f t="shared" si="33"/>
        <v/>
      </c>
      <c r="Z70" s="31">
        <f t="shared" si="24"/>
        <v>0</v>
      </c>
      <c r="AA70" s="21">
        <f t="shared" si="34"/>
        <v>0</v>
      </c>
      <c r="AB70" s="58" t="str">
        <f t="shared" si="35"/>
        <v/>
      </c>
      <c r="AC70" s="630">
        <f t="shared" si="12"/>
        <v>0</v>
      </c>
      <c r="AD70" s="627"/>
      <c r="AE70" s="21">
        <f t="shared" si="36"/>
        <v>0</v>
      </c>
      <c r="AF70" s="58" t="str">
        <f t="shared" si="37"/>
        <v/>
      </c>
      <c r="AG70" s="21">
        <f t="shared" si="38"/>
        <v>0</v>
      </c>
      <c r="AH70" s="58" t="str">
        <f t="shared" si="39"/>
        <v/>
      </c>
      <c r="AI70" s="21">
        <f t="shared" si="40"/>
        <v>0</v>
      </c>
      <c r="AJ70" s="58" t="str">
        <f t="shared" si="41"/>
        <v/>
      </c>
      <c r="AK70" s="31">
        <f t="shared" si="25"/>
        <v>0</v>
      </c>
      <c r="AL70" s="21">
        <f t="shared" si="26"/>
        <v>0</v>
      </c>
      <c r="AM70" s="62" t="str">
        <f t="shared" si="27"/>
        <v/>
      </c>
      <c r="AN70" s="21">
        <f t="shared" si="42"/>
        <v>0</v>
      </c>
      <c r="AO70" s="62" t="str">
        <f t="shared" si="43"/>
        <v/>
      </c>
      <c r="AP70" s="21">
        <f t="shared" si="13"/>
        <v>0</v>
      </c>
      <c r="AQ70" s="62" t="str">
        <f t="shared" si="44"/>
        <v/>
      </c>
      <c r="AR70" s="31">
        <f t="shared" si="28"/>
        <v>0</v>
      </c>
      <c r="AS70" s="21">
        <f t="shared" si="29"/>
        <v>0</v>
      </c>
      <c r="AT70" s="62" t="str">
        <f t="shared" si="45"/>
        <v/>
      </c>
      <c r="AU70" s="84">
        <f t="shared" si="46"/>
        <v>0</v>
      </c>
      <c r="AV70" s="32">
        <f t="shared" si="47"/>
        <v>0</v>
      </c>
      <c r="AW70" s="85" t="str">
        <f t="shared" si="48"/>
        <v/>
      </c>
      <c r="AX70" s="86" t="str">
        <f t="shared" si="54"/>
        <v/>
      </c>
    </row>
    <row r="71" spans="1:50" x14ac:dyDescent="0.2">
      <c r="A71" s="29" t="str">
        <f>IF(A70="","",IF(C71="","",A70))</f>
        <v/>
      </c>
      <c r="B71" s="32" t="str">
        <f>IF(B70="","",IF(C71="","",B70))</f>
        <v/>
      </c>
      <c r="C71" s="35"/>
      <c r="D71" s="33" t="str">
        <f>IF(A71="","",IF(D70="","",D70))</f>
        <v/>
      </c>
      <c r="E71" s="22" t="str">
        <f>IF(A71="","",IF(E70="","",E70))</f>
        <v/>
      </c>
      <c r="F71" s="23" t="str">
        <f>IF(A71="","",IF(F70="","",F70))</f>
        <v/>
      </c>
      <c r="G71" s="23"/>
      <c r="H71" s="22"/>
      <c r="I71" s="23"/>
      <c r="J71" s="18"/>
      <c r="K71" s="13" t="str">
        <f t="shared" si="58"/>
        <v/>
      </c>
      <c r="L71" s="28" t="str">
        <f t="shared" si="20"/>
        <v/>
      </c>
      <c r="M71" s="10" t="str">
        <f t="shared" si="59"/>
        <v/>
      </c>
      <c r="N71" s="17" t="str">
        <f t="shared" si="60"/>
        <v/>
      </c>
      <c r="O71" s="39" t="str">
        <f t="shared" si="61"/>
        <v/>
      </c>
      <c r="P71" s="41" t="str">
        <f t="shared" si="62"/>
        <v/>
      </c>
      <c r="Q71" s="9" t="str">
        <f t="shared" si="10"/>
        <v/>
      </c>
      <c r="R71" s="14">
        <f t="shared" si="21"/>
        <v>0</v>
      </c>
      <c r="S71" s="61" t="str">
        <f t="shared" si="11"/>
        <v/>
      </c>
      <c r="T71" s="14">
        <f t="shared" si="30"/>
        <v>0</v>
      </c>
      <c r="U71" s="58" t="str">
        <f t="shared" si="31"/>
        <v/>
      </c>
      <c r="V71" s="14">
        <f t="shared" si="22"/>
        <v>0</v>
      </c>
      <c r="W71" s="58" t="str">
        <f t="shared" si="32"/>
        <v/>
      </c>
      <c r="X71" s="14">
        <f t="shared" si="23"/>
        <v>0</v>
      </c>
      <c r="Y71" s="58" t="str">
        <f t="shared" si="33"/>
        <v/>
      </c>
      <c r="Z71" s="31">
        <f t="shared" si="24"/>
        <v>0</v>
      </c>
      <c r="AA71" s="21">
        <f t="shared" si="34"/>
        <v>0</v>
      </c>
      <c r="AB71" s="58" t="str">
        <f t="shared" si="35"/>
        <v/>
      </c>
      <c r="AC71" s="630">
        <f t="shared" si="12"/>
        <v>0</v>
      </c>
      <c r="AD71" s="627"/>
      <c r="AE71" s="21">
        <f t="shared" si="36"/>
        <v>0</v>
      </c>
      <c r="AF71" s="58" t="str">
        <f t="shared" si="37"/>
        <v/>
      </c>
      <c r="AG71" s="21">
        <f t="shared" si="38"/>
        <v>0</v>
      </c>
      <c r="AH71" s="58" t="str">
        <f t="shared" si="39"/>
        <v/>
      </c>
      <c r="AI71" s="21">
        <f t="shared" si="40"/>
        <v>0</v>
      </c>
      <c r="AJ71" s="58" t="str">
        <f t="shared" si="41"/>
        <v/>
      </c>
      <c r="AK71" s="31">
        <f t="shared" si="25"/>
        <v>0</v>
      </c>
      <c r="AL71" s="21">
        <f t="shared" si="26"/>
        <v>0</v>
      </c>
      <c r="AM71" s="62" t="str">
        <f t="shared" si="27"/>
        <v/>
      </c>
      <c r="AN71" s="21">
        <f t="shared" si="42"/>
        <v>0</v>
      </c>
      <c r="AO71" s="62" t="str">
        <f t="shared" si="43"/>
        <v/>
      </c>
      <c r="AP71" s="21">
        <f t="shared" si="13"/>
        <v>0</v>
      </c>
      <c r="AQ71" s="62" t="str">
        <f t="shared" si="44"/>
        <v/>
      </c>
      <c r="AR71" s="31">
        <f t="shared" si="28"/>
        <v>0</v>
      </c>
      <c r="AS71" s="21">
        <f t="shared" si="29"/>
        <v>0</v>
      </c>
      <c r="AT71" s="62" t="str">
        <f t="shared" si="45"/>
        <v/>
      </c>
      <c r="AU71" s="84">
        <f t="shared" si="46"/>
        <v>0</v>
      </c>
      <c r="AV71" s="32">
        <f t="shared" si="47"/>
        <v>0</v>
      </c>
      <c r="AW71" s="85" t="str">
        <f t="shared" si="48"/>
        <v/>
      </c>
      <c r="AX71" s="86" t="str">
        <f t="shared" si="54"/>
        <v/>
      </c>
    </row>
    <row r="72" spans="1:50" x14ac:dyDescent="0.2">
      <c r="A72" s="29" t="str">
        <f>IF(A71="","",IF(C72="","",A71))</f>
        <v/>
      </c>
      <c r="B72" s="32" t="str">
        <f>IF(B71="","",IF(C72="","",B71))</f>
        <v/>
      </c>
      <c r="C72" s="35"/>
      <c r="D72" s="33" t="str">
        <f>IF(A72="","",IF(D71="","",D71))</f>
        <v/>
      </c>
      <c r="E72" s="22" t="str">
        <f>IF(A72="","",IF(E71="","",E71))</f>
        <v/>
      </c>
      <c r="F72" s="23" t="str">
        <f>IF(A72="","",IF(F71="","",F71))</f>
        <v/>
      </c>
      <c r="G72" s="23"/>
      <c r="H72" s="22"/>
      <c r="I72" s="23"/>
      <c r="J72" s="18"/>
      <c r="K72" s="13" t="str">
        <f t="shared" si="58"/>
        <v/>
      </c>
      <c r="L72" s="28" t="str">
        <f t="shared" si="20"/>
        <v/>
      </c>
      <c r="M72" s="10" t="str">
        <f t="shared" si="59"/>
        <v/>
      </c>
      <c r="N72" s="17" t="str">
        <f t="shared" si="60"/>
        <v/>
      </c>
      <c r="O72" s="39" t="str">
        <f t="shared" si="61"/>
        <v/>
      </c>
      <c r="P72" s="41" t="str">
        <f t="shared" si="62"/>
        <v/>
      </c>
      <c r="Q72" s="9" t="str">
        <f t="shared" si="10"/>
        <v/>
      </c>
      <c r="R72" s="14">
        <f t="shared" si="21"/>
        <v>0</v>
      </c>
      <c r="S72" s="61" t="str">
        <f t="shared" si="11"/>
        <v/>
      </c>
      <c r="T72" s="14">
        <f t="shared" si="30"/>
        <v>0</v>
      </c>
      <c r="U72" s="58" t="str">
        <f t="shared" si="31"/>
        <v/>
      </c>
      <c r="V72" s="14">
        <f t="shared" si="22"/>
        <v>0</v>
      </c>
      <c r="W72" s="58" t="str">
        <f t="shared" si="32"/>
        <v/>
      </c>
      <c r="X72" s="14">
        <f t="shared" si="23"/>
        <v>0</v>
      </c>
      <c r="Y72" s="58" t="str">
        <f t="shared" si="33"/>
        <v/>
      </c>
      <c r="Z72" s="31">
        <f t="shared" si="24"/>
        <v>0</v>
      </c>
      <c r="AA72" s="21">
        <f t="shared" si="34"/>
        <v>0</v>
      </c>
      <c r="AB72" s="58" t="str">
        <f t="shared" si="35"/>
        <v/>
      </c>
      <c r="AC72" s="630">
        <f t="shared" si="12"/>
        <v>0</v>
      </c>
      <c r="AD72" s="627"/>
      <c r="AE72" s="21">
        <f t="shared" si="36"/>
        <v>0</v>
      </c>
      <c r="AF72" s="58" t="str">
        <f t="shared" si="37"/>
        <v/>
      </c>
      <c r="AG72" s="21">
        <f t="shared" si="38"/>
        <v>0</v>
      </c>
      <c r="AH72" s="58" t="str">
        <f t="shared" si="39"/>
        <v/>
      </c>
      <c r="AI72" s="21">
        <f t="shared" si="40"/>
        <v>0</v>
      </c>
      <c r="AJ72" s="58" t="str">
        <f t="shared" si="41"/>
        <v/>
      </c>
      <c r="AK72" s="31">
        <f t="shared" si="25"/>
        <v>0</v>
      </c>
      <c r="AL72" s="21">
        <f t="shared" si="26"/>
        <v>0</v>
      </c>
      <c r="AM72" s="62" t="str">
        <f t="shared" si="27"/>
        <v/>
      </c>
      <c r="AN72" s="21">
        <f t="shared" si="42"/>
        <v>0</v>
      </c>
      <c r="AO72" s="62" t="str">
        <f t="shared" si="43"/>
        <v/>
      </c>
      <c r="AP72" s="21">
        <f t="shared" si="13"/>
        <v>0</v>
      </c>
      <c r="AQ72" s="62" t="str">
        <f t="shared" si="44"/>
        <v/>
      </c>
      <c r="AR72" s="31">
        <f t="shared" si="28"/>
        <v>0</v>
      </c>
      <c r="AS72" s="21">
        <f t="shared" si="29"/>
        <v>0</v>
      </c>
      <c r="AT72" s="62" t="str">
        <f t="shared" si="45"/>
        <v/>
      </c>
      <c r="AU72" s="84">
        <f t="shared" si="46"/>
        <v>0</v>
      </c>
      <c r="AV72" s="32">
        <f t="shared" si="47"/>
        <v>0</v>
      </c>
      <c r="AW72" s="85" t="str">
        <f t="shared" si="48"/>
        <v/>
      </c>
      <c r="AX72" s="86" t="str">
        <f t="shared" si="54"/>
        <v/>
      </c>
    </row>
    <row r="73" spans="1:50" x14ac:dyDescent="0.2">
      <c r="A73" s="29" t="str">
        <f>IF(A72="","",IF(C73="","",A72))</f>
        <v/>
      </c>
      <c r="B73" s="32" t="str">
        <f>IF(B72="","",IF(C73="","",B72))</f>
        <v/>
      </c>
      <c r="C73" s="35"/>
      <c r="D73" s="33" t="str">
        <f>IF(A73="","",IF(D72="","",D72))</f>
        <v/>
      </c>
      <c r="E73" s="22" t="str">
        <f>IF(A73="","",IF(E72="","",E72))</f>
        <v/>
      </c>
      <c r="F73" s="23" t="str">
        <f>IF(A73="","",IF(F72="","",F72))</f>
        <v/>
      </c>
      <c r="G73" s="23"/>
      <c r="H73" s="22"/>
      <c r="I73" s="23"/>
      <c r="J73" s="18"/>
      <c r="K73" s="13" t="str">
        <f t="shared" si="58"/>
        <v/>
      </c>
      <c r="L73" s="28" t="str">
        <f t="shared" si="20"/>
        <v/>
      </c>
      <c r="M73" s="10" t="str">
        <f t="shared" si="59"/>
        <v/>
      </c>
      <c r="N73" s="17" t="str">
        <f t="shared" si="60"/>
        <v/>
      </c>
      <c r="O73" s="39" t="str">
        <f t="shared" si="61"/>
        <v/>
      </c>
      <c r="P73" s="41" t="str">
        <f t="shared" si="62"/>
        <v/>
      </c>
      <c r="Q73" s="9" t="str">
        <f t="shared" si="10"/>
        <v/>
      </c>
      <c r="R73" s="14">
        <f t="shared" si="21"/>
        <v>0</v>
      </c>
      <c r="S73" s="61" t="str">
        <f t="shared" si="11"/>
        <v/>
      </c>
      <c r="T73" s="14">
        <f t="shared" si="30"/>
        <v>0</v>
      </c>
      <c r="U73" s="58" t="str">
        <f t="shared" si="31"/>
        <v/>
      </c>
      <c r="V73" s="14">
        <f t="shared" si="22"/>
        <v>0</v>
      </c>
      <c r="W73" s="58" t="str">
        <f t="shared" si="32"/>
        <v/>
      </c>
      <c r="X73" s="14">
        <f t="shared" si="23"/>
        <v>0</v>
      </c>
      <c r="Y73" s="58" t="str">
        <f t="shared" si="33"/>
        <v/>
      </c>
      <c r="Z73" s="31">
        <f t="shared" si="24"/>
        <v>0</v>
      </c>
      <c r="AA73" s="21">
        <f t="shared" si="34"/>
        <v>0</v>
      </c>
      <c r="AB73" s="58" t="str">
        <f t="shared" si="35"/>
        <v/>
      </c>
      <c r="AC73" s="630">
        <f t="shared" si="12"/>
        <v>0</v>
      </c>
      <c r="AD73" s="627"/>
      <c r="AE73" s="21">
        <f t="shared" si="36"/>
        <v>0</v>
      </c>
      <c r="AF73" s="58" t="str">
        <f t="shared" si="37"/>
        <v/>
      </c>
      <c r="AG73" s="21">
        <f t="shared" si="38"/>
        <v>0</v>
      </c>
      <c r="AH73" s="58" t="str">
        <f t="shared" si="39"/>
        <v/>
      </c>
      <c r="AI73" s="21">
        <f t="shared" si="40"/>
        <v>0</v>
      </c>
      <c r="AJ73" s="58" t="str">
        <f t="shared" si="41"/>
        <v/>
      </c>
      <c r="AK73" s="31">
        <f t="shared" si="25"/>
        <v>0</v>
      </c>
      <c r="AL73" s="21">
        <f t="shared" si="26"/>
        <v>0</v>
      </c>
      <c r="AM73" s="62" t="str">
        <f t="shared" si="27"/>
        <v/>
      </c>
      <c r="AN73" s="21">
        <f t="shared" si="42"/>
        <v>0</v>
      </c>
      <c r="AO73" s="62" t="str">
        <f t="shared" si="43"/>
        <v/>
      </c>
      <c r="AP73" s="21">
        <f t="shared" si="13"/>
        <v>0</v>
      </c>
      <c r="AQ73" s="62" t="str">
        <f t="shared" si="44"/>
        <v/>
      </c>
      <c r="AR73" s="31">
        <f t="shared" si="28"/>
        <v>0</v>
      </c>
      <c r="AS73" s="21">
        <f t="shared" si="29"/>
        <v>0</v>
      </c>
      <c r="AT73" s="62" t="str">
        <f t="shared" si="45"/>
        <v/>
      </c>
      <c r="AU73" s="84">
        <f t="shared" si="46"/>
        <v>0</v>
      </c>
      <c r="AV73" s="32">
        <f t="shared" si="47"/>
        <v>0</v>
      </c>
      <c r="AW73" s="85" t="str">
        <f t="shared" si="48"/>
        <v/>
      </c>
      <c r="AX73" s="86" t="str">
        <f t="shared" si="54"/>
        <v/>
      </c>
    </row>
    <row r="74" spans="1:50" x14ac:dyDescent="0.2">
      <c r="A74" s="29" t="str">
        <f>IF(A73="","",IF(C74="","",A73))</f>
        <v/>
      </c>
      <c r="B74" s="32" t="str">
        <f>IF(B73="","",IF(C74="","",B73))</f>
        <v/>
      </c>
      <c r="C74" s="35"/>
      <c r="D74" s="33" t="str">
        <f>IF(A74="","",IF(D73="","",D73))</f>
        <v/>
      </c>
      <c r="E74" s="22" t="str">
        <f>IF(A74="","",IF(E73="","",E73))</f>
        <v/>
      </c>
      <c r="F74" s="23" t="str">
        <f>IF(A74="","",IF(F73="","",F73))</f>
        <v/>
      </c>
      <c r="G74" s="23"/>
      <c r="H74" s="22"/>
      <c r="I74" s="23"/>
      <c r="J74" s="18"/>
      <c r="K74" s="13" t="str">
        <f t="shared" si="58"/>
        <v/>
      </c>
      <c r="L74" s="28" t="str">
        <f t="shared" si="20"/>
        <v/>
      </c>
      <c r="M74" s="10" t="str">
        <f t="shared" si="59"/>
        <v/>
      </c>
      <c r="N74" s="17" t="str">
        <f t="shared" si="60"/>
        <v/>
      </c>
      <c r="O74" s="39" t="str">
        <f t="shared" si="61"/>
        <v/>
      </c>
      <c r="P74" s="41" t="str">
        <f t="shared" si="62"/>
        <v/>
      </c>
      <c r="Q74" s="9" t="str">
        <f t="shared" si="10"/>
        <v/>
      </c>
      <c r="R74" s="14">
        <f t="shared" si="21"/>
        <v>0</v>
      </c>
      <c r="S74" s="61" t="str">
        <f t="shared" si="11"/>
        <v/>
      </c>
      <c r="T74" s="14">
        <f t="shared" si="30"/>
        <v>0</v>
      </c>
      <c r="U74" s="58" t="str">
        <f t="shared" si="31"/>
        <v/>
      </c>
      <c r="V74" s="14">
        <f t="shared" si="22"/>
        <v>0</v>
      </c>
      <c r="W74" s="58" t="str">
        <f t="shared" si="32"/>
        <v/>
      </c>
      <c r="X74" s="14">
        <f t="shared" si="23"/>
        <v>0</v>
      </c>
      <c r="Y74" s="58" t="str">
        <f t="shared" si="33"/>
        <v/>
      </c>
      <c r="Z74" s="31">
        <f t="shared" si="24"/>
        <v>0</v>
      </c>
      <c r="AA74" s="21">
        <f t="shared" si="34"/>
        <v>0</v>
      </c>
      <c r="AB74" s="58" t="str">
        <f t="shared" si="35"/>
        <v/>
      </c>
      <c r="AC74" s="630">
        <f t="shared" si="12"/>
        <v>0</v>
      </c>
      <c r="AD74" s="627"/>
      <c r="AE74" s="21">
        <f t="shared" si="36"/>
        <v>0</v>
      </c>
      <c r="AF74" s="58" t="str">
        <f t="shared" si="37"/>
        <v/>
      </c>
      <c r="AG74" s="21">
        <f t="shared" si="38"/>
        <v>0</v>
      </c>
      <c r="AH74" s="58" t="str">
        <f t="shared" si="39"/>
        <v/>
      </c>
      <c r="AI74" s="21">
        <f t="shared" si="40"/>
        <v>0</v>
      </c>
      <c r="AJ74" s="58" t="str">
        <f t="shared" si="41"/>
        <v/>
      </c>
      <c r="AK74" s="31">
        <f t="shared" si="25"/>
        <v>0</v>
      </c>
      <c r="AL74" s="21">
        <f t="shared" si="26"/>
        <v>0</v>
      </c>
      <c r="AM74" s="62" t="str">
        <f t="shared" si="27"/>
        <v/>
      </c>
      <c r="AN74" s="21">
        <f t="shared" si="42"/>
        <v>0</v>
      </c>
      <c r="AO74" s="62" t="str">
        <f t="shared" si="43"/>
        <v/>
      </c>
      <c r="AP74" s="21">
        <f t="shared" si="13"/>
        <v>0</v>
      </c>
      <c r="AQ74" s="62" t="str">
        <f t="shared" si="44"/>
        <v/>
      </c>
      <c r="AR74" s="31">
        <f t="shared" si="28"/>
        <v>0</v>
      </c>
      <c r="AS74" s="21">
        <f t="shared" si="29"/>
        <v>0</v>
      </c>
      <c r="AT74" s="62" t="str">
        <f t="shared" si="45"/>
        <v/>
      </c>
      <c r="AU74" s="84">
        <f t="shared" si="46"/>
        <v>0</v>
      </c>
      <c r="AV74" s="32">
        <f t="shared" si="47"/>
        <v>0</v>
      </c>
      <c r="AW74" s="85" t="str">
        <f t="shared" si="48"/>
        <v/>
      </c>
      <c r="AX74" s="86" t="str">
        <f t="shared" si="54"/>
        <v/>
      </c>
    </row>
    <row r="75" spans="1:50" x14ac:dyDescent="0.2">
      <c r="A75" s="29" t="str">
        <f>IF(A74="","",IF(C75="","",A74))</f>
        <v/>
      </c>
      <c r="B75" s="32" t="str">
        <f>IF(B74="","",IF(C75="","",B74))</f>
        <v/>
      </c>
      <c r="C75" s="35"/>
      <c r="D75" s="33" t="str">
        <f>IF(A75="","",IF(D74="","",D74))</f>
        <v/>
      </c>
      <c r="E75" s="22" t="str">
        <f>IF(A75="","",IF(E74="","",E74))</f>
        <v/>
      </c>
      <c r="F75" s="23" t="str">
        <f>IF(A75="","",IF(F74="","",F74))</f>
        <v/>
      </c>
      <c r="G75" s="23"/>
      <c r="H75" s="22"/>
      <c r="I75" s="23"/>
      <c r="J75" s="18"/>
      <c r="K75" s="13" t="str">
        <f t="shared" si="58"/>
        <v/>
      </c>
      <c r="L75" s="28" t="str">
        <f t="shared" si="20"/>
        <v/>
      </c>
      <c r="M75" s="10" t="str">
        <f t="shared" si="59"/>
        <v/>
      </c>
      <c r="N75" s="17" t="str">
        <f t="shared" si="60"/>
        <v/>
      </c>
      <c r="O75" s="39" t="str">
        <f t="shared" si="61"/>
        <v/>
      </c>
      <c r="P75" s="41" t="str">
        <f t="shared" si="62"/>
        <v/>
      </c>
      <c r="Q75" s="9" t="str">
        <f t="shared" si="10"/>
        <v/>
      </c>
      <c r="R75" s="14">
        <f t="shared" si="21"/>
        <v>0</v>
      </c>
      <c r="S75" s="61" t="str">
        <f t="shared" si="11"/>
        <v/>
      </c>
      <c r="T75" s="14">
        <f t="shared" si="30"/>
        <v>0</v>
      </c>
      <c r="U75" s="58" t="str">
        <f t="shared" si="31"/>
        <v/>
      </c>
      <c r="V75" s="14">
        <f t="shared" si="22"/>
        <v>0</v>
      </c>
      <c r="W75" s="58" t="str">
        <f t="shared" si="32"/>
        <v/>
      </c>
      <c r="X75" s="14">
        <f t="shared" si="23"/>
        <v>0</v>
      </c>
      <c r="Y75" s="58" t="str">
        <f t="shared" si="33"/>
        <v/>
      </c>
      <c r="Z75" s="31">
        <f t="shared" si="24"/>
        <v>0</v>
      </c>
      <c r="AA75" s="21">
        <f t="shared" si="34"/>
        <v>0</v>
      </c>
      <c r="AB75" s="58" t="str">
        <f t="shared" si="35"/>
        <v/>
      </c>
      <c r="AC75" s="630">
        <f t="shared" si="12"/>
        <v>0</v>
      </c>
      <c r="AD75" s="627"/>
      <c r="AE75" s="21">
        <f t="shared" si="36"/>
        <v>0</v>
      </c>
      <c r="AF75" s="58" t="str">
        <f t="shared" si="37"/>
        <v/>
      </c>
      <c r="AG75" s="21">
        <f t="shared" si="38"/>
        <v>0</v>
      </c>
      <c r="AH75" s="58" t="str">
        <f t="shared" si="39"/>
        <v/>
      </c>
      <c r="AI75" s="21">
        <f t="shared" si="40"/>
        <v>0</v>
      </c>
      <c r="AJ75" s="58" t="str">
        <f t="shared" si="41"/>
        <v/>
      </c>
      <c r="AK75" s="31">
        <f t="shared" si="25"/>
        <v>0</v>
      </c>
      <c r="AL75" s="21">
        <f t="shared" si="26"/>
        <v>0</v>
      </c>
      <c r="AM75" s="62" t="str">
        <f t="shared" si="27"/>
        <v/>
      </c>
      <c r="AN75" s="21">
        <f t="shared" si="42"/>
        <v>0</v>
      </c>
      <c r="AO75" s="62" t="str">
        <f t="shared" si="43"/>
        <v/>
      </c>
      <c r="AP75" s="21">
        <f t="shared" si="13"/>
        <v>0</v>
      </c>
      <c r="AQ75" s="62" t="str">
        <f t="shared" si="44"/>
        <v/>
      </c>
      <c r="AR75" s="31">
        <f t="shared" si="28"/>
        <v>0</v>
      </c>
      <c r="AS75" s="21">
        <f t="shared" si="29"/>
        <v>0</v>
      </c>
      <c r="AT75" s="62" t="str">
        <f t="shared" si="45"/>
        <v/>
      </c>
      <c r="AU75" s="84">
        <f t="shared" si="46"/>
        <v>0</v>
      </c>
      <c r="AV75" s="32">
        <f t="shared" si="47"/>
        <v>0</v>
      </c>
      <c r="AW75" s="85" t="str">
        <f t="shared" si="48"/>
        <v/>
      </c>
      <c r="AX75" s="86" t="str">
        <f t="shared" si="54"/>
        <v/>
      </c>
    </row>
    <row r="76" spans="1:50" x14ac:dyDescent="0.2">
      <c r="A76" s="29" t="str">
        <f>IF(A75="","",IF(C76="","",A75))</f>
        <v/>
      </c>
      <c r="B76" s="32" t="str">
        <f>IF(B75="","",IF(C76="","",B75))</f>
        <v/>
      </c>
      <c r="C76" s="35"/>
      <c r="D76" s="33" t="str">
        <f>IF(A76="","",IF(D75="","",D75))</f>
        <v/>
      </c>
      <c r="E76" s="22" t="str">
        <f>IF(A76="","",IF(E75="","",E75))</f>
        <v/>
      </c>
      <c r="F76" s="23" t="str">
        <f>IF(A76="","",IF(F75="","",F75))</f>
        <v/>
      </c>
      <c r="G76" s="23"/>
      <c r="H76" s="22"/>
      <c r="I76" s="23"/>
      <c r="J76" s="18"/>
      <c r="K76" s="13" t="str">
        <f t="shared" si="58"/>
        <v/>
      </c>
      <c r="L76" s="28" t="str">
        <f t="shared" si="20"/>
        <v/>
      </c>
      <c r="M76" s="10" t="str">
        <f t="shared" si="59"/>
        <v/>
      </c>
      <c r="N76" s="17" t="str">
        <f t="shared" si="60"/>
        <v/>
      </c>
      <c r="O76" s="39" t="str">
        <f t="shared" si="61"/>
        <v/>
      </c>
      <c r="P76" s="41" t="str">
        <f t="shared" si="62"/>
        <v/>
      </c>
      <c r="Q76" s="9" t="str">
        <f t="shared" si="10"/>
        <v/>
      </c>
      <c r="R76" s="14">
        <f t="shared" si="21"/>
        <v>0</v>
      </c>
      <c r="S76" s="61" t="str">
        <f t="shared" si="11"/>
        <v/>
      </c>
      <c r="T76" s="14">
        <f t="shared" si="30"/>
        <v>0</v>
      </c>
      <c r="U76" s="58" t="str">
        <f t="shared" si="31"/>
        <v/>
      </c>
      <c r="V76" s="14">
        <f t="shared" si="22"/>
        <v>0</v>
      </c>
      <c r="W76" s="58" t="str">
        <f t="shared" si="32"/>
        <v/>
      </c>
      <c r="X76" s="14">
        <f t="shared" si="23"/>
        <v>0</v>
      </c>
      <c r="Y76" s="58" t="str">
        <f t="shared" si="33"/>
        <v/>
      </c>
      <c r="Z76" s="31">
        <f t="shared" si="24"/>
        <v>0</v>
      </c>
      <c r="AA76" s="21">
        <f t="shared" si="34"/>
        <v>0</v>
      </c>
      <c r="AB76" s="58" t="str">
        <f t="shared" si="35"/>
        <v/>
      </c>
      <c r="AC76" s="630">
        <f t="shared" si="12"/>
        <v>0</v>
      </c>
      <c r="AD76" s="627"/>
      <c r="AE76" s="21">
        <f t="shared" si="36"/>
        <v>0</v>
      </c>
      <c r="AF76" s="58" t="str">
        <f t="shared" si="37"/>
        <v/>
      </c>
      <c r="AG76" s="21">
        <f t="shared" si="38"/>
        <v>0</v>
      </c>
      <c r="AH76" s="58" t="str">
        <f t="shared" si="39"/>
        <v/>
      </c>
      <c r="AI76" s="21">
        <f t="shared" si="40"/>
        <v>0</v>
      </c>
      <c r="AJ76" s="58" t="str">
        <f t="shared" si="41"/>
        <v/>
      </c>
      <c r="AK76" s="31">
        <f t="shared" si="25"/>
        <v>0</v>
      </c>
      <c r="AL76" s="21">
        <f t="shared" si="26"/>
        <v>0</v>
      </c>
      <c r="AM76" s="62" t="str">
        <f t="shared" si="27"/>
        <v/>
      </c>
      <c r="AN76" s="21">
        <f t="shared" si="42"/>
        <v>0</v>
      </c>
      <c r="AO76" s="62" t="str">
        <f t="shared" si="43"/>
        <v/>
      </c>
      <c r="AP76" s="21">
        <f t="shared" si="13"/>
        <v>0</v>
      </c>
      <c r="AQ76" s="62" t="str">
        <f t="shared" si="44"/>
        <v/>
      </c>
      <c r="AR76" s="31">
        <f t="shared" si="28"/>
        <v>0</v>
      </c>
      <c r="AS76" s="21">
        <f t="shared" si="29"/>
        <v>0</v>
      </c>
      <c r="AT76" s="62" t="str">
        <f t="shared" si="45"/>
        <v/>
      </c>
      <c r="AU76" s="84">
        <f t="shared" si="46"/>
        <v>0</v>
      </c>
      <c r="AV76" s="32">
        <f t="shared" si="47"/>
        <v>0</v>
      </c>
      <c r="AW76" s="85" t="str">
        <f t="shared" si="48"/>
        <v/>
      </c>
      <c r="AX76" s="86" t="str">
        <f t="shared" si="54"/>
        <v/>
      </c>
    </row>
    <row r="77" spans="1:50" x14ac:dyDescent="0.2">
      <c r="A77" s="29" t="str">
        <f>IF(A76="","",IF(C77="","",A76))</f>
        <v/>
      </c>
      <c r="B77" s="32" t="str">
        <f>IF(B76="","",IF(C77="","",B76))</f>
        <v/>
      </c>
      <c r="C77" s="35"/>
      <c r="D77" s="33" t="str">
        <f>IF(A77="","",IF(D76="","",D76))</f>
        <v/>
      </c>
      <c r="E77" s="22" t="str">
        <f>IF(A77="","",IF(E76="","",E76))</f>
        <v/>
      </c>
      <c r="F77" s="23" t="str">
        <f>IF(A77="","",IF(F76="","",F76))</f>
        <v/>
      </c>
      <c r="G77" s="23"/>
      <c r="H77" s="22"/>
      <c r="I77" s="23"/>
      <c r="J77" s="18"/>
      <c r="K77" s="13" t="str">
        <f t="shared" si="58"/>
        <v/>
      </c>
      <c r="L77" s="28" t="str">
        <f t="shared" si="20"/>
        <v/>
      </c>
      <c r="M77" s="10" t="str">
        <f t="shared" si="59"/>
        <v/>
      </c>
      <c r="N77" s="17" t="str">
        <f t="shared" si="60"/>
        <v/>
      </c>
      <c r="O77" s="39" t="str">
        <f t="shared" si="61"/>
        <v/>
      </c>
      <c r="P77" s="41" t="str">
        <f t="shared" si="62"/>
        <v/>
      </c>
      <c r="Q77" s="9" t="str">
        <f t="shared" si="10"/>
        <v/>
      </c>
      <c r="R77" s="14">
        <f t="shared" si="21"/>
        <v>0</v>
      </c>
      <c r="S77" s="61" t="str">
        <f t="shared" si="11"/>
        <v/>
      </c>
      <c r="T77" s="14">
        <f t="shared" si="30"/>
        <v>0</v>
      </c>
      <c r="U77" s="58" t="str">
        <f t="shared" si="31"/>
        <v/>
      </c>
      <c r="V77" s="14">
        <f t="shared" si="22"/>
        <v>0</v>
      </c>
      <c r="W77" s="58" t="str">
        <f t="shared" si="32"/>
        <v/>
      </c>
      <c r="X77" s="14">
        <f t="shared" si="23"/>
        <v>0</v>
      </c>
      <c r="Y77" s="58" t="str">
        <f t="shared" si="33"/>
        <v/>
      </c>
      <c r="Z77" s="31">
        <f t="shared" si="24"/>
        <v>0</v>
      </c>
      <c r="AA77" s="21">
        <f t="shared" si="34"/>
        <v>0</v>
      </c>
      <c r="AB77" s="58" t="str">
        <f t="shared" si="35"/>
        <v/>
      </c>
      <c r="AC77" s="630">
        <f t="shared" si="12"/>
        <v>0</v>
      </c>
      <c r="AD77" s="627"/>
      <c r="AE77" s="21">
        <f t="shared" si="36"/>
        <v>0</v>
      </c>
      <c r="AF77" s="58" t="str">
        <f t="shared" si="37"/>
        <v/>
      </c>
      <c r="AG77" s="21">
        <f t="shared" si="38"/>
        <v>0</v>
      </c>
      <c r="AH77" s="58" t="str">
        <f t="shared" si="39"/>
        <v/>
      </c>
      <c r="AI77" s="21">
        <f t="shared" si="40"/>
        <v>0</v>
      </c>
      <c r="AJ77" s="58" t="str">
        <f t="shared" si="41"/>
        <v/>
      </c>
      <c r="AK77" s="31">
        <f t="shared" si="25"/>
        <v>0</v>
      </c>
      <c r="AL77" s="21">
        <f t="shared" si="26"/>
        <v>0</v>
      </c>
      <c r="AM77" s="62" t="str">
        <f t="shared" si="27"/>
        <v/>
      </c>
      <c r="AN77" s="21">
        <f t="shared" si="42"/>
        <v>0</v>
      </c>
      <c r="AO77" s="62" t="str">
        <f t="shared" si="43"/>
        <v/>
      </c>
      <c r="AP77" s="21">
        <f t="shared" si="13"/>
        <v>0</v>
      </c>
      <c r="AQ77" s="62" t="str">
        <f t="shared" si="44"/>
        <v/>
      </c>
      <c r="AR77" s="31">
        <f t="shared" si="28"/>
        <v>0</v>
      </c>
      <c r="AS77" s="21">
        <f t="shared" si="29"/>
        <v>0</v>
      </c>
      <c r="AT77" s="62" t="str">
        <f t="shared" si="45"/>
        <v/>
      </c>
      <c r="AU77" s="84">
        <f t="shared" si="46"/>
        <v>0</v>
      </c>
      <c r="AV77" s="32">
        <f t="shared" si="47"/>
        <v>0</v>
      </c>
      <c r="AW77" s="85" t="str">
        <f t="shared" si="48"/>
        <v/>
      </c>
      <c r="AX77" s="86" t="str">
        <f t="shared" si="54"/>
        <v/>
      </c>
    </row>
    <row r="78" spans="1:50" x14ac:dyDescent="0.2">
      <c r="A78" s="29" t="str">
        <f>IF(A77="","",IF(C78="","",A77))</f>
        <v/>
      </c>
      <c r="B78" s="32" t="str">
        <f>IF(B77="","",IF(C78="","",B77))</f>
        <v/>
      </c>
      <c r="C78" s="35"/>
      <c r="D78" s="33" t="str">
        <f>IF(A78="","",IF(D77="","",D77))</f>
        <v/>
      </c>
      <c r="E78" s="22" t="str">
        <f>IF(A78="","",IF(E77="","",E77))</f>
        <v/>
      </c>
      <c r="F78" s="23" t="str">
        <f>IF(A78="","",IF(F77="","",F77))</f>
        <v/>
      </c>
      <c r="G78" s="23"/>
      <c r="H78" s="22"/>
      <c r="I78" s="23"/>
      <c r="J78" s="18"/>
      <c r="K78" s="13" t="str">
        <f t="shared" si="58"/>
        <v/>
      </c>
      <c r="L78" s="28" t="str">
        <f t="shared" si="20"/>
        <v/>
      </c>
      <c r="M78" s="10" t="str">
        <f t="shared" si="59"/>
        <v/>
      </c>
      <c r="N78" s="17" t="str">
        <f t="shared" si="60"/>
        <v/>
      </c>
      <c r="O78" s="39" t="str">
        <f t="shared" si="61"/>
        <v/>
      </c>
      <c r="P78" s="41" t="str">
        <f t="shared" si="62"/>
        <v/>
      </c>
      <c r="Q78" s="9" t="str">
        <f t="shared" si="10"/>
        <v/>
      </c>
      <c r="R78" s="14">
        <f t="shared" si="21"/>
        <v>0</v>
      </c>
      <c r="S78" s="61" t="str">
        <f t="shared" si="11"/>
        <v/>
      </c>
      <c r="T78" s="14">
        <f t="shared" si="30"/>
        <v>0</v>
      </c>
      <c r="U78" s="58" t="str">
        <f t="shared" si="31"/>
        <v/>
      </c>
      <c r="V78" s="14">
        <f t="shared" si="22"/>
        <v>0</v>
      </c>
      <c r="W78" s="58" t="str">
        <f t="shared" si="32"/>
        <v/>
      </c>
      <c r="X78" s="14">
        <f t="shared" si="23"/>
        <v>0</v>
      </c>
      <c r="Y78" s="58" t="str">
        <f t="shared" si="33"/>
        <v/>
      </c>
      <c r="Z78" s="31">
        <f t="shared" si="24"/>
        <v>0</v>
      </c>
      <c r="AA78" s="21">
        <f t="shared" si="34"/>
        <v>0</v>
      </c>
      <c r="AB78" s="58" t="str">
        <f t="shared" si="35"/>
        <v/>
      </c>
      <c r="AC78" s="630">
        <f t="shared" si="12"/>
        <v>0</v>
      </c>
      <c r="AD78" s="627"/>
      <c r="AE78" s="21">
        <f t="shared" si="36"/>
        <v>0</v>
      </c>
      <c r="AF78" s="58" t="str">
        <f t="shared" si="37"/>
        <v/>
      </c>
      <c r="AG78" s="21">
        <f t="shared" si="38"/>
        <v>0</v>
      </c>
      <c r="AH78" s="58" t="str">
        <f t="shared" si="39"/>
        <v/>
      </c>
      <c r="AI78" s="21">
        <f t="shared" si="40"/>
        <v>0</v>
      </c>
      <c r="AJ78" s="58" t="str">
        <f t="shared" si="41"/>
        <v/>
      </c>
      <c r="AK78" s="31">
        <f t="shared" si="25"/>
        <v>0</v>
      </c>
      <c r="AL78" s="21">
        <f t="shared" si="26"/>
        <v>0</v>
      </c>
      <c r="AM78" s="62" t="str">
        <f t="shared" si="27"/>
        <v/>
      </c>
      <c r="AN78" s="21">
        <f t="shared" si="42"/>
        <v>0</v>
      </c>
      <c r="AO78" s="62" t="str">
        <f t="shared" si="43"/>
        <v/>
      </c>
      <c r="AP78" s="21">
        <f t="shared" si="13"/>
        <v>0</v>
      </c>
      <c r="AQ78" s="62" t="str">
        <f t="shared" si="44"/>
        <v/>
      </c>
      <c r="AR78" s="31">
        <f t="shared" si="28"/>
        <v>0</v>
      </c>
      <c r="AS78" s="21">
        <f t="shared" si="29"/>
        <v>0</v>
      </c>
      <c r="AT78" s="62" t="str">
        <f t="shared" si="45"/>
        <v/>
      </c>
      <c r="AU78" s="84">
        <f t="shared" si="46"/>
        <v>0</v>
      </c>
      <c r="AV78" s="32">
        <f t="shared" si="47"/>
        <v>0</v>
      </c>
      <c r="AW78" s="85" t="str">
        <f t="shared" si="48"/>
        <v/>
      </c>
      <c r="AX78" s="86" t="str">
        <f t="shared" si="54"/>
        <v/>
      </c>
    </row>
    <row r="79" spans="1:50" x14ac:dyDescent="0.2">
      <c r="A79" s="29" t="str">
        <f>IF(A78="","",IF(C79="","",A78))</f>
        <v/>
      </c>
      <c r="B79" s="32" t="str">
        <f>IF(B78="","",IF(C79="","",B78))</f>
        <v/>
      </c>
      <c r="C79" s="35"/>
      <c r="D79" s="33" t="str">
        <f>IF(A79="","",IF(D78="","",D78))</f>
        <v/>
      </c>
      <c r="E79" s="22" t="str">
        <f>IF(A79="","",IF(E78="","",E78))</f>
        <v/>
      </c>
      <c r="F79" s="23" t="str">
        <f>IF(A79="","",IF(F78="","",F78))</f>
        <v/>
      </c>
      <c r="G79" s="23"/>
      <c r="H79" s="22"/>
      <c r="I79" s="23"/>
      <c r="J79" s="18"/>
      <c r="K79" s="13" t="str">
        <f t="shared" si="58"/>
        <v/>
      </c>
      <c r="L79" s="28" t="str">
        <f t="shared" si="20"/>
        <v/>
      </c>
      <c r="M79" s="10" t="str">
        <f t="shared" si="59"/>
        <v/>
      </c>
      <c r="N79" s="17" t="str">
        <f t="shared" si="60"/>
        <v/>
      </c>
      <c r="O79" s="39" t="str">
        <f t="shared" si="61"/>
        <v/>
      </c>
      <c r="P79" s="41" t="str">
        <f t="shared" si="62"/>
        <v/>
      </c>
      <c r="Q79" s="9" t="str">
        <f t="shared" si="10"/>
        <v/>
      </c>
      <c r="R79" s="14">
        <f t="shared" si="21"/>
        <v>0</v>
      </c>
      <c r="S79" s="61" t="str">
        <f t="shared" si="11"/>
        <v/>
      </c>
      <c r="T79" s="14">
        <f t="shared" si="30"/>
        <v>0</v>
      </c>
      <c r="U79" s="58" t="str">
        <f t="shared" si="31"/>
        <v/>
      </c>
      <c r="V79" s="14">
        <f t="shared" si="22"/>
        <v>0</v>
      </c>
      <c r="W79" s="58" t="str">
        <f t="shared" si="32"/>
        <v/>
      </c>
      <c r="X79" s="14">
        <f t="shared" si="23"/>
        <v>0</v>
      </c>
      <c r="Y79" s="58" t="str">
        <f t="shared" si="33"/>
        <v/>
      </c>
      <c r="Z79" s="31">
        <f t="shared" si="24"/>
        <v>0</v>
      </c>
      <c r="AA79" s="21">
        <f t="shared" si="34"/>
        <v>0</v>
      </c>
      <c r="AB79" s="58" t="str">
        <f t="shared" si="35"/>
        <v/>
      </c>
      <c r="AC79" s="630">
        <f t="shared" si="12"/>
        <v>0</v>
      </c>
      <c r="AD79" s="627"/>
      <c r="AE79" s="21">
        <f t="shared" si="36"/>
        <v>0</v>
      </c>
      <c r="AF79" s="58" t="str">
        <f t="shared" si="37"/>
        <v/>
      </c>
      <c r="AG79" s="21">
        <f t="shared" si="38"/>
        <v>0</v>
      </c>
      <c r="AH79" s="58" t="str">
        <f t="shared" si="39"/>
        <v/>
      </c>
      <c r="AI79" s="21">
        <f t="shared" si="40"/>
        <v>0</v>
      </c>
      <c r="AJ79" s="58" t="str">
        <f t="shared" si="41"/>
        <v/>
      </c>
      <c r="AK79" s="31">
        <f t="shared" si="25"/>
        <v>0</v>
      </c>
      <c r="AL79" s="21">
        <f t="shared" si="26"/>
        <v>0</v>
      </c>
      <c r="AM79" s="62" t="str">
        <f t="shared" si="27"/>
        <v/>
      </c>
      <c r="AN79" s="21">
        <f t="shared" si="42"/>
        <v>0</v>
      </c>
      <c r="AO79" s="62" t="str">
        <f t="shared" si="43"/>
        <v/>
      </c>
      <c r="AP79" s="21">
        <f t="shared" si="13"/>
        <v>0</v>
      </c>
      <c r="AQ79" s="62" t="str">
        <f t="shared" si="44"/>
        <v/>
      </c>
      <c r="AR79" s="31">
        <f t="shared" si="28"/>
        <v>0</v>
      </c>
      <c r="AS79" s="21">
        <f t="shared" si="29"/>
        <v>0</v>
      </c>
      <c r="AT79" s="62" t="str">
        <f t="shared" si="45"/>
        <v/>
      </c>
      <c r="AU79" s="84">
        <f t="shared" si="46"/>
        <v>0</v>
      </c>
      <c r="AV79" s="32">
        <f t="shared" si="47"/>
        <v>0</v>
      </c>
      <c r="AW79" s="85" t="str">
        <f t="shared" si="48"/>
        <v/>
      </c>
      <c r="AX79" s="86" t="str">
        <f t="shared" si="54"/>
        <v/>
      </c>
    </row>
    <row r="80" spans="1:50" x14ac:dyDescent="0.2">
      <c r="A80" s="29" t="str">
        <f>IF(A79="","",IF(C80="","",A79))</f>
        <v/>
      </c>
      <c r="B80" s="32" t="str">
        <f>IF(B79="","",IF(C80="","",B79))</f>
        <v/>
      </c>
      <c r="C80" s="35"/>
      <c r="D80" s="33" t="str">
        <f>IF(A80="","",IF(D79="","",D79))</f>
        <v/>
      </c>
      <c r="E80" s="22" t="str">
        <f>IF(A80="","",IF(E79="","",E79))</f>
        <v/>
      </c>
      <c r="F80" s="23" t="str">
        <f>IF(A80="","",IF(F79="","",F79))</f>
        <v/>
      </c>
      <c r="G80" s="23"/>
      <c r="H80" s="22"/>
      <c r="I80" s="23"/>
      <c r="J80" s="18"/>
      <c r="K80" s="13" t="str">
        <f t="shared" si="58"/>
        <v/>
      </c>
      <c r="L80" s="28" t="str">
        <f t="shared" si="20"/>
        <v/>
      </c>
      <c r="M80" s="10" t="str">
        <f t="shared" si="59"/>
        <v/>
      </c>
      <c r="N80" s="17" t="str">
        <f t="shared" si="60"/>
        <v/>
      </c>
      <c r="O80" s="39" t="str">
        <f t="shared" si="61"/>
        <v/>
      </c>
      <c r="P80" s="41" t="str">
        <f t="shared" si="62"/>
        <v/>
      </c>
      <c r="Q80" s="9" t="str">
        <f t="shared" si="10"/>
        <v/>
      </c>
      <c r="R80" s="14">
        <f t="shared" si="21"/>
        <v>0</v>
      </c>
      <c r="S80" s="61" t="str">
        <f t="shared" si="11"/>
        <v/>
      </c>
      <c r="T80" s="14">
        <f t="shared" si="30"/>
        <v>0</v>
      </c>
      <c r="U80" s="58" t="str">
        <f t="shared" si="31"/>
        <v/>
      </c>
      <c r="V80" s="14">
        <f t="shared" si="22"/>
        <v>0</v>
      </c>
      <c r="W80" s="58" t="str">
        <f t="shared" si="32"/>
        <v/>
      </c>
      <c r="X80" s="14">
        <f t="shared" si="23"/>
        <v>0</v>
      </c>
      <c r="Y80" s="58" t="str">
        <f t="shared" si="33"/>
        <v/>
      </c>
      <c r="Z80" s="31">
        <f t="shared" si="24"/>
        <v>0</v>
      </c>
      <c r="AA80" s="21">
        <f t="shared" si="34"/>
        <v>0</v>
      </c>
      <c r="AB80" s="58" t="str">
        <f t="shared" si="35"/>
        <v/>
      </c>
      <c r="AC80" s="630">
        <f t="shared" si="12"/>
        <v>0</v>
      </c>
      <c r="AD80" s="627"/>
      <c r="AE80" s="21">
        <f t="shared" si="36"/>
        <v>0</v>
      </c>
      <c r="AF80" s="58" t="str">
        <f t="shared" si="37"/>
        <v/>
      </c>
      <c r="AG80" s="21">
        <f t="shared" si="38"/>
        <v>0</v>
      </c>
      <c r="AH80" s="58" t="str">
        <f t="shared" si="39"/>
        <v/>
      </c>
      <c r="AI80" s="21">
        <f t="shared" si="40"/>
        <v>0</v>
      </c>
      <c r="AJ80" s="58" t="str">
        <f t="shared" si="41"/>
        <v/>
      </c>
      <c r="AK80" s="31">
        <f t="shared" si="25"/>
        <v>0</v>
      </c>
      <c r="AL80" s="21">
        <f t="shared" si="26"/>
        <v>0</v>
      </c>
      <c r="AM80" s="62" t="str">
        <f t="shared" si="27"/>
        <v/>
      </c>
      <c r="AN80" s="21">
        <f t="shared" si="42"/>
        <v>0</v>
      </c>
      <c r="AO80" s="62" t="str">
        <f t="shared" si="43"/>
        <v/>
      </c>
      <c r="AP80" s="21">
        <f t="shared" si="13"/>
        <v>0</v>
      </c>
      <c r="AQ80" s="62" t="str">
        <f t="shared" si="44"/>
        <v/>
      </c>
      <c r="AR80" s="31">
        <f t="shared" si="28"/>
        <v>0</v>
      </c>
      <c r="AS80" s="21">
        <f t="shared" si="29"/>
        <v>0</v>
      </c>
      <c r="AT80" s="62" t="str">
        <f t="shared" si="45"/>
        <v/>
      </c>
      <c r="AU80" s="84">
        <f t="shared" si="46"/>
        <v>0</v>
      </c>
      <c r="AV80" s="32">
        <f t="shared" si="47"/>
        <v>0</v>
      </c>
      <c r="AW80" s="85" t="str">
        <f t="shared" si="48"/>
        <v/>
      </c>
      <c r="AX80" s="86" t="str">
        <f t="shared" si="54"/>
        <v/>
      </c>
    </row>
    <row r="81" spans="1:50" x14ac:dyDescent="0.2">
      <c r="A81" s="29" t="str">
        <f>IF(A80="","",IF(C81="","",A80))</f>
        <v/>
      </c>
      <c r="B81" s="32" t="str">
        <f>IF(B80="","",IF(C81="","",B80))</f>
        <v/>
      </c>
      <c r="C81" s="35"/>
      <c r="D81" s="33" t="str">
        <f>IF(A81="","",IF(D80="","",D80))</f>
        <v/>
      </c>
      <c r="E81" s="22" t="str">
        <f>IF(A81="","",IF(E80="","",E80))</f>
        <v/>
      </c>
      <c r="F81" s="23" t="str">
        <f>IF(A81="","",IF(F80="","",F80))</f>
        <v/>
      </c>
      <c r="G81" s="23"/>
      <c r="H81" s="22"/>
      <c r="I81" s="23"/>
      <c r="J81" s="18"/>
      <c r="K81" s="13" t="str">
        <f t="shared" si="58"/>
        <v/>
      </c>
      <c r="L81" s="28" t="str">
        <f t="shared" si="20"/>
        <v/>
      </c>
      <c r="M81" s="10" t="str">
        <f t="shared" si="59"/>
        <v/>
      </c>
      <c r="N81" s="17" t="str">
        <f t="shared" si="60"/>
        <v/>
      </c>
      <c r="O81" s="39" t="str">
        <f t="shared" si="61"/>
        <v/>
      </c>
      <c r="P81" s="41" t="str">
        <f t="shared" si="62"/>
        <v/>
      </c>
      <c r="Q81" s="9" t="str">
        <f t="shared" si="10"/>
        <v/>
      </c>
      <c r="R81" s="14">
        <f t="shared" si="21"/>
        <v>0</v>
      </c>
      <c r="S81" s="61" t="str">
        <f t="shared" si="11"/>
        <v/>
      </c>
      <c r="T81" s="14">
        <f t="shared" si="30"/>
        <v>0</v>
      </c>
      <c r="U81" s="58" t="str">
        <f t="shared" si="31"/>
        <v/>
      </c>
      <c r="V81" s="14">
        <f t="shared" si="22"/>
        <v>0</v>
      </c>
      <c r="W81" s="58" t="str">
        <f t="shared" si="32"/>
        <v/>
      </c>
      <c r="X81" s="14">
        <f t="shared" si="23"/>
        <v>0</v>
      </c>
      <c r="Y81" s="58" t="str">
        <f t="shared" si="33"/>
        <v/>
      </c>
      <c r="Z81" s="31">
        <f t="shared" si="24"/>
        <v>0</v>
      </c>
      <c r="AA81" s="21">
        <f t="shared" si="34"/>
        <v>0</v>
      </c>
      <c r="AB81" s="58" t="str">
        <f t="shared" si="35"/>
        <v/>
      </c>
      <c r="AC81" s="630">
        <f t="shared" si="12"/>
        <v>0</v>
      </c>
      <c r="AD81" s="627"/>
      <c r="AE81" s="21">
        <f t="shared" si="36"/>
        <v>0</v>
      </c>
      <c r="AF81" s="58" t="str">
        <f t="shared" si="37"/>
        <v/>
      </c>
      <c r="AG81" s="21">
        <f t="shared" si="38"/>
        <v>0</v>
      </c>
      <c r="AH81" s="58" t="str">
        <f t="shared" si="39"/>
        <v/>
      </c>
      <c r="AI81" s="21">
        <f t="shared" si="40"/>
        <v>0</v>
      </c>
      <c r="AJ81" s="58" t="str">
        <f t="shared" si="41"/>
        <v/>
      </c>
      <c r="AK81" s="31">
        <f t="shared" si="25"/>
        <v>0</v>
      </c>
      <c r="AL81" s="21">
        <f t="shared" si="26"/>
        <v>0</v>
      </c>
      <c r="AM81" s="62" t="str">
        <f t="shared" si="27"/>
        <v/>
      </c>
      <c r="AN81" s="21">
        <f t="shared" si="42"/>
        <v>0</v>
      </c>
      <c r="AO81" s="62" t="str">
        <f t="shared" si="43"/>
        <v/>
      </c>
      <c r="AP81" s="21">
        <f t="shared" si="13"/>
        <v>0</v>
      </c>
      <c r="AQ81" s="62" t="str">
        <f t="shared" si="44"/>
        <v/>
      </c>
      <c r="AR81" s="31">
        <f t="shared" si="28"/>
        <v>0</v>
      </c>
      <c r="AS81" s="21">
        <f t="shared" si="29"/>
        <v>0</v>
      </c>
      <c r="AT81" s="62" t="str">
        <f t="shared" si="45"/>
        <v/>
      </c>
      <c r="AU81" s="84">
        <f t="shared" si="46"/>
        <v>0</v>
      </c>
      <c r="AV81" s="32">
        <f t="shared" si="47"/>
        <v>0</v>
      </c>
      <c r="AW81" s="85" t="str">
        <f t="shared" si="48"/>
        <v/>
      </c>
      <c r="AX81" s="86" t="str">
        <f t="shared" si="54"/>
        <v/>
      </c>
    </row>
    <row r="82" spans="1:50" x14ac:dyDescent="0.2">
      <c r="A82" s="29" t="str">
        <f>IF(A81="","",IF(C82="","",A81))</f>
        <v/>
      </c>
      <c r="B82" s="32" t="str">
        <f>IF(B81="","",IF(C82="","",B81))</f>
        <v/>
      </c>
      <c r="C82" s="35"/>
      <c r="D82" s="33" t="str">
        <f>IF(A82="","",IF(D81="","",D81))</f>
        <v/>
      </c>
      <c r="E82" s="22" t="str">
        <f>IF(A82="","",IF(E81="","",E81))</f>
        <v/>
      </c>
      <c r="F82" s="23" t="str">
        <f>IF(A82="","",IF(F81="","",F81))</f>
        <v/>
      </c>
      <c r="G82" s="23"/>
      <c r="H82" s="22"/>
      <c r="I82" s="23"/>
      <c r="J82" s="18"/>
      <c r="K82" s="13" t="str">
        <f t="shared" si="58"/>
        <v/>
      </c>
      <c r="L82" s="28" t="str">
        <f t="shared" si="20"/>
        <v/>
      </c>
      <c r="M82" s="10" t="str">
        <f t="shared" si="59"/>
        <v/>
      </c>
      <c r="N82" s="17" t="str">
        <f t="shared" si="60"/>
        <v/>
      </c>
      <c r="O82" s="39" t="str">
        <f t="shared" si="61"/>
        <v/>
      </c>
      <c r="P82" s="41" t="str">
        <f t="shared" si="62"/>
        <v/>
      </c>
      <c r="Q82" s="9" t="str">
        <f t="shared" si="10"/>
        <v/>
      </c>
      <c r="R82" s="14">
        <f t="shared" si="21"/>
        <v>0</v>
      </c>
      <c r="S82" s="61" t="str">
        <f t="shared" si="11"/>
        <v/>
      </c>
      <c r="T82" s="14">
        <f t="shared" si="30"/>
        <v>0</v>
      </c>
      <c r="U82" s="58" t="str">
        <f t="shared" si="31"/>
        <v/>
      </c>
      <c r="V82" s="14">
        <f t="shared" si="22"/>
        <v>0</v>
      </c>
      <c r="W82" s="58" t="str">
        <f t="shared" si="32"/>
        <v/>
      </c>
      <c r="X82" s="14">
        <f t="shared" si="23"/>
        <v>0</v>
      </c>
      <c r="Y82" s="58" t="str">
        <f t="shared" si="33"/>
        <v/>
      </c>
      <c r="Z82" s="31">
        <f t="shared" si="24"/>
        <v>0</v>
      </c>
      <c r="AA82" s="21">
        <f t="shared" si="34"/>
        <v>0</v>
      </c>
      <c r="AB82" s="58" t="str">
        <f t="shared" si="35"/>
        <v/>
      </c>
      <c r="AC82" s="630">
        <f t="shared" si="12"/>
        <v>0</v>
      </c>
      <c r="AD82" s="627"/>
      <c r="AE82" s="21">
        <f t="shared" si="36"/>
        <v>0</v>
      </c>
      <c r="AF82" s="58" t="str">
        <f t="shared" si="37"/>
        <v/>
      </c>
      <c r="AG82" s="21">
        <f t="shared" si="38"/>
        <v>0</v>
      </c>
      <c r="AH82" s="58" t="str">
        <f t="shared" si="39"/>
        <v/>
      </c>
      <c r="AI82" s="21">
        <f t="shared" si="40"/>
        <v>0</v>
      </c>
      <c r="AJ82" s="58" t="str">
        <f t="shared" si="41"/>
        <v/>
      </c>
      <c r="AK82" s="31">
        <f t="shared" si="25"/>
        <v>0</v>
      </c>
      <c r="AL82" s="21">
        <f t="shared" si="26"/>
        <v>0</v>
      </c>
      <c r="AM82" s="62" t="str">
        <f t="shared" si="27"/>
        <v/>
      </c>
      <c r="AN82" s="21">
        <f t="shared" si="42"/>
        <v>0</v>
      </c>
      <c r="AO82" s="62" t="str">
        <f t="shared" si="43"/>
        <v/>
      </c>
      <c r="AP82" s="21">
        <f t="shared" si="13"/>
        <v>0</v>
      </c>
      <c r="AQ82" s="62" t="str">
        <f t="shared" si="44"/>
        <v/>
      </c>
      <c r="AR82" s="31">
        <f t="shared" si="28"/>
        <v>0</v>
      </c>
      <c r="AS82" s="21">
        <f t="shared" si="29"/>
        <v>0</v>
      </c>
      <c r="AT82" s="62" t="str">
        <f t="shared" si="45"/>
        <v/>
      </c>
      <c r="AU82" s="84">
        <f t="shared" si="46"/>
        <v>0</v>
      </c>
      <c r="AV82" s="32">
        <f t="shared" si="47"/>
        <v>0</v>
      </c>
      <c r="AW82" s="85" t="str">
        <f t="shared" si="48"/>
        <v/>
      </c>
      <c r="AX82" s="86" t="str">
        <f t="shared" si="54"/>
        <v/>
      </c>
    </row>
    <row r="83" spans="1:50" x14ac:dyDescent="0.2">
      <c r="A83" s="29" t="str">
        <f>IF(A82="","",IF(C83="","",A82))</f>
        <v/>
      </c>
      <c r="B83" s="32" t="str">
        <f>IF(B82="","",IF(C83="","",B82))</f>
        <v/>
      </c>
      <c r="C83" s="95"/>
      <c r="D83" s="33" t="str">
        <f>IF(A83="","",IF(D82="","",D82))</f>
        <v/>
      </c>
      <c r="E83" s="22" t="str">
        <f>IF(A83="","",IF(E82="","",E82))</f>
        <v/>
      </c>
      <c r="F83" s="23" t="str">
        <f>IF(A83="","",IF(F82="","",F82))</f>
        <v/>
      </c>
      <c r="G83" s="23"/>
      <c r="H83" s="22"/>
      <c r="I83" s="23"/>
      <c r="J83" s="18"/>
      <c r="K83" s="40" t="str">
        <f t="shared" si="58"/>
        <v/>
      </c>
      <c r="L83" s="28" t="str">
        <f t="shared" si="20"/>
        <v/>
      </c>
      <c r="M83" s="97" t="str">
        <f t="shared" si="59"/>
        <v/>
      </c>
      <c r="N83" s="30" t="str">
        <f t="shared" si="60"/>
        <v/>
      </c>
      <c r="O83" s="33" t="str">
        <f t="shared" si="61"/>
        <v/>
      </c>
      <c r="P83" s="41" t="str">
        <f t="shared" si="62"/>
        <v/>
      </c>
      <c r="Q83" s="16" t="str">
        <f t="shared" si="10"/>
        <v/>
      </c>
      <c r="R83" s="15">
        <f t="shared" si="21"/>
        <v>0</v>
      </c>
      <c r="S83" s="64" t="str">
        <f t="shared" si="11"/>
        <v/>
      </c>
      <c r="T83" s="15">
        <f t="shared" si="30"/>
        <v>0</v>
      </c>
      <c r="U83" s="65" t="str">
        <f t="shared" si="31"/>
        <v/>
      </c>
      <c r="V83" s="15">
        <f t="shared" si="22"/>
        <v>0</v>
      </c>
      <c r="W83" s="65" t="str">
        <f t="shared" si="32"/>
        <v/>
      </c>
      <c r="X83" s="15">
        <f t="shared" si="23"/>
        <v>0</v>
      </c>
      <c r="Y83" s="65" t="str">
        <f t="shared" si="33"/>
        <v/>
      </c>
      <c r="Z83" s="57">
        <f t="shared" si="24"/>
        <v>0</v>
      </c>
      <c r="AA83" s="60">
        <f t="shared" si="34"/>
        <v>0</v>
      </c>
      <c r="AB83" s="65" t="str">
        <f t="shared" si="35"/>
        <v/>
      </c>
      <c r="AC83" s="630">
        <f t="shared" si="12"/>
        <v>0</v>
      </c>
      <c r="AD83" s="628"/>
      <c r="AE83" s="60">
        <f t="shared" si="36"/>
        <v>0</v>
      </c>
      <c r="AF83" s="65" t="str">
        <f t="shared" si="37"/>
        <v/>
      </c>
      <c r="AG83" s="60">
        <f t="shared" si="38"/>
        <v>0</v>
      </c>
      <c r="AH83" s="65" t="str">
        <f t="shared" si="39"/>
        <v/>
      </c>
      <c r="AI83" s="60">
        <f t="shared" si="40"/>
        <v>0</v>
      </c>
      <c r="AJ83" s="65" t="str">
        <f t="shared" si="41"/>
        <v/>
      </c>
      <c r="AK83" s="57">
        <f t="shared" si="25"/>
        <v>0</v>
      </c>
      <c r="AL83" s="60">
        <f t="shared" si="26"/>
        <v>0</v>
      </c>
      <c r="AM83" s="65" t="str">
        <f t="shared" si="27"/>
        <v/>
      </c>
      <c r="AN83" s="60">
        <f t="shared" si="42"/>
        <v>0</v>
      </c>
      <c r="AO83" s="65" t="str">
        <f t="shared" si="43"/>
        <v/>
      </c>
      <c r="AP83" s="60">
        <f t="shared" si="13"/>
        <v>0</v>
      </c>
      <c r="AQ83" s="65" t="str">
        <f t="shared" si="44"/>
        <v/>
      </c>
      <c r="AR83" s="57">
        <f t="shared" si="28"/>
        <v>0</v>
      </c>
      <c r="AS83" s="60">
        <f t="shared" si="29"/>
        <v>0</v>
      </c>
      <c r="AT83" s="65" t="str">
        <f t="shared" si="45"/>
        <v/>
      </c>
      <c r="AU83" s="87">
        <f t="shared" si="46"/>
        <v>0</v>
      </c>
      <c r="AV83" s="68">
        <f t="shared" si="47"/>
        <v>0</v>
      </c>
      <c r="AW83" s="88" t="str">
        <f t="shared" si="48"/>
        <v/>
      </c>
      <c r="AX83" s="89" t="str">
        <f t="shared" si="54"/>
        <v/>
      </c>
    </row>
    <row r="84" spans="1:50" x14ac:dyDescent="0.2">
      <c r="A84" s="29" t="str">
        <f t="shared" ref="A84:A99" si="63">IF(A83="","",IF(C84="","",A83))</f>
        <v/>
      </c>
      <c r="B84" s="32" t="str">
        <f t="shared" ref="B84:B99" si="64">IF(B83="","",IF(C84="","",B83))</f>
        <v/>
      </c>
      <c r="C84" s="34"/>
      <c r="D84" s="39" t="str">
        <f>IF(A84="","",IF(D83="","",D83))</f>
        <v/>
      </c>
      <c r="E84" s="74" t="str">
        <f>IF(A84="","",IF(E83="","",E83))</f>
        <v/>
      </c>
      <c r="F84" s="75" t="str">
        <f>IF(A84="","",IF(F83="","",F83))</f>
        <v/>
      </c>
      <c r="G84" s="75"/>
      <c r="H84" s="74"/>
      <c r="I84" s="75"/>
      <c r="J84" s="76"/>
      <c r="K84" s="13" t="str">
        <f t="shared" si="58"/>
        <v/>
      </c>
      <c r="L84" s="96" t="str">
        <f t="shared" si="20"/>
        <v/>
      </c>
      <c r="M84" s="39" t="str">
        <f t="shared" si="59"/>
        <v/>
      </c>
      <c r="N84" s="17" t="str">
        <f t="shared" ref="N84:N115" si="65">IF(M84="","",IF($N$4="M",(A84+B84+Q84)*C84*0.022,(A84+B84+Q84)*C84*0.17))</f>
        <v/>
      </c>
      <c r="O84" s="39" t="str">
        <f t="shared" si="61"/>
        <v/>
      </c>
      <c r="P84" s="77" t="str">
        <f t="shared" ref="P84:P115" si="66">IF(O84="","",IF($N$4="M",IF(O84=1,(A84+B84+Q84)*C84*0.022*1.1,(A84+B84+Q84)*C84*0.022*1.15),IF(O84=1,(A84+B84+Q84)*C84*0.17*1.1,(A84+B84+Q84)*C84*0.17*1.15)))</f>
        <v/>
      </c>
      <c r="Q84" s="55" t="str">
        <f t="shared" ref="Q84:Q147" si="67">IF($N$4="M",IF(A84="","",IF(D84=1,50,IF(D84=2,100,IF(D84=21,100,IF(D84=3,200,0))))),IF(A84="","",IF(D84=1,2,IF(D84=2,4,IF(D84=21,4,IF(D84=3,8,0))))))</f>
        <v/>
      </c>
      <c r="R84" s="66">
        <f t="shared" si="21"/>
        <v>0</v>
      </c>
      <c r="S84" s="67" t="str">
        <f t="shared" si="11"/>
        <v/>
      </c>
      <c r="T84" s="66">
        <f t="shared" si="30"/>
        <v>0</v>
      </c>
      <c r="U84" s="59" t="str">
        <f t="shared" si="31"/>
        <v/>
      </c>
      <c r="V84" s="66">
        <f t="shared" si="22"/>
        <v>0</v>
      </c>
      <c r="W84" s="59" t="str">
        <f t="shared" si="32"/>
        <v/>
      </c>
      <c r="X84" s="66">
        <f t="shared" si="23"/>
        <v>0</v>
      </c>
      <c r="Y84" s="59" t="str">
        <f t="shared" si="33"/>
        <v/>
      </c>
      <c r="Z84" s="54">
        <f t="shared" si="24"/>
        <v>0</v>
      </c>
      <c r="AA84" s="53">
        <f t="shared" si="34"/>
        <v>0</v>
      </c>
      <c r="AB84" s="59" t="str">
        <f t="shared" si="35"/>
        <v/>
      </c>
      <c r="AC84" s="630">
        <f t="shared" si="12"/>
        <v>0</v>
      </c>
      <c r="AD84" s="629"/>
      <c r="AE84" s="53">
        <f t="shared" si="36"/>
        <v>0</v>
      </c>
      <c r="AF84" s="59" t="str">
        <f t="shared" si="37"/>
        <v/>
      </c>
      <c r="AG84" s="53">
        <f t="shared" si="38"/>
        <v>0</v>
      </c>
      <c r="AH84" s="59" t="str">
        <f t="shared" si="39"/>
        <v/>
      </c>
      <c r="AI84" s="53">
        <f t="shared" si="40"/>
        <v>0</v>
      </c>
      <c r="AJ84" s="59" t="str">
        <f t="shared" si="41"/>
        <v/>
      </c>
      <c r="AK84" s="54">
        <f t="shared" si="25"/>
        <v>0</v>
      </c>
      <c r="AL84" s="53">
        <f t="shared" si="26"/>
        <v>0</v>
      </c>
      <c r="AM84" s="59" t="str">
        <f t="shared" si="27"/>
        <v/>
      </c>
      <c r="AN84" s="53">
        <f t="shared" si="42"/>
        <v>0</v>
      </c>
      <c r="AO84" s="59" t="str">
        <f t="shared" si="43"/>
        <v/>
      </c>
      <c r="AP84" s="53">
        <f t="shared" si="13"/>
        <v>0</v>
      </c>
      <c r="AQ84" s="59" t="str">
        <f t="shared" si="44"/>
        <v/>
      </c>
      <c r="AR84" s="54">
        <f t="shared" si="28"/>
        <v>0</v>
      </c>
      <c r="AS84" s="53">
        <f t="shared" si="29"/>
        <v>0</v>
      </c>
      <c r="AT84" s="59" t="str">
        <f t="shared" si="45"/>
        <v/>
      </c>
      <c r="AU84" s="82">
        <f t="shared" si="46"/>
        <v>0</v>
      </c>
      <c r="AV84" s="69">
        <f t="shared" si="47"/>
        <v>0</v>
      </c>
      <c r="AW84" s="83" t="str">
        <f t="shared" si="48"/>
        <v/>
      </c>
      <c r="AX84" s="90" t="str">
        <f t="shared" si="54"/>
        <v/>
      </c>
    </row>
    <row r="85" spans="1:50" x14ac:dyDescent="0.2">
      <c r="A85" s="29" t="str">
        <f t="shared" si="63"/>
        <v/>
      </c>
      <c r="B85" s="32" t="str">
        <f t="shared" si="64"/>
        <v/>
      </c>
      <c r="C85" s="34"/>
      <c r="D85" s="33" t="str">
        <f>IF(A85="","",IF(D84="","",D84))</f>
        <v/>
      </c>
      <c r="E85" s="74" t="str">
        <f>IF(A85="","",IF(E84="","",E84))</f>
        <v/>
      </c>
      <c r="F85" s="75" t="str">
        <f>IF(A85="","",IF(F84="","",F84))</f>
        <v/>
      </c>
      <c r="G85" s="75"/>
      <c r="H85" s="74"/>
      <c r="I85" s="75"/>
      <c r="J85" s="76"/>
      <c r="K85" s="13" t="str">
        <f t="shared" si="58"/>
        <v/>
      </c>
      <c r="L85" s="28" t="str">
        <f t="shared" si="20"/>
        <v/>
      </c>
      <c r="M85" s="39" t="str">
        <f t="shared" si="59"/>
        <v/>
      </c>
      <c r="N85" s="17" t="str">
        <f t="shared" si="65"/>
        <v/>
      </c>
      <c r="O85" s="39" t="str">
        <f t="shared" si="61"/>
        <v/>
      </c>
      <c r="P85" s="77" t="str">
        <f t="shared" si="66"/>
        <v/>
      </c>
      <c r="Q85" s="78" t="str">
        <f t="shared" si="67"/>
        <v/>
      </c>
      <c r="R85" s="79">
        <f t="shared" si="21"/>
        <v>0</v>
      </c>
      <c r="S85" s="61" t="str">
        <f t="shared" ref="S85:S148" si="68">IF(A85="","",IF($N$4="M",A85*B85*0.000011111*R85*1.5,A85*B85/144*R85*1.5))</f>
        <v/>
      </c>
      <c r="T85" s="79">
        <f t="shared" si="30"/>
        <v>0</v>
      </c>
      <c r="U85" s="58" t="str">
        <f t="shared" si="31"/>
        <v/>
      </c>
      <c r="V85" s="79">
        <f t="shared" si="22"/>
        <v>0</v>
      </c>
      <c r="W85" s="58" t="str">
        <f t="shared" si="32"/>
        <v/>
      </c>
      <c r="X85" s="79">
        <f t="shared" si="23"/>
        <v>0</v>
      </c>
      <c r="Y85" s="58" t="str">
        <f t="shared" si="33"/>
        <v/>
      </c>
      <c r="Z85" s="73">
        <f t="shared" si="24"/>
        <v>0</v>
      </c>
      <c r="AA85" s="80">
        <f t="shared" si="34"/>
        <v>0</v>
      </c>
      <c r="AB85" s="58" t="str">
        <f t="shared" si="35"/>
        <v/>
      </c>
      <c r="AC85" s="630">
        <f t="shared" ref="AC85:AC148" si="69">COUNTIF(G85:J85,100)</f>
        <v>0</v>
      </c>
      <c r="AD85" s="627"/>
      <c r="AE85" s="80">
        <f t="shared" si="36"/>
        <v>0</v>
      </c>
      <c r="AF85" s="58" t="str">
        <f t="shared" si="37"/>
        <v/>
      </c>
      <c r="AG85" s="80">
        <f t="shared" si="38"/>
        <v>0</v>
      </c>
      <c r="AH85" s="58" t="str">
        <f t="shared" si="39"/>
        <v/>
      </c>
      <c r="AI85" s="80">
        <f t="shared" si="40"/>
        <v>0</v>
      </c>
      <c r="AJ85" s="58" t="str">
        <f t="shared" si="41"/>
        <v/>
      </c>
      <c r="AK85" s="73">
        <f t="shared" si="25"/>
        <v>0</v>
      </c>
      <c r="AL85" s="80">
        <f t="shared" si="26"/>
        <v>0</v>
      </c>
      <c r="AM85" s="58" t="str">
        <f t="shared" si="27"/>
        <v/>
      </c>
      <c r="AN85" s="80">
        <f t="shared" si="42"/>
        <v>0</v>
      </c>
      <c r="AO85" s="58" t="str">
        <f t="shared" si="43"/>
        <v/>
      </c>
      <c r="AP85" s="80">
        <f t="shared" si="13"/>
        <v>0</v>
      </c>
      <c r="AQ85" s="58" t="str">
        <f t="shared" si="44"/>
        <v/>
      </c>
      <c r="AR85" s="73">
        <f t="shared" si="28"/>
        <v>0</v>
      </c>
      <c r="AS85" s="80">
        <f t="shared" si="29"/>
        <v>0</v>
      </c>
      <c r="AT85" s="58" t="str">
        <f t="shared" si="45"/>
        <v/>
      </c>
      <c r="AU85" s="84">
        <f t="shared" si="46"/>
        <v>0</v>
      </c>
      <c r="AV85" s="32">
        <f t="shared" si="47"/>
        <v>0</v>
      </c>
      <c r="AW85" s="85" t="str">
        <f t="shared" si="48"/>
        <v/>
      </c>
      <c r="AX85" s="86" t="str">
        <f t="shared" si="54"/>
        <v/>
      </c>
    </row>
    <row r="86" spans="1:50" x14ac:dyDescent="0.2">
      <c r="A86" s="29" t="str">
        <f t="shared" si="63"/>
        <v/>
      </c>
      <c r="B86" s="32" t="str">
        <f t="shared" si="64"/>
        <v/>
      </c>
      <c r="C86" s="35"/>
      <c r="D86" s="33" t="str">
        <f>IF(A86="","",IF(D85="","",D85))</f>
        <v/>
      </c>
      <c r="E86" s="22" t="str">
        <f>IF(A86="","",IF(E85="","",E85))</f>
        <v/>
      </c>
      <c r="F86" s="23" t="str">
        <f>IF(A86="","",IF(F85="","",F85))</f>
        <v/>
      </c>
      <c r="G86" s="23"/>
      <c r="H86" s="22"/>
      <c r="I86" s="23"/>
      <c r="J86" s="18"/>
      <c r="K86" s="13" t="str">
        <f t="shared" si="58"/>
        <v/>
      </c>
      <c r="L86" s="28" t="str">
        <f t="shared" ref="L86:L149" si="70">IF($N$4="M",IF(A86="","",IF(K86=26,(A86+B86+Q86)*C86*0.02739,IF(K86=24,(A86+B86+Q86)*C86*0.02739,IF(K86=22,(A86+B86+Q86)*C86*0.0333,IF(K86=20,(A86+B86+Q86)*C86*0.0393,IF(K86=18,(A86+B86+Q86)*C86*0.0511,IF(K86=16,(A86+B86+Q86)*C86*0.0628))))))),IF(A86="","",IF(K86=26,(A86+B86+Q86)*C86*0.211,IF(K86=24,(A86+B86+Q86)*C86*0.211,IF(K86=22,(A86+B86+Q86)*C86*0.258,IF(K86=20,(A86+B86+Q86)*C86*0.304,IF(K86=18,(A86+B86+Q86)*C86*0.395,IF(K86=16,(A86+B86+Q86)*C86*0.487))))))))</f>
        <v/>
      </c>
      <c r="M86" s="10" t="str">
        <f t="shared" si="59"/>
        <v/>
      </c>
      <c r="N86" s="17" t="str">
        <f t="shared" si="65"/>
        <v/>
      </c>
      <c r="O86" s="39" t="str">
        <f t="shared" si="61"/>
        <v/>
      </c>
      <c r="P86" s="41" t="str">
        <f t="shared" si="66"/>
        <v/>
      </c>
      <c r="Q86" s="9" t="str">
        <f t="shared" si="67"/>
        <v/>
      </c>
      <c r="R86" s="14">
        <f t="shared" ref="R86:R149" si="71">COUNTIF(G86:J86,7)</f>
        <v>0</v>
      </c>
      <c r="S86" s="61" t="str">
        <f t="shared" si="68"/>
        <v/>
      </c>
      <c r="T86" s="14">
        <f t="shared" si="30"/>
        <v>0</v>
      </c>
      <c r="U86" s="58" t="str">
        <f t="shared" si="31"/>
        <v/>
      </c>
      <c r="V86" s="14">
        <f t="shared" ref="V86:V149" si="72">COUNTIF(G86:J86,8)</f>
        <v>0</v>
      </c>
      <c r="W86" s="58" t="str">
        <f t="shared" si="32"/>
        <v/>
      </c>
      <c r="X86" s="14">
        <f t="shared" ref="X86:X149" si="73">COUNTIF(G86:J86,81)</f>
        <v>0</v>
      </c>
      <c r="Y86" s="58" t="str">
        <f t="shared" si="33"/>
        <v/>
      </c>
      <c r="Z86" s="31">
        <f t="shared" ref="Z86:Z149" si="74">COUNTIF(G86:J86,9)</f>
        <v>0</v>
      </c>
      <c r="AA86" s="21">
        <f t="shared" si="34"/>
        <v>0</v>
      </c>
      <c r="AB86" s="58" t="str">
        <f t="shared" si="35"/>
        <v/>
      </c>
      <c r="AC86" s="630">
        <f t="shared" si="69"/>
        <v>0</v>
      </c>
      <c r="AD86" s="627"/>
      <c r="AE86" s="21">
        <f t="shared" si="36"/>
        <v>0</v>
      </c>
      <c r="AF86" s="58" t="str">
        <f t="shared" si="37"/>
        <v/>
      </c>
      <c r="AG86" s="21">
        <f t="shared" si="38"/>
        <v>0</v>
      </c>
      <c r="AH86" s="58" t="str">
        <f t="shared" si="39"/>
        <v/>
      </c>
      <c r="AI86" s="21">
        <f t="shared" si="40"/>
        <v>0</v>
      </c>
      <c r="AJ86" s="58" t="str">
        <f t="shared" si="41"/>
        <v/>
      </c>
      <c r="AK86" s="31">
        <f t="shared" ref="AK86:AK149" si="75">COUNTIF(G86:J86,13)</f>
        <v>0</v>
      </c>
      <c r="AL86" s="21">
        <f t="shared" ref="AL86:AL149" si="76">COUNTIF(G86:J86,131)</f>
        <v>0</v>
      </c>
      <c r="AM86" s="62" t="str">
        <f t="shared" ref="AM86:AM149" si="77">IF(A86="","",IF($N$4="M",A86*B86*0.000011111*AL86,A86*B86/144*AL86))</f>
        <v/>
      </c>
      <c r="AN86" s="21">
        <f t="shared" si="42"/>
        <v>0</v>
      </c>
      <c r="AO86" s="62" t="str">
        <f t="shared" si="43"/>
        <v/>
      </c>
      <c r="AP86" s="21">
        <f t="shared" ref="AP86:AP149" si="78">COUNTIF(G86:J86,141)</f>
        <v>0</v>
      </c>
      <c r="AQ86" s="62" t="str">
        <f t="shared" si="44"/>
        <v/>
      </c>
      <c r="AR86" s="31">
        <f t="shared" ref="AR86:AR149" si="79">COUNTIF(G86:J86,15)</f>
        <v>0</v>
      </c>
      <c r="AS86" s="21">
        <f t="shared" ref="AS86:AS149" si="80">COUNTIF(G86:J86,16)</f>
        <v>0</v>
      </c>
      <c r="AT86" s="62" t="str">
        <f t="shared" si="45"/>
        <v/>
      </c>
      <c r="AU86" s="84">
        <f t="shared" si="46"/>
        <v>0</v>
      </c>
      <c r="AV86" s="32">
        <f t="shared" si="47"/>
        <v>0</v>
      </c>
      <c r="AW86" s="85" t="str">
        <f t="shared" si="48"/>
        <v/>
      </c>
      <c r="AX86" s="86" t="str">
        <f t="shared" si="54"/>
        <v/>
      </c>
    </row>
    <row r="87" spans="1:50" x14ac:dyDescent="0.2">
      <c r="A87" s="29" t="str">
        <f t="shared" si="63"/>
        <v/>
      </c>
      <c r="B87" s="32" t="str">
        <f t="shared" si="64"/>
        <v/>
      </c>
      <c r="C87" s="35"/>
      <c r="D87" s="33" t="str">
        <f>IF(A87="","",IF(D86="","",D86))</f>
        <v/>
      </c>
      <c r="E87" s="22" t="str">
        <f>IF(A87="","",IF(E86="","",E86))</f>
        <v/>
      </c>
      <c r="F87" s="23" t="str">
        <f>IF(A87="","",IF(F86="","",F86))</f>
        <v/>
      </c>
      <c r="G87" s="23"/>
      <c r="H87" s="22"/>
      <c r="I87" s="23"/>
      <c r="J87" s="18"/>
      <c r="K87" s="13" t="str">
        <f t="shared" ref="K87:K149" si="81">IF($N$4="M",IF(A87="","",IF(D87=6,16,IF(A87&lt;=$M$5,26,IF(A87&lt;=$M$6,24,IF(A87&lt;=$M$7,22,IF(A87&lt;=$M$8,20,18)))))),IF(A87="","",IF(D87=6,16,IF(A87&lt;=$P$5,26,IF(A87&lt;=$P$6,24,IF(A87&lt;=$P$7,22,IF(A87&lt;=$P$8,20,18)))))))</f>
        <v/>
      </c>
      <c r="L87" s="28" t="str">
        <f t="shared" si="70"/>
        <v/>
      </c>
      <c r="M87" s="10" t="str">
        <f t="shared" ref="M87:M150" si="82">IF(D87=1,0.5,IF(D87=2,"1 F",IF(D87=21,"1 R",IF(D87=3,2,""))))</f>
        <v/>
      </c>
      <c r="N87" s="17" t="str">
        <f t="shared" si="65"/>
        <v/>
      </c>
      <c r="O87" s="39" t="str">
        <f t="shared" ref="O87:O149" si="83">IF(D87=4,1,IF(D87=5,2,""))</f>
        <v/>
      </c>
      <c r="P87" s="41" t="str">
        <f t="shared" si="66"/>
        <v/>
      </c>
      <c r="Q87" s="9" t="str">
        <f t="shared" si="67"/>
        <v/>
      </c>
      <c r="R87" s="14">
        <f t="shared" si="71"/>
        <v>0</v>
      </c>
      <c r="S87" s="61" t="str">
        <f t="shared" si="68"/>
        <v/>
      </c>
      <c r="T87" s="14">
        <f t="shared" ref="T87:T150" si="84">COUNTIF(G87:J87,71)</f>
        <v>0</v>
      </c>
      <c r="U87" s="58" t="str">
        <f t="shared" ref="U87:U150" si="85">IF(A87="","",IF($N$4="M",A87*B87*0.000011111*T87*1.5,A87*B87/144*T87*1.5))</f>
        <v/>
      </c>
      <c r="V87" s="14">
        <f t="shared" si="72"/>
        <v>0</v>
      </c>
      <c r="W87" s="58" t="str">
        <f t="shared" ref="W87:W150" si="86">IF(A87="","",IF($N$4="M",(A87+B87)*2*0.0032808*V87,(A87+B87)*2*V87/12))</f>
        <v/>
      </c>
      <c r="X87" s="14">
        <f t="shared" si="73"/>
        <v>0</v>
      </c>
      <c r="Y87" s="58" t="str">
        <f t="shared" ref="Y87:Y150" si="87">IF(A87="","",IF($N$4="M",(A87+B87)*2*0.0032808*X87,(A87+B87)*2*X87/12))</f>
        <v/>
      </c>
      <c r="Z87" s="31">
        <f t="shared" si="74"/>
        <v>0</v>
      </c>
      <c r="AA87" s="21">
        <f t="shared" ref="AA87:AA150" si="88">COUNTIF(G87:J87,10)</f>
        <v>0</v>
      </c>
      <c r="AB87" s="58" t="str">
        <f t="shared" ref="AB87:AB150" si="89">IF(A87="","",IF($N$4="M",(A87+B87)*2*0.0032808*AA87,(A87+B87)*2*AA87/12))</f>
        <v/>
      </c>
      <c r="AC87" s="630">
        <f t="shared" si="69"/>
        <v>0</v>
      </c>
      <c r="AD87" s="627"/>
      <c r="AE87" s="21">
        <f t="shared" ref="AE87:AE150" si="90">COUNTIF(G87:J87,11)</f>
        <v>0</v>
      </c>
      <c r="AF87" s="58" t="str">
        <f t="shared" ref="AF87:AF150" si="91">IF(A87="","",IF($N$4="M",A87*B87*0.000011111*AE87,A87*B87/144*AE87))</f>
        <v/>
      </c>
      <c r="AG87" s="21">
        <f t="shared" ref="AG87:AG150" si="92">COUNTIF(G87:J87,111)</f>
        <v>0</v>
      </c>
      <c r="AH87" s="58" t="str">
        <f t="shared" ref="AH87:AH150" si="93">IF(A87="","",IF($N$4="M",A87*B87*0.000011111*AG87,A87*B87/144*AG87))</f>
        <v/>
      </c>
      <c r="AI87" s="21">
        <f t="shared" ref="AI87:AI150" si="94">COUNTIF(G87:J87,12)</f>
        <v>0</v>
      </c>
      <c r="AJ87" s="58" t="str">
        <f t="shared" ref="AJ87:AJ150" si="95">IF(A87="","",IF($N$4="M",A87*B87*0.000011111*AI87,A87*B87/144*AI87))</f>
        <v/>
      </c>
      <c r="AK87" s="31">
        <f t="shared" si="75"/>
        <v>0</v>
      </c>
      <c r="AL87" s="21">
        <f t="shared" si="76"/>
        <v>0</v>
      </c>
      <c r="AM87" s="62" t="str">
        <f t="shared" si="77"/>
        <v/>
      </c>
      <c r="AN87" s="21">
        <f t="shared" ref="AN87:AN150" si="96">COUNTIF(G87:J87,14)</f>
        <v>0</v>
      </c>
      <c r="AO87" s="62" t="str">
        <f t="shared" ref="AO87:AO150" si="97">IF(A87="","",IF($N$4="M",A87*B87*0.000011111*AN87,A87*B87/144*AN87))</f>
        <v/>
      </c>
      <c r="AP87" s="21">
        <f t="shared" si="78"/>
        <v>0</v>
      </c>
      <c r="AQ87" s="62" t="str">
        <f t="shared" ref="AQ87:AQ150" si="98">IF(A87="","",IF($N$4="M",A87*B87*0.000011111*AP87,A87*B87/144*AP87))</f>
        <v/>
      </c>
      <c r="AR87" s="31">
        <f t="shared" si="79"/>
        <v>0</v>
      </c>
      <c r="AS87" s="21">
        <f t="shared" si="80"/>
        <v>0</v>
      </c>
      <c r="AT87" s="62" t="str">
        <f t="shared" ref="AT87:AT150" si="99">IF(A87="","",IF($N$4="M",A87*B87*0.000011111*AS87,A87*B87/144*AS87))</f>
        <v/>
      </c>
      <c r="AU87" s="84">
        <f t="shared" ref="AU87:AU150" si="100">IF(D87=61,C87,0)</f>
        <v>0</v>
      </c>
      <c r="AV87" s="32">
        <f t="shared" si="47"/>
        <v>0</v>
      </c>
      <c r="AW87" s="85" t="str">
        <f t="shared" si="48"/>
        <v/>
      </c>
      <c r="AX87" s="86" t="str">
        <f t="shared" si="54"/>
        <v/>
      </c>
    </row>
    <row r="88" spans="1:50" x14ac:dyDescent="0.2">
      <c r="A88" s="29" t="str">
        <f t="shared" si="63"/>
        <v/>
      </c>
      <c r="B88" s="32" t="str">
        <f t="shared" si="64"/>
        <v/>
      </c>
      <c r="C88" s="35"/>
      <c r="D88" s="33" t="str">
        <f>IF(A88="","",IF(D87="","",D87))</f>
        <v/>
      </c>
      <c r="E88" s="22" t="str">
        <f>IF(A88="","",IF(E87="","",E87))</f>
        <v/>
      </c>
      <c r="F88" s="23" t="str">
        <f>IF(A88="","",IF(F87="","",F87))</f>
        <v/>
      </c>
      <c r="G88" s="23"/>
      <c r="H88" s="22"/>
      <c r="I88" s="23"/>
      <c r="J88" s="18"/>
      <c r="K88" s="13" t="str">
        <f t="shared" si="81"/>
        <v/>
      </c>
      <c r="L88" s="28" t="str">
        <f t="shared" si="70"/>
        <v/>
      </c>
      <c r="M88" s="10" t="str">
        <f t="shared" si="82"/>
        <v/>
      </c>
      <c r="N88" s="17" t="str">
        <f t="shared" si="65"/>
        <v/>
      </c>
      <c r="O88" s="39" t="str">
        <f t="shared" si="83"/>
        <v/>
      </c>
      <c r="P88" s="41" t="str">
        <f t="shared" si="66"/>
        <v/>
      </c>
      <c r="Q88" s="9" t="str">
        <f t="shared" si="67"/>
        <v/>
      </c>
      <c r="R88" s="14">
        <f t="shared" si="71"/>
        <v>0</v>
      </c>
      <c r="S88" s="61" t="str">
        <f t="shared" si="68"/>
        <v/>
      </c>
      <c r="T88" s="14">
        <f t="shared" si="84"/>
        <v>0</v>
      </c>
      <c r="U88" s="58" t="str">
        <f t="shared" si="85"/>
        <v/>
      </c>
      <c r="V88" s="14">
        <f t="shared" si="72"/>
        <v>0</v>
      </c>
      <c r="W88" s="58" t="str">
        <f t="shared" si="86"/>
        <v/>
      </c>
      <c r="X88" s="14">
        <f t="shared" si="73"/>
        <v>0</v>
      </c>
      <c r="Y88" s="58" t="str">
        <f t="shared" si="87"/>
        <v/>
      </c>
      <c r="Z88" s="31">
        <f t="shared" si="74"/>
        <v>0</v>
      </c>
      <c r="AA88" s="21">
        <f t="shared" si="88"/>
        <v>0</v>
      </c>
      <c r="AB88" s="58" t="str">
        <f t="shared" si="89"/>
        <v/>
      </c>
      <c r="AC88" s="630">
        <f t="shared" si="69"/>
        <v>0</v>
      </c>
      <c r="AD88" s="627"/>
      <c r="AE88" s="21">
        <f t="shared" si="90"/>
        <v>0</v>
      </c>
      <c r="AF88" s="58" t="str">
        <f t="shared" si="91"/>
        <v/>
      </c>
      <c r="AG88" s="21">
        <f t="shared" si="92"/>
        <v>0</v>
      </c>
      <c r="AH88" s="58" t="str">
        <f t="shared" si="93"/>
        <v/>
      </c>
      <c r="AI88" s="21">
        <f t="shared" si="94"/>
        <v>0</v>
      </c>
      <c r="AJ88" s="58" t="str">
        <f t="shared" si="95"/>
        <v/>
      </c>
      <c r="AK88" s="31">
        <f t="shared" si="75"/>
        <v>0</v>
      </c>
      <c r="AL88" s="21">
        <f t="shared" si="76"/>
        <v>0</v>
      </c>
      <c r="AM88" s="62" t="str">
        <f t="shared" si="77"/>
        <v/>
      </c>
      <c r="AN88" s="21">
        <f t="shared" si="96"/>
        <v>0</v>
      </c>
      <c r="AO88" s="62" t="str">
        <f t="shared" si="97"/>
        <v/>
      </c>
      <c r="AP88" s="21">
        <f t="shared" si="78"/>
        <v>0</v>
      </c>
      <c r="AQ88" s="62" t="str">
        <f t="shared" si="98"/>
        <v/>
      </c>
      <c r="AR88" s="31">
        <f t="shared" si="79"/>
        <v>0</v>
      </c>
      <c r="AS88" s="21">
        <f t="shared" si="80"/>
        <v>0</v>
      </c>
      <c r="AT88" s="62" t="str">
        <f t="shared" si="99"/>
        <v/>
      </c>
      <c r="AU88" s="84">
        <f t="shared" si="100"/>
        <v>0</v>
      </c>
      <c r="AV88" s="32">
        <f t="shared" si="47"/>
        <v>0</v>
      </c>
      <c r="AW88" s="85" t="str">
        <f t="shared" si="48"/>
        <v/>
      </c>
      <c r="AX88" s="86" t="str">
        <f t="shared" si="54"/>
        <v/>
      </c>
    </row>
    <row r="89" spans="1:50" x14ac:dyDescent="0.2">
      <c r="A89" s="29" t="str">
        <f t="shared" si="63"/>
        <v/>
      </c>
      <c r="B89" s="32" t="str">
        <f t="shared" si="64"/>
        <v/>
      </c>
      <c r="C89" s="35"/>
      <c r="D89" s="33" t="str">
        <f>IF(A89="","",IF(D88="","",D88))</f>
        <v/>
      </c>
      <c r="E89" s="22" t="str">
        <f>IF(A89="","",IF(E88="","",E88))</f>
        <v/>
      </c>
      <c r="F89" s="23" t="str">
        <f>IF(A89="","",IF(F88="","",F88))</f>
        <v/>
      </c>
      <c r="G89" s="23"/>
      <c r="H89" s="22"/>
      <c r="I89" s="23"/>
      <c r="J89" s="18"/>
      <c r="K89" s="13" t="str">
        <f t="shared" si="81"/>
        <v/>
      </c>
      <c r="L89" s="28" t="str">
        <f t="shared" si="70"/>
        <v/>
      </c>
      <c r="M89" s="10" t="str">
        <f t="shared" si="82"/>
        <v/>
      </c>
      <c r="N89" s="17" t="str">
        <f t="shared" si="65"/>
        <v/>
      </c>
      <c r="O89" s="39" t="str">
        <f t="shared" si="83"/>
        <v/>
      </c>
      <c r="P89" s="41" t="str">
        <f t="shared" si="66"/>
        <v/>
      </c>
      <c r="Q89" s="9" t="str">
        <f t="shared" si="67"/>
        <v/>
      </c>
      <c r="R89" s="14">
        <f t="shared" si="71"/>
        <v>0</v>
      </c>
      <c r="S89" s="61" t="str">
        <f t="shared" si="68"/>
        <v/>
      </c>
      <c r="T89" s="14">
        <f t="shared" si="84"/>
        <v>0</v>
      </c>
      <c r="U89" s="58" t="str">
        <f t="shared" si="85"/>
        <v/>
      </c>
      <c r="V89" s="14">
        <f t="shared" si="72"/>
        <v>0</v>
      </c>
      <c r="W89" s="58" t="str">
        <f t="shared" si="86"/>
        <v/>
      </c>
      <c r="X89" s="14">
        <f t="shared" si="73"/>
        <v>0</v>
      </c>
      <c r="Y89" s="58" t="str">
        <f t="shared" si="87"/>
        <v/>
      </c>
      <c r="Z89" s="31">
        <f t="shared" si="74"/>
        <v>0</v>
      </c>
      <c r="AA89" s="21">
        <f t="shared" si="88"/>
        <v>0</v>
      </c>
      <c r="AB89" s="58" t="str">
        <f t="shared" si="89"/>
        <v/>
      </c>
      <c r="AC89" s="630">
        <f t="shared" si="69"/>
        <v>0</v>
      </c>
      <c r="AD89" s="627"/>
      <c r="AE89" s="21">
        <f t="shared" si="90"/>
        <v>0</v>
      </c>
      <c r="AF89" s="58" t="str">
        <f t="shared" si="91"/>
        <v/>
      </c>
      <c r="AG89" s="21">
        <f t="shared" si="92"/>
        <v>0</v>
      </c>
      <c r="AH89" s="58" t="str">
        <f t="shared" si="93"/>
        <v/>
      </c>
      <c r="AI89" s="21">
        <f t="shared" si="94"/>
        <v>0</v>
      </c>
      <c r="AJ89" s="58" t="str">
        <f t="shared" si="95"/>
        <v/>
      </c>
      <c r="AK89" s="31">
        <f t="shared" si="75"/>
        <v>0</v>
      </c>
      <c r="AL89" s="21">
        <f t="shared" si="76"/>
        <v>0</v>
      </c>
      <c r="AM89" s="62" t="str">
        <f t="shared" si="77"/>
        <v/>
      </c>
      <c r="AN89" s="21">
        <f t="shared" si="96"/>
        <v>0</v>
      </c>
      <c r="AO89" s="62" t="str">
        <f t="shared" si="97"/>
        <v/>
      </c>
      <c r="AP89" s="21">
        <f t="shared" si="78"/>
        <v>0</v>
      </c>
      <c r="AQ89" s="62" t="str">
        <f t="shared" si="98"/>
        <v/>
      </c>
      <c r="AR89" s="31">
        <f t="shared" si="79"/>
        <v>0</v>
      </c>
      <c r="AS89" s="21">
        <f t="shared" si="80"/>
        <v>0</v>
      </c>
      <c r="AT89" s="62" t="str">
        <f t="shared" si="99"/>
        <v/>
      </c>
      <c r="AU89" s="84">
        <f t="shared" si="100"/>
        <v>0</v>
      </c>
      <c r="AV89" s="32">
        <f t="shared" si="47"/>
        <v>0</v>
      </c>
      <c r="AW89" s="85" t="str">
        <f t="shared" si="48"/>
        <v/>
      </c>
      <c r="AX89" s="86" t="str">
        <f t="shared" si="54"/>
        <v/>
      </c>
    </row>
    <row r="90" spans="1:50" x14ac:dyDescent="0.2">
      <c r="A90" s="29" t="str">
        <f t="shared" si="63"/>
        <v/>
      </c>
      <c r="B90" s="32" t="str">
        <f t="shared" si="64"/>
        <v/>
      </c>
      <c r="C90" s="35"/>
      <c r="D90" s="33" t="str">
        <f>IF(A90="","",IF(D89="","",D89))</f>
        <v/>
      </c>
      <c r="E90" s="22" t="str">
        <f>IF(A90="","",IF(E89="","",E89))</f>
        <v/>
      </c>
      <c r="F90" s="23" t="str">
        <f>IF(A90="","",IF(F89="","",F89))</f>
        <v/>
      </c>
      <c r="G90" s="23"/>
      <c r="H90" s="22"/>
      <c r="I90" s="23"/>
      <c r="J90" s="18"/>
      <c r="K90" s="13" t="str">
        <f t="shared" si="81"/>
        <v/>
      </c>
      <c r="L90" s="28" t="str">
        <f t="shared" si="70"/>
        <v/>
      </c>
      <c r="M90" s="10" t="str">
        <f t="shared" si="82"/>
        <v/>
      </c>
      <c r="N90" s="17" t="str">
        <f t="shared" si="65"/>
        <v/>
      </c>
      <c r="O90" s="39" t="str">
        <f t="shared" si="83"/>
        <v/>
      </c>
      <c r="P90" s="41" t="str">
        <f t="shared" si="66"/>
        <v/>
      </c>
      <c r="Q90" s="9" t="str">
        <f t="shared" si="67"/>
        <v/>
      </c>
      <c r="R90" s="14">
        <f t="shared" si="71"/>
        <v>0</v>
      </c>
      <c r="S90" s="61" t="str">
        <f t="shared" si="68"/>
        <v/>
      </c>
      <c r="T90" s="14">
        <f t="shared" si="84"/>
        <v>0</v>
      </c>
      <c r="U90" s="58" t="str">
        <f t="shared" si="85"/>
        <v/>
      </c>
      <c r="V90" s="14">
        <f t="shared" si="72"/>
        <v>0</v>
      </c>
      <c r="W90" s="58" t="str">
        <f t="shared" si="86"/>
        <v/>
      </c>
      <c r="X90" s="14">
        <f t="shared" si="73"/>
        <v>0</v>
      </c>
      <c r="Y90" s="58" t="str">
        <f t="shared" si="87"/>
        <v/>
      </c>
      <c r="Z90" s="31">
        <f t="shared" si="74"/>
        <v>0</v>
      </c>
      <c r="AA90" s="21">
        <f t="shared" si="88"/>
        <v>0</v>
      </c>
      <c r="AB90" s="58" t="str">
        <f t="shared" si="89"/>
        <v/>
      </c>
      <c r="AC90" s="630">
        <f t="shared" si="69"/>
        <v>0</v>
      </c>
      <c r="AD90" s="627"/>
      <c r="AE90" s="21">
        <f t="shared" si="90"/>
        <v>0</v>
      </c>
      <c r="AF90" s="58" t="str">
        <f t="shared" si="91"/>
        <v/>
      </c>
      <c r="AG90" s="21">
        <f t="shared" si="92"/>
        <v>0</v>
      </c>
      <c r="AH90" s="58" t="str">
        <f t="shared" si="93"/>
        <v/>
      </c>
      <c r="AI90" s="21">
        <f t="shared" si="94"/>
        <v>0</v>
      </c>
      <c r="AJ90" s="58" t="str">
        <f t="shared" si="95"/>
        <v/>
      </c>
      <c r="AK90" s="31">
        <f t="shared" si="75"/>
        <v>0</v>
      </c>
      <c r="AL90" s="21">
        <f t="shared" si="76"/>
        <v>0</v>
      </c>
      <c r="AM90" s="62" t="str">
        <f t="shared" si="77"/>
        <v/>
      </c>
      <c r="AN90" s="21">
        <f t="shared" si="96"/>
        <v>0</v>
      </c>
      <c r="AO90" s="62" t="str">
        <f t="shared" si="97"/>
        <v/>
      </c>
      <c r="AP90" s="21">
        <f t="shared" si="78"/>
        <v>0</v>
      </c>
      <c r="AQ90" s="62" t="str">
        <f t="shared" si="98"/>
        <v/>
      </c>
      <c r="AR90" s="31">
        <f t="shared" si="79"/>
        <v>0</v>
      </c>
      <c r="AS90" s="21">
        <f t="shared" si="80"/>
        <v>0</v>
      </c>
      <c r="AT90" s="62" t="str">
        <f t="shared" si="99"/>
        <v/>
      </c>
      <c r="AU90" s="84">
        <f t="shared" si="100"/>
        <v>0</v>
      </c>
      <c r="AV90" s="32">
        <f t="shared" ref="AV90:AV153" si="101">IF(D90=61,L90,0)</f>
        <v>0</v>
      </c>
      <c r="AW90" s="85" t="str">
        <f t="shared" ref="AW90:AW153" si="102">IF(A90="","",(C90-AU90))</f>
        <v/>
      </c>
      <c r="AX90" s="86" t="str">
        <f t="shared" si="54"/>
        <v/>
      </c>
    </row>
    <row r="91" spans="1:50" x14ac:dyDescent="0.2">
      <c r="A91" s="29" t="str">
        <f t="shared" si="63"/>
        <v/>
      </c>
      <c r="B91" s="32" t="str">
        <f t="shared" si="64"/>
        <v/>
      </c>
      <c r="C91" s="35"/>
      <c r="D91" s="33" t="str">
        <f>IF(A91="","",IF(D90="","",D90))</f>
        <v/>
      </c>
      <c r="E91" s="22" t="str">
        <f>IF(A91="","",IF(E90="","",E90))</f>
        <v/>
      </c>
      <c r="F91" s="23" t="str">
        <f>IF(A91="","",IF(F90="","",F90))</f>
        <v/>
      </c>
      <c r="G91" s="23"/>
      <c r="H91" s="22"/>
      <c r="I91" s="23"/>
      <c r="J91" s="18"/>
      <c r="K91" s="13" t="str">
        <f t="shared" si="81"/>
        <v/>
      </c>
      <c r="L91" s="28" t="str">
        <f t="shared" si="70"/>
        <v/>
      </c>
      <c r="M91" s="10" t="str">
        <f t="shared" si="82"/>
        <v/>
      </c>
      <c r="N91" s="17" t="str">
        <f t="shared" si="65"/>
        <v/>
      </c>
      <c r="O91" s="39" t="str">
        <f t="shared" si="83"/>
        <v/>
      </c>
      <c r="P91" s="41" t="str">
        <f t="shared" si="66"/>
        <v/>
      </c>
      <c r="Q91" s="9" t="str">
        <f t="shared" si="67"/>
        <v/>
      </c>
      <c r="R91" s="14">
        <f t="shared" si="71"/>
        <v>0</v>
      </c>
      <c r="S91" s="61" t="str">
        <f t="shared" si="68"/>
        <v/>
      </c>
      <c r="T91" s="14">
        <f t="shared" si="84"/>
        <v>0</v>
      </c>
      <c r="U91" s="58" t="str">
        <f t="shared" si="85"/>
        <v/>
      </c>
      <c r="V91" s="14">
        <f t="shared" si="72"/>
        <v>0</v>
      </c>
      <c r="W91" s="58" t="str">
        <f t="shared" si="86"/>
        <v/>
      </c>
      <c r="X91" s="14">
        <f t="shared" si="73"/>
        <v>0</v>
      </c>
      <c r="Y91" s="58" t="str">
        <f t="shared" si="87"/>
        <v/>
      </c>
      <c r="Z91" s="31">
        <f t="shared" si="74"/>
        <v>0</v>
      </c>
      <c r="AA91" s="21">
        <f t="shared" si="88"/>
        <v>0</v>
      </c>
      <c r="AB91" s="58" t="str">
        <f t="shared" si="89"/>
        <v/>
      </c>
      <c r="AC91" s="630">
        <f t="shared" si="69"/>
        <v>0</v>
      </c>
      <c r="AD91" s="627"/>
      <c r="AE91" s="21">
        <f t="shared" si="90"/>
        <v>0</v>
      </c>
      <c r="AF91" s="58" t="str">
        <f t="shared" si="91"/>
        <v/>
      </c>
      <c r="AG91" s="21">
        <f t="shared" si="92"/>
        <v>0</v>
      </c>
      <c r="AH91" s="58" t="str">
        <f t="shared" si="93"/>
        <v/>
      </c>
      <c r="AI91" s="21">
        <f t="shared" si="94"/>
        <v>0</v>
      </c>
      <c r="AJ91" s="58" t="str">
        <f t="shared" si="95"/>
        <v/>
      </c>
      <c r="AK91" s="31">
        <f t="shared" si="75"/>
        <v>0</v>
      </c>
      <c r="AL91" s="21">
        <f t="shared" si="76"/>
        <v>0</v>
      </c>
      <c r="AM91" s="62" t="str">
        <f t="shared" si="77"/>
        <v/>
      </c>
      <c r="AN91" s="21">
        <f t="shared" si="96"/>
        <v>0</v>
      </c>
      <c r="AO91" s="62" t="str">
        <f t="shared" si="97"/>
        <v/>
      </c>
      <c r="AP91" s="21">
        <f t="shared" si="78"/>
        <v>0</v>
      </c>
      <c r="AQ91" s="62" t="str">
        <f t="shared" si="98"/>
        <v/>
      </c>
      <c r="AR91" s="31">
        <f t="shared" si="79"/>
        <v>0</v>
      </c>
      <c r="AS91" s="21">
        <f t="shared" si="80"/>
        <v>0</v>
      </c>
      <c r="AT91" s="62" t="str">
        <f t="shared" si="99"/>
        <v/>
      </c>
      <c r="AU91" s="84">
        <f t="shared" si="100"/>
        <v>0</v>
      </c>
      <c r="AV91" s="32">
        <f t="shared" si="101"/>
        <v>0</v>
      </c>
      <c r="AW91" s="85" t="str">
        <f t="shared" si="102"/>
        <v/>
      </c>
      <c r="AX91" s="86" t="str">
        <f t="shared" si="54"/>
        <v/>
      </c>
    </row>
    <row r="92" spans="1:50" x14ac:dyDescent="0.2">
      <c r="A92" s="29" t="str">
        <f t="shared" si="63"/>
        <v/>
      </c>
      <c r="B92" s="32" t="str">
        <f t="shared" si="64"/>
        <v/>
      </c>
      <c r="C92" s="35"/>
      <c r="D92" s="33" t="str">
        <f>IF(A92="","",IF(D91="","",D91))</f>
        <v/>
      </c>
      <c r="E92" s="22" t="str">
        <f>IF(A92="","",IF(E91="","",E91))</f>
        <v/>
      </c>
      <c r="F92" s="23" t="str">
        <f>IF(A92="","",IF(F91="","",F91))</f>
        <v/>
      </c>
      <c r="G92" s="23"/>
      <c r="H92" s="22"/>
      <c r="I92" s="23"/>
      <c r="J92" s="18"/>
      <c r="K92" s="13" t="str">
        <f t="shared" si="81"/>
        <v/>
      </c>
      <c r="L92" s="28" t="str">
        <f t="shared" si="70"/>
        <v/>
      </c>
      <c r="M92" s="10" t="str">
        <f t="shared" si="82"/>
        <v/>
      </c>
      <c r="N92" s="17" t="str">
        <f t="shared" si="65"/>
        <v/>
      </c>
      <c r="O92" s="39" t="str">
        <f t="shared" si="83"/>
        <v/>
      </c>
      <c r="P92" s="41" t="str">
        <f t="shared" si="66"/>
        <v/>
      </c>
      <c r="Q92" s="9" t="str">
        <f t="shared" si="67"/>
        <v/>
      </c>
      <c r="R92" s="14">
        <f t="shared" si="71"/>
        <v>0</v>
      </c>
      <c r="S92" s="61" t="str">
        <f t="shared" si="68"/>
        <v/>
      </c>
      <c r="T92" s="14">
        <f t="shared" si="84"/>
        <v>0</v>
      </c>
      <c r="U92" s="58" t="str">
        <f t="shared" si="85"/>
        <v/>
      </c>
      <c r="V92" s="14">
        <f t="shared" si="72"/>
        <v>0</v>
      </c>
      <c r="W92" s="58" t="str">
        <f t="shared" si="86"/>
        <v/>
      </c>
      <c r="X92" s="14">
        <f t="shared" si="73"/>
        <v>0</v>
      </c>
      <c r="Y92" s="58" t="str">
        <f t="shared" si="87"/>
        <v/>
      </c>
      <c r="Z92" s="31">
        <f t="shared" si="74"/>
        <v>0</v>
      </c>
      <c r="AA92" s="21">
        <f t="shared" si="88"/>
        <v>0</v>
      </c>
      <c r="AB92" s="58" t="str">
        <f t="shared" si="89"/>
        <v/>
      </c>
      <c r="AC92" s="630">
        <f t="shared" si="69"/>
        <v>0</v>
      </c>
      <c r="AD92" s="627"/>
      <c r="AE92" s="21">
        <f t="shared" si="90"/>
        <v>0</v>
      </c>
      <c r="AF92" s="58" t="str">
        <f t="shared" si="91"/>
        <v/>
      </c>
      <c r="AG92" s="21">
        <f t="shared" si="92"/>
        <v>0</v>
      </c>
      <c r="AH92" s="58" t="str">
        <f t="shared" si="93"/>
        <v/>
      </c>
      <c r="AI92" s="21">
        <f t="shared" si="94"/>
        <v>0</v>
      </c>
      <c r="AJ92" s="58" t="str">
        <f t="shared" si="95"/>
        <v/>
      </c>
      <c r="AK92" s="31">
        <f t="shared" si="75"/>
        <v>0</v>
      </c>
      <c r="AL92" s="21">
        <f t="shared" si="76"/>
        <v>0</v>
      </c>
      <c r="AM92" s="62" t="str">
        <f t="shared" si="77"/>
        <v/>
      </c>
      <c r="AN92" s="21">
        <f t="shared" si="96"/>
        <v>0</v>
      </c>
      <c r="AO92" s="62" t="str">
        <f t="shared" si="97"/>
        <v/>
      </c>
      <c r="AP92" s="21">
        <f t="shared" si="78"/>
        <v>0</v>
      </c>
      <c r="AQ92" s="62" t="str">
        <f t="shared" si="98"/>
        <v/>
      </c>
      <c r="AR92" s="31">
        <f t="shared" si="79"/>
        <v>0</v>
      </c>
      <c r="AS92" s="21">
        <f t="shared" si="80"/>
        <v>0</v>
      </c>
      <c r="AT92" s="62" t="str">
        <f t="shared" si="99"/>
        <v/>
      </c>
      <c r="AU92" s="84">
        <f t="shared" si="100"/>
        <v>0</v>
      </c>
      <c r="AV92" s="32">
        <f t="shared" si="101"/>
        <v>0</v>
      </c>
      <c r="AW92" s="85" t="str">
        <f t="shared" si="102"/>
        <v/>
      </c>
      <c r="AX92" s="86" t="str">
        <f t="shared" si="54"/>
        <v/>
      </c>
    </row>
    <row r="93" spans="1:50" x14ac:dyDescent="0.2">
      <c r="A93" s="29" t="str">
        <f t="shared" si="63"/>
        <v/>
      </c>
      <c r="B93" s="32" t="str">
        <f t="shared" si="64"/>
        <v/>
      </c>
      <c r="C93" s="35"/>
      <c r="D93" s="33" t="str">
        <f>IF(A93="","",IF(D92="","",D92))</f>
        <v/>
      </c>
      <c r="E93" s="22" t="str">
        <f t="shared" ref="E93:E156" si="103">IF(A93="","",IF(E92="","",E92))</f>
        <v/>
      </c>
      <c r="F93" s="23" t="str">
        <f>IF(A93="","",IF(F92="","",F92))</f>
        <v/>
      </c>
      <c r="G93" s="23"/>
      <c r="H93" s="22"/>
      <c r="I93" s="23"/>
      <c r="J93" s="18"/>
      <c r="K93" s="13" t="str">
        <f t="shared" si="81"/>
        <v/>
      </c>
      <c r="L93" s="28" t="str">
        <f t="shared" si="70"/>
        <v/>
      </c>
      <c r="M93" s="10" t="str">
        <f t="shared" si="82"/>
        <v/>
      </c>
      <c r="N93" s="17" t="str">
        <f t="shared" si="65"/>
        <v/>
      </c>
      <c r="O93" s="39" t="str">
        <f t="shared" si="83"/>
        <v/>
      </c>
      <c r="P93" s="41" t="str">
        <f t="shared" si="66"/>
        <v/>
      </c>
      <c r="Q93" s="9" t="str">
        <f t="shared" si="67"/>
        <v/>
      </c>
      <c r="R93" s="14">
        <f t="shared" si="71"/>
        <v>0</v>
      </c>
      <c r="S93" s="61" t="str">
        <f t="shared" si="68"/>
        <v/>
      </c>
      <c r="T93" s="14">
        <f t="shared" si="84"/>
        <v>0</v>
      </c>
      <c r="U93" s="58" t="str">
        <f t="shared" si="85"/>
        <v/>
      </c>
      <c r="V93" s="14">
        <f t="shared" si="72"/>
        <v>0</v>
      </c>
      <c r="W93" s="58" t="str">
        <f t="shared" si="86"/>
        <v/>
      </c>
      <c r="X93" s="14">
        <f t="shared" si="73"/>
        <v>0</v>
      </c>
      <c r="Y93" s="58" t="str">
        <f t="shared" si="87"/>
        <v/>
      </c>
      <c r="Z93" s="31">
        <f t="shared" si="74"/>
        <v>0</v>
      </c>
      <c r="AA93" s="21">
        <f t="shared" si="88"/>
        <v>0</v>
      </c>
      <c r="AB93" s="58" t="str">
        <f t="shared" si="89"/>
        <v/>
      </c>
      <c r="AC93" s="630">
        <f t="shared" si="69"/>
        <v>0</v>
      </c>
      <c r="AD93" s="627"/>
      <c r="AE93" s="21">
        <f t="shared" si="90"/>
        <v>0</v>
      </c>
      <c r="AF93" s="58" t="str">
        <f t="shared" si="91"/>
        <v/>
      </c>
      <c r="AG93" s="21">
        <f t="shared" si="92"/>
        <v>0</v>
      </c>
      <c r="AH93" s="58" t="str">
        <f t="shared" si="93"/>
        <v/>
      </c>
      <c r="AI93" s="21">
        <f t="shared" si="94"/>
        <v>0</v>
      </c>
      <c r="AJ93" s="58" t="str">
        <f t="shared" si="95"/>
        <v/>
      </c>
      <c r="AK93" s="31">
        <f t="shared" si="75"/>
        <v>0</v>
      </c>
      <c r="AL93" s="21">
        <f t="shared" si="76"/>
        <v>0</v>
      </c>
      <c r="AM93" s="62" t="str">
        <f t="shared" si="77"/>
        <v/>
      </c>
      <c r="AN93" s="21">
        <f t="shared" si="96"/>
        <v>0</v>
      </c>
      <c r="AO93" s="62" t="str">
        <f t="shared" si="97"/>
        <v/>
      </c>
      <c r="AP93" s="21">
        <f t="shared" si="78"/>
        <v>0</v>
      </c>
      <c r="AQ93" s="62" t="str">
        <f t="shared" si="98"/>
        <v/>
      </c>
      <c r="AR93" s="31">
        <f t="shared" si="79"/>
        <v>0</v>
      </c>
      <c r="AS93" s="21">
        <f t="shared" si="80"/>
        <v>0</v>
      </c>
      <c r="AT93" s="62" t="str">
        <f t="shared" si="99"/>
        <v/>
      </c>
      <c r="AU93" s="84">
        <f t="shared" si="100"/>
        <v>0</v>
      </c>
      <c r="AV93" s="32">
        <f t="shared" si="101"/>
        <v>0</v>
      </c>
      <c r="AW93" s="85" t="str">
        <f t="shared" si="102"/>
        <v/>
      </c>
      <c r="AX93" s="86" t="str">
        <f t="shared" si="54"/>
        <v/>
      </c>
    </row>
    <row r="94" spans="1:50" x14ac:dyDescent="0.2">
      <c r="A94" s="29" t="str">
        <f t="shared" si="63"/>
        <v/>
      </c>
      <c r="B94" s="32" t="str">
        <f t="shared" si="64"/>
        <v/>
      </c>
      <c r="C94" s="35"/>
      <c r="D94" s="33" t="str">
        <f>IF(A94="","",IF(D93="","",D93))</f>
        <v/>
      </c>
      <c r="E94" s="22" t="str">
        <f t="shared" si="103"/>
        <v/>
      </c>
      <c r="F94" s="23" t="str">
        <f t="shared" ref="F94:F157" si="104">IF(A94="","",IF(F93="","",F93))</f>
        <v/>
      </c>
      <c r="G94" s="23"/>
      <c r="H94" s="22"/>
      <c r="I94" s="23"/>
      <c r="J94" s="18"/>
      <c r="K94" s="13" t="str">
        <f t="shared" si="81"/>
        <v/>
      </c>
      <c r="L94" s="28" t="str">
        <f t="shared" si="70"/>
        <v/>
      </c>
      <c r="M94" s="10" t="str">
        <f t="shared" si="82"/>
        <v/>
      </c>
      <c r="N94" s="17" t="str">
        <f t="shared" si="65"/>
        <v/>
      </c>
      <c r="O94" s="39" t="str">
        <f t="shared" si="83"/>
        <v/>
      </c>
      <c r="P94" s="41" t="str">
        <f t="shared" si="66"/>
        <v/>
      </c>
      <c r="Q94" s="9" t="str">
        <f t="shared" si="67"/>
        <v/>
      </c>
      <c r="R94" s="14">
        <f t="shared" si="71"/>
        <v>0</v>
      </c>
      <c r="S94" s="61" t="str">
        <f t="shared" si="68"/>
        <v/>
      </c>
      <c r="T94" s="14">
        <f t="shared" si="84"/>
        <v>0</v>
      </c>
      <c r="U94" s="58" t="str">
        <f t="shared" si="85"/>
        <v/>
      </c>
      <c r="V94" s="14">
        <f t="shared" si="72"/>
        <v>0</v>
      </c>
      <c r="W94" s="58" t="str">
        <f t="shared" si="86"/>
        <v/>
      </c>
      <c r="X94" s="14">
        <f t="shared" si="73"/>
        <v>0</v>
      </c>
      <c r="Y94" s="58" t="str">
        <f t="shared" si="87"/>
        <v/>
      </c>
      <c r="Z94" s="31">
        <f t="shared" si="74"/>
        <v>0</v>
      </c>
      <c r="AA94" s="21">
        <f t="shared" si="88"/>
        <v>0</v>
      </c>
      <c r="AB94" s="58" t="str">
        <f t="shared" si="89"/>
        <v/>
      </c>
      <c r="AC94" s="630">
        <f t="shared" si="69"/>
        <v>0</v>
      </c>
      <c r="AD94" s="627"/>
      <c r="AE94" s="21">
        <f t="shared" si="90"/>
        <v>0</v>
      </c>
      <c r="AF94" s="58" t="str">
        <f t="shared" si="91"/>
        <v/>
      </c>
      <c r="AG94" s="21">
        <f t="shared" si="92"/>
        <v>0</v>
      </c>
      <c r="AH94" s="58" t="str">
        <f t="shared" si="93"/>
        <v/>
      </c>
      <c r="AI94" s="21">
        <f t="shared" si="94"/>
        <v>0</v>
      </c>
      <c r="AJ94" s="58" t="str">
        <f t="shared" si="95"/>
        <v/>
      </c>
      <c r="AK94" s="31">
        <f t="shared" si="75"/>
        <v>0</v>
      </c>
      <c r="AL94" s="21">
        <f t="shared" si="76"/>
        <v>0</v>
      </c>
      <c r="AM94" s="62" t="str">
        <f t="shared" si="77"/>
        <v/>
      </c>
      <c r="AN94" s="21">
        <f t="shared" si="96"/>
        <v>0</v>
      </c>
      <c r="AO94" s="62" t="str">
        <f t="shared" si="97"/>
        <v/>
      </c>
      <c r="AP94" s="21">
        <f t="shared" si="78"/>
        <v>0</v>
      </c>
      <c r="AQ94" s="62" t="str">
        <f t="shared" si="98"/>
        <v/>
      </c>
      <c r="AR94" s="31">
        <f t="shared" si="79"/>
        <v>0</v>
      </c>
      <c r="AS94" s="21">
        <f t="shared" si="80"/>
        <v>0</v>
      </c>
      <c r="AT94" s="62" t="str">
        <f t="shared" si="99"/>
        <v/>
      </c>
      <c r="AU94" s="84">
        <f t="shared" si="100"/>
        <v>0</v>
      </c>
      <c r="AV94" s="32">
        <f t="shared" si="101"/>
        <v>0</v>
      </c>
      <c r="AW94" s="85" t="str">
        <f t="shared" si="102"/>
        <v/>
      </c>
      <c r="AX94" s="86" t="str">
        <f t="shared" si="54"/>
        <v/>
      </c>
    </row>
    <row r="95" spans="1:50" x14ac:dyDescent="0.2">
      <c r="A95" s="29" t="str">
        <f t="shared" si="63"/>
        <v/>
      </c>
      <c r="B95" s="32" t="str">
        <f t="shared" si="64"/>
        <v/>
      </c>
      <c r="C95" s="35"/>
      <c r="D95" s="33" t="str">
        <f>IF(A95="","",IF(D94="","",D94))</f>
        <v/>
      </c>
      <c r="E95" s="22" t="str">
        <f t="shared" si="103"/>
        <v/>
      </c>
      <c r="F95" s="23" t="str">
        <f t="shared" si="104"/>
        <v/>
      </c>
      <c r="G95" s="23"/>
      <c r="H95" s="22"/>
      <c r="I95" s="23"/>
      <c r="J95" s="18"/>
      <c r="K95" s="13" t="str">
        <f t="shared" si="81"/>
        <v/>
      </c>
      <c r="L95" s="28" t="str">
        <f t="shared" si="70"/>
        <v/>
      </c>
      <c r="M95" s="10" t="str">
        <f t="shared" si="82"/>
        <v/>
      </c>
      <c r="N95" s="17" t="str">
        <f t="shared" si="65"/>
        <v/>
      </c>
      <c r="O95" s="39" t="str">
        <f t="shared" si="83"/>
        <v/>
      </c>
      <c r="P95" s="41" t="str">
        <f t="shared" si="66"/>
        <v/>
      </c>
      <c r="Q95" s="9" t="str">
        <f t="shared" si="67"/>
        <v/>
      </c>
      <c r="R95" s="14">
        <f t="shared" si="71"/>
        <v>0</v>
      </c>
      <c r="S95" s="61" t="str">
        <f t="shared" si="68"/>
        <v/>
      </c>
      <c r="T95" s="14">
        <f t="shared" si="84"/>
        <v>0</v>
      </c>
      <c r="U95" s="58" t="str">
        <f t="shared" si="85"/>
        <v/>
      </c>
      <c r="V95" s="14">
        <f t="shared" si="72"/>
        <v>0</v>
      </c>
      <c r="W95" s="58" t="str">
        <f t="shared" si="86"/>
        <v/>
      </c>
      <c r="X95" s="14">
        <f t="shared" si="73"/>
        <v>0</v>
      </c>
      <c r="Y95" s="58" t="str">
        <f t="shared" si="87"/>
        <v/>
      </c>
      <c r="Z95" s="31">
        <f t="shared" si="74"/>
        <v>0</v>
      </c>
      <c r="AA95" s="21">
        <f t="shared" si="88"/>
        <v>0</v>
      </c>
      <c r="AB95" s="58" t="str">
        <f t="shared" si="89"/>
        <v/>
      </c>
      <c r="AC95" s="630">
        <f t="shared" si="69"/>
        <v>0</v>
      </c>
      <c r="AD95" s="627"/>
      <c r="AE95" s="21">
        <f t="shared" si="90"/>
        <v>0</v>
      </c>
      <c r="AF95" s="58" t="str">
        <f t="shared" si="91"/>
        <v/>
      </c>
      <c r="AG95" s="21">
        <f t="shared" si="92"/>
        <v>0</v>
      </c>
      <c r="AH95" s="58" t="str">
        <f t="shared" si="93"/>
        <v/>
      </c>
      <c r="AI95" s="21">
        <f t="shared" si="94"/>
        <v>0</v>
      </c>
      <c r="AJ95" s="58" t="str">
        <f t="shared" si="95"/>
        <v/>
      </c>
      <c r="AK95" s="31">
        <f t="shared" si="75"/>
        <v>0</v>
      </c>
      <c r="AL95" s="21">
        <f t="shared" si="76"/>
        <v>0</v>
      </c>
      <c r="AM95" s="62" t="str">
        <f t="shared" si="77"/>
        <v/>
      </c>
      <c r="AN95" s="21">
        <f t="shared" si="96"/>
        <v>0</v>
      </c>
      <c r="AO95" s="62" t="str">
        <f t="shared" si="97"/>
        <v/>
      </c>
      <c r="AP95" s="21">
        <f t="shared" si="78"/>
        <v>0</v>
      </c>
      <c r="AQ95" s="62" t="str">
        <f t="shared" si="98"/>
        <v/>
      </c>
      <c r="AR95" s="31">
        <f t="shared" si="79"/>
        <v>0</v>
      </c>
      <c r="AS95" s="21">
        <f t="shared" si="80"/>
        <v>0</v>
      </c>
      <c r="AT95" s="62" t="str">
        <f t="shared" si="99"/>
        <v/>
      </c>
      <c r="AU95" s="84">
        <f t="shared" si="100"/>
        <v>0</v>
      </c>
      <c r="AV95" s="32">
        <f t="shared" si="101"/>
        <v>0</v>
      </c>
      <c r="AW95" s="85" t="str">
        <f t="shared" si="102"/>
        <v/>
      </c>
      <c r="AX95" s="86" t="str">
        <f t="shared" si="54"/>
        <v/>
      </c>
    </row>
    <row r="96" spans="1:50" x14ac:dyDescent="0.2">
      <c r="A96" s="29" t="str">
        <f t="shared" si="63"/>
        <v/>
      </c>
      <c r="B96" s="32" t="str">
        <f t="shared" si="64"/>
        <v/>
      </c>
      <c r="C96" s="35"/>
      <c r="D96" s="33" t="str">
        <f>IF(A96="","",IF(D95="","",D95))</f>
        <v/>
      </c>
      <c r="E96" s="22" t="str">
        <f t="shared" si="103"/>
        <v/>
      </c>
      <c r="F96" s="23" t="str">
        <f t="shared" si="104"/>
        <v/>
      </c>
      <c r="G96" s="23"/>
      <c r="H96" s="22"/>
      <c r="I96" s="23"/>
      <c r="J96" s="18"/>
      <c r="K96" s="13" t="str">
        <f t="shared" si="81"/>
        <v/>
      </c>
      <c r="L96" s="28" t="str">
        <f t="shared" si="70"/>
        <v/>
      </c>
      <c r="M96" s="10" t="str">
        <f t="shared" si="82"/>
        <v/>
      </c>
      <c r="N96" s="17" t="str">
        <f t="shared" si="65"/>
        <v/>
      </c>
      <c r="O96" s="39" t="str">
        <f t="shared" si="83"/>
        <v/>
      </c>
      <c r="P96" s="41" t="str">
        <f t="shared" si="66"/>
        <v/>
      </c>
      <c r="Q96" s="9" t="str">
        <f t="shared" si="67"/>
        <v/>
      </c>
      <c r="R96" s="14">
        <f t="shared" si="71"/>
        <v>0</v>
      </c>
      <c r="S96" s="61" t="str">
        <f t="shared" si="68"/>
        <v/>
      </c>
      <c r="T96" s="14">
        <f t="shared" si="84"/>
        <v>0</v>
      </c>
      <c r="U96" s="58" t="str">
        <f t="shared" si="85"/>
        <v/>
      </c>
      <c r="V96" s="14">
        <f t="shared" si="72"/>
        <v>0</v>
      </c>
      <c r="W96" s="58" t="str">
        <f t="shared" si="86"/>
        <v/>
      </c>
      <c r="X96" s="14">
        <f t="shared" si="73"/>
        <v>0</v>
      </c>
      <c r="Y96" s="58" t="str">
        <f t="shared" si="87"/>
        <v/>
      </c>
      <c r="Z96" s="31">
        <f t="shared" si="74"/>
        <v>0</v>
      </c>
      <c r="AA96" s="21">
        <f t="shared" si="88"/>
        <v>0</v>
      </c>
      <c r="AB96" s="58" t="str">
        <f t="shared" si="89"/>
        <v/>
      </c>
      <c r="AC96" s="630">
        <f t="shared" si="69"/>
        <v>0</v>
      </c>
      <c r="AD96" s="627"/>
      <c r="AE96" s="21">
        <f t="shared" si="90"/>
        <v>0</v>
      </c>
      <c r="AF96" s="58" t="str">
        <f t="shared" si="91"/>
        <v/>
      </c>
      <c r="AG96" s="21">
        <f t="shared" si="92"/>
        <v>0</v>
      </c>
      <c r="AH96" s="58" t="str">
        <f t="shared" si="93"/>
        <v/>
      </c>
      <c r="AI96" s="21">
        <f t="shared" si="94"/>
        <v>0</v>
      </c>
      <c r="AJ96" s="58" t="str">
        <f t="shared" si="95"/>
        <v/>
      </c>
      <c r="AK96" s="31">
        <f t="shared" si="75"/>
        <v>0</v>
      </c>
      <c r="AL96" s="21">
        <f t="shared" si="76"/>
        <v>0</v>
      </c>
      <c r="AM96" s="62" t="str">
        <f t="shared" si="77"/>
        <v/>
      </c>
      <c r="AN96" s="21">
        <f t="shared" si="96"/>
        <v>0</v>
      </c>
      <c r="AO96" s="62" t="str">
        <f t="shared" si="97"/>
        <v/>
      </c>
      <c r="AP96" s="21">
        <f t="shared" si="78"/>
        <v>0</v>
      </c>
      <c r="AQ96" s="62" t="str">
        <f t="shared" si="98"/>
        <v/>
      </c>
      <c r="AR96" s="31">
        <f t="shared" si="79"/>
        <v>0</v>
      </c>
      <c r="AS96" s="21">
        <f t="shared" si="80"/>
        <v>0</v>
      </c>
      <c r="AT96" s="62" t="str">
        <f t="shared" si="99"/>
        <v/>
      </c>
      <c r="AU96" s="84">
        <f t="shared" si="100"/>
        <v>0</v>
      </c>
      <c r="AV96" s="32">
        <f t="shared" si="101"/>
        <v>0</v>
      </c>
      <c r="AW96" s="85" t="str">
        <f t="shared" si="102"/>
        <v/>
      </c>
      <c r="AX96" s="86" t="str">
        <f t="shared" si="54"/>
        <v/>
      </c>
    </row>
    <row r="97" spans="1:50" x14ac:dyDescent="0.2">
      <c r="A97" s="29" t="str">
        <f t="shared" si="63"/>
        <v/>
      </c>
      <c r="B97" s="32" t="str">
        <f t="shared" si="64"/>
        <v/>
      </c>
      <c r="C97" s="35"/>
      <c r="D97" s="33" t="str">
        <f>IF(A97="","",IF(D96="","",D96))</f>
        <v/>
      </c>
      <c r="E97" s="22" t="str">
        <f t="shared" si="103"/>
        <v/>
      </c>
      <c r="F97" s="23" t="str">
        <f t="shared" si="104"/>
        <v/>
      </c>
      <c r="G97" s="23"/>
      <c r="H97" s="22"/>
      <c r="I97" s="23"/>
      <c r="J97" s="18"/>
      <c r="K97" s="13" t="str">
        <f t="shared" si="81"/>
        <v/>
      </c>
      <c r="L97" s="28" t="str">
        <f t="shared" si="70"/>
        <v/>
      </c>
      <c r="M97" s="10" t="str">
        <f t="shared" si="82"/>
        <v/>
      </c>
      <c r="N97" s="17" t="str">
        <f t="shared" si="65"/>
        <v/>
      </c>
      <c r="O97" s="39" t="str">
        <f t="shared" si="83"/>
        <v/>
      </c>
      <c r="P97" s="41" t="str">
        <f t="shared" si="66"/>
        <v/>
      </c>
      <c r="Q97" s="9" t="str">
        <f t="shared" si="67"/>
        <v/>
      </c>
      <c r="R97" s="14">
        <f t="shared" si="71"/>
        <v>0</v>
      </c>
      <c r="S97" s="61" t="str">
        <f t="shared" si="68"/>
        <v/>
      </c>
      <c r="T97" s="14">
        <f t="shared" si="84"/>
        <v>0</v>
      </c>
      <c r="U97" s="58" t="str">
        <f t="shared" si="85"/>
        <v/>
      </c>
      <c r="V97" s="14">
        <f t="shared" si="72"/>
        <v>0</v>
      </c>
      <c r="W97" s="58" t="str">
        <f t="shared" si="86"/>
        <v/>
      </c>
      <c r="X97" s="14">
        <f t="shared" si="73"/>
        <v>0</v>
      </c>
      <c r="Y97" s="58" t="str">
        <f t="shared" si="87"/>
        <v/>
      </c>
      <c r="Z97" s="31">
        <f t="shared" si="74"/>
        <v>0</v>
      </c>
      <c r="AA97" s="21">
        <f t="shared" si="88"/>
        <v>0</v>
      </c>
      <c r="AB97" s="58" t="str">
        <f t="shared" si="89"/>
        <v/>
      </c>
      <c r="AC97" s="630">
        <f t="shared" si="69"/>
        <v>0</v>
      </c>
      <c r="AD97" s="627"/>
      <c r="AE97" s="21">
        <f t="shared" si="90"/>
        <v>0</v>
      </c>
      <c r="AF97" s="58" t="str">
        <f t="shared" si="91"/>
        <v/>
      </c>
      <c r="AG97" s="21">
        <f t="shared" si="92"/>
        <v>0</v>
      </c>
      <c r="AH97" s="58" t="str">
        <f t="shared" si="93"/>
        <v/>
      </c>
      <c r="AI97" s="21">
        <f t="shared" si="94"/>
        <v>0</v>
      </c>
      <c r="AJ97" s="58" t="str">
        <f t="shared" si="95"/>
        <v/>
      </c>
      <c r="AK97" s="31">
        <f t="shared" si="75"/>
        <v>0</v>
      </c>
      <c r="AL97" s="21">
        <f t="shared" si="76"/>
        <v>0</v>
      </c>
      <c r="AM97" s="62" t="str">
        <f t="shared" si="77"/>
        <v/>
      </c>
      <c r="AN97" s="21">
        <f t="shared" si="96"/>
        <v>0</v>
      </c>
      <c r="AO97" s="62" t="str">
        <f t="shared" si="97"/>
        <v/>
      </c>
      <c r="AP97" s="21">
        <f t="shared" si="78"/>
        <v>0</v>
      </c>
      <c r="AQ97" s="62" t="str">
        <f t="shared" si="98"/>
        <v/>
      </c>
      <c r="AR97" s="31">
        <f t="shared" si="79"/>
        <v>0</v>
      </c>
      <c r="AS97" s="21">
        <f t="shared" si="80"/>
        <v>0</v>
      </c>
      <c r="AT97" s="62" t="str">
        <f t="shared" si="99"/>
        <v/>
      </c>
      <c r="AU97" s="84">
        <f t="shared" si="100"/>
        <v>0</v>
      </c>
      <c r="AV97" s="32">
        <f t="shared" si="101"/>
        <v>0</v>
      </c>
      <c r="AW97" s="85" t="str">
        <f t="shared" si="102"/>
        <v/>
      </c>
      <c r="AX97" s="86" t="str">
        <f t="shared" si="54"/>
        <v/>
      </c>
    </row>
    <row r="98" spans="1:50" x14ac:dyDescent="0.2">
      <c r="A98" s="29" t="str">
        <f t="shared" si="63"/>
        <v/>
      </c>
      <c r="B98" s="32" t="str">
        <f t="shared" si="64"/>
        <v/>
      </c>
      <c r="C98" s="35"/>
      <c r="D98" s="33" t="str">
        <f t="shared" ref="D98:D161" si="105">IF(A98="","",IF(D97="","",D97))</f>
        <v/>
      </c>
      <c r="E98" s="22" t="str">
        <f t="shared" si="103"/>
        <v/>
      </c>
      <c r="F98" s="23" t="str">
        <f t="shared" si="104"/>
        <v/>
      </c>
      <c r="G98" s="23"/>
      <c r="H98" s="22"/>
      <c r="I98" s="23"/>
      <c r="J98" s="18"/>
      <c r="K98" s="13" t="str">
        <f t="shared" si="81"/>
        <v/>
      </c>
      <c r="L98" s="28" t="str">
        <f t="shared" si="70"/>
        <v/>
      </c>
      <c r="M98" s="10" t="str">
        <f t="shared" si="82"/>
        <v/>
      </c>
      <c r="N98" s="17" t="str">
        <f t="shared" si="65"/>
        <v/>
      </c>
      <c r="O98" s="39" t="str">
        <f t="shared" si="83"/>
        <v/>
      </c>
      <c r="P98" s="41" t="str">
        <f t="shared" si="66"/>
        <v/>
      </c>
      <c r="Q98" s="9" t="str">
        <f t="shared" si="67"/>
        <v/>
      </c>
      <c r="R98" s="14">
        <f t="shared" si="71"/>
        <v>0</v>
      </c>
      <c r="S98" s="61" t="str">
        <f t="shared" si="68"/>
        <v/>
      </c>
      <c r="T98" s="14">
        <f t="shared" si="84"/>
        <v>0</v>
      </c>
      <c r="U98" s="58" t="str">
        <f t="shared" si="85"/>
        <v/>
      </c>
      <c r="V98" s="14">
        <f t="shared" si="72"/>
        <v>0</v>
      </c>
      <c r="W98" s="58" t="str">
        <f t="shared" si="86"/>
        <v/>
      </c>
      <c r="X98" s="14">
        <f t="shared" si="73"/>
        <v>0</v>
      </c>
      <c r="Y98" s="58" t="str">
        <f t="shared" si="87"/>
        <v/>
      </c>
      <c r="Z98" s="31">
        <f t="shared" si="74"/>
        <v>0</v>
      </c>
      <c r="AA98" s="21">
        <f t="shared" si="88"/>
        <v>0</v>
      </c>
      <c r="AB98" s="58" t="str">
        <f t="shared" si="89"/>
        <v/>
      </c>
      <c r="AC98" s="630">
        <f t="shared" si="69"/>
        <v>0</v>
      </c>
      <c r="AD98" s="627"/>
      <c r="AE98" s="21">
        <f t="shared" si="90"/>
        <v>0</v>
      </c>
      <c r="AF98" s="58" t="str">
        <f t="shared" si="91"/>
        <v/>
      </c>
      <c r="AG98" s="21">
        <f t="shared" si="92"/>
        <v>0</v>
      </c>
      <c r="AH98" s="58" t="str">
        <f t="shared" si="93"/>
        <v/>
      </c>
      <c r="AI98" s="21">
        <f t="shared" si="94"/>
        <v>0</v>
      </c>
      <c r="AJ98" s="58" t="str">
        <f t="shared" si="95"/>
        <v/>
      </c>
      <c r="AK98" s="31">
        <f t="shared" si="75"/>
        <v>0</v>
      </c>
      <c r="AL98" s="21">
        <f t="shared" si="76"/>
        <v>0</v>
      </c>
      <c r="AM98" s="62" t="str">
        <f t="shared" si="77"/>
        <v/>
      </c>
      <c r="AN98" s="21">
        <f t="shared" si="96"/>
        <v>0</v>
      </c>
      <c r="AO98" s="62" t="str">
        <f t="shared" si="97"/>
        <v/>
      </c>
      <c r="AP98" s="21">
        <f t="shared" si="78"/>
        <v>0</v>
      </c>
      <c r="AQ98" s="62" t="str">
        <f t="shared" si="98"/>
        <v/>
      </c>
      <c r="AR98" s="31">
        <f t="shared" si="79"/>
        <v>0</v>
      </c>
      <c r="AS98" s="21">
        <f t="shared" si="80"/>
        <v>0</v>
      </c>
      <c r="AT98" s="62" t="str">
        <f t="shared" si="99"/>
        <v/>
      </c>
      <c r="AU98" s="84">
        <f t="shared" si="100"/>
        <v>0</v>
      </c>
      <c r="AV98" s="32">
        <f t="shared" si="101"/>
        <v>0</v>
      </c>
      <c r="AW98" s="85" t="str">
        <f t="shared" si="102"/>
        <v/>
      </c>
      <c r="AX98" s="86" t="str">
        <f t="shared" ref="AX98:AX161" si="106">IF(A98="","",(L98-AV98))</f>
        <v/>
      </c>
    </row>
    <row r="99" spans="1:50" x14ac:dyDescent="0.2">
      <c r="A99" s="29" t="str">
        <f t="shared" si="63"/>
        <v/>
      </c>
      <c r="B99" s="32" t="str">
        <f t="shared" si="64"/>
        <v/>
      </c>
      <c r="C99" s="35"/>
      <c r="D99" s="33" t="str">
        <f t="shared" si="105"/>
        <v/>
      </c>
      <c r="E99" s="22" t="str">
        <f t="shared" si="103"/>
        <v/>
      </c>
      <c r="F99" s="23" t="str">
        <f t="shared" si="104"/>
        <v/>
      </c>
      <c r="G99" s="23"/>
      <c r="H99" s="22"/>
      <c r="I99" s="23"/>
      <c r="J99" s="18"/>
      <c r="K99" s="13" t="str">
        <f t="shared" si="81"/>
        <v/>
      </c>
      <c r="L99" s="28" t="str">
        <f t="shared" si="70"/>
        <v/>
      </c>
      <c r="M99" s="10" t="str">
        <f t="shared" si="82"/>
        <v/>
      </c>
      <c r="N99" s="17" t="str">
        <f t="shared" si="65"/>
        <v/>
      </c>
      <c r="O99" s="39" t="str">
        <f t="shared" si="83"/>
        <v/>
      </c>
      <c r="P99" s="41" t="str">
        <f t="shared" si="66"/>
        <v/>
      </c>
      <c r="Q99" s="9" t="str">
        <f t="shared" si="67"/>
        <v/>
      </c>
      <c r="R99" s="14">
        <f t="shared" si="71"/>
        <v>0</v>
      </c>
      <c r="S99" s="61" t="str">
        <f t="shared" si="68"/>
        <v/>
      </c>
      <c r="T99" s="14">
        <f t="shared" si="84"/>
        <v>0</v>
      </c>
      <c r="U99" s="58" t="str">
        <f t="shared" si="85"/>
        <v/>
      </c>
      <c r="V99" s="14">
        <f t="shared" si="72"/>
        <v>0</v>
      </c>
      <c r="W99" s="58" t="str">
        <f t="shared" si="86"/>
        <v/>
      </c>
      <c r="X99" s="14">
        <f t="shared" si="73"/>
        <v>0</v>
      </c>
      <c r="Y99" s="58" t="str">
        <f t="shared" si="87"/>
        <v/>
      </c>
      <c r="Z99" s="31">
        <f t="shared" si="74"/>
        <v>0</v>
      </c>
      <c r="AA99" s="21">
        <f t="shared" si="88"/>
        <v>0</v>
      </c>
      <c r="AB99" s="58" t="str">
        <f t="shared" si="89"/>
        <v/>
      </c>
      <c r="AC99" s="630">
        <f t="shared" si="69"/>
        <v>0</v>
      </c>
      <c r="AD99" s="627"/>
      <c r="AE99" s="21">
        <f t="shared" si="90"/>
        <v>0</v>
      </c>
      <c r="AF99" s="58" t="str">
        <f t="shared" si="91"/>
        <v/>
      </c>
      <c r="AG99" s="21">
        <f t="shared" si="92"/>
        <v>0</v>
      </c>
      <c r="AH99" s="58" t="str">
        <f t="shared" si="93"/>
        <v/>
      </c>
      <c r="AI99" s="21">
        <f t="shared" si="94"/>
        <v>0</v>
      </c>
      <c r="AJ99" s="58" t="str">
        <f t="shared" si="95"/>
        <v/>
      </c>
      <c r="AK99" s="31">
        <f t="shared" si="75"/>
        <v>0</v>
      </c>
      <c r="AL99" s="21">
        <f t="shared" si="76"/>
        <v>0</v>
      </c>
      <c r="AM99" s="62" t="str">
        <f t="shared" si="77"/>
        <v/>
      </c>
      <c r="AN99" s="21">
        <f t="shared" si="96"/>
        <v>0</v>
      </c>
      <c r="AO99" s="62" t="str">
        <f t="shared" si="97"/>
        <v/>
      </c>
      <c r="AP99" s="21">
        <f t="shared" si="78"/>
        <v>0</v>
      </c>
      <c r="AQ99" s="62" t="str">
        <f t="shared" si="98"/>
        <v/>
      </c>
      <c r="AR99" s="31">
        <f t="shared" si="79"/>
        <v>0</v>
      </c>
      <c r="AS99" s="21">
        <f t="shared" si="80"/>
        <v>0</v>
      </c>
      <c r="AT99" s="62" t="str">
        <f t="shared" si="99"/>
        <v/>
      </c>
      <c r="AU99" s="84">
        <f t="shared" si="100"/>
        <v>0</v>
      </c>
      <c r="AV99" s="32">
        <f t="shared" si="101"/>
        <v>0</v>
      </c>
      <c r="AW99" s="85" t="str">
        <f t="shared" si="102"/>
        <v/>
      </c>
      <c r="AX99" s="86" t="str">
        <f t="shared" si="106"/>
        <v/>
      </c>
    </row>
    <row r="100" spans="1:50" x14ac:dyDescent="0.2">
      <c r="A100" s="29" t="str">
        <f t="shared" ref="A100:A157" si="107">IF(A99="","",IF(C100="","",A99))</f>
        <v/>
      </c>
      <c r="B100" s="32" t="str">
        <f t="shared" ref="B100:B158" si="108">IF(B99="","",IF(C100="","",B99))</f>
        <v/>
      </c>
      <c r="C100" s="35"/>
      <c r="D100" s="33" t="str">
        <f t="shared" si="105"/>
        <v/>
      </c>
      <c r="E100" s="22" t="str">
        <f t="shared" si="103"/>
        <v/>
      </c>
      <c r="F100" s="23" t="str">
        <f t="shared" si="104"/>
        <v/>
      </c>
      <c r="G100" s="23"/>
      <c r="H100" s="22"/>
      <c r="I100" s="23"/>
      <c r="J100" s="18"/>
      <c r="K100" s="13" t="str">
        <f t="shared" si="81"/>
        <v/>
      </c>
      <c r="L100" s="28" t="str">
        <f t="shared" si="70"/>
        <v/>
      </c>
      <c r="M100" s="10" t="str">
        <f t="shared" si="82"/>
        <v/>
      </c>
      <c r="N100" s="17" t="str">
        <f t="shared" si="65"/>
        <v/>
      </c>
      <c r="O100" s="39" t="str">
        <f t="shared" si="83"/>
        <v/>
      </c>
      <c r="P100" s="41" t="str">
        <f t="shared" si="66"/>
        <v/>
      </c>
      <c r="Q100" s="9" t="str">
        <f t="shared" si="67"/>
        <v/>
      </c>
      <c r="R100" s="14">
        <f t="shared" si="71"/>
        <v>0</v>
      </c>
      <c r="S100" s="61" t="str">
        <f t="shared" si="68"/>
        <v/>
      </c>
      <c r="T100" s="14">
        <f t="shared" si="84"/>
        <v>0</v>
      </c>
      <c r="U100" s="58" t="str">
        <f t="shared" si="85"/>
        <v/>
      </c>
      <c r="V100" s="14">
        <f t="shared" si="72"/>
        <v>0</v>
      </c>
      <c r="W100" s="58" t="str">
        <f t="shared" si="86"/>
        <v/>
      </c>
      <c r="X100" s="14">
        <f t="shared" si="73"/>
        <v>0</v>
      </c>
      <c r="Y100" s="58" t="str">
        <f t="shared" si="87"/>
        <v/>
      </c>
      <c r="Z100" s="31">
        <f t="shared" si="74"/>
        <v>0</v>
      </c>
      <c r="AA100" s="21">
        <f t="shared" si="88"/>
        <v>0</v>
      </c>
      <c r="AB100" s="58" t="str">
        <f t="shared" si="89"/>
        <v/>
      </c>
      <c r="AC100" s="630">
        <f t="shared" si="69"/>
        <v>0</v>
      </c>
      <c r="AD100" s="627"/>
      <c r="AE100" s="21">
        <f t="shared" si="90"/>
        <v>0</v>
      </c>
      <c r="AF100" s="58" t="str">
        <f t="shared" si="91"/>
        <v/>
      </c>
      <c r="AG100" s="21">
        <f t="shared" si="92"/>
        <v>0</v>
      </c>
      <c r="AH100" s="58" t="str">
        <f t="shared" si="93"/>
        <v/>
      </c>
      <c r="AI100" s="21">
        <f t="shared" si="94"/>
        <v>0</v>
      </c>
      <c r="AJ100" s="58" t="str">
        <f t="shared" si="95"/>
        <v/>
      </c>
      <c r="AK100" s="31">
        <f t="shared" si="75"/>
        <v>0</v>
      </c>
      <c r="AL100" s="21">
        <f t="shared" si="76"/>
        <v>0</v>
      </c>
      <c r="AM100" s="62" t="str">
        <f t="shared" si="77"/>
        <v/>
      </c>
      <c r="AN100" s="21">
        <f t="shared" si="96"/>
        <v>0</v>
      </c>
      <c r="AO100" s="62" t="str">
        <f t="shared" si="97"/>
        <v/>
      </c>
      <c r="AP100" s="21">
        <f t="shared" si="78"/>
        <v>0</v>
      </c>
      <c r="AQ100" s="62" t="str">
        <f t="shared" si="98"/>
        <v/>
      </c>
      <c r="AR100" s="31">
        <f t="shared" si="79"/>
        <v>0</v>
      </c>
      <c r="AS100" s="21">
        <f t="shared" si="80"/>
        <v>0</v>
      </c>
      <c r="AT100" s="62" t="str">
        <f t="shared" si="99"/>
        <v/>
      </c>
      <c r="AU100" s="84">
        <f t="shared" si="100"/>
        <v>0</v>
      </c>
      <c r="AV100" s="32">
        <f t="shared" si="101"/>
        <v>0</v>
      </c>
      <c r="AW100" s="85" t="str">
        <f t="shared" si="102"/>
        <v/>
      </c>
      <c r="AX100" s="86" t="str">
        <f t="shared" si="106"/>
        <v/>
      </c>
    </row>
    <row r="101" spans="1:50" x14ac:dyDescent="0.2">
      <c r="A101" s="29" t="str">
        <f t="shared" si="107"/>
        <v/>
      </c>
      <c r="B101" s="32" t="str">
        <f t="shared" si="108"/>
        <v/>
      </c>
      <c r="C101" s="35"/>
      <c r="D101" s="33" t="str">
        <f t="shared" si="105"/>
        <v/>
      </c>
      <c r="E101" s="22" t="str">
        <f t="shared" si="103"/>
        <v/>
      </c>
      <c r="F101" s="23" t="str">
        <f t="shared" si="104"/>
        <v/>
      </c>
      <c r="G101" s="23"/>
      <c r="H101" s="22"/>
      <c r="I101" s="23"/>
      <c r="J101" s="18"/>
      <c r="K101" s="13" t="str">
        <f t="shared" si="81"/>
        <v/>
      </c>
      <c r="L101" s="28" t="str">
        <f t="shared" si="70"/>
        <v/>
      </c>
      <c r="M101" s="10" t="str">
        <f t="shared" si="82"/>
        <v/>
      </c>
      <c r="N101" s="17" t="str">
        <f t="shared" si="65"/>
        <v/>
      </c>
      <c r="O101" s="39" t="str">
        <f t="shared" si="83"/>
        <v/>
      </c>
      <c r="P101" s="41" t="str">
        <f t="shared" si="66"/>
        <v/>
      </c>
      <c r="Q101" s="9" t="str">
        <f t="shared" si="67"/>
        <v/>
      </c>
      <c r="R101" s="14">
        <f t="shared" si="71"/>
        <v>0</v>
      </c>
      <c r="S101" s="61" t="str">
        <f t="shared" si="68"/>
        <v/>
      </c>
      <c r="T101" s="14">
        <f t="shared" si="84"/>
        <v>0</v>
      </c>
      <c r="U101" s="58" t="str">
        <f t="shared" si="85"/>
        <v/>
      </c>
      <c r="V101" s="14">
        <f t="shared" si="72"/>
        <v>0</v>
      </c>
      <c r="W101" s="58" t="str">
        <f t="shared" si="86"/>
        <v/>
      </c>
      <c r="X101" s="14">
        <f t="shared" si="73"/>
        <v>0</v>
      </c>
      <c r="Y101" s="58" t="str">
        <f t="shared" si="87"/>
        <v/>
      </c>
      <c r="Z101" s="31">
        <f t="shared" si="74"/>
        <v>0</v>
      </c>
      <c r="AA101" s="21">
        <f t="shared" si="88"/>
        <v>0</v>
      </c>
      <c r="AB101" s="58" t="str">
        <f t="shared" si="89"/>
        <v/>
      </c>
      <c r="AC101" s="630">
        <f t="shared" si="69"/>
        <v>0</v>
      </c>
      <c r="AD101" s="627"/>
      <c r="AE101" s="21">
        <f t="shared" si="90"/>
        <v>0</v>
      </c>
      <c r="AF101" s="58" t="str">
        <f t="shared" si="91"/>
        <v/>
      </c>
      <c r="AG101" s="21">
        <f t="shared" si="92"/>
        <v>0</v>
      </c>
      <c r="AH101" s="58" t="str">
        <f t="shared" si="93"/>
        <v/>
      </c>
      <c r="AI101" s="21">
        <f t="shared" si="94"/>
        <v>0</v>
      </c>
      <c r="AJ101" s="58" t="str">
        <f t="shared" si="95"/>
        <v/>
      </c>
      <c r="AK101" s="31">
        <f t="shared" si="75"/>
        <v>0</v>
      </c>
      <c r="AL101" s="21">
        <f t="shared" si="76"/>
        <v>0</v>
      </c>
      <c r="AM101" s="62" t="str">
        <f t="shared" si="77"/>
        <v/>
      </c>
      <c r="AN101" s="21">
        <f t="shared" si="96"/>
        <v>0</v>
      </c>
      <c r="AO101" s="62" t="str">
        <f t="shared" si="97"/>
        <v/>
      </c>
      <c r="AP101" s="21">
        <f t="shared" si="78"/>
        <v>0</v>
      </c>
      <c r="AQ101" s="62" t="str">
        <f t="shared" si="98"/>
        <v/>
      </c>
      <c r="AR101" s="31">
        <f t="shared" si="79"/>
        <v>0</v>
      </c>
      <c r="AS101" s="21">
        <f t="shared" si="80"/>
        <v>0</v>
      </c>
      <c r="AT101" s="62" t="str">
        <f t="shared" si="99"/>
        <v/>
      </c>
      <c r="AU101" s="84">
        <f t="shared" si="100"/>
        <v>0</v>
      </c>
      <c r="AV101" s="32">
        <f t="shared" si="101"/>
        <v>0</v>
      </c>
      <c r="AW101" s="85" t="str">
        <f t="shared" si="102"/>
        <v/>
      </c>
      <c r="AX101" s="86" t="str">
        <f t="shared" si="106"/>
        <v/>
      </c>
    </row>
    <row r="102" spans="1:50" x14ac:dyDescent="0.2">
      <c r="A102" s="29" t="str">
        <f t="shared" si="107"/>
        <v/>
      </c>
      <c r="B102" s="32" t="str">
        <f t="shared" si="108"/>
        <v/>
      </c>
      <c r="C102" s="35"/>
      <c r="D102" s="33" t="str">
        <f t="shared" si="105"/>
        <v/>
      </c>
      <c r="E102" s="22" t="str">
        <f t="shared" si="103"/>
        <v/>
      </c>
      <c r="F102" s="23" t="str">
        <f t="shared" si="104"/>
        <v/>
      </c>
      <c r="G102" s="23"/>
      <c r="H102" s="22"/>
      <c r="I102" s="23"/>
      <c r="J102" s="18"/>
      <c r="K102" s="13" t="str">
        <f t="shared" si="81"/>
        <v/>
      </c>
      <c r="L102" s="28" t="str">
        <f t="shared" si="70"/>
        <v/>
      </c>
      <c r="M102" s="10" t="str">
        <f t="shared" si="82"/>
        <v/>
      </c>
      <c r="N102" s="17" t="str">
        <f t="shared" si="65"/>
        <v/>
      </c>
      <c r="O102" s="39" t="str">
        <f t="shared" si="83"/>
        <v/>
      </c>
      <c r="P102" s="41" t="str">
        <f t="shared" si="66"/>
        <v/>
      </c>
      <c r="Q102" s="9" t="str">
        <f t="shared" si="67"/>
        <v/>
      </c>
      <c r="R102" s="14">
        <f t="shared" si="71"/>
        <v>0</v>
      </c>
      <c r="S102" s="61" t="str">
        <f t="shared" si="68"/>
        <v/>
      </c>
      <c r="T102" s="14">
        <f t="shared" si="84"/>
        <v>0</v>
      </c>
      <c r="U102" s="58" t="str">
        <f t="shared" si="85"/>
        <v/>
      </c>
      <c r="V102" s="14">
        <f t="shared" si="72"/>
        <v>0</v>
      </c>
      <c r="W102" s="58" t="str">
        <f t="shared" si="86"/>
        <v/>
      </c>
      <c r="X102" s="14">
        <f t="shared" si="73"/>
        <v>0</v>
      </c>
      <c r="Y102" s="58" t="str">
        <f t="shared" si="87"/>
        <v/>
      </c>
      <c r="Z102" s="31">
        <f t="shared" si="74"/>
        <v>0</v>
      </c>
      <c r="AA102" s="21">
        <f t="shared" si="88"/>
        <v>0</v>
      </c>
      <c r="AB102" s="58" t="str">
        <f t="shared" si="89"/>
        <v/>
      </c>
      <c r="AC102" s="630">
        <f t="shared" si="69"/>
        <v>0</v>
      </c>
      <c r="AD102" s="627"/>
      <c r="AE102" s="21">
        <f t="shared" si="90"/>
        <v>0</v>
      </c>
      <c r="AF102" s="58" t="str">
        <f t="shared" si="91"/>
        <v/>
      </c>
      <c r="AG102" s="21">
        <f t="shared" si="92"/>
        <v>0</v>
      </c>
      <c r="AH102" s="58" t="str">
        <f t="shared" si="93"/>
        <v/>
      </c>
      <c r="AI102" s="21">
        <f t="shared" si="94"/>
        <v>0</v>
      </c>
      <c r="AJ102" s="58" t="str">
        <f t="shared" si="95"/>
        <v/>
      </c>
      <c r="AK102" s="31">
        <f t="shared" si="75"/>
        <v>0</v>
      </c>
      <c r="AL102" s="21">
        <f t="shared" si="76"/>
        <v>0</v>
      </c>
      <c r="AM102" s="62" t="str">
        <f t="shared" si="77"/>
        <v/>
      </c>
      <c r="AN102" s="21">
        <f t="shared" si="96"/>
        <v>0</v>
      </c>
      <c r="AO102" s="62" t="str">
        <f t="shared" si="97"/>
        <v/>
      </c>
      <c r="AP102" s="21">
        <f t="shared" si="78"/>
        <v>0</v>
      </c>
      <c r="AQ102" s="62" t="str">
        <f t="shared" si="98"/>
        <v/>
      </c>
      <c r="AR102" s="31">
        <f t="shared" si="79"/>
        <v>0</v>
      </c>
      <c r="AS102" s="21">
        <f t="shared" si="80"/>
        <v>0</v>
      </c>
      <c r="AT102" s="62" t="str">
        <f t="shared" si="99"/>
        <v/>
      </c>
      <c r="AU102" s="84">
        <f t="shared" si="100"/>
        <v>0</v>
      </c>
      <c r="AV102" s="32">
        <f t="shared" si="101"/>
        <v>0</v>
      </c>
      <c r="AW102" s="85" t="str">
        <f t="shared" si="102"/>
        <v/>
      </c>
      <c r="AX102" s="86" t="str">
        <f t="shared" si="106"/>
        <v/>
      </c>
    </row>
    <row r="103" spans="1:50" x14ac:dyDescent="0.2">
      <c r="A103" s="29" t="str">
        <f t="shared" si="107"/>
        <v/>
      </c>
      <c r="B103" s="32" t="str">
        <f t="shared" si="108"/>
        <v/>
      </c>
      <c r="C103" s="35"/>
      <c r="D103" s="33" t="str">
        <f t="shared" si="105"/>
        <v/>
      </c>
      <c r="E103" s="22" t="str">
        <f t="shared" si="103"/>
        <v/>
      </c>
      <c r="F103" s="23" t="str">
        <f t="shared" si="104"/>
        <v/>
      </c>
      <c r="G103" s="23"/>
      <c r="H103" s="22"/>
      <c r="I103" s="23"/>
      <c r="J103" s="18"/>
      <c r="K103" s="13" t="str">
        <f t="shared" si="81"/>
        <v/>
      </c>
      <c r="L103" s="28" t="str">
        <f t="shared" si="70"/>
        <v/>
      </c>
      <c r="M103" s="10" t="str">
        <f t="shared" si="82"/>
        <v/>
      </c>
      <c r="N103" s="17" t="str">
        <f t="shared" si="65"/>
        <v/>
      </c>
      <c r="O103" s="39" t="str">
        <f t="shared" si="83"/>
        <v/>
      </c>
      <c r="P103" s="41" t="str">
        <f t="shared" si="66"/>
        <v/>
      </c>
      <c r="Q103" s="9" t="str">
        <f t="shared" si="67"/>
        <v/>
      </c>
      <c r="R103" s="14">
        <f t="shared" si="71"/>
        <v>0</v>
      </c>
      <c r="S103" s="61" t="str">
        <f t="shared" si="68"/>
        <v/>
      </c>
      <c r="T103" s="14">
        <f t="shared" si="84"/>
        <v>0</v>
      </c>
      <c r="U103" s="58" t="str">
        <f t="shared" si="85"/>
        <v/>
      </c>
      <c r="V103" s="14">
        <f t="shared" si="72"/>
        <v>0</v>
      </c>
      <c r="W103" s="58" t="str">
        <f t="shared" si="86"/>
        <v/>
      </c>
      <c r="X103" s="14">
        <f t="shared" si="73"/>
        <v>0</v>
      </c>
      <c r="Y103" s="58" t="str">
        <f t="shared" si="87"/>
        <v/>
      </c>
      <c r="Z103" s="31">
        <f t="shared" si="74"/>
        <v>0</v>
      </c>
      <c r="AA103" s="21">
        <f t="shared" si="88"/>
        <v>0</v>
      </c>
      <c r="AB103" s="58" t="str">
        <f t="shared" si="89"/>
        <v/>
      </c>
      <c r="AC103" s="630">
        <f t="shared" si="69"/>
        <v>0</v>
      </c>
      <c r="AD103" s="627"/>
      <c r="AE103" s="21">
        <f t="shared" si="90"/>
        <v>0</v>
      </c>
      <c r="AF103" s="58" t="str">
        <f t="shared" si="91"/>
        <v/>
      </c>
      <c r="AG103" s="21">
        <f t="shared" si="92"/>
        <v>0</v>
      </c>
      <c r="AH103" s="58" t="str">
        <f t="shared" si="93"/>
        <v/>
      </c>
      <c r="AI103" s="21">
        <f t="shared" si="94"/>
        <v>0</v>
      </c>
      <c r="AJ103" s="58" t="str">
        <f t="shared" si="95"/>
        <v/>
      </c>
      <c r="AK103" s="31">
        <f t="shared" si="75"/>
        <v>0</v>
      </c>
      <c r="AL103" s="21">
        <f t="shared" si="76"/>
        <v>0</v>
      </c>
      <c r="AM103" s="62" t="str">
        <f t="shared" si="77"/>
        <v/>
      </c>
      <c r="AN103" s="21">
        <f t="shared" si="96"/>
        <v>0</v>
      </c>
      <c r="AO103" s="62" t="str">
        <f t="shared" si="97"/>
        <v/>
      </c>
      <c r="AP103" s="21">
        <f t="shared" si="78"/>
        <v>0</v>
      </c>
      <c r="AQ103" s="62" t="str">
        <f t="shared" si="98"/>
        <v/>
      </c>
      <c r="AR103" s="31">
        <f t="shared" si="79"/>
        <v>0</v>
      </c>
      <c r="AS103" s="21">
        <f t="shared" si="80"/>
        <v>0</v>
      </c>
      <c r="AT103" s="62" t="str">
        <f t="shared" si="99"/>
        <v/>
      </c>
      <c r="AU103" s="84">
        <f t="shared" si="100"/>
        <v>0</v>
      </c>
      <c r="AV103" s="32">
        <f t="shared" si="101"/>
        <v>0</v>
      </c>
      <c r="AW103" s="85" t="str">
        <f t="shared" si="102"/>
        <v/>
      </c>
      <c r="AX103" s="86" t="str">
        <f t="shared" si="106"/>
        <v/>
      </c>
    </row>
    <row r="104" spans="1:50" x14ac:dyDescent="0.2">
      <c r="A104" s="29" t="str">
        <f t="shared" si="107"/>
        <v/>
      </c>
      <c r="B104" s="32" t="str">
        <f t="shared" si="108"/>
        <v/>
      </c>
      <c r="C104" s="35"/>
      <c r="D104" s="33" t="str">
        <f t="shared" si="105"/>
        <v/>
      </c>
      <c r="E104" s="22" t="str">
        <f t="shared" si="103"/>
        <v/>
      </c>
      <c r="F104" s="23" t="str">
        <f t="shared" si="104"/>
        <v/>
      </c>
      <c r="G104" s="23"/>
      <c r="H104" s="22"/>
      <c r="I104" s="23"/>
      <c r="J104" s="18"/>
      <c r="K104" s="13" t="str">
        <f t="shared" si="81"/>
        <v/>
      </c>
      <c r="L104" s="28" t="str">
        <f t="shared" si="70"/>
        <v/>
      </c>
      <c r="M104" s="10" t="str">
        <f t="shared" si="82"/>
        <v/>
      </c>
      <c r="N104" s="17" t="str">
        <f t="shared" si="65"/>
        <v/>
      </c>
      <c r="O104" s="39" t="str">
        <f t="shared" si="83"/>
        <v/>
      </c>
      <c r="P104" s="41" t="str">
        <f t="shared" si="66"/>
        <v/>
      </c>
      <c r="Q104" s="9" t="str">
        <f t="shared" si="67"/>
        <v/>
      </c>
      <c r="R104" s="14">
        <f t="shared" si="71"/>
        <v>0</v>
      </c>
      <c r="S104" s="61" t="str">
        <f t="shared" si="68"/>
        <v/>
      </c>
      <c r="T104" s="14">
        <f t="shared" si="84"/>
        <v>0</v>
      </c>
      <c r="U104" s="58" t="str">
        <f t="shared" si="85"/>
        <v/>
      </c>
      <c r="V104" s="14">
        <f t="shared" si="72"/>
        <v>0</v>
      </c>
      <c r="W104" s="58" t="str">
        <f t="shared" si="86"/>
        <v/>
      </c>
      <c r="X104" s="14">
        <f t="shared" si="73"/>
        <v>0</v>
      </c>
      <c r="Y104" s="58" t="str">
        <f t="shared" si="87"/>
        <v/>
      </c>
      <c r="Z104" s="31">
        <f t="shared" si="74"/>
        <v>0</v>
      </c>
      <c r="AA104" s="21">
        <f t="shared" si="88"/>
        <v>0</v>
      </c>
      <c r="AB104" s="58" t="str">
        <f t="shared" si="89"/>
        <v/>
      </c>
      <c r="AC104" s="630">
        <f t="shared" si="69"/>
        <v>0</v>
      </c>
      <c r="AD104" s="627"/>
      <c r="AE104" s="21">
        <f t="shared" si="90"/>
        <v>0</v>
      </c>
      <c r="AF104" s="58" t="str">
        <f t="shared" si="91"/>
        <v/>
      </c>
      <c r="AG104" s="21">
        <f t="shared" si="92"/>
        <v>0</v>
      </c>
      <c r="AH104" s="58" t="str">
        <f t="shared" si="93"/>
        <v/>
      </c>
      <c r="AI104" s="21">
        <f t="shared" si="94"/>
        <v>0</v>
      </c>
      <c r="AJ104" s="58" t="str">
        <f t="shared" si="95"/>
        <v/>
      </c>
      <c r="AK104" s="31">
        <f t="shared" si="75"/>
        <v>0</v>
      </c>
      <c r="AL104" s="21">
        <f t="shared" si="76"/>
        <v>0</v>
      </c>
      <c r="AM104" s="62" t="str">
        <f t="shared" si="77"/>
        <v/>
      </c>
      <c r="AN104" s="21">
        <f t="shared" si="96"/>
        <v>0</v>
      </c>
      <c r="AO104" s="62" t="str">
        <f t="shared" si="97"/>
        <v/>
      </c>
      <c r="AP104" s="21">
        <f t="shared" si="78"/>
        <v>0</v>
      </c>
      <c r="AQ104" s="62" t="str">
        <f t="shared" si="98"/>
        <v/>
      </c>
      <c r="AR104" s="31">
        <f t="shared" si="79"/>
        <v>0</v>
      </c>
      <c r="AS104" s="21">
        <f t="shared" si="80"/>
        <v>0</v>
      </c>
      <c r="AT104" s="62" t="str">
        <f t="shared" si="99"/>
        <v/>
      </c>
      <c r="AU104" s="84">
        <f t="shared" si="100"/>
        <v>0</v>
      </c>
      <c r="AV104" s="32">
        <f t="shared" si="101"/>
        <v>0</v>
      </c>
      <c r="AW104" s="85" t="str">
        <f t="shared" si="102"/>
        <v/>
      </c>
      <c r="AX104" s="86" t="str">
        <f t="shared" si="106"/>
        <v/>
      </c>
    </row>
    <row r="105" spans="1:50" x14ac:dyDescent="0.2">
      <c r="A105" s="29" t="str">
        <f t="shared" si="107"/>
        <v/>
      </c>
      <c r="B105" s="32" t="str">
        <f t="shared" si="108"/>
        <v/>
      </c>
      <c r="C105" s="35"/>
      <c r="D105" s="33" t="str">
        <f t="shared" si="105"/>
        <v/>
      </c>
      <c r="E105" s="22" t="str">
        <f t="shared" si="103"/>
        <v/>
      </c>
      <c r="F105" s="23" t="str">
        <f t="shared" si="104"/>
        <v/>
      </c>
      <c r="G105" s="23"/>
      <c r="H105" s="22"/>
      <c r="I105" s="23"/>
      <c r="J105" s="18"/>
      <c r="K105" s="13" t="str">
        <f t="shared" si="81"/>
        <v/>
      </c>
      <c r="L105" s="28" t="str">
        <f t="shared" si="70"/>
        <v/>
      </c>
      <c r="M105" s="10" t="str">
        <f t="shared" si="82"/>
        <v/>
      </c>
      <c r="N105" s="17" t="str">
        <f t="shared" si="65"/>
        <v/>
      </c>
      <c r="O105" s="39" t="str">
        <f t="shared" si="83"/>
        <v/>
      </c>
      <c r="P105" s="41" t="str">
        <f t="shared" si="66"/>
        <v/>
      </c>
      <c r="Q105" s="9" t="str">
        <f t="shared" si="67"/>
        <v/>
      </c>
      <c r="R105" s="14">
        <f t="shared" si="71"/>
        <v>0</v>
      </c>
      <c r="S105" s="61" t="str">
        <f t="shared" si="68"/>
        <v/>
      </c>
      <c r="T105" s="14">
        <f t="shared" si="84"/>
        <v>0</v>
      </c>
      <c r="U105" s="58" t="str">
        <f t="shared" si="85"/>
        <v/>
      </c>
      <c r="V105" s="14">
        <f t="shared" si="72"/>
        <v>0</v>
      </c>
      <c r="W105" s="58" t="str">
        <f t="shared" si="86"/>
        <v/>
      </c>
      <c r="X105" s="14">
        <f t="shared" si="73"/>
        <v>0</v>
      </c>
      <c r="Y105" s="58" t="str">
        <f t="shared" si="87"/>
        <v/>
      </c>
      <c r="Z105" s="31">
        <f t="shared" si="74"/>
        <v>0</v>
      </c>
      <c r="AA105" s="21">
        <f t="shared" si="88"/>
        <v>0</v>
      </c>
      <c r="AB105" s="58" t="str">
        <f t="shared" si="89"/>
        <v/>
      </c>
      <c r="AC105" s="630">
        <f t="shared" si="69"/>
        <v>0</v>
      </c>
      <c r="AD105" s="627"/>
      <c r="AE105" s="21">
        <f t="shared" si="90"/>
        <v>0</v>
      </c>
      <c r="AF105" s="58" t="str">
        <f t="shared" si="91"/>
        <v/>
      </c>
      <c r="AG105" s="21">
        <f t="shared" si="92"/>
        <v>0</v>
      </c>
      <c r="AH105" s="58" t="str">
        <f t="shared" si="93"/>
        <v/>
      </c>
      <c r="AI105" s="21">
        <f t="shared" si="94"/>
        <v>0</v>
      </c>
      <c r="AJ105" s="58" t="str">
        <f t="shared" si="95"/>
        <v/>
      </c>
      <c r="AK105" s="31">
        <f t="shared" si="75"/>
        <v>0</v>
      </c>
      <c r="AL105" s="21">
        <f t="shared" si="76"/>
        <v>0</v>
      </c>
      <c r="AM105" s="62" t="str">
        <f t="shared" si="77"/>
        <v/>
      </c>
      <c r="AN105" s="21">
        <f t="shared" si="96"/>
        <v>0</v>
      </c>
      <c r="AO105" s="62" t="str">
        <f t="shared" si="97"/>
        <v/>
      </c>
      <c r="AP105" s="21">
        <f t="shared" si="78"/>
        <v>0</v>
      </c>
      <c r="AQ105" s="62" t="str">
        <f t="shared" si="98"/>
        <v/>
      </c>
      <c r="AR105" s="31">
        <f t="shared" si="79"/>
        <v>0</v>
      </c>
      <c r="AS105" s="21">
        <f t="shared" si="80"/>
        <v>0</v>
      </c>
      <c r="AT105" s="62" t="str">
        <f t="shared" si="99"/>
        <v/>
      </c>
      <c r="AU105" s="84">
        <f t="shared" si="100"/>
        <v>0</v>
      </c>
      <c r="AV105" s="32">
        <f t="shared" si="101"/>
        <v>0</v>
      </c>
      <c r="AW105" s="85" t="str">
        <f t="shared" si="102"/>
        <v/>
      </c>
      <c r="AX105" s="86" t="str">
        <f t="shared" si="106"/>
        <v/>
      </c>
    </row>
    <row r="106" spans="1:50" x14ac:dyDescent="0.2">
      <c r="A106" s="29" t="str">
        <f t="shared" si="107"/>
        <v/>
      </c>
      <c r="B106" s="32" t="str">
        <f t="shared" si="108"/>
        <v/>
      </c>
      <c r="C106" s="35"/>
      <c r="D106" s="33" t="str">
        <f t="shared" si="105"/>
        <v/>
      </c>
      <c r="E106" s="22" t="str">
        <f t="shared" si="103"/>
        <v/>
      </c>
      <c r="F106" s="23" t="str">
        <f t="shared" si="104"/>
        <v/>
      </c>
      <c r="G106" s="23"/>
      <c r="H106" s="22"/>
      <c r="I106" s="23"/>
      <c r="J106" s="18"/>
      <c r="K106" s="13" t="str">
        <f t="shared" si="81"/>
        <v/>
      </c>
      <c r="L106" s="28" t="str">
        <f t="shared" si="70"/>
        <v/>
      </c>
      <c r="M106" s="10" t="str">
        <f t="shared" si="82"/>
        <v/>
      </c>
      <c r="N106" s="17" t="str">
        <f t="shared" si="65"/>
        <v/>
      </c>
      <c r="O106" s="39" t="str">
        <f t="shared" si="83"/>
        <v/>
      </c>
      <c r="P106" s="41" t="str">
        <f t="shared" si="66"/>
        <v/>
      </c>
      <c r="Q106" s="9" t="str">
        <f t="shared" si="67"/>
        <v/>
      </c>
      <c r="R106" s="14">
        <f t="shared" si="71"/>
        <v>0</v>
      </c>
      <c r="S106" s="61" t="str">
        <f t="shared" si="68"/>
        <v/>
      </c>
      <c r="T106" s="14">
        <f t="shared" si="84"/>
        <v>0</v>
      </c>
      <c r="U106" s="58" t="str">
        <f t="shared" si="85"/>
        <v/>
      </c>
      <c r="V106" s="14">
        <f t="shared" si="72"/>
        <v>0</v>
      </c>
      <c r="W106" s="58" t="str">
        <f t="shared" si="86"/>
        <v/>
      </c>
      <c r="X106" s="14">
        <f t="shared" si="73"/>
        <v>0</v>
      </c>
      <c r="Y106" s="58" t="str">
        <f t="shared" si="87"/>
        <v/>
      </c>
      <c r="Z106" s="31">
        <f t="shared" si="74"/>
        <v>0</v>
      </c>
      <c r="AA106" s="21">
        <f t="shared" si="88"/>
        <v>0</v>
      </c>
      <c r="AB106" s="58" t="str">
        <f t="shared" si="89"/>
        <v/>
      </c>
      <c r="AC106" s="630">
        <f t="shared" si="69"/>
        <v>0</v>
      </c>
      <c r="AD106" s="627"/>
      <c r="AE106" s="21">
        <f t="shared" si="90"/>
        <v>0</v>
      </c>
      <c r="AF106" s="58" t="str">
        <f t="shared" si="91"/>
        <v/>
      </c>
      <c r="AG106" s="21">
        <f t="shared" si="92"/>
        <v>0</v>
      </c>
      <c r="AH106" s="58" t="str">
        <f t="shared" si="93"/>
        <v/>
      </c>
      <c r="AI106" s="21">
        <f t="shared" si="94"/>
        <v>0</v>
      </c>
      <c r="AJ106" s="58" t="str">
        <f t="shared" si="95"/>
        <v/>
      </c>
      <c r="AK106" s="31">
        <f t="shared" si="75"/>
        <v>0</v>
      </c>
      <c r="AL106" s="21">
        <f t="shared" si="76"/>
        <v>0</v>
      </c>
      <c r="AM106" s="62" t="str">
        <f t="shared" si="77"/>
        <v/>
      </c>
      <c r="AN106" s="21">
        <f t="shared" si="96"/>
        <v>0</v>
      </c>
      <c r="AO106" s="62" t="str">
        <f t="shared" si="97"/>
        <v/>
      </c>
      <c r="AP106" s="21">
        <f t="shared" si="78"/>
        <v>0</v>
      </c>
      <c r="AQ106" s="62" t="str">
        <f t="shared" si="98"/>
        <v/>
      </c>
      <c r="AR106" s="31">
        <f t="shared" si="79"/>
        <v>0</v>
      </c>
      <c r="AS106" s="21">
        <f t="shared" si="80"/>
        <v>0</v>
      </c>
      <c r="AT106" s="62" t="str">
        <f t="shared" si="99"/>
        <v/>
      </c>
      <c r="AU106" s="84">
        <f t="shared" si="100"/>
        <v>0</v>
      </c>
      <c r="AV106" s="32">
        <f t="shared" si="101"/>
        <v>0</v>
      </c>
      <c r="AW106" s="85" t="str">
        <f t="shared" si="102"/>
        <v/>
      </c>
      <c r="AX106" s="86" t="str">
        <f t="shared" si="106"/>
        <v/>
      </c>
    </row>
    <row r="107" spans="1:50" x14ac:dyDescent="0.2">
      <c r="A107" s="29" t="str">
        <f t="shared" si="107"/>
        <v/>
      </c>
      <c r="B107" s="32" t="str">
        <f t="shared" si="108"/>
        <v/>
      </c>
      <c r="C107" s="35"/>
      <c r="D107" s="33" t="str">
        <f t="shared" si="105"/>
        <v/>
      </c>
      <c r="E107" s="22" t="str">
        <f t="shared" si="103"/>
        <v/>
      </c>
      <c r="F107" s="23" t="str">
        <f t="shared" si="104"/>
        <v/>
      </c>
      <c r="G107" s="23"/>
      <c r="H107" s="22"/>
      <c r="I107" s="23"/>
      <c r="J107" s="18"/>
      <c r="K107" s="13" t="str">
        <f t="shared" si="81"/>
        <v/>
      </c>
      <c r="L107" s="28" t="str">
        <f t="shared" si="70"/>
        <v/>
      </c>
      <c r="M107" s="10" t="str">
        <f t="shared" si="82"/>
        <v/>
      </c>
      <c r="N107" s="17" t="str">
        <f t="shared" si="65"/>
        <v/>
      </c>
      <c r="O107" s="39" t="str">
        <f t="shared" si="83"/>
        <v/>
      </c>
      <c r="P107" s="41" t="str">
        <f t="shared" si="66"/>
        <v/>
      </c>
      <c r="Q107" s="9" t="str">
        <f t="shared" si="67"/>
        <v/>
      </c>
      <c r="R107" s="14">
        <f t="shared" si="71"/>
        <v>0</v>
      </c>
      <c r="S107" s="61" t="str">
        <f t="shared" si="68"/>
        <v/>
      </c>
      <c r="T107" s="14">
        <f t="shared" si="84"/>
        <v>0</v>
      </c>
      <c r="U107" s="58" t="str">
        <f t="shared" si="85"/>
        <v/>
      </c>
      <c r="V107" s="14">
        <f t="shared" si="72"/>
        <v>0</v>
      </c>
      <c r="W107" s="58" t="str">
        <f t="shared" si="86"/>
        <v/>
      </c>
      <c r="X107" s="14">
        <f t="shared" si="73"/>
        <v>0</v>
      </c>
      <c r="Y107" s="58" t="str">
        <f t="shared" si="87"/>
        <v/>
      </c>
      <c r="Z107" s="31">
        <f t="shared" si="74"/>
        <v>0</v>
      </c>
      <c r="AA107" s="21">
        <f t="shared" si="88"/>
        <v>0</v>
      </c>
      <c r="AB107" s="58" t="str">
        <f t="shared" si="89"/>
        <v/>
      </c>
      <c r="AC107" s="630">
        <f t="shared" si="69"/>
        <v>0</v>
      </c>
      <c r="AD107" s="627"/>
      <c r="AE107" s="21">
        <f t="shared" si="90"/>
        <v>0</v>
      </c>
      <c r="AF107" s="58" t="str">
        <f t="shared" si="91"/>
        <v/>
      </c>
      <c r="AG107" s="21">
        <f t="shared" si="92"/>
        <v>0</v>
      </c>
      <c r="AH107" s="58" t="str">
        <f t="shared" si="93"/>
        <v/>
      </c>
      <c r="AI107" s="21">
        <f t="shared" si="94"/>
        <v>0</v>
      </c>
      <c r="AJ107" s="58" t="str">
        <f t="shared" si="95"/>
        <v/>
      </c>
      <c r="AK107" s="31">
        <f t="shared" si="75"/>
        <v>0</v>
      </c>
      <c r="AL107" s="21">
        <f t="shared" si="76"/>
        <v>0</v>
      </c>
      <c r="AM107" s="62" t="str">
        <f t="shared" si="77"/>
        <v/>
      </c>
      <c r="AN107" s="21">
        <f t="shared" si="96"/>
        <v>0</v>
      </c>
      <c r="AO107" s="62" t="str">
        <f t="shared" si="97"/>
        <v/>
      </c>
      <c r="AP107" s="21">
        <f t="shared" si="78"/>
        <v>0</v>
      </c>
      <c r="AQ107" s="62" t="str">
        <f t="shared" si="98"/>
        <v/>
      </c>
      <c r="AR107" s="31">
        <f t="shared" si="79"/>
        <v>0</v>
      </c>
      <c r="AS107" s="21">
        <f t="shared" si="80"/>
        <v>0</v>
      </c>
      <c r="AT107" s="62" t="str">
        <f t="shared" si="99"/>
        <v/>
      </c>
      <c r="AU107" s="84">
        <f t="shared" si="100"/>
        <v>0</v>
      </c>
      <c r="AV107" s="32">
        <f t="shared" si="101"/>
        <v>0</v>
      </c>
      <c r="AW107" s="85" t="str">
        <f t="shared" si="102"/>
        <v/>
      </c>
      <c r="AX107" s="86" t="str">
        <f t="shared" si="106"/>
        <v/>
      </c>
    </row>
    <row r="108" spans="1:50" x14ac:dyDescent="0.2">
      <c r="A108" s="29" t="str">
        <f t="shared" si="107"/>
        <v/>
      </c>
      <c r="B108" s="32" t="str">
        <f t="shared" si="108"/>
        <v/>
      </c>
      <c r="C108" s="35"/>
      <c r="D108" s="33" t="str">
        <f t="shared" si="105"/>
        <v/>
      </c>
      <c r="E108" s="22" t="str">
        <f t="shared" si="103"/>
        <v/>
      </c>
      <c r="F108" s="23" t="str">
        <f t="shared" si="104"/>
        <v/>
      </c>
      <c r="G108" s="23"/>
      <c r="H108" s="22"/>
      <c r="I108" s="23"/>
      <c r="J108" s="18"/>
      <c r="K108" s="13" t="str">
        <f t="shared" si="81"/>
        <v/>
      </c>
      <c r="L108" s="28" t="str">
        <f t="shared" si="70"/>
        <v/>
      </c>
      <c r="M108" s="10" t="str">
        <f t="shared" si="82"/>
        <v/>
      </c>
      <c r="N108" s="17" t="str">
        <f t="shared" si="65"/>
        <v/>
      </c>
      <c r="O108" s="39" t="str">
        <f t="shared" si="83"/>
        <v/>
      </c>
      <c r="P108" s="41" t="str">
        <f t="shared" si="66"/>
        <v/>
      </c>
      <c r="Q108" s="9" t="str">
        <f t="shared" si="67"/>
        <v/>
      </c>
      <c r="R108" s="14">
        <f t="shared" si="71"/>
        <v>0</v>
      </c>
      <c r="S108" s="61" t="str">
        <f t="shared" si="68"/>
        <v/>
      </c>
      <c r="T108" s="14">
        <f t="shared" si="84"/>
        <v>0</v>
      </c>
      <c r="U108" s="58" t="str">
        <f t="shared" si="85"/>
        <v/>
      </c>
      <c r="V108" s="14">
        <f t="shared" si="72"/>
        <v>0</v>
      </c>
      <c r="W108" s="58" t="str">
        <f t="shared" si="86"/>
        <v/>
      </c>
      <c r="X108" s="14">
        <f t="shared" si="73"/>
        <v>0</v>
      </c>
      <c r="Y108" s="58" t="str">
        <f t="shared" si="87"/>
        <v/>
      </c>
      <c r="Z108" s="31">
        <f t="shared" si="74"/>
        <v>0</v>
      </c>
      <c r="AA108" s="21">
        <f t="shared" si="88"/>
        <v>0</v>
      </c>
      <c r="AB108" s="58" t="str">
        <f t="shared" si="89"/>
        <v/>
      </c>
      <c r="AC108" s="630">
        <f t="shared" si="69"/>
        <v>0</v>
      </c>
      <c r="AD108" s="627"/>
      <c r="AE108" s="21">
        <f t="shared" si="90"/>
        <v>0</v>
      </c>
      <c r="AF108" s="58" t="str">
        <f t="shared" si="91"/>
        <v/>
      </c>
      <c r="AG108" s="21">
        <f t="shared" si="92"/>
        <v>0</v>
      </c>
      <c r="AH108" s="58" t="str">
        <f t="shared" si="93"/>
        <v/>
      </c>
      <c r="AI108" s="21">
        <f t="shared" si="94"/>
        <v>0</v>
      </c>
      <c r="AJ108" s="58" t="str">
        <f t="shared" si="95"/>
        <v/>
      </c>
      <c r="AK108" s="31">
        <f t="shared" si="75"/>
        <v>0</v>
      </c>
      <c r="AL108" s="21">
        <f t="shared" si="76"/>
        <v>0</v>
      </c>
      <c r="AM108" s="62" t="str">
        <f t="shared" si="77"/>
        <v/>
      </c>
      <c r="AN108" s="21">
        <f t="shared" si="96"/>
        <v>0</v>
      </c>
      <c r="AO108" s="62" t="str">
        <f t="shared" si="97"/>
        <v/>
      </c>
      <c r="AP108" s="21">
        <f t="shared" si="78"/>
        <v>0</v>
      </c>
      <c r="AQ108" s="62" t="str">
        <f t="shared" si="98"/>
        <v/>
      </c>
      <c r="AR108" s="31">
        <f t="shared" si="79"/>
        <v>0</v>
      </c>
      <c r="AS108" s="21">
        <f t="shared" si="80"/>
        <v>0</v>
      </c>
      <c r="AT108" s="62" t="str">
        <f t="shared" si="99"/>
        <v/>
      </c>
      <c r="AU108" s="84">
        <f t="shared" si="100"/>
        <v>0</v>
      </c>
      <c r="AV108" s="32">
        <f t="shared" si="101"/>
        <v>0</v>
      </c>
      <c r="AW108" s="85" t="str">
        <f t="shared" si="102"/>
        <v/>
      </c>
      <c r="AX108" s="86" t="str">
        <f t="shared" si="106"/>
        <v/>
      </c>
    </row>
    <row r="109" spans="1:50" x14ac:dyDescent="0.2">
      <c r="A109" s="29" t="str">
        <f t="shared" si="107"/>
        <v/>
      </c>
      <c r="B109" s="32" t="str">
        <f t="shared" si="108"/>
        <v/>
      </c>
      <c r="C109" s="35"/>
      <c r="D109" s="33" t="str">
        <f t="shared" si="105"/>
        <v/>
      </c>
      <c r="E109" s="22" t="str">
        <f t="shared" si="103"/>
        <v/>
      </c>
      <c r="F109" s="23" t="str">
        <f t="shared" si="104"/>
        <v/>
      </c>
      <c r="G109" s="23"/>
      <c r="H109" s="22"/>
      <c r="I109" s="23"/>
      <c r="J109" s="18"/>
      <c r="K109" s="13" t="str">
        <f t="shared" si="81"/>
        <v/>
      </c>
      <c r="L109" s="28" t="str">
        <f t="shared" si="70"/>
        <v/>
      </c>
      <c r="M109" s="10" t="str">
        <f t="shared" si="82"/>
        <v/>
      </c>
      <c r="N109" s="17" t="str">
        <f t="shared" si="65"/>
        <v/>
      </c>
      <c r="O109" s="39" t="str">
        <f t="shared" si="83"/>
        <v/>
      </c>
      <c r="P109" s="41" t="str">
        <f t="shared" si="66"/>
        <v/>
      </c>
      <c r="Q109" s="9" t="str">
        <f t="shared" si="67"/>
        <v/>
      </c>
      <c r="R109" s="14">
        <f t="shared" si="71"/>
        <v>0</v>
      </c>
      <c r="S109" s="61" t="str">
        <f t="shared" si="68"/>
        <v/>
      </c>
      <c r="T109" s="14">
        <f t="shared" si="84"/>
        <v>0</v>
      </c>
      <c r="U109" s="58" t="str">
        <f t="shared" si="85"/>
        <v/>
      </c>
      <c r="V109" s="14">
        <f t="shared" si="72"/>
        <v>0</v>
      </c>
      <c r="W109" s="58" t="str">
        <f t="shared" si="86"/>
        <v/>
      </c>
      <c r="X109" s="14">
        <f t="shared" si="73"/>
        <v>0</v>
      </c>
      <c r="Y109" s="58" t="str">
        <f t="shared" si="87"/>
        <v/>
      </c>
      <c r="Z109" s="31">
        <f t="shared" si="74"/>
        <v>0</v>
      </c>
      <c r="AA109" s="21">
        <f t="shared" si="88"/>
        <v>0</v>
      </c>
      <c r="AB109" s="58" t="str">
        <f t="shared" si="89"/>
        <v/>
      </c>
      <c r="AC109" s="630">
        <f t="shared" si="69"/>
        <v>0</v>
      </c>
      <c r="AD109" s="627"/>
      <c r="AE109" s="21">
        <f t="shared" si="90"/>
        <v>0</v>
      </c>
      <c r="AF109" s="58" t="str">
        <f t="shared" si="91"/>
        <v/>
      </c>
      <c r="AG109" s="21">
        <f t="shared" si="92"/>
        <v>0</v>
      </c>
      <c r="AH109" s="58" t="str">
        <f t="shared" si="93"/>
        <v/>
      </c>
      <c r="AI109" s="21">
        <f t="shared" si="94"/>
        <v>0</v>
      </c>
      <c r="AJ109" s="58" t="str">
        <f t="shared" si="95"/>
        <v/>
      </c>
      <c r="AK109" s="31">
        <f t="shared" si="75"/>
        <v>0</v>
      </c>
      <c r="AL109" s="21">
        <f t="shared" si="76"/>
        <v>0</v>
      </c>
      <c r="AM109" s="62" t="str">
        <f t="shared" si="77"/>
        <v/>
      </c>
      <c r="AN109" s="21">
        <f t="shared" si="96"/>
        <v>0</v>
      </c>
      <c r="AO109" s="62" t="str">
        <f t="shared" si="97"/>
        <v/>
      </c>
      <c r="AP109" s="21">
        <f t="shared" si="78"/>
        <v>0</v>
      </c>
      <c r="AQ109" s="62" t="str">
        <f t="shared" si="98"/>
        <v/>
      </c>
      <c r="AR109" s="31">
        <f t="shared" si="79"/>
        <v>0</v>
      </c>
      <c r="AS109" s="21">
        <f t="shared" si="80"/>
        <v>0</v>
      </c>
      <c r="AT109" s="62" t="str">
        <f t="shared" si="99"/>
        <v/>
      </c>
      <c r="AU109" s="84">
        <f t="shared" si="100"/>
        <v>0</v>
      </c>
      <c r="AV109" s="32">
        <f t="shared" si="101"/>
        <v>0</v>
      </c>
      <c r="AW109" s="85" t="str">
        <f t="shared" si="102"/>
        <v/>
      </c>
      <c r="AX109" s="86" t="str">
        <f t="shared" si="106"/>
        <v/>
      </c>
    </row>
    <row r="110" spans="1:50" x14ac:dyDescent="0.2">
      <c r="A110" s="29" t="str">
        <f t="shared" si="107"/>
        <v/>
      </c>
      <c r="B110" s="32" t="str">
        <f t="shared" si="108"/>
        <v/>
      </c>
      <c r="C110" s="35"/>
      <c r="D110" s="33" t="str">
        <f t="shared" si="105"/>
        <v/>
      </c>
      <c r="E110" s="22" t="str">
        <f t="shared" si="103"/>
        <v/>
      </c>
      <c r="F110" s="23" t="str">
        <f t="shared" si="104"/>
        <v/>
      </c>
      <c r="G110" s="23"/>
      <c r="H110" s="22"/>
      <c r="I110" s="23"/>
      <c r="J110" s="18"/>
      <c r="K110" s="13" t="str">
        <f t="shared" si="81"/>
        <v/>
      </c>
      <c r="L110" s="28" t="str">
        <f t="shared" si="70"/>
        <v/>
      </c>
      <c r="M110" s="10" t="str">
        <f t="shared" si="82"/>
        <v/>
      </c>
      <c r="N110" s="17" t="str">
        <f t="shared" si="65"/>
        <v/>
      </c>
      <c r="O110" s="39" t="str">
        <f t="shared" si="83"/>
        <v/>
      </c>
      <c r="P110" s="41" t="str">
        <f t="shared" si="66"/>
        <v/>
      </c>
      <c r="Q110" s="9" t="str">
        <f t="shared" si="67"/>
        <v/>
      </c>
      <c r="R110" s="14">
        <f t="shared" si="71"/>
        <v>0</v>
      </c>
      <c r="S110" s="61" t="str">
        <f t="shared" si="68"/>
        <v/>
      </c>
      <c r="T110" s="14">
        <f t="shared" si="84"/>
        <v>0</v>
      </c>
      <c r="U110" s="58" t="str">
        <f t="shared" si="85"/>
        <v/>
      </c>
      <c r="V110" s="14">
        <f t="shared" si="72"/>
        <v>0</v>
      </c>
      <c r="W110" s="58" t="str">
        <f t="shared" si="86"/>
        <v/>
      </c>
      <c r="X110" s="14">
        <f t="shared" si="73"/>
        <v>0</v>
      </c>
      <c r="Y110" s="58" t="str">
        <f t="shared" si="87"/>
        <v/>
      </c>
      <c r="Z110" s="31">
        <f t="shared" si="74"/>
        <v>0</v>
      </c>
      <c r="AA110" s="21">
        <f t="shared" si="88"/>
        <v>0</v>
      </c>
      <c r="AB110" s="58" t="str">
        <f t="shared" si="89"/>
        <v/>
      </c>
      <c r="AC110" s="630">
        <f t="shared" si="69"/>
        <v>0</v>
      </c>
      <c r="AD110" s="627"/>
      <c r="AE110" s="21">
        <f t="shared" si="90"/>
        <v>0</v>
      </c>
      <c r="AF110" s="58" t="str">
        <f t="shared" si="91"/>
        <v/>
      </c>
      <c r="AG110" s="21">
        <f t="shared" si="92"/>
        <v>0</v>
      </c>
      <c r="AH110" s="58" t="str">
        <f t="shared" si="93"/>
        <v/>
      </c>
      <c r="AI110" s="21">
        <f t="shared" si="94"/>
        <v>0</v>
      </c>
      <c r="AJ110" s="58" t="str">
        <f t="shared" si="95"/>
        <v/>
      </c>
      <c r="AK110" s="31">
        <f t="shared" si="75"/>
        <v>0</v>
      </c>
      <c r="AL110" s="21">
        <f t="shared" si="76"/>
        <v>0</v>
      </c>
      <c r="AM110" s="62" t="str">
        <f t="shared" si="77"/>
        <v/>
      </c>
      <c r="AN110" s="21">
        <f t="shared" si="96"/>
        <v>0</v>
      </c>
      <c r="AO110" s="62" t="str">
        <f t="shared" si="97"/>
        <v/>
      </c>
      <c r="AP110" s="21">
        <f t="shared" si="78"/>
        <v>0</v>
      </c>
      <c r="AQ110" s="62" t="str">
        <f t="shared" si="98"/>
        <v/>
      </c>
      <c r="AR110" s="31">
        <f t="shared" si="79"/>
        <v>0</v>
      </c>
      <c r="AS110" s="21">
        <f t="shared" si="80"/>
        <v>0</v>
      </c>
      <c r="AT110" s="62" t="str">
        <f t="shared" si="99"/>
        <v/>
      </c>
      <c r="AU110" s="84">
        <f t="shared" si="100"/>
        <v>0</v>
      </c>
      <c r="AV110" s="32">
        <f t="shared" si="101"/>
        <v>0</v>
      </c>
      <c r="AW110" s="85" t="str">
        <f t="shared" si="102"/>
        <v/>
      </c>
      <c r="AX110" s="86" t="str">
        <f t="shared" si="106"/>
        <v/>
      </c>
    </row>
    <row r="111" spans="1:50" x14ac:dyDescent="0.2">
      <c r="A111" s="29" t="str">
        <f t="shared" si="107"/>
        <v/>
      </c>
      <c r="B111" s="32" t="str">
        <f t="shared" si="108"/>
        <v/>
      </c>
      <c r="C111" s="35"/>
      <c r="D111" s="33" t="str">
        <f t="shared" si="105"/>
        <v/>
      </c>
      <c r="E111" s="22" t="str">
        <f t="shared" si="103"/>
        <v/>
      </c>
      <c r="F111" s="23" t="str">
        <f t="shared" si="104"/>
        <v/>
      </c>
      <c r="G111" s="23"/>
      <c r="H111" s="22"/>
      <c r="I111" s="23"/>
      <c r="J111" s="18"/>
      <c r="K111" s="13" t="str">
        <f t="shared" si="81"/>
        <v/>
      </c>
      <c r="L111" s="28" t="str">
        <f t="shared" si="70"/>
        <v/>
      </c>
      <c r="M111" s="10" t="str">
        <f t="shared" si="82"/>
        <v/>
      </c>
      <c r="N111" s="17" t="str">
        <f t="shared" si="65"/>
        <v/>
      </c>
      <c r="O111" s="39" t="str">
        <f t="shared" si="83"/>
        <v/>
      </c>
      <c r="P111" s="41" t="str">
        <f t="shared" si="66"/>
        <v/>
      </c>
      <c r="Q111" s="9" t="str">
        <f t="shared" si="67"/>
        <v/>
      </c>
      <c r="R111" s="14">
        <f t="shared" si="71"/>
        <v>0</v>
      </c>
      <c r="S111" s="61" t="str">
        <f t="shared" si="68"/>
        <v/>
      </c>
      <c r="T111" s="14">
        <f t="shared" si="84"/>
        <v>0</v>
      </c>
      <c r="U111" s="58" t="str">
        <f t="shared" si="85"/>
        <v/>
      </c>
      <c r="V111" s="14">
        <f t="shared" si="72"/>
        <v>0</v>
      </c>
      <c r="W111" s="58" t="str">
        <f t="shared" si="86"/>
        <v/>
      </c>
      <c r="X111" s="14">
        <f t="shared" si="73"/>
        <v>0</v>
      </c>
      <c r="Y111" s="58" t="str">
        <f t="shared" si="87"/>
        <v/>
      </c>
      <c r="Z111" s="31">
        <f t="shared" si="74"/>
        <v>0</v>
      </c>
      <c r="AA111" s="21">
        <f t="shared" si="88"/>
        <v>0</v>
      </c>
      <c r="AB111" s="58" t="str">
        <f t="shared" si="89"/>
        <v/>
      </c>
      <c r="AC111" s="630">
        <f t="shared" si="69"/>
        <v>0</v>
      </c>
      <c r="AD111" s="627"/>
      <c r="AE111" s="21">
        <f t="shared" si="90"/>
        <v>0</v>
      </c>
      <c r="AF111" s="58" t="str">
        <f t="shared" si="91"/>
        <v/>
      </c>
      <c r="AG111" s="21">
        <f t="shared" si="92"/>
        <v>0</v>
      </c>
      <c r="AH111" s="58" t="str">
        <f t="shared" si="93"/>
        <v/>
      </c>
      <c r="AI111" s="21">
        <f t="shared" si="94"/>
        <v>0</v>
      </c>
      <c r="AJ111" s="58" t="str">
        <f t="shared" si="95"/>
        <v/>
      </c>
      <c r="AK111" s="31">
        <f t="shared" si="75"/>
        <v>0</v>
      </c>
      <c r="AL111" s="21">
        <f t="shared" si="76"/>
        <v>0</v>
      </c>
      <c r="AM111" s="62" t="str">
        <f t="shared" si="77"/>
        <v/>
      </c>
      <c r="AN111" s="21">
        <f t="shared" si="96"/>
        <v>0</v>
      </c>
      <c r="AO111" s="62" t="str">
        <f t="shared" si="97"/>
        <v/>
      </c>
      <c r="AP111" s="21">
        <f t="shared" si="78"/>
        <v>0</v>
      </c>
      <c r="AQ111" s="62" t="str">
        <f t="shared" si="98"/>
        <v/>
      </c>
      <c r="AR111" s="31">
        <f t="shared" si="79"/>
        <v>0</v>
      </c>
      <c r="AS111" s="21">
        <f t="shared" si="80"/>
        <v>0</v>
      </c>
      <c r="AT111" s="62" t="str">
        <f t="shared" si="99"/>
        <v/>
      </c>
      <c r="AU111" s="84">
        <f t="shared" si="100"/>
        <v>0</v>
      </c>
      <c r="AV111" s="32">
        <f t="shared" si="101"/>
        <v>0</v>
      </c>
      <c r="AW111" s="85" t="str">
        <f t="shared" si="102"/>
        <v/>
      </c>
      <c r="AX111" s="86" t="str">
        <f t="shared" si="106"/>
        <v/>
      </c>
    </row>
    <row r="112" spans="1:50" x14ac:dyDescent="0.2">
      <c r="A112" s="29" t="str">
        <f t="shared" si="107"/>
        <v/>
      </c>
      <c r="B112" s="32" t="str">
        <f t="shared" si="108"/>
        <v/>
      </c>
      <c r="C112" s="35"/>
      <c r="D112" s="33" t="str">
        <f t="shared" si="105"/>
        <v/>
      </c>
      <c r="E112" s="22" t="str">
        <f t="shared" si="103"/>
        <v/>
      </c>
      <c r="F112" s="23" t="str">
        <f t="shared" si="104"/>
        <v/>
      </c>
      <c r="G112" s="23"/>
      <c r="H112" s="22"/>
      <c r="I112" s="23"/>
      <c r="J112" s="18"/>
      <c r="K112" s="13" t="str">
        <f t="shared" si="81"/>
        <v/>
      </c>
      <c r="L112" s="28" t="str">
        <f t="shared" si="70"/>
        <v/>
      </c>
      <c r="M112" s="10" t="str">
        <f t="shared" si="82"/>
        <v/>
      </c>
      <c r="N112" s="17" t="str">
        <f t="shared" si="65"/>
        <v/>
      </c>
      <c r="O112" s="39" t="str">
        <f t="shared" si="83"/>
        <v/>
      </c>
      <c r="P112" s="41" t="str">
        <f t="shared" si="66"/>
        <v/>
      </c>
      <c r="Q112" s="9" t="str">
        <f t="shared" si="67"/>
        <v/>
      </c>
      <c r="R112" s="14">
        <f t="shared" si="71"/>
        <v>0</v>
      </c>
      <c r="S112" s="61" t="str">
        <f t="shared" si="68"/>
        <v/>
      </c>
      <c r="T112" s="14">
        <f t="shared" si="84"/>
        <v>0</v>
      </c>
      <c r="U112" s="58" t="str">
        <f t="shared" si="85"/>
        <v/>
      </c>
      <c r="V112" s="14">
        <f t="shared" si="72"/>
        <v>0</v>
      </c>
      <c r="W112" s="58" t="str">
        <f t="shared" si="86"/>
        <v/>
      </c>
      <c r="X112" s="14">
        <f t="shared" si="73"/>
        <v>0</v>
      </c>
      <c r="Y112" s="58" t="str">
        <f t="shared" si="87"/>
        <v/>
      </c>
      <c r="Z112" s="31">
        <f t="shared" si="74"/>
        <v>0</v>
      </c>
      <c r="AA112" s="21">
        <f t="shared" si="88"/>
        <v>0</v>
      </c>
      <c r="AB112" s="58" t="str">
        <f t="shared" si="89"/>
        <v/>
      </c>
      <c r="AC112" s="630">
        <f t="shared" si="69"/>
        <v>0</v>
      </c>
      <c r="AD112" s="627"/>
      <c r="AE112" s="21">
        <f t="shared" si="90"/>
        <v>0</v>
      </c>
      <c r="AF112" s="58" t="str">
        <f t="shared" si="91"/>
        <v/>
      </c>
      <c r="AG112" s="21">
        <f t="shared" si="92"/>
        <v>0</v>
      </c>
      <c r="AH112" s="58" t="str">
        <f t="shared" si="93"/>
        <v/>
      </c>
      <c r="AI112" s="21">
        <f t="shared" si="94"/>
        <v>0</v>
      </c>
      <c r="AJ112" s="58" t="str">
        <f t="shared" si="95"/>
        <v/>
      </c>
      <c r="AK112" s="31">
        <f t="shared" si="75"/>
        <v>0</v>
      </c>
      <c r="AL112" s="21">
        <f t="shared" si="76"/>
        <v>0</v>
      </c>
      <c r="AM112" s="62" t="str">
        <f t="shared" si="77"/>
        <v/>
      </c>
      <c r="AN112" s="21">
        <f t="shared" si="96"/>
        <v>0</v>
      </c>
      <c r="AO112" s="62" t="str">
        <f t="shared" si="97"/>
        <v/>
      </c>
      <c r="AP112" s="21">
        <f t="shared" si="78"/>
        <v>0</v>
      </c>
      <c r="AQ112" s="62" t="str">
        <f t="shared" si="98"/>
        <v/>
      </c>
      <c r="AR112" s="31">
        <f t="shared" si="79"/>
        <v>0</v>
      </c>
      <c r="AS112" s="21">
        <f t="shared" si="80"/>
        <v>0</v>
      </c>
      <c r="AT112" s="62" t="str">
        <f t="shared" si="99"/>
        <v/>
      </c>
      <c r="AU112" s="84">
        <f t="shared" si="100"/>
        <v>0</v>
      </c>
      <c r="AV112" s="32">
        <f t="shared" si="101"/>
        <v>0</v>
      </c>
      <c r="AW112" s="85" t="str">
        <f t="shared" si="102"/>
        <v/>
      </c>
      <c r="AX112" s="86" t="str">
        <f t="shared" si="106"/>
        <v/>
      </c>
    </row>
    <row r="113" spans="1:50" x14ac:dyDescent="0.2">
      <c r="A113" s="29" t="str">
        <f t="shared" si="107"/>
        <v/>
      </c>
      <c r="B113" s="32" t="str">
        <f t="shared" si="108"/>
        <v/>
      </c>
      <c r="C113" s="35"/>
      <c r="D113" s="33" t="str">
        <f t="shared" si="105"/>
        <v/>
      </c>
      <c r="E113" s="22" t="str">
        <f t="shared" si="103"/>
        <v/>
      </c>
      <c r="F113" s="23" t="str">
        <f t="shared" si="104"/>
        <v/>
      </c>
      <c r="G113" s="23"/>
      <c r="H113" s="22"/>
      <c r="I113" s="23"/>
      <c r="J113" s="18"/>
      <c r="K113" s="13" t="str">
        <f t="shared" si="81"/>
        <v/>
      </c>
      <c r="L113" s="28" t="str">
        <f t="shared" si="70"/>
        <v/>
      </c>
      <c r="M113" s="10" t="str">
        <f t="shared" si="82"/>
        <v/>
      </c>
      <c r="N113" s="17" t="str">
        <f t="shared" si="65"/>
        <v/>
      </c>
      <c r="O113" s="39" t="str">
        <f t="shared" si="83"/>
        <v/>
      </c>
      <c r="P113" s="41" t="str">
        <f t="shared" si="66"/>
        <v/>
      </c>
      <c r="Q113" s="9" t="str">
        <f t="shared" si="67"/>
        <v/>
      </c>
      <c r="R113" s="14">
        <f t="shared" si="71"/>
        <v>0</v>
      </c>
      <c r="S113" s="61" t="str">
        <f t="shared" si="68"/>
        <v/>
      </c>
      <c r="T113" s="14">
        <f t="shared" si="84"/>
        <v>0</v>
      </c>
      <c r="U113" s="58" t="str">
        <f t="shared" si="85"/>
        <v/>
      </c>
      <c r="V113" s="14">
        <f t="shared" si="72"/>
        <v>0</v>
      </c>
      <c r="W113" s="58" t="str">
        <f t="shared" si="86"/>
        <v/>
      </c>
      <c r="X113" s="14">
        <f t="shared" si="73"/>
        <v>0</v>
      </c>
      <c r="Y113" s="58" t="str">
        <f t="shared" si="87"/>
        <v/>
      </c>
      <c r="Z113" s="31">
        <f t="shared" si="74"/>
        <v>0</v>
      </c>
      <c r="AA113" s="21">
        <f t="shared" si="88"/>
        <v>0</v>
      </c>
      <c r="AB113" s="58" t="str">
        <f t="shared" si="89"/>
        <v/>
      </c>
      <c r="AC113" s="630">
        <f t="shared" si="69"/>
        <v>0</v>
      </c>
      <c r="AD113" s="627"/>
      <c r="AE113" s="21">
        <f t="shared" si="90"/>
        <v>0</v>
      </c>
      <c r="AF113" s="58" t="str">
        <f t="shared" si="91"/>
        <v/>
      </c>
      <c r="AG113" s="21">
        <f t="shared" si="92"/>
        <v>0</v>
      </c>
      <c r="AH113" s="58" t="str">
        <f t="shared" si="93"/>
        <v/>
      </c>
      <c r="AI113" s="21">
        <f t="shared" si="94"/>
        <v>0</v>
      </c>
      <c r="AJ113" s="58" t="str">
        <f t="shared" si="95"/>
        <v/>
      </c>
      <c r="AK113" s="31">
        <f t="shared" si="75"/>
        <v>0</v>
      </c>
      <c r="AL113" s="21">
        <f t="shared" si="76"/>
        <v>0</v>
      </c>
      <c r="AM113" s="62" t="str">
        <f t="shared" si="77"/>
        <v/>
      </c>
      <c r="AN113" s="21">
        <f t="shared" si="96"/>
        <v>0</v>
      </c>
      <c r="AO113" s="62" t="str">
        <f t="shared" si="97"/>
        <v/>
      </c>
      <c r="AP113" s="21">
        <f t="shared" si="78"/>
        <v>0</v>
      </c>
      <c r="AQ113" s="62" t="str">
        <f t="shared" si="98"/>
        <v/>
      </c>
      <c r="AR113" s="31">
        <f t="shared" si="79"/>
        <v>0</v>
      </c>
      <c r="AS113" s="21">
        <f t="shared" si="80"/>
        <v>0</v>
      </c>
      <c r="AT113" s="62" t="str">
        <f t="shared" si="99"/>
        <v/>
      </c>
      <c r="AU113" s="84">
        <f t="shared" si="100"/>
        <v>0</v>
      </c>
      <c r="AV113" s="32">
        <f t="shared" si="101"/>
        <v>0</v>
      </c>
      <c r="AW113" s="85" t="str">
        <f t="shared" si="102"/>
        <v/>
      </c>
      <c r="AX113" s="86" t="str">
        <f t="shared" si="106"/>
        <v/>
      </c>
    </row>
    <row r="114" spans="1:50" x14ac:dyDescent="0.2">
      <c r="A114" s="29" t="str">
        <f t="shared" si="107"/>
        <v/>
      </c>
      <c r="B114" s="32" t="str">
        <f t="shared" si="108"/>
        <v/>
      </c>
      <c r="C114" s="35"/>
      <c r="D114" s="33" t="str">
        <f t="shared" si="105"/>
        <v/>
      </c>
      <c r="E114" s="22" t="str">
        <f t="shared" si="103"/>
        <v/>
      </c>
      <c r="F114" s="23" t="str">
        <f t="shared" si="104"/>
        <v/>
      </c>
      <c r="G114" s="23"/>
      <c r="H114" s="22"/>
      <c r="I114" s="23"/>
      <c r="J114" s="18"/>
      <c r="K114" s="13" t="str">
        <f t="shared" si="81"/>
        <v/>
      </c>
      <c r="L114" s="28" t="str">
        <f t="shared" si="70"/>
        <v/>
      </c>
      <c r="M114" s="10" t="str">
        <f t="shared" si="82"/>
        <v/>
      </c>
      <c r="N114" s="17" t="str">
        <f t="shared" si="65"/>
        <v/>
      </c>
      <c r="O114" s="39" t="str">
        <f t="shared" si="83"/>
        <v/>
      </c>
      <c r="P114" s="41" t="str">
        <f t="shared" si="66"/>
        <v/>
      </c>
      <c r="Q114" s="9" t="str">
        <f t="shared" si="67"/>
        <v/>
      </c>
      <c r="R114" s="14">
        <f t="shared" si="71"/>
        <v>0</v>
      </c>
      <c r="S114" s="61" t="str">
        <f t="shared" si="68"/>
        <v/>
      </c>
      <c r="T114" s="14">
        <f t="shared" si="84"/>
        <v>0</v>
      </c>
      <c r="U114" s="58" t="str">
        <f t="shared" si="85"/>
        <v/>
      </c>
      <c r="V114" s="14">
        <f t="shared" si="72"/>
        <v>0</v>
      </c>
      <c r="W114" s="58" t="str">
        <f t="shared" si="86"/>
        <v/>
      </c>
      <c r="X114" s="14">
        <f t="shared" si="73"/>
        <v>0</v>
      </c>
      <c r="Y114" s="58" t="str">
        <f t="shared" si="87"/>
        <v/>
      </c>
      <c r="Z114" s="31">
        <f t="shared" si="74"/>
        <v>0</v>
      </c>
      <c r="AA114" s="21">
        <f t="shared" si="88"/>
        <v>0</v>
      </c>
      <c r="AB114" s="58" t="str">
        <f t="shared" si="89"/>
        <v/>
      </c>
      <c r="AC114" s="630">
        <f t="shared" si="69"/>
        <v>0</v>
      </c>
      <c r="AD114" s="627"/>
      <c r="AE114" s="21">
        <f t="shared" si="90"/>
        <v>0</v>
      </c>
      <c r="AF114" s="58" t="str">
        <f t="shared" si="91"/>
        <v/>
      </c>
      <c r="AG114" s="21">
        <f t="shared" si="92"/>
        <v>0</v>
      </c>
      <c r="AH114" s="58" t="str">
        <f t="shared" si="93"/>
        <v/>
      </c>
      <c r="AI114" s="21">
        <f t="shared" si="94"/>
        <v>0</v>
      </c>
      <c r="AJ114" s="58" t="str">
        <f t="shared" si="95"/>
        <v/>
      </c>
      <c r="AK114" s="31">
        <f t="shared" si="75"/>
        <v>0</v>
      </c>
      <c r="AL114" s="21">
        <f t="shared" si="76"/>
        <v>0</v>
      </c>
      <c r="AM114" s="62" t="str">
        <f t="shared" si="77"/>
        <v/>
      </c>
      <c r="AN114" s="21">
        <f t="shared" si="96"/>
        <v>0</v>
      </c>
      <c r="AO114" s="62" t="str">
        <f t="shared" si="97"/>
        <v/>
      </c>
      <c r="AP114" s="21">
        <f t="shared" si="78"/>
        <v>0</v>
      </c>
      <c r="AQ114" s="62" t="str">
        <f t="shared" si="98"/>
        <v/>
      </c>
      <c r="AR114" s="31">
        <f t="shared" si="79"/>
        <v>0</v>
      </c>
      <c r="AS114" s="21">
        <f t="shared" si="80"/>
        <v>0</v>
      </c>
      <c r="AT114" s="62" t="str">
        <f t="shared" si="99"/>
        <v/>
      </c>
      <c r="AU114" s="84">
        <f t="shared" si="100"/>
        <v>0</v>
      </c>
      <c r="AV114" s="32">
        <f t="shared" si="101"/>
        <v>0</v>
      </c>
      <c r="AW114" s="85" t="str">
        <f t="shared" si="102"/>
        <v/>
      </c>
      <c r="AX114" s="86" t="str">
        <f t="shared" si="106"/>
        <v/>
      </c>
    </row>
    <row r="115" spans="1:50" x14ac:dyDescent="0.2">
      <c r="A115" s="29" t="str">
        <f t="shared" si="107"/>
        <v/>
      </c>
      <c r="B115" s="32" t="str">
        <f t="shared" si="108"/>
        <v/>
      </c>
      <c r="C115" s="35"/>
      <c r="D115" s="33" t="str">
        <f t="shared" si="105"/>
        <v/>
      </c>
      <c r="E115" s="22" t="str">
        <f t="shared" si="103"/>
        <v/>
      </c>
      <c r="F115" s="23" t="str">
        <f t="shared" si="104"/>
        <v/>
      </c>
      <c r="G115" s="23"/>
      <c r="H115" s="22"/>
      <c r="I115" s="23"/>
      <c r="J115" s="18"/>
      <c r="K115" s="13" t="str">
        <f t="shared" si="81"/>
        <v/>
      </c>
      <c r="L115" s="28" t="str">
        <f t="shared" si="70"/>
        <v/>
      </c>
      <c r="M115" s="10" t="str">
        <f t="shared" si="82"/>
        <v/>
      </c>
      <c r="N115" s="17" t="str">
        <f t="shared" si="65"/>
        <v/>
      </c>
      <c r="O115" s="39" t="str">
        <f t="shared" si="83"/>
        <v/>
      </c>
      <c r="P115" s="41" t="str">
        <f t="shared" si="66"/>
        <v/>
      </c>
      <c r="Q115" s="9" t="str">
        <f t="shared" si="67"/>
        <v/>
      </c>
      <c r="R115" s="14">
        <f t="shared" si="71"/>
        <v>0</v>
      </c>
      <c r="S115" s="61" t="str">
        <f t="shared" si="68"/>
        <v/>
      </c>
      <c r="T115" s="14">
        <f t="shared" si="84"/>
        <v>0</v>
      </c>
      <c r="U115" s="58" t="str">
        <f t="shared" si="85"/>
        <v/>
      </c>
      <c r="V115" s="14">
        <f t="shared" si="72"/>
        <v>0</v>
      </c>
      <c r="W115" s="58" t="str">
        <f t="shared" si="86"/>
        <v/>
      </c>
      <c r="X115" s="14">
        <f t="shared" si="73"/>
        <v>0</v>
      </c>
      <c r="Y115" s="58" t="str">
        <f t="shared" si="87"/>
        <v/>
      </c>
      <c r="Z115" s="31">
        <f t="shared" si="74"/>
        <v>0</v>
      </c>
      <c r="AA115" s="21">
        <f t="shared" si="88"/>
        <v>0</v>
      </c>
      <c r="AB115" s="58" t="str">
        <f t="shared" si="89"/>
        <v/>
      </c>
      <c r="AC115" s="630">
        <f t="shared" si="69"/>
        <v>0</v>
      </c>
      <c r="AD115" s="627"/>
      <c r="AE115" s="21">
        <f t="shared" si="90"/>
        <v>0</v>
      </c>
      <c r="AF115" s="58" t="str">
        <f t="shared" si="91"/>
        <v/>
      </c>
      <c r="AG115" s="21">
        <f t="shared" si="92"/>
        <v>0</v>
      </c>
      <c r="AH115" s="58" t="str">
        <f t="shared" si="93"/>
        <v/>
      </c>
      <c r="AI115" s="21">
        <f t="shared" si="94"/>
        <v>0</v>
      </c>
      <c r="AJ115" s="58" t="str">
        <f t="shared" si="95"/>
        <v/>
      </c>
      <c r="AK115" s="31">
        <f t="shared" si="75"/>
        <v>0</v>
      </c>
      <c r="AL115" s="21">
        <f t="shared" si="76"/>
        <v>0</v>
      </c>
      <c r="AM115" s="62" t="str">
        <f t="shared" si="77"/>
        <v/>
      </c>
      <c r="AN115" s="21">
        <f t="shared" si="96"/>
        <v>0</v>
      </c>
      <c r="AO115" s="62" t="str">
        <f t="shared" si="97"/>
        <v/>
      </c>
      <c r="AP115" s="21">
        <f t="shared" si="78"/>
        <v>0</v>
      </c>
      <c r="AQ115" s="62" t="str">
        <f t="shared" si="98"/>
        <v/>
      </c>
      <c r="AR115" s="31">
        <f t="shared" si="79"/>
        <v>0</v>
      </c>
      <c r="AS115" s="21">
        <f t="shared" si="80"/>
        <v>0</v>
      </c>
      <c r="AT115" s="62" t="str">
        <f t="shared" si="99"/>
        <v/>
      </c>
      <c r="AU115" s="84">
        <f t="shared" si="100"/>
        <v>0</v>
      </c>
      <c r="AV115" s="32">
        <f t="shared" si="101"/>
        <v>0</v>
      </c>
      <c r="AW115" s="85" t="str">
        <f t="shared" si="102"/>
        <v/>
      </c>
      <c r="AX115" s="86" t="str">
        <f t="shared" si="106"/>
        <v/>
      </c>
    </row>
    <row r="116" spans="1:50" x14ac:dyDescent="0.2">
      <c r="A116" s="29" t="str">
        <f t="shared" si="107"/>
        <v/>
      </c>
      <c r="B116" s="32" t="str">
        <f t="shared" si="108"/>
        <v/>
      </c>
      <c r="C116" s="35"/>
      <c r="D116" s="33" t="str">
        <f t="shared" si="105"/>
        <v/>
      </c>
      <c r="E116" s="22" t="str">
        <f t="shared" si="103"/>
        <v/>
      </c>
      <c r="F116" s="23" t="str">
        <f t="shared" si="104"/>
        <v/>
      </c>
      <c r="G116" s="23"/>
      <c r="H116" s="22"/>
      <c r="I116" s="23"/>
      <c r="J116" s="18"/>
      <c r="K116" s="13" t="str">
        <f t="shared" si="81"/>
        <v/>
      </c>
      <c r="L116" s="28" t="str">
        <f t="shared" si="70"/>
        <v/>
      </c>
      <c r="M116" s="10" t="str">
        <f t="shared" si="82"/>
        <v/>
      </c>
      <c r="N116" s="17" t="str">
        <f t="shared" ref="N116:N147" si="109">IF(M116="","",IF($N$4="M",(A116+B116+Q116)*C116*0.022,(A116+B116+Q116)*C116*0.17))</f>
        <v/>
      </c>
      <c r="O116" s="39" t="str">
        <f t="shared" si="83"/>
        <v/>
      </c>
      <c r="P116" s="41" t="str">
        <f t="shared" ref="P116:P147" si="110">IF(O116="","",IF($N$4="M",IF(O116=1,(A116+B116+Q116)*C116*0.022*1.1,(A116+B116+Q116)*C116*0.022*1.15),IF(O116=1,(A116+B116+Q116)*C116*0.17*1.1,(A116+B116+Q116)*C116*0.17*1.15)))</f>
        <v/>
      </c>
      <c r="Q116" s="9" t="str">
        <f t="shared" si="67"/>
        <v/>
      </c>
      <c r="R116" s="14">
        <f t="shared" si="71"/>
        <v>0</v>
      </c>
      <c r="S116" s="61" t="str">
        <f t="shared" si="68"/>
        <v/>
      </c>
      <c r="T116" s="14">
        <f t="shared" si="84"/>
        <v>0</v>
      </c>
      <c r="U116" s="58" t="str">
        <f t="shared" si="85"/>
        <v/>
      </c>
      <c r="V116" s="14">
        <f t="shared" si="72"/>
        <v>0</v>
      </c>
      <c r="W116" s="58" t="str">
        <f t="shared" si="86"/>
        <v/>
      </c>
      <c r="X116" s="14">
        <f t="shared" si="73"/>
        <v>0</v>
      </c>
      <c r="Y116" s="58" t="str">
        <f t="shared" si="87"/>
        <v/>
      </c>
      <c r="Z116" s="31">
        <f t="shared" si="74"/>
        <v>0</v>
      </c>
      <c r="AA116" s="21">
        <f t="shared" si="88"/>
        <v>0</v>
      </c>
      <c r="AB116" s="58" t="str">
        <f t="shared" si="89"/>
        <v/>
      </c>
      <c r="AC116" s="630">
        <f t="shared" si="69"/>
        <v>0</v>
      </c>
      <c r="AD116" s="627"/>
      <c r="AE116" s="21">
        <f t="shared" si="90"/>
        <v>0</v>
      </c>
      <c r="AF116" s="58" t="str">
        <f t="shared" si="91"/>
        <v/>
      </c>
      <c r="AG116" s="21">
        <f t="shared" si="92"/>
        <v>0</v>
      </c>
      <c r="AH116" s="58" t="str">
        <f t="shared" si="93"/>
        <v/>
      </c>
      <c r="AI116" s="21">
        <f t="shared" si="94"/>
        <v>0</v>
      </c>
      <c r="AJ116" s="58" t="str">
        <f t="shared" si="95"/>
        <v/>
      </c>
      <c r="AK116" s="31">
        <f t="shared" si="75"/>
        <v>0</v>
      </c>
      <c r="AL116" s="21">
        <f t="shared" si="76"/>
        <v>0</v>
      </c>
      <c r="AM116" s="62" t="str">
        <f t="shared" si="77"/>
        <v/>
      </c>
      <c r="AN116" s="21">
        <f t="shared" si="96"/>
        <v>0</v>
      </c>
      <c r="AO116" s="62" t="str">
        <f t="shared" si="97"/>
        <v/>
      </c>
      <c r="AP116" s="21">
        <f t="shared" si="78"/>
        <v>0</v>
      </c>
      <c r="AQ116" s="62" t="str">
        <f t="shared" si="98"/>
        <v/>
      </c>
      <c r="AR116" s="31">
        <f t="shared" si="79"/>
        <v>0</v>
      </c>
      <c r="AS116" s="21">
        <f t="shared" si="80"/>
        <v>0</v>
      </c>
      <c r="AT116" s="62" t="str">
        <f t="shared" si="99"/>
        <v/>
      </c>
      <c r="AU116" s="84">
        <f t="shared" si="100"/>
        <v>0</v>
      </c>
      <c r="AV116" s="32">
        <f t="shared" si="101"/>
        <v>0</v>
      </c>
      <c r="AW116" s="85" t="str">
        <f t="shared" si="102"/>
        <v/>
      </c>
      <c r="AX116" s="86" t="str">
        <f t="shared" si="106"/>
        <v/>
      </c>
    </row>
    <row r="117" spans="1:50" x14ac:dyDescent="0.2">
      <c r="A117" s="29" t="str">
        <f t="shared" si="107"/>
        <v/>
      </c>
      <c r="B117" s="32" t="str">
        <f t="shared" si="108"/>
        <v/>
      </c>
      <c r="C117" s="35"/>
      <c r="D117" s="33" t="str">
        <f t="shared" si="105"/>
        <v/>
      </c>
      <c r="E117" s="22" t="str">
        <f t="shared" si="103"/>
        <v/>
      </c>
      <c r="F117" s="23" t="str">
        <f t="shared" si="104"/>
        <v/>
      </c>
      <c r="G117" s="23"/>
      <c r="H117" s="22"/>
      <c r="I117" s="23"/>
      <c r="J117" s="18"/>
      <c r="K117" s="13" t="str">
        <f t="shared" si="81"/>
        <v/>
      </c>
      <c r="L117" s="28" t="str">
        <f t="shared" si="70"/>
        <v/>
      </c>
      <c r="M117" s="10" t="str">
        <f t="shared" si="82"/>
        <v/>
      </c>
      <c r="N117" s="17" t="str">
        <f t="shared" si="109"/>
        <v/>
      </c>
      <c r="O117" s="39" t="str">
        <f t="shared" si="83"/>
        <v/>
      </c>
      <c r="P117" s="41" t="str">
        <f t="shared" si="110"/>
        <v/>
      </c>
      <c r="Q117" s="9" t="str">
        <f t="shared" si="67"/>
        <v/>
      </c>
      <c r="R117" s="14">
        <f t="shared" si="71"/>
        <v>0</v>
      </c>
      <c r="S117" s="61" t="str">
        <f t="shared" si="68"/>
        <v/>
      </c>
      <c r="T117" s="14">
        <f t="shared" si="84"/>
        <v>0</v>
      </c>
      <c r="U117" s="58" t="str">
        <f t="shared" si="85"/>
        <v/>
      </c>
      <c r="V117" s="14">
        <f t="shared" si="72"/>
        <v>0</v>
      </c>
      <c r="W117" s="58" t="str">
        <f t="shared" si="86"/>
        <v/>
      </c>
      <c r="X117" s="14">
        <f t="shared" si="73"/>
        <v>0</v>
      </c>
      <c r="Y117" s="58" t="str">
        <f t="shared" si="87"/>
        <v/>
      </c>
      <c r="Z117" s="31">
        <f t="shared" si="74"/>
        <v>0</v>
      </c>
      <c r="AA117" s="21">
        <f t="shared" si="88"/>
        <v>0</v>
      </c>
      <c r="AB117" s="58" t="str">
        <f t="shared" si="89"/>
        <v/>
      </c>
      <c r="AC117" s="630">
        <f t="shared" si="69"/>
        <v>0</v>
      </c>
      <c r="AD117" s="627"/>
      <c r="AE117" s="21">
        <f t="shared" si="90"/>
        <v>0</v>
      </c>
      <c r="AF117" s="58" t="str">
        <f t="shared" si="91"/>
        <v/>
      </c>
      <c r="AG117" s="21">
        <f t="shared" si="92"/>
        <v>0</v>
      </c>
      <c r="AH117" s="58" t="str">
        <f t="shared" si="93"/>
        <v/>
      </c>
      <c r="AI117" s="21">
        <f t="shared" si="94"/>
        <v>0</v>
      </c>
      <c r="AJ117" s="58" t="str">
        <f t="shared" si="95"/>
        <v/>
      </c>
      <c r="AK117" s="31">
        <f t="shared" si="75"/>
        <v>0</v>
      </c>
      <c r="AL117" s="21">
        <f t="shared" si="76"/>
        <v>0</v>
      </c>
      <c r="AM117" s="62" t="str">
        <f t="shared" si="77"/>
        <v/>
      </c>
      <c r="AN117" s="21">
        <f t="shared" si="96"/>
        <v>0</v>
      </c>
      <c r="AO117" s="62" t="str">
        <f t="shared" si="97"/>
        <v/>
      </c>
      <c r="AP117" s="21">
        <f t="shared" si="78"/>
        <v>0</v>
      </c>
      <c r="AQ117" s="62" t="str">
        <f t="shared" si="98"/>
        <v/>
      </c>
      <c r="AR117" s="31">
        <f t="shared" si="79"/>
        <v>0</v>
      </c>
      <c r="AS117" s="21">
        <f t="shared" si="80"/>
        <v>0</v>
      </c>
      <c r="AT117" s="62" t="str">
        <f t="shared" si="99"/>
        <v/>
      </c>
      <c r="AU117" s="84">
        <f t="shared" si="100"/>
        <v>0</v>
      </c>
      <c r="AV117" s="32">
        <f t="shared" si="101"/>
        <v>0</v>
      </c>
      <c r="AW117" s="85" t="str">
        <f t="shared" si="102"/>
        <v/>
      </c>
      <c r="AX117" s="86" t="str">
        <f t="shared" si="106"/>
        <v/>
      </c>
    </row>
    <row r="118" spans="1:50" x14ac:dyDescent="0.2">
      <c r="A118" s="29" t="str">
        <f t="shared" si="107"/>
        <v/>
      </c>
      <c r="B118" s="32" t="str">
        <f t="shared" si="108"/>
        <v/>
      </c>
      <c r="C118" s="35"/>
      <c r="D118" s="33" t="str">
        <f t="shared" si="105"/>
        <v/>
      </c>
      <c r="E118" s="22" t="str">
        <f t="shared" si="103"/>
        <v/>
      </c>
      <c r="F118" s="23" t="str">
        <f t="shared" si="104"/>
        <v/>
      </c>
      <c r="G118" s="23"/>
      <c r="H118" s="22"/>
      <c r="I118" s="23"/>
      <c r="J118" s="18"/>
      <c r="K118" s="13" t="str">
        <f t="shared" si="81"/>
        <v/>
      </c>
      <c r="L118" s="28" t="str">
        <f t="shared" si="70"/>
        <v/>
      </c>
      <c r="M118" s="10" t="str">
        <f t="shared" si="82"/>
        <v/>
      </c>
      <c r="N118" s="17" t="str">
        <f t="shared" si="109"/>
        <v/>
      </c>
      <c r="O118" s="39" t="str">
        <f t="shared" si="83"/>
        <v/>
      </c>
      <c r="P118" s="41" t="str">
        <f t="shared" si="110"/>
        <v/>
      </c>
      <c r="Q118" s="9" t="str">
        <f t="shared" si="67"/>
        <v/>
      </c>
      <c r="R118" s="14">
        <f t="shared" si="71"/>
        <v>0</v>
      </c>
      <c r="S118" s="61" t="str">
        <f t="shared" si="68"/>
        <v/>
      </c>
      <c r="T118" s="14">
        <f t="shared" si="84"/>
        <v>0</v>
      </c>
      <c r="U118" s="58" t="str">
        <f t="shared" si="85"/>
        <v/>
      </c>
      <c r="V118" s="14">
        <f t="shared" si="72"/>
        <v>0</v>
      </c>
      <c r="W118" s="58" t="str">
        <f t="shared" si="86"/>
        <v/>
      </c>
      <c r="X118" s="14">
        <f t="shared" si="73"/>
        <v>0</v>
      </c>
      <c r="Y118" s="58" t="str">
        <f t="shared" si="87"/>
        <v/>
      </c>
      <c r="Z118" s="31">
        <f t="shared" si="74"/>
        <v>0</v>
      </c>
      <c r="AA118" s="21">
        <f t="shared" si="88"/>
        <v>0</v>
      </c>
      <c r="AB118" s="58" t="str">
        <f t="shared" si="89"/>
        <v/>
      </c>
      <c r="AC118" s="630">
        <f t="shared" si="69"/>
        <v>0</v>
      </c>
      <c r="AD118" s="627"/>
      <c r="AE118" s="21">
        <f t="shared" si="90"/>
        <v>0</v>
      </c>
      <c r="AF118" s="58" t="str">
        <f t="shared" si="91"/>
        <v/>
      </c>
      <c r="AG118" s="21">
        <f t="shared" si="92"/>
        <v>0</v>
      </c>
      <c r="AH118" s="58" t="str">
        <f t="shared" si="93"/>
        <v/>
      </c>
      <c r="AI118" s="21">
        <f t="shared" si="94"/>
        <v>0</v>
      </c>
      <c r="AJ118" s="58" t="str">
        <f t="shared" si="95"/>
        <v/>
      </c>
      <c r="AK118" s="31">
        <f t="shared" si="75"/>
        <v>0</v>
      </c>
      <c r="AL118" s="21">
        <f t="shared" si="76"/>
        <v>0</v>
      </c>
      <c r="AM118" s="62" t="str">
        <f t="shared" si="77"/>
        <v/>
      </c>
      <c r="AN118" s="21">
        <f t="shared" si="96"/>
        <v>0</v>
      </c>
      <c r="AO118" s="62" t="str">
        <f t="shared" si="97"/>
        <v/>
      </c>
      <c r="AP118" s="21">
        <f t="shared" si="78"/>
        <v>0</v>
      </c>
      <c r="AQ118" s="62" t="str">
        <f t="shared" si="98"/>
        <v/>
      </c>
      <c r="AR118" s="31">
        <f t="shared" si="79"/>
        <v>0</v>
      </c>
      <c r="AS118" s="21">
        <f t="shared" si="80"/>
        <v>0</v>
      </c>
      <c r="AT118" s="62" t="str">
        <f t="shared" si="99"/>
        <v/>
      </c>
      <c r="AU118" s="84">
        <f t="shared" si="100"/>
        <v>0</v>
      </c>
      <c r="AV118" s="32">
        <f t="shared" si="101"/>
        <v>0</v>
      </c>
      <c r="AW118" s="85" t="str">
        <f t="shared" si="102"/>
        <v/>
      </c>
      <c r="AX118" s="86" t="str">
        <f t="shared" si="106"/>
        <v/>
      </c>
    </row>
    <row r="119" spans="1:50" x14ac:dyDescent="0.2">
      <c r="A119" s="29" t="str">
        <f t="shared" si="107"/>
        <v/>
      </c>
      <c r="B119" s="32" t="str">
        <f t="shared" si="108"/>
        <v/>
      </c>
      <c r="C119" s="35"/>
      <c r="D119" s="33" t="str">
        <f t="shared" si="105"/>
        <v/>
      </c>
      <c r="E119" s="22" t="str">
        <f t="shared" si="103"/>
        <v/>
      </c>
      <c r="F119" s="23" t="str">
        <f t="shared" si="104"/>
        <v/>
      </c>
      <c r="G119" s="23"/>
      <c r="H119" s="22"/>
      <c r="I119" s="23"/>
      <c r="J119" s="18"/>
      <c r="K119" s="13" t="str">
        <f t="shared" si="81"/>
        <v/>
      </c>
      <c r="L119" s="28" t="str">
        <f t="shared" si="70"/>
        <v/>
      </c>
      <c r="M119" s="10" t="str">
        <f t="shared" si="82"/>
        <v/>
      </c>
      <c r="N119" s="17" t="str">
        <f t="shared" si="109"/>
        <v/>
      </c>
      <c r="O119" s="39" t="str">
        <f t="shared" si="83"/>
        <v/>
      </c>
      <c r="P119" s="41" t="str">
        <f t="shared" si="110"/>
        <v/>
      </c>
      <c r="Q119" s="9" t="str">
        <f t="shared" si="67"/>
        <v/>
      </c>
      <c r="R119" s="14">
        <f t="shared" si="71"/>
        <v>0</v>
      </c>
      <c r="S119" s="61" t="str">
        <f t="shared" si="68"/>
        <v/>
      </c>
      <c r="T119" s="14">
        <f t="shared" si="84"/>
        <v>0</v>
      </c>
      <c r="U119" s="58" t="str">
        <f t="shared" si="85"/>
        <v/>
      </c>
      <c r="V119" s="14">
        <f t="shared" si="72"/>
        <v>0</v>
      </c>
      <c r="W119" s="58" t="str">
        <f t="shared" si="86"/>
        <v/>
      </c>
      <c r="X119" s="14">
        <f t="shared" si="73"/>
        <v>0</v>
      </c>
      <c r="Y119" s="58" t="str">
        <f t="shared" si="87"/>
        <v/>
      </c>
      <c r="Z119" s="31">
        <f t="shared" si="74"/>
        <v>0</v>
      </c>
      <c r="AA119" s="21">
        <f t="shared" si="88"/>
        <v>0</v>
      </c>
      <c r="AB119" s="58" t="str">
        <f t="shared" si="89"/>
        <v/>
      </c>
      <c r="AC119" s="630">
        <f t="shared" si="69"/>
        <v>0</v>
      </c>
      <c r="AD119" s="627"/>
      <c r="AE119" s="21">
        <f t="shared" si="90"/>
        <v>0</v>
      </c>
      <c r="AF119" s="58" t="str">
        <f t="shared" si="91"/>
        <v/>
      </c>
      <c r="AG119" s="21">
        <f t="shared" si="92"/>
        <v>0</v>
      </c>
      <c r="AH119" s="58" t="str">
        <f t="shared" si="93"/>
        <v/>
      </c>
      <c r="AI119" s="21">
        <f t="shared" si="94"/>
        <v>0</v>
      </c>
      <c r="AJ119" s="58" t="str">
        <f t="shared" si="95"/>
        <v/>
      </c>
      <c r="AK119" s="31">
        <f t="shared" si="75"/>
        <v>0</v>
      </c>
      <c r="AL119" s="21">
        <f t="shared" si="76"/>
        <v>0</v>
      </c>
      <c r="AM119" s="62" t="str">
        <f t="shared" si="77"/>
        <v/>
      </c>
      <c r="AN119" s="21">
        <f t="shared" si="96"/>
        <v>0</v>
      </c>
      <c r="AO119" s="62" t="str">
        <f t="shared" si="97"/>
        <v/>
      </c>
      <c r="AP119" s="21">
        <f t="shared" si="78"/>
        <v>0</v>
      </c>
      <c r="AQ119" s="62" t="str">
        <f t="shared" si="98"/>
        <v/>
      </c>
      <c r="AR119" s="31">
        <f t="shared" si="79"/>
        <v>0</v>
      </c>
      <c r="AS119" s="21">
        <f t="shared" si="80"/>
        <v>0</v>
      </c>
      <c r="AT119" s="62" t="str">
        <f t="shared" si="99"/>
        <v/>
      </c>
      <c r="AU119" s="84">
        <f t="shared" si="100"/>
        <v>0</v>
      </c>
      <c r="AV119" s="32">
        <f t="shared" si="101"/>
        <v>0</v>
      </c>
      <c r="AW119" s="85" t="str">
        <f t="shared" si="102"/>
        <v/>
      </c>
      <c r="AX119" s="86" t="str">
        <f t="shared" si="106"/>
        <v/>
      </c>
    </row>
    <row r="120" spans="1:50" x14ac:dyDescent="0.2">
      <c r="A120" s="29" t="str">
        <f t="shared" si="107"/>
        <v/>
      </c>
      <c r="B120" s="32" t="str">
        <f t="shared" si="108"/>
        <v/>
      </c>
      <c r="C120" s="35"/>
      <c r="D120" s="33" t="str">
        <f t="shared" si="105"/>
        <v/>
      </c>
      <c r="E120" s="22" t="str">
        <f t="shared" si="103"/>
        <v/>
      </c>
      <c r="F120" s="23" t="str">
        <f t="shared" si="104"/>
        <v/>
      </c>
      <c r="G120" s="23"/>
      <c r="H120" s="22"/>
      <c r="I120" s="23"/>
      <c r="J120" s="18"/>
      <c r="K120" s="13" t="str">
        <f t="shared" si="81"/>
        <v/>
      </c>
      <c r="L120" s="28" t="str">
        <f t="shared" si="70"/>
        <v/>
      </c>
      <c r="M120" s="10" t="str">
        <f t="shared" si="82"/>
        <v/>
      </c>
      <c r="N120" s="17" t="str">
        <f t="shared" si="109"/>
        <v/>
      </c>
      <c r="O120" s="39" t="str">
        <f t="shared" si="83"/>
        <v/>
      </c>
      <c r="P120" s="41" t="str">
        <f t="shared" si="110"/>
        <v/>
      </c>
      <c r="Q120" s="9" t="str">
        <f t="shared" si="67"/>
        <v/>
      </c>
      <c r="R120" s="14">
        <f t="shared" si="71"/>
        <v>0</v>
      </c>
      <c r="S120" s="61" t="str">
        <f t="shared" si="68"/>
        <v/>
      </c>
      <c r="T120" s="14">
        <f t="shared" si="84"/>
        <v>0</v>
      </c>
      <c r="U120" s="58" t="str">
        <f t="shared" si="85"/>
        <v/>
      </c>
      <c r="V120" s="14">
        <f t="shared" si="72"/>
        <v>0</v>
      </c>
      <c r="W120" s="58" t="str">
        <f t="shared" si="86"/>
        <v/>
      </c>
      <c r="X120" s="14">
        <f t="shared" si="73"/>
        <v>0</v>
      </c>
      <c r="Y120" s="58" t="str">
        <f t="shared" si="87"/>
        <v/>
      </c>
      <c r="Z120" s="31">
        <f t="shared" si="74"/>
        <v>0</v>
      </c>
      <c r="AA120" s="21">
        <f t="shared" si="88"/>
        <v>0</v>
      </c>
      <c r="AB120" s="58" t="str">
        <f t="shared" si="89"/>
        <v/>
      </c>
      <c r="AC120" s="630">
        <f t="shared" si="69"/>
        <v>0</v>
      </c>
      <c r="AD120" s="627"/>
      <c r="AE120" s="21">
        <f t="shared" si="90"/>
        <v>0</v>
      </c>
      <c r="AF120" s="58" t="str">
        <f t="shared" si="91"/>
        <v/>
      </c>
      <c r="AG120" s="21">
        <f t="shared" si="92"/>
        <v>0</v>
      </c>
      <c r="AH120" s="58" t="str">
        <f t="shared" si="93"/>
        <v/>
      </c>
      <c r="AI120" s="21">
        <f t="shared" si="94"/>
        <v>0</v>
      </c>
      <c r="AJ120" s="58" t="str">
        <f t="shared" si="95"/>
        <v/>
      </c>
      <c r="AK120" s="31">
        <f t="shared" si="75"/>
        <v>0</v>
      </c>
      <c r="AL120" s="21">
        <f t="shared" si="76"/>
        <v>0</v>
      </c>
      <c r="AM120" s="62" t="str">
        <f t="shared" si="77"/>
        <v/>
      </c>
      <c r="AN120" s="21">
        <f t="shared" si="96"/>
        <v>0</v>
      </c>
      <c r="AO120" s="62" t="str">
        <f t="shared" si="97"/>
        <v/>
      </c>
      <c r="AP120" s="21">
        <f t="shared" si="78"/>
        <v>0</v>
      </c>
      <c r="AQ120" s="62" t="str">
        <f t="shared" si="98"/>
        <v/>
      </c>
      <c r="AR120" s="31">
        <f t="shared" si="79"/>
        <v>0</v>
      </c>
      <c r="AS120" s="21">
        <f t="shared" si="80"/>
        <v>0</v>
      </c>
      <c r="AT120" s="62" t="str">
        <f t="shared" si="99"/>
        <v/>
      </c>
      <c r="AU120" s="84">
        <f t="shared" si="100"/>
        <v>0</v>
      </c>
      <c r="AV120" s="32">
        <f t="shared" si="101"/>
        <v>0</v>
      </c>
      <c r="AW120" s="85" t="str">
        <f t="shared" si="102"/>
        <v/>
      </c>
      <c r="AX120" s="86" t="str">
        <f t="shared" si="106"/>
        <v/>
      </c>
    </row>
    <row r="121" spans="1:50" x14ac:dyDescent="0.2">
      <c r="A121" s="29" t="str">
        <f t="shared" si="107"/>
        <v/>
      </c>
      <c r="B121" s="32" t="str">
        <f t="shared" si="108"/>
        <v/>
      </c>
      <c r="C121" s="35"/>
      <c r="D121" s="33" t="str">
        <f t="shared" si="105"/>
        <v/>
      </c>
      <c r="E121" s="22" t="str">
        <f t="shared" si="103"/>
        <v/>
      </c>
      <c r="F121" s="23" t="str">
        <f t="shared" si="104"/>
        <v/>
      </c>
      <c r="G121" s="23"/>
      <c r="H121" s="22"/>
      <c r="I121" s="23"/>
      <c r="J121" s="18"/>
      <c r="K121" s="13" t="str">
        <f t="shared" si="81"/>
        <v/>
      </c>
      <c r="L121" s="28" t="str">
        <f t="shared" si="70"/>
        <v/>
      </c>
      <c r="M121" s="10" t="str">
        <f t="shared" si="82"/>
        <v/>
      </c>
      <c r="N121" s="17" t="str">
        <f t="shared" si="109"/>
        <v/>
      </c>
      <c r="O121" s="39" t="str">
        <f t="shared" si="83"/>
        <v/>
      </c>
      <c r="P121" s="41" t="str">
        <f t="shared" si="110"/>
        <v/>
      </c>
      <c r="Q121" s="9" t="str">
        <f t="shared" si="67"/>
        <v/>
      </c>
      <c r="R121" s="14">
        <f t="shared" si="71"/>
        <v>0</v>
      </c>
      <c r="S121" s="61" t="str">
        <f t="shared" si="68"/>
        <v/>
      </c>
      <c r="T121" s="14">
        <f t="shared" si="84"/>
        <v>0</v>
      </c>
      <c r="U121" s="58" t="str">
        <f t="shared" si="85"/>
        <v/>
      </c>
      <c r="V121" s="14">
        <f t="shared" si="72"/>
        <v>0</v>
      </c>
      <c r="W121" s="58" t="str">
        <f t="shared" si="86"/>
        <v/>
      </c>
      <c r="X121" s="14">
        <f t="shared" si="73"/>
        <v>0</v>
      </c>
      <c r="Y121" s="58" t="str">
        <f t="shared" si="87"/>
        <v/>
      </c>
      <c r="Z121" s="31">
        <f t="shared" si="74"/>
        <v>0</v>
      </c>
      <c r="AA121" s="21">
        <f t="shared" si="88"/>
        <v>0</v>
      </c>
      <c r="AB121" s="58" t="str">
        <f t="shared" si="89"/>
        <v/>
      </c>
      <c r="AC121" s="630">
        <f t="shared" si="69"/>
        <v>0</v>
      </c>
      <c r="AD121" s="627"/>
      <c r="AE121" s="21">
        <f t="shared" si="90"/>
        <v>0</v>
      </c>
      <c r="AF121" s="58" t="str">
        <f t="shared" si="91"/>
        <v/>
      </c>
      <c r="AG121" s="21">
        <f t="shared" si="92"/>
        <v>0</v>
      </c>
      <c r="AH121" s="58" t="str">
        <f t="shared" si="93"/>
        <v/>
      </c>
      <c r="AI121" s="21">
        <f t="shared" si="94"/>
        <v>0</v>
      </c>
      <c r="AJ121" s="58" t="str">
        <f t="shared" si="95"/>
        <v/>
      </c>
      <c r="AK121" s="31">
        <f t="shared" si="75"/>
        <v>0</v>
      </c>
      <c r="AL121" s="21">
        <f t="shared" si="76"/>
        <v>0</v>
      </c>
      <c r="AM121" s="62" t="str">
        <f t="shared" si="77"/>
        <v/>
      </c>
      <c r="AN121" s="21">
        <f t="shared" si="96"/>
        <v>0</v>
      </c>
      <c r="AO121" s="62" t="str">
        <f t="shared" si="97"/>
        <v/>
      </c>
      <c r="AP121" s="21">
        <f t="shared" si="78"/>
        <v>0</v>
      </c>
      <c r="AQ121" s="62" t="str">
        <f t="shared" si="98"/>
        <v/>
      </c>
      <c r="AR121" s="31">
        <f t="shared" si="79"/>
        <v>0</v>
      </c>
      <c r="AS121" s="21">
        <f t="shared" si="80"/>
        <v>0</v>
      </c>
      <c r="AT121" s="62" t="str">
        <f t="shared" si="99"/>
        <v/>
      </c>
      <c r="AU121" s="84">
        <f t="shared" si="100"/>
        <v>0</v>
      </c>
      <c r="AV121" s="32">
        <f t="shared" si="101"/>
        <v>0</v>
      </c>
      <c r="AW121" s="85" t="str">
        <f t="shared" si="102"/>
        <v/>
      </c>
      <c r="AX121" s="86" t="str">
        <f t="shared" si="106"/>
        <v/>
      </c>
    </row>
    <row r="122" spans="1:50" x14ac:dyDescent="0.2">
      <c r="A122" s="29" t="str">
        <f t="shared" si="107"/>
        <v/>
      </c>
      <c r="B122" s="32" t="str">
        <f t="shared" si="108"/>
        <v/>
      </c>
      <c r="C122" s="35"/>
      <c r="D122" s="33" t="str">
        <f t="shared" si="105"/>
        <v/>
      </c>
      <c r="E122" s="22" t="str">
        <f t="shared" si="103"/>
        <v/>
      </c>
      <c r="F122" s="23" t="str">
        <f t="shared" si="104"/>
        <v/>
      </c>
      <c r="G122" s="23"/>
      <c r="H122" s="22"/>
      <c r="I122" s="23"/>
      <c r="J122" s="18"/>
      <c r="K122" s="13" t="str">
        <f t="shared" si="81"/>
        <v/>
      </c>
      <c r="L122" s="28" t="str">
        <f t="shared" si="70"/>
        <v/>
      </c>
      <c r="M122" s="10" t="str">
        <f t="shared" si="82"/>
        <v/>
      </c>
      <c r="N122" s="17" t="str">
        <f t="shared" si="109"/>
        <v/>
      </c>
      <c r="O122" s="39" t="str">
        <f t="shared" si="83"/>
        <v/>
      </c>
      <c r="P122" s="41" t="str">
        <f t="shared" si="110"/>
        <v/>
      </c>
      <c r="Q122" s="9" t="str">
        <f t="shared" si="67"/>
        <v/>
      </c>
      <c r="R122" s="14">
        <f t="shared" si="71"/>
        <v>0</v>
      </c>
      <c r="S122" s="61" t="str">
        <f t="shared" si="68"/>
        <v/>
      </c>
      <c r="T122" s="14">
        <f t="shared" si="84"/>
        <v>0</v>
      </c>
      <c r="U122" s="58" t="str">
        <f t="shared" si="85"/>
        <v/>
      </c>
      <c r="V122" s="14">
        <f t="shared" si="72"/>
        <v>0</v>
      </c>
      <c r="W122" s="58" t="str">
        <f t="shared" si="86"/>
        <v/>
      </c>
      <c r="X122" s="14">
        <f t="shared" si="73"/>
        <v>0</v>
      </c>
      <c r="Y122" s="58" t="str">
        <f t="shared" si="87"/>
        <v/>
      </c>
      <c r="Z122" s="31">
        <f t="shared" si="74"/>
        <v>0</v>
      </c>
      <c r="AA122" s="21">
        <f t="shared" si="88"/>
        <v>0</v>
      </c>
      <c r="AB122" s="58" t="str">
        <f t="shared" si="89"/>
        <v/>
      </c>
      <c r="AC122" s="630">
        <f t="shared" si="69"/>
        <v>0</v>
      </c>
      <c r="AD122" s="627"/>
      <c r="AE122" s="21">
        <f t="shared" si="90"/>
        <v>0</v>
      </c>
      <c r="AF122" s="58" t="str">
        <f t="shared" si="91"/>
        <v/>
      </c>
      <c r="AG122" s="21">
        <f t="shared" si="92"/>
        <v>0</v>
      </c>
      <c r="AH122" s="58" t="str">
        <f t="shared" si="93"/>
        <v/>
      </c>
      <c r="AI122" s="21">
        <f t="shared" si="94"/>
        <v>0</v>
      </c>
      <c r="AJ122" s="58" t="str">
        <f t="shared" si="95"/>
        <v/>
      </c>
      <c r="AK122" s="31">
        <f t="shared" si="75"/>
        <v>0</v>
      </c>
      <c r="AL122" s="21">
        <f t="shared" si="76"/>
        <v>0</v>
      </c>
      <c r="AM122" s="62" t="str">
        <f t="shared" si="77"/>
        <v/>
      </c>
      <c r="AN122" s="21">
        <f t="shared" si="96"/>
        <v>0</v>
      </c>
      <c r="AO122" s="62" t="str">
        <f t="shared" si="97"/>
        <v/>
      </c>
      <c r="AP122" s="21">
        <f t="shared" si="78"/>
        <v>0</v>
      </c>
      <c r="AQ122" s="62" t="str">
        <f t="shared" si="98"/>
        <v/>
      </c>
      <c r="AR122" s="31">
        <f t="shared" si="79"/>
        <v>0</v>
      </c>
      <c r="AS122" s="21">
        <f t="shared" si="80"/>
        <v>0</v>
      </c>
      <c r="AT122" s="62" t="str">
        <f t="shared" si="99"/>
        <v/>
      </c>
      <c r="AU122" s="84">
        <f t="shared" si="100"/>
        <v>0</v>
      </c>
      <c r="AV122" s="32">
        <f t="shared" si="101"/>
        <v>0</v>
      </c>
      <c r="AW122" s="85" t="str">
        <f t="shared" si="102"/>
        <v/>
      </c>
      <c r="AX122" s="86" t="str">
        <f t="shared" si="106"/>
        <v/>
      </c>
    </row>
    <row r="123" spans="1:50" x14ac:dyDescent="0.2">
      <c r="A123" s="29" t="str">
        <f t="shared" si="107"/>
        <v/>
      </c>
      <c r="B123" s="32" t="str">
        <f t="shared" si="108"/>
        <v/>
      </c>
      <c r="C123" s="35"/>
      <c r="D123" s="33" t="str">
        <f t="shared" si="105"/>
        <v/>
      </c>
      <c r="E123" s="22" t="str">
        <f t="shared" si="103"/>
        <v/>
      </c>
      <c r="F123" s="23" t="str">
        <f t="shared" si="104"/>
        <v/>
      </c>
      <c r="G123" s="23"/>
      <c r="H123" s="22"/>
      <c r="I123" s="23"/>
      <c r="J123" s="18"/>
      <c r="K123" s="13" t="str">
        <f t="shared" si="81"/>
        <v/>
      </c>
      <c r="L123" s="28" t="str">
        <f t="shared" si="70"/>
        <v/>
      </c>
      <c r="M123" s="10" t="str">
        <f t="shared" si="82"/>
        <v/>
      </c>
      <c r="N123" s="17" t="str">
        <f t="shared" si="109"/>
        <v/>
      </c>
      <c r="O123" s="39" t="str">
        <f t="shared" si="83"/>
        <v/>
      </c>
      <c r="P123" s="41" t="str">
        <f t="shared" si="110"/>
        <v/>
      </c>
      <c r="Q123" s="9" t="str">
        <f t="shared" si="67"/>
        <v/>
      </c>
      <c r="R123" s="14">
        <f t="shared" si="71"/>
        <v>0</v>
      </c>
      <c r="S123" s="61" t="str">
        <f t="shared" si="68"/>
        <v/>
      </c>
      <c r="T123" s="14">
        <f t="shared" si="84"/>
        <v>0</v>
      </c>
      <c r="U123" s="58" t="str">
        <f t="shared" si="85"/>
        <v/>
      </c>
      <c r="V123" s="14">
        <f t="shared" si="72"/>
        <v>0</v>
      </c>
      <c r="W123" s="58" t="str">
        <f t="shared" si="86"/>
        <v/>
      </c>
      <c r="X123" s="14">
        <f t="shared" si="73"/>
        <v>0</v>
      </c>
      <c r="Y123" s="58" t="str">
        <f t="shared" si="87"/>
        <v/>
      </c>
      <c r="Z123" s="31">
        <f t="shared" si="74"/>
        <v>0</v>
      </c>
      <c r="AA123" s="21">
        <f t="shared" si="88"/>
        <v>0</v>
      </c>
      <c r="AB123" s="58" t="str">
        <f t="shared" si="89"/>
        <v/>
      </c>
      <c r="AC123" s="630">
        <f t="shared" si="69"/>
        <v>0</v>
      </c>
      <c r="AD123" s="627"/>
      <c r="AE123" s="21">
        <f t="shared" si="90"/>
        <v>0</v>
      </c>
      <c r="AF123" s="58" t="str">
        <f t="shared" si="91"/>
        <v/>
      </c>
      <c r="AG123" s="21">
        <f t="shared" si="92"/>
        <v>0</v>
      </c>
      <c r="AH123" s="58" t="str">
        <f t="shared" si="93"/>
        <v/>
      </c>
      <c r="AI123" s="21">
        <f t="shared" si="94"/>
        <v>0</v>
      </c>
      <c r="AJ123" s="58" t="str">
        <f t="shared" si="95"/>
        <v/>
      </c>
      <c r="AK123" s="31">
        <f t="shared" si="75"/>
        <v>0</v>
      </c>
      <c r="AL123" s="21">
        <f t="shared" si="76"/>
        <v>0</v>
      </c>
      <c r="AM123" s="62" t="str">
        <f t="shared" si="77"/>
        <v/>
      </c>
      <c r="AN123" s="21">
        <f t="shared" si="96"/>
        <v>0</v>
      </c>
      <c r="AO123" s="62" t="str">
        <f t="shared" si="97"/>
        <v/>
      </c>
      <c r="AP123" s="21">
        <f t="shared" si="78"/>
        <v>0</v>
      </c>
      <c r="AQ123" s="62" t="str">
        <f t="shared" si="98"/>
        <v/>
      </c>
      <c r="AR123" s="31">
        <f t="shared" si="79"/>
        <v>0</v>
      </c>
      <c r="AS123" s="21">
        <f t="shared" si="80"/>
        <v>0</v>
      </c>
      <c r="AT123" s="62" t="str">
        <f t="shared" si="99"/>
        <v/>
      </c>
      <c r="AU123" s="84">
        <f t="shared" si="100"/>
        <v>0</v>
      </c>
      <c r="AV123" s="32">
        <f t="shared" si="101"/>
        <v>0</v>
      </c>
      <c r="AW123" s="85" t="str">
        <f t="shared" si="102"/>
        <v/>
      </c>
      <c r="AX123" s="86" t="str">
        <f t="shared" si="106"/>
        <v/>
      </c>
    </row>
    <row r="124" spans="1:50" x14ac:dyDescent="0.2">
      <c r="A124" s="29" t="str">
        <f t="shared" si="107"/>
        <v/>
      </c>
      <c r="B124" s="32" t="str">
        <f t="shared" si="108"/>
        <v/>
      </c>
      <c r="C124" s="35"/>
      <c r="D124" s="33" t="str">
        <f t="shared" si="105"/>
        <v/>
      </c>
      <c r="E124" s="22" t="str">
        <f t="shared" si="103"/>
        <v/>
      </c>
      <c r="F124" s="23" t="str">
        <f t="shared" si="104"/>
        <v/>
      </c>
      <c r="G124" s="23"/>
      <c r="H124" s="22"/>
      <c r="I124" s="23"/>
      <c r="J124" s="18"/>
      <c r="K124" s="13" t="str">
        <f t="shared" si="81"/>
        <v/>
      </c>
      <c r="L124" s="28" t="str">
        <f t="shared" si="70"/>
        <v/>
      </c>
      <c r="M124" s="10" t="str">
        <f t="shared" si="82"/>
        <v/>
      </c>
      <c r="N124" s="17" t="str">
        <f t="shared" si="109"/>
        <v/>
      </c>
      <c r="O124" s="39" t="str">
        <f t="shared" si="83"/>
        <v/>
      </c>
      <c r="P124" s="41" t="str">
        <f t="shared" si="110"/>
        <v/>
      </c>
      <c r="Q124" s="9" t="str">
        <f t="shared" si="67"/>
        <v/>
      </c>
      <c r="R124" s="14">
        <f t="shared" si="71"/>
        <v>0</v>
      </c>
      <c r="S124" s="61" t="str">
        <f t="shared" si="68"/>
        <v/>
      </c>
      <c r="T124" s="14">
        <f t="shared" si="84"/>
        <v>0</v>
      </c>
      <c r="U124" s="58" t="str">
        <f t="shared" si="85"/>
        <v/>
      </c>
      <c r="V124" s="14">
        <f t="shared" si="72"/>
        <v>0</v>
      </c>
      <c r="W124" s="58" t="str">
        <f t="shared" si="86"/>
        <v/>
      </c>
      <c r="X124" s="14">
        <f t="shared" si="73"/>
        <v>0</v>
      </c>
      <c r="Y124" s="58" t="str">
        <f t="shared" si="87"/>
        <v/>
      </c>
      <c r="Z124" s="31">
        <f t="shared" si="74"/>
        <v>0</v>
      </c>
      <c r="AA124" s="21">
        <f t="shared" si="88"/>
        <v>0</v>
      </c>
      <c r="AB124" s="58" t="str">
        <f t="shared" si="89"/>
        <v/>
      </c>
      <c r="AC124" s="630">
        <f t="shared" si="69"/>
        <v>0</v>
      </c>
      <c r="AD124" s="627"/>
      <c r="AE124" s="21">
        <f t="shared" si="90"/>
        <v>0</v>
      </c>
      <c r="AF124" s="58" t="str">
        <f t="shared" si="91"/>
        <v/>
      </c>
      <c r="AG124" s="21">
        <f t="shared" si="92"/>
        <v>0</v>
      </c>
      <c r="AH124" s="58" t="str">
        <f t="shared" si="93"/>
        <v/>
      </c>
      <c r="AI124" s="21">
        <f t="shared" si="94"/>
        <v>0</v>
      </c>
      <c r="AJ124" s="58" t="str">
        <f t="shared" si="95"/>
        <v/>
      </c>
      <c r="AK124" s="31">
        <f t="shared" si="75"/>
        <v>0</v>
      </c>
      <c r="AL124" s="21">
        <f t="shared" si="76"/>
        <v>0</v>
      </c>
      <c r="AM124" s="62" t="str">
        <f t="shared" si="77"/>
        <v/>
      </c>
      <c r="AN124" s="21">
        <f t="shared" si="96"/>
        <v>0</v>
      </c>
      <c r="AO124" s="62" t="str">
        <f t="shared" si="97"/>
        <v/>
      </c>
      <c r="AP124" s="21">
        <f t="shared" si="78"/>
        <v>0</v>
      </c>
      <c r="AQ124" s="62" t="str">
        <f t="shared" si="98"/>
        <v/>
      </c>
      <c r="AR124" s="31">
        <f t="shared" si="79"/>
        <v>0</v>
      </c>
      <c r="AS124" s="21">
        <f t="shared" si="80"/>
        <v>0</v>
      </c>
      <c r="AT124" s="62" t="str">
        <f t="shared" si="99"/>
        <v/>
      </c>
      <c r="AU124" s="84">
        <f t="shared" si="100"/>
        <v>0</v>
      </c>
      <c r="AV124" s="32">
        <f t="shared" si="101"/>
        <v>0</v>
      </c>
      <c r="AW124" s="85" t="str">
        <f t="shared" si="102"/>
        <v/>
      </c>
      <c r="AX124" s="86" t="str">
        <f t="shared" si="106"/>
        <v/>
      </c>
    </row>
    <row r="125" spans="1:50" x14ac:dyDescent="0.2">
      <c r="A125" s="29" t="str">
        <f t="shared" si="107"/>
        <v/>
      </c>
      <c r="B125" s="32" t="str">
        <f t="shared" si="108"/>
        <v/>
      </c>
      <c r="C125" s="35"/>
      <c r="D125" s="33" t="str">
        <f t="shared" si="105"/>
        <v/>
      </c>
      <c r="E125" s="22" t="str">
        <f t="shared" si="103"/>
        <v/>
      </c>
      <c r="F125" s="23" t="str">
        <f t="shared" si="104"/>
        <v/>
      </c>
      <c r="G125" s="23"/>
      <c r="H125" s="22"/>
      <c r="I125" s="23"/>
      <c r="J125" s="18"/>
      <c r="K125" s="13" t="str">
        <f t="shared" si="81"/>
        <v/>
      </c>
      <c r="L125" s="28" t="str">
        <f t="shared" si="70"/>
        <v/>
      </c>
      <c r="M125" s="10" t="str">
        <f t="shared" si="82"/>
        <v/>
      </c>
      <c r="N125" s="17" t="str">
        <f t="shared" si="109"/>
        <v/>
      </c>
      <c r="O125" s="39" t="str">
        <f t="shared" si="83"/>
        <v/>
      </c>
      <c r="P125" s="41" t="str">
        <f t="shared" si="110"/>
        <v/>
      </c>
      <c r="Q125" s="9" t="str">
        <f t="shared" si="67"/>
        <v/>
      </c>
      <c r="R125" s="14">
        <f t="shared" si="71"/>
        <v>0</v>
      </c>
      <c r="S125" s="61" t="str">
        <f t="shared" si="68"/>
        <v/>
      </c>
      <c r="T125" s="14">
        <f t="shared" si="84"/>
        <v>0</v>
      </c>
      <c r="U125" s="58" t="str">
        <f t="shared" si="85"/>
        <v/>
      </c>
      <c r="V125" s="14">
        <f t="shared" si="72"/>
        <v>0</v>
      </c>
      <c r="W125" s="58" t="str">
        <f t="shared" si="86"/>
        <v/>
      </c>
      <c r="X125" s="14">
        <f t="shared" si="73"/>
        <v>0</v>
      </c>
      <c r="Y125" s="58" t="str">
        <f t="shared" si="87"/>
        <v/>
      </c>
      <c r="Z125" s="31">
        <f t="shared" si="74"/>
        <v>0</v>
      </c>
      <c r="AA125" s="21">
        <f t="shared" si="88"/>
        <v>0</v>
      </c>
      <c r="AB125" s="58" t="str">
        <f t="shared" si="89"/>
        <v/>
      </c>
      <c r="AC125" s="630">
        <f t="shared" si="69"/>
        <v>0</v>
      </c>
      <c r="AD125" s="627"/>
      <c r="AE125" s="21">
        <f t="shared" si="90"/>
        <v>0</v>
      </c>
      <c r="AF125" s="58" t="str">
        <f t="shared" si="91"/>
        <v/>
      </c>
      <c r="AG125" s="21">
        <f t="shared" si="92"/>
        <v>0</v>
      </c>
      <c r="AH125" s="58" t="str">
        <f t="shared" si="93"/>
        <v/>
      </c>
      <c r="AI125" s="21">
        <f t="shared" si="94"/>
        <v>0</v>
      </c>
      <c r="AJ125" s="58" t="str">
        <f t="shared" si="95"/>
        <v/>
      </c>
      <c r="AK125" s="31">
        <f t="shared" si="75"/>
        <v>0</v>
      </c>
      <c r="AL125" s="21">
        <f t="shared" si="76"/>
        <v>0</v>
      </c>
      <c r="AM125" s="62" t="str">
        <f t="shared" si="77"/>
        <v/>
      </c>
      <c r="AN125" s="21">
        <f t="shared" si="96"/>
        <v>0</v>
      </c>
      <c r="AO125" s="62" t="str">
        <f t="shared" si="97"/>
        <v/>
      </c>
      <c r="AP125" s="21">
        <f t="shared" si="78"/>
        <v>0</v>
      </c>
      <c r="AQ125" s="62" t="str">
        <f t="shared" si="98"/>
        <v/>
      </c>
      <c r="AR125" s="31">
        <f t="shared" si="79"/>
        <v>0</v>
      </c>
      <c r="AS125" s="21">
        <f t="shared" si="80"/>
        <v>0</v>
      </c>
      <c r="AT125" s="62" t="str">
        <f t="shared" si="99"/>
        <v/>
      </c>
      <c r="AU125" s="84">
        <f t="shared" si="100"/>
        <v>0</v>
      </c>
      <c r="AV125" s="32">
        <f t="shared" si="101"/>
        <v>0</v>
      </c>
      <c r="AW125" s="85" t="str">
        <f t="shared" si="102"/>
        <v/>
      </c>
      <c r="AX125" s="86" t="str">
        <f t="shared" si="106"/>
        <v/>
      </c>
    </row>
    <row r="126" spans="1:50" x14ac:dyDescent="0.2">
      <c r="A126" s="29" t="str">
        <f t="shared" si="107"/>
        <v/>
      </c>
      <c r="B126" s="32" t="str">
        <f t="shared" si="108"/>
        <v/>
      </c>
      <c r="C126" s="35"/>
      <c r="D126" s="33" t="str">
        <f t="shared" si="105"/>
        <v/>
      </c>
      <c r="E126" s="22" t="str">
        <f t="shared" si="103"/>
        <v/>
      </c>
      <c r="F126" s="23" t="str">
        <f t="shared" si="104"/>
        <v/>
      </c>
      <c r="G126" s="23"/>
      <c r="H126" s="22"/>
      <c r="I126" s="23"/>
      <c r="J126" s="18"/>
      <c r="K126" s="13" t="str">
        <f t="shared" si="81"/>
        <v/>
      </c>
      <c r="L126" s="28" t="str">
        <f t="shared" si="70"/>
        <v/>
      </c>
      <c r="M126" s="10" t="str">
        <f t="shared" si="82"/>
        <v/>
      </c>
      <c r="N126" s="17" t="str">
        <f t="shared" si="109"/>
        <v/>
      </c>
      <c r="O126" s="39" t="str">
        <f t="shared" si="83"/>
        <v/>
      </c>
      <c r="P126" s="41" t="str">
        <f t="shared" si="110"/>
        <v/>
      </c>
      <c r="Q126" s="9" t="str">
        <f t="shared" si="67"/>
        <v/>
      </c>
      <c r="R126" s="14">
        <f t="shared" si="71"/>
        <v>0</v>
      </c>
      <c r="S126" s="61" t="str">
        <f t="shared" si="68"/>
        <v/>
      </c>
      <c r="T126" s="14">
        <f t="shared" si="84"/>
        <v>0</v>
      </c>
      <c r="U126" s="58" t="str">
        <f t="shared" si="85"/>
        <v/>
      </c>
      <c r="V126" s="14">
        <f t="shared" si="72"/>
        <v>0</v>
      </c>
      <c r="W126" s="58" t="str">
        <f t="shared" si="86"/>
        <v/>
      </c>
      <c r="X126" s="14">
        <f t="shared" si="73"/>
        <v>0</v>
      </c>
      <c r="Y126" s="58" t="str">
        <f t="shared" si="87"/>
        <v/>
      </c>
      <c r="Z126" s="31">
        <f t="shared" si="74"/>
        <v>0</v>
      </c>
      <c r="AA126" s="21">
        <f t="shared" si="88"/>
        <v>0</v>
      </c>
      <c r="AB126" s="58" t="str">
        <f t="shared" si="89"/>
        <v/>
      </c>
      <c r="AC126" s="630">
        <f t="shared" si="69"/>
        <v>0</v>
      </c>
      <c r="AD126" s="627"/>
      <c r="AE126" s="21">
        <f t="shared" si="90"/>
        <v>0</v>
      </c>
      <c r="AF126" s="58" t="str">
        <f t="shared" si="91"/>
        <v/>
      </c>
      <c r="AG126" s="21">
        <f t="shared" si="92"/>
        <v>0</v>
      </c>
      <c r="AH126" s="58" t="str">
        <f t="shared" si="93"/>
        <v/>
      </c>
      <c r="AI126" s="21">
        <f t="shared" si="94"/>
        <v>0</v>
      </c>
      <c r="AJ126" s="58" t="str">
        <f t="shared" si="95"/>
        <v/>
      </c>
      <c r="AK126" s="31">
        <f t="shared" si="75"/>
        <v>0</v>
      </c>
      <c r="AL126" s="21">
        <f t="shared" si="76"/>
        <v>0</v>
      </c>
      <c r="AM126" s="62" t="str">
        <f t="shared" si="77"/>
        <v/>
      </c>
      <c r="AN126" s="21">
        <f t="shared" si="96"/>
        <v>0</v>
      </c>
      <c r="AO126" s="62" t="str">
        <f t="shared" si="97"/>
        <v/>
      </c>
      <c r="AP126" s="21">
        <f t="shared" si="78"/>
        <v>0</v>
      </c>
      <c r="AQ126" s="62" t="str">
        <f t="shared" si="98"/>
        <v/>
      </c>
      <c r="AR126" s="31">
        <f t="shared" si="79"/>
        <v>0</v>
      </c>
      <c r="AS126" s="21">
        <f t="shared" si="80"/>
        <v>0</v>
      </c>
      <c r="AT126" s="62" t="str">
        <f t="shared" si="99"/>
        <v/>
      </c>
      <c r="AU126" s="84">
        <f t="shared" si="100"/>
        <v>0</v>
      </c>
      <c r="AV126" s="32">
        <f t="shared" si="101"/>
        <v>0</v>
      </c>
      <c r="AW126" s="85" t="str">
        <f t="shared" si="102"/>
        <v/>
      </c>
      <c r="AX126" s="86" t="str">
        <f t="shared" si="106"/>
        <v/>
      </c>
    </row>
    <row r="127" spans="1:50" x14ac:dyDescent="0.2">
      <c r="A127" s="29" t="str">
        <f t="shared" si="107"/>
        <v/>
      </c>
      <c r="B127" s="32" t="str">
        <f t="shared" si="108"/>
        <v/>
      </c>
      <c r="C127" s="35"/>
      <c r="D127" s="33" t="str">
        <f t="shared" si="105"/>
        <v/>
      </c>
      <c r="E127" s="22" t="str">
        <f t="shared" si="103"/>
        <v/>
      </c>
      <c r="F127" s="23" t="str">
        <f t="shared" si="104"/>
        <v/>
      </c>
      <c r="G127" s="23"/>
      <c r="H127" s="22"/>
      <c r="I127" s="23"/>
      <c r="J127" s="18"/>
      <c r="K127" s="13" t="str">
        <f t="shared" si="81"/>
        <v/>
      </c>
      <c r="L127" s="28" t="str">
        <f t="shared" si="70"/>
        <v/>
      </c>
      <c r="M127" s="10" t="str">
        <f t="shared" si="82"/>
        <v/>
      </c>
      <c r="N127" s="17" t="str">
        <f t="shared" si="109"/>
        <v/>
      </c>
      <c r="O127" s="39" t="str">
        <f t="shared" si="83"/>
        <v/>
      </c>
      <c r="P127" s="41" t="str">
        <f t="shared" si="110"/>
        <v/>
      </c>
      <c r="Q127" s="9" t="str">
        <f t="shared" si="67"/>
        <v/>
      </c>
      <c r="R127" s="14">
        <f t="shared" si="71"/>
        <v>0</v>
      </c>
      <c r="S127" s="61" t="str">
        <f t="shared" si="68"/>
        <v/>
      </c>
      <c r="T127" s="14">
        <f t="shared" si="84"/>
        <v>0</v>
      </c>
      <c r="U127" s="58" t="str">
        <f t="shared" si="85"/>
        <v/>
      </c>
      <c r="V127" s="14">
        <f t="shared" si="72"/>
        <v>0</v>
      </c>
      <c r="W127" s="58" t="str">
        <f t="shared" si="86"/>
        <v/>
      </c>
      <c r="X127" s="14">
        <f t="shared" si="73"/>
        <v>0</v>
      </c>
      <c r="Y127" s="58" t="str">
        <f t="shared" si="87"/>
        <v/>
      </c>
      <c r="Z127" s="31">
        <f t="shared" si="74"/>
        <v>0</v>
      </c>
      <c r="AA127" s="21">
        <f t="shared" si="88"/>
        <v>0</v>
      </c>
      <c r="AB127" s="58" t="str">
        <f t="shared" si="89"/>
        <v/>
      </c>
      <c r="AC127" s="630">
        <f t="shared" si="69"/>
        <v>0</v>
      </c>
      <c r="AD127" s="627"/>
      <c r="AE127" s="21">
        <f t="shared" si="90"/>
        <v>0</v>
      </c>
      <c r="AF127" s="58" t="str">
        <f t="shared" si="91"/>
        <v/>
      </c>
      <c r="AG127" s="21">
        <f t="shared" si="92"/>
        <v>0</v>
      </c>
      <c r="AH127" s="58" t="str">
        <f t="shared" si="93"/>
        <v/>
      </c>
      <c r="AI127" s="21">
        <f t="shared" si="94"/>
        <v>0</v>
      </c>
      <c r="AJ127" s="58" t="str">
        <f t="shared" si="95"/>
        <v/>
      </c>
      <c r="AK127" s="31">
        <f t="shared" si="75"/>
        <v>0</v>
      </c>
      <c r="AL127" s="21">
        <f t="shared" si="76"/>
        <v>0</v>
      </c>
      <c r="AM127" s="62" t="str">
        <f t="shared" si="77"/>
        <v/>
      </c>
      <c r="AN127" s="21">
        <f t="shared" si="96"/>
        <v>0</v>
      </c>
      <c r="AO127" s="62" t="str">
        <f t="shared" si="97"/>
        <v/>
      </c>
      <c r="AP127" s="21">
        <f t="shared" si="78"/>
        <v>0</v>
      </c>
      <c r="AQ127" s="62" t="str">
        <f t="shared" si="98"/>
        <v/>
      </c>
      <c r="AR127" s="31">
        <f t="shared" si="79"/>
        <v>0</v>
      </c>
      <c r="AS127" s="21">
        <f t="shared" si="80"/>
        <v>0</v>
      </c>
      <c r="AT127" s="62" t="str">
        <f t="shared" si="99"/>
        <v/>
      </c>
      <c r="AU127" s="84">
        <f t="shared" si="100"/>
        <v>0</v>
      </c>
      <c r="AV127" s="32">
        <f t="shared" si="101"/>
        <v>0</v>
      </c>
      <c r="AW127" s="85" t="str">
        <f t="shared" si="102"/>
        <v/>
      </c>
      <c r="AX127" s="86" t="str">
        <f t="shared" si="106"/>
        <v/>
      </c>
    </row>
    <row r="128" spans="1:50" x14ac:dyDescent="0.2">
      <c r="A128" s="29" t="str">
        <f t="shared" si="107"/>
        <v/>
      </c>
      <c r="B128" s="32" t="str">
        <f t="shared" si="108"/>
        <v/>
      </c>
      <c r="C128" s="35"/>
      <c r="D128" s="33" t="str">
        <f t="shared" si="105"/>
        <v/>
      </c>
      <c r="E128" s="22" t="str">
        <f t="shared" si="103"/>
        <v/>
      </c>
      <c r="F128" s="23" t="str">
        <f t="shared" si="104"/>
        <v/>
      </c>
      <c r="G128" s="23"/>
      <c r="H128" s="22"/>
      <c r="I128" s="23"/>
      <c r="J128" s="18"/>
      <c r="K128" s="13" t="str">
        <f t="shared" si="81"/>
        <v/>
      </c>
      <c r="L128" s="28" t="str">
        <f t="shared" si="70"/>
        <v/>
      </c>
      <c r="M128" s="10" t="str">
        <f t="shared" si="82"/>
        <v/>
      </c>
      <c r="N128" s="17" t="str">
        <f t="shared" si="109"/>
        <v/>
      </c>
      <c r="O128" s="39" t="str">
        <f t="shared" si="83"/>
        <v/>
      </c>
      <c r="P128" s="41" t="str">
        <f t="shared" si="110"/>
        <v/>
      </c>
      <c r="Q128" s="9" t="str">
        <f t="shared" si="67"/>
        <v/>
      </c>
      <c r="R128" s="14">
        <f t="shared" si="71"/>
        <v>0</v>
      </c>
      <c r="S128" s="61" t="str">
        <f t="shared" si="68"/>
        <v/>
      </c>
      <c r="T128" s="14">
        <f t="shared" si="84"/>
        <v>0</v>
      </c>
      <c r="U128" s="58" t="str">
        <f t="shared" si="85"/>
        <v/>
      </c>
      <c r="V128" s="14">
        <f t="shared" si="72"/>
        <v>0</v>
      </c>
      <c r="W128" s="58" t="str">
        <f t="shared" si="86"/>
        <v/>
      </c>
      <c r="X128" s="14">
        <f t="shared" si="73"/>
        <v>0</v>
      </c>
      <c r="Y128" s="58" t="str">
        <f t="shared" si="87"/>
        <v/>
      </c>
      <c r="Z128" s="31">
        <f t="shared" si="74"/>
        <v>0</v>
      </c>
      <c r="AA128" s="21">
        <f t="shared" si="88"/>
        <v>0</v>
      </c>
      <c r="AB128" s="58" t="str">
        <f t="shared" si="89"/>
        <v/>
      </c>
      <c r="AC128" s="630">
        <f t="shared" si="69"/>
        <v>0</v>
      </c>
      <c r="AD128" s="627"/>
      <c r="AE128" s="21">
        <f t="shared" si="90"/>
        <v>0</v>
      </c>
      <c r="AF128" s="58" t="str">
        <f t="shared" si="91"/>
        <v/>
      </c>
      <c r="AG128" s="21">
        <f t="shared" si="92"/>
        <v>0</v>
      </c>
      <c r="AH128" s="58" t="str">
        <f t="shared" si="93"/>
        <v/>
      </c>
      <c r="AI128" s="21">
        <f t="shared" si="94"/>
        <v>0</v>
      </c>
      <c r="AJ128" s="58" t="str">
        <f t="shared" si="95"/>
        <v/>
      </c>
      <c r="AK128" s="31">
        <f t="shared" si="75"/>
        <v>0</v>
      </c>
      <c r="AL128" s="21">
        <f t="shared" si="76"/>
        <v>0</v>
      </c>
      <c r="AM128" s="62" t="str">
        <f t="shared" si="77"/>
        <v/>
      </c>
      <c r="AN128" s="21">
        <f t="shared" si="96"/>
        <v>0</v>
      </c>
      <c r="AO128" s="62" t="str">
        <f t="shared" si="97"/>
        <v/>
      </c>
      <c r="AP128" s="21">
        <f t="shared" si="78"/>
        <v>0</v>
      </c>
      <c r="AQ128" s="62" t="str">
        <f t="shared" si="98"/>
        <v/>
      </c>
      <c r="AR128" s="31">
        <f t="shared" si="79"/>
        <v>0</v>
      </c>
      <c r="AS128" s="21">
        <f t="shared" si="80"/>
        <v>0</v>
      </c>
      <c r="AT128" s="62" t="str">
        <f t="shared" si="99"/>
        <v/>
      </c>
      <c r="AU128" s="84">
        <f t="shared" si="100"/>
        <v>0</v>
      </c>
      <c r="AV128" s="32">
        <f t="shared" si="101"/>
        <v>0</v>
      </c>
      <c r="AW128" s="85" t="str">
        <f t="shared" si="102"/>
        <v/>
      </c>
      <c r="AX128" s="86" t="str">
        <f t="shared" si="106"/>
        <v/>
      </c>
    </row>
    <row r="129" spans="1:50" x14ac:dyDescent="0.2">
      <c r="A129" s="29" t="str">
        <f t="shared" si="107"/>
        <v/>
      </c>
      <c r="B129" s="32" t="str">
        <f t="shared" si="108"/>
        <v/>
      </c>
      <c r="C129" s="35"/>
      <c r="D129" s="33" t="str">
        <f t="shared" si="105"/>
        <v/>
      </c>
      <c r="E129" s="22" t="str">
        <f t="shared" si="103"/>
        <v/>
      </c>
      <c r="F129" s="23" t="str">
        <f t="shared" si="104"/>
        <v/>
      </c>
      <c r="G129" s="23"/>
      <c r="H129" s="22"/>
      <c r="I129" s="23"/>
      <c r="J129" s="18"/>
      <c r="K129" s="13" t="str">
        <f t="shared" si="81"/>
        <v/>
      </c>
      <c r="L129" s="28" t="str">
        <f t="shared" si="70"/>
        <v/>
      </c>
      <c r="M129" s="10" t="str">
        <f t="shared" si="82"/>
        <v/>
      </c>
      <c r="N129" s="17" t="str">
        <f t="shared" si="109"/>
        <v/>
      </c>
      <c r="O129" s="39" t="str">
        <f t="shared" si="83"/>
        <v/>
      </c>
      <c r="P129" s="41" t="str">
        <f t="shared" si="110"/>
        <v/>
      </c>
      <c r="Q129" s="9" t="str">
        <f t="shared" si="67"/>
        <v/>
      </c>
      <c r="R129" s="14">
        <f t="shared" si="71"/>
        <v>0</v>
      </c>
      <c r="S129" s="61" t="str">
        <f t="shared" si="68"/>
        <v/>
      </c>
      <c r="T129" s="14">
        <f t="shared" si="84"/>
        <v>0</v>
      </c>
      <c r="U129" s="58" t="str">
        <f t="shared" si="85"/>
        <v/>
      </c>
      <c r="V129" s="14">
        <f t="shared" si="72"/>
        <v>0</v>
      </c>
      <c r="W129" s="58" t="str">
        <f t="shared" si="86"/>
        <v/>
      </c>
      <c r="X129" s="14">
        <f t="shared" si="73"/>
        <v>0</v>
      </c>
      <c r="Y129" s="58" t="str">
        <f t="shared" si="87"/>
        <v/>
      </c>
      <c r="Z129" s="31">
        <f t="shared" si="74"/>
        <v>0</v>
      </c>
      <c r="AA129" s="21">
        <f t="shared" si="88"/>
        <v>0</v>
      </c>
      <c r="AB129" s="58" t="str">
        <f t="shared" si="89"/>
        <v/>
      </c>
      <c r="AC129" s="630">
        <f t="shared" si="69"/>
        <v>0</v>
      </c>
      <c r="AD129" s="627"/>
      <c r="AE129" s="21">
        <f t="shared" si="90"/>
        <v>0</v>
      </c>
      <c r="AF129" s="58" t="str">
        <f t="shared" si="91"/>
        <v/>
      </c>
      <c r="AG129" s="21">
        <f t="shared" si="92"/>
        <v>0</v>
      </c>
      <c r="AH129" s="58" t="str">
        <f t="shared" si="93"/>
        <v/>
      </c>
      <c r="AI129" s="21">
        <f t="shared" si="94"/>
        <v>0</v>
      </c>
      <c r="AJ129" s="58" t="str">
        <f t="shared" si="95"/>
        <v/>
      </c>
      <c r="AK129" s="31">
        <f t="shared" si="75"/>
        <v>0</v>
      </c>
      <c r="AL129" s="21">
        <f t="shared" si="76"/>
        <v>0</v>
      </c>
      <c r="AM129" s="62" t="str">
        <f t="shared" si="77"/>
        <v/>
      </c>
      <c r="AN129" s="21">
        <f t="shared" si="96"/>
        <v>0</v>
      </c>
      <c r="AO129" s="62" t="str">
        <f t="shared" si="97"/>
        <v/>
      </c>
      <c r="AP129" s="21">
        <f t="shared" si="78"/>
        <v>0</v>
      </c>
      <c r="AQ129" s="62" t="str">
        <f t="shared" si="98"/>
        <v/>
      </c>
      <c r="AR129" s="31">
        <f t="shared" si="79"/>
        <v>0</v>
      </c>
      <c r="AS129" s="21">
        <f t="shared" si="80"/>
        <v>0</v>
      </c>
      <c r="AT129" s="62" t="str">
        <f t="shared" si="99"/>
        <v/>
      </c>
      <c r="AU129" s="84">
        <f t="shared" si="100"/>
        <v>0</v>
      </c>
      <c r="AV129" s="32">
        <f t="shared" si="101"/>
        <v>0</v>
      </c>
      <c r="AW129" s="85" t="str">
        <f t="shared" si="102"/>
        <v/>
      </c>
      <c r="AX129" s="86" t="str">
        <f t="shared" si="106"/>
        <v/>
      </c>
    </row>
    <row r="130" spans="1:50" x14ac:dyDescent="0.2">
      <c r="A130" s="29" t="str">
        <f t="shared" si="107"/>
        <v/>
      </c>
      <c r="B130" s="32" t="str">
        <f t="shared" si="108"/>
        <v/>
      </c>
      <c r="C130" s="35"/>
      <c r="D130" s="33" t="str">
        <f t="shared" si="105"/>
        <v/>
      </c>
      <c r="E130" s="22" t="str">
        <f t="shared" si="103"/>
        <v/>
      </c>
      <c r="F130" s="23" t="str">
        <f t="shared" si="104"/>
        <v/>
      </c>
      <c r="G130" s="23"/>
      <c r="H130" s="22"/>
      <c r="I130" s="23"/>
      <c r="J130" s="18"/>
      <c r="K130" s="13" t="str">
        <f t="shared" si="81"/>
        <v/>
      </c>
      <c r="L130" s="28" t="str">
        <f t="shared" si="70"/>
        <v/>
      </c>
      <c r="M130" s="10" t="str">
        <f t="shared" si="82"/>
        <v/>
      </c>
      <c r="N130" s="17" t="str">
        <f t="shared" si="109"/>
        <v/>
      </c>
      <c r="O130" s="39" t="str">
        <f t="shared" si="83"/>
        <v/>
      </c>
      <c r="P130" s="41" t="str">
        <f t="shared" si="110"/>
        <v/>
      </c>
      <c r="Q130" s="9" t="str">
        <f t="shared" si="67"/>
        <v/>
      </c>
      <c r="R130" s="14">
        <f t="shared" si="71"/>
        <v>0</v>
      </c>
      <c r="S130" s="61" t="str">
        <f t="shared" si="68"/>
        <v/>
      </c>
      <c r="T130" s="14">
        <f t="shared" si="84"/>
        <v>0</v>
      </c>
      <c r="U130" s="58" t="str">
        <f t="shared" si="85"/>
        <v/>
      </c>
      <c r="V130" s="14">
        <f t="shared" si="72"/>
        <v>0</v>
      </c>
      <c r="W130" s="58" t="str">
        <f t="shared" si="86"/>
        <v/>
      </c>
      <c r="X130" s="14">
        <f t="shared" si="73"/>
        <v>0</v>
      </c>
      <c r="Y130" s="58" t="str">
        <f t="shared" si="87"/>
        <v/>
      </c>
      <c r="Z130" s="31">
        <f t="shared" si="74"/>
        <v>0</v>
      </c>
      <c r="AA130" s="21">
        <f t="shared" si="88"/>
        <v>0</v>
      </c>
      <c r="AB130" s="58" t="str">
        <f t="shared" si="89"/>
        <v/>
      </c>
      <c r="AC130" s="630">
        <f t="shared" si="69"/>
        <v>0</v>
      </c>
      <c r="AD130" s="627"/>
      <c r="AE130" s="21">
        <f t="shared" si="90"/>
        <v>0</v>
      </c>
      <c r="AF130" s="58" t="str">
        <f t="shared" si="91"/>
        <v/>
      </c>
      <c r="AG130" s="21">
        <f t="shared" si="92"/>
        <v>0</v>
      </c>
      <c r="AH130" s="58" t="str">
        <f t="shared" si="93"/>
        <v/>
      </c>
      <c r="AI130" s="21">
        <f t="shared" si="94"/>
        <v>0</v>
      </c>
      <c r="AJ130" s="58" t="str">
        <f t="shared" si="95"/>
        <v/>
      </c>
      <c r="AK130" s="31">
        <f t="shared" si="75"/>
        <v>0</v>
      </c>
      <c r="AL130" s="21">
        <f t="shared" si="76"/>
        <v>0</v>
      </c>
      <c r="AM130" s="62" t="str">
        <f t="shared" si="77"/>
        <v/>
      </c>
      <c r="AN130" s="21">
        <f t="shared" si="96"/>
        <v>0</v>
      </c>
      <c r="AO130" s="62" t="str">
        <f t="shared" si="97"/>
        <v/>
      </c>
      <c r="AP130" s="21">
        <f t="shared" si="78"/>
        <v>0</v>
      </c>
      <c r="AQ130" s="62" t="str">
        <f t="shared" si="98"/>
        <v/>
      </c>
      <c r="AR130" s="31">
        <f t="shared" si="79"/>
        <v>0</v>
      </c>
      <c r="AS130" s="21">
        <f t="shared" si="80"/>
        <v>0</v>
      </c>
      <c r="AT130" s="62" t="str">
        <f t="shared" si="99"/>
        <v/>
      </c>
      <c r="AU130" s="84">
        <f t="shared" si="100"/>
        <v>0</v>
      </c>
      <c r="AV130" s="32">
        <f t="shared" si="101"/>
        <v>0</v>
      </c>
      <c r="AW130" s="85" t="str">
        <f t="shared" si="102"/>
        <v/>
      </c>
      <c r="AX130" s="86" t="str">
        <f t="shared" si="106"/>
        <v/>
      </c>
    </row>
    <row r="131" spans="1:50" x14ac:dyDescent="0.2">
      <c r="A131" s="29" t="str">
        <f t="shared" si="107"/>
        <v/>
      </c>
      <c r="B131" s="32" t="str">
        <f t="shared" si="108"/>
        <v/>
      </c>
      <c r="C131" s="35"/>
      <c r="D131" s="33" t="str">
        <f t="shared" si="105"/>
        <v/>
      </c>
      <c r="E131" s="22" t="str">
        <f t="shared" si="103"/>
        <v/>
      </c>
      <c r="F131" s="23" t="str">
        <f t="shared" si="104"/>
        <v/>
      </c>
      <c r="G131" s="23"/>
      <c r="H131" s="22"/>
      <c r="I131" s="23"/>
      <c r="J131" s="18"/>
      <c r="K131" s="13" t="str">
        <f t="shared" si="81"/>
        <v/>
      </c>
      <c r="L131" s="28" t="str">
        <f t="shared" si="70"/>
        <v/>
      </c>
      <c r="M131" s="10" t="str">
        <f t="shared" si="82"/>
        <v/>
      </c>
      <c r="N131" s="17" t="str">
        <f t="shared" si="109"/>
        <v/>
      </c>
      <c r="O131" s="39" t="str">
        <f t="shared" si="83"/>
        <v/>
      </c>
      <c r="P131" s="41" t="str">
        <f t="shared" si="110"/>
        <v/>
      </c>
      <c r="Q131" s="9" t="str">
        <f t="shared" si="67"/>
        <v/>
      </c>
      <c r="R131" s="14">
        <f t="shared" si="71"/>
        <v>0</v>
      </c>
      <c r="S131" s="61" t="str">
        <f t="shared" si="68"/>
        <v/>
      </c>
      <c r="T131" s="14">
        <f t="shared" si="84"/>
        <v>0</v>
      </c>
      <c r="U131" s="58" t="str">
        <f t="shared" si="85"/>
        <v/>
      </c>
      <c r="V131" s="14">
        <f t="shared" si="72"/>
        <v>0</v>
      </c>
      <c r="W131" s="58" t="str">
        <f t="shared" si="86"/>
        <v/>
      </c>
      <c r="X131" s="14">
        <f t="shared" si="73"/>
        <v>0</v>
      </c>
      <c r="Y131" s="58" t="str">
        <f t="shared" si="87"/>
        <v/>
      </c>
      <c r="Z131" s="31">
        <f t="shared" si="74"/>
        <v>0</v>
      </c>
      <c r="AA131" s="21">
        <f t="shared" si="88"/>
        <v>0</v>
      </c>
      <c r="AB131" s="58" t="str">
        <f t="shared" si="89"/>
        <v/>
      </c>
      <c r="AC131" s="630">
        <f t="shared" si="69"/>
        <v>0</v>
      </c>
      <c r="AD131" s="627"/>
      <c r="AE131" s="21">
        <f t="shared" si="90"/>
        <v>0</v>
      </c>
      <c r="AF131" s="58" t="str">
        <f t="shared" si="91"/>
        <v/>
      </c>
      <c r="AG131" s="21">
        <f t="shared" si="92"/>
        <v>0</v>
      </c>
      <c r="AH131" s="58" t="str">
        <f t="shared" si="93"/>
        <v/>
      </c>
      <c r="AI131" s="21">
        <f t="shared" si="94"/>
        <v>0</v>
      </c>
      <c r="AJ131" s="58" t="str">
        <f t="shared" si="95"/>
        <v/>
      </c>
      <c r="AK131" s="31">
        <f t="shared" si="75"/>
        <v>0</v>
      </c>
      <c r="AL131" s="21">
        <f t="shared" si="76"/>
        <v>0</v>
      </c>
      <c r="AM131" s="62" t="str">
        <f t="shared" si="77"/>
        <v/>
      </c>
      <c r="AN131" s="21">
        <f t="shared" si="96"/>
        <v>0</v>
      </c>
      <c r="AO131" s="62" t="str">
        <f t="shared" si="97"/>
        <v/>
      </c>
      <c r="AP131" s="21">
        <f t="shared" si="78"/>
        <v>0</v>
      </c>
      <c r="AQ131" s="62" t="str">
        <f t="shared" si="98"/>
        <v/>
      </c>
      <c r="AR131" s="31">
        <f t="shared" si="79"/>
        <v>0</v>
      </c>
      <c r="AS131" s="21">
        <f t="shared" si="80"/>
        <v>0</v>
      </c>
      <c r="AT131" s="62" t="str">
        <f t="shared" si="99"/>
        <v/>
      </c>
      <c r="AU131" s="84">
        <f t="shared" si="100"/>
        <v>0</v>
      </c>
      <c r="AV131" s="32">
        <f t="shared" si="101"/>
        <v>0</v>
      </c>
      <c r="AW131" s="85" t="str">
        <f t="shared" si="102"/>
        <v/>
      </c>
      <c r="AX131" s="86" t="str">
        <f t="shared" si="106"/>
        <v/>
      </c>
    </row>
    <row r="132" spans="1:50" x14ac:dyDescent="0.2">
      <c r="A132" s="29" t="str">
        <f t="shared" si="107"/>
        <v/>
      </c>
      <c r="B132" s="32" t="str">
        <f t="shared" si="108"/>
        <v/>
      </c>
      <c r="C132" s="35"/>
      <c r="D132" s="33" t="str">
        <f t="shared" si="105"/>
        <v/>
      </c>
      <c r="E132" s="22" t="str">
        <f t="shared" si="103"/>
        <v/>
      </c>
      <c r="F132" s="23" t="str">
        <f t="shared" si="104"/>
        <v/>
      </c>
      <c r="G132" s="23"/>
      <c r="H132" s="22"/>
      <c r="I132" s="23"/>
      <c r="J132" s="18"/>
      <c r="K132" s="13" t="str">
        <f t="shared" si="81"/>
        <v/>
      </c>
      <c r="L132" s="28" t="str">
        <f t="shared" si="70"/>
        <v/>
      </c>
      <c r="M132" s="10" t="str">
        <f t="shared" si="82"/>
        <v/>
      </c>
      <c r="N132" s="17" t="str">
        <f t="shared" si="109"/>
        <v/>
      </c>
      <c r="O132" s="39" t="str">
        <f t="shared" si="83"/>
        <v/>
      </c>
      <c r="P132" s="41" t="str">
        <f t="shared" si="110"/>
        <v/>
      </c>
      <c r="Q132" s="9" t="str">
        <f t="shared" si="67"/>
        <v/>
      </c>
      <c r="R132" s="14">
        <f t="shared" si="71"/>
        <v>0</v>
      </c>
      <c r="S132" s="61" t="str">
        <f t="shared" si="68"/>
        <v/>
      </c>
      <c r="T132" s="14">
        <f t="shared" si="84"/>
        <v>0</v>
      </c>
      <c r="U132" s="58" t="str">
        <f t="shared" si="85"/>
        <v/>
      </c>
      <c r="V132" s="14">
        <f t="shared" si="72"/>
        <v>0</v>
      </c>
      <c r="W132" s="58" t="str">
        <f t="shared" si="86"/>
        <v/>
      </c>
      <c r="X132" s="14">
        <f t="shared" si="73"/>
        <v>0</v>
      </c>
      <c r="Y132" s="58" t="str">
        <f t="shared" si="87"/>
        <v/>
      </c>
      <c r="Z132" s="31">
        <f t="shared" si="74"/>
        <v>0</v>
      </c>
      <c r="AA132" s="21">
        <f t="shared" si="88"/>
        <v>0</v>
      </c>
      <c r="AB132" s="58" t="str">
        <f t="shared" si="89"/>
        <v/>
      </c>
      <c r="AC132" s="630">
        <f t="shared" si="69"/>
        <v>0</v>
      </c>
      <c r="AD132" s="627"/>
      <c r="AE132" s="21">
        <f t="shared" si="90"/>
        <v>0</v>
      </c>
      <c r="AF132" s="58" t="str">
        <f t="shared" si="91"/>
        <v/>
      </c>
      <c r="AG132" s="21">
        <f t="shared" si="92"/>
        <v>0</v>
      </c>
      <c r="AH132" s="58" t="str">
        <f t="shared" si="93"/>
        <v/>
      </c>
      <c r="AI132" s="21">
        <f t="shared" si="94"/>
        <v>0</v>
      </c>
      <c r="AJ132" s="58" t="str">
        <f t="shared" si="95"/>
        <v/>
      </c>
      <c r="AK132" s="31">
        <f t="shared" si="75"/>
        <v>0</v>
      </c>
      <c r="AL132" s="21">
        <f t="shared" si="76"/>
        <v>0</v>
      </c>
      <c r="AM132" s="62" t="str">
        <f t="shared" si="77"/>
        <v/>
      </c>
      <c r="AN132" s="21">
        <f t="shared" si="96"/>
        <v>0</v>
      </c>
      <c r="AO132" s="62" t="str">
        <f t="shared" si="97"/>
        <v/>
      </c>
      <c r="AP132" s="21">
        <f t="shared" si="78"/>
        <v>0</v>
      </c>
      <c r="AQ132" s="62" t="str">
        <f t="shared" si="98"/>
        <v/>
      </c>
      <c r="AR132" s="31">
        <f t="shared" si="79"/>
        <v>0</v>
      </c>
      <c r="AS132" s="21">
        <f t="shared" si="80"/>
        <v>0</v>
      </c>
      <c r="AT132" s="62" t="str">
        <f t="shared" si="99"/>
        <v/>
      </c>
      <c r="AU132" s="84">
        <f t="shared" si="100"/>
        <v>0</v>
      </c>
      <c r="AV132" s="32">
        <f t="shared" si="101"/>
        <v>0</v>
      </c>
      <c r="AW132" s="85" t="str">
        <f t="shared" si="102"/>
        <v/>
      </c>
      <c r="AX132" s="86" t="str">
        <f t="shared" si="106"/>
        <v/>
      </c>
    </row>
    <row r="133" spans="1:50" x14ac:dyDescent="0.2">
      <c r="A133" s="29" t="str">
        <f t="shared" si="107"/>
        <v/>
      </c>
      <c r="B133" s="32" t="str">
        <f t="shared" si="108"/>
        <v/>
      </c>
      <c r="C133" s="35"/>
      <c r="D133" s="33" t="str">
        <f t="shared" si="105"/>
        <v/>
      </c>
      <c r="E133" s="22" t="str">
        <f t="shared" si="103"/>
        <v/>
      </c>
      <c r="F133" s="23" t="str">
        <f t="shared" si="104"/>
        <v/>
      </c>
      <c r="G133" s="23"/>
      <c r="H133" s="22"/>
      <c r="I133" s="23"/>
      <c r="J133" s="18"/>
      <c r="K133" s="13" t="str">
        <f t="shared" si="81"/>
        <v/>
      </c>
      <c r="L133" s="28" t="str">
        <f t="shared" si="70"/>
        <v/>
      </c>
      <c r="M133" s="10" t="str">
        <f t="shared" si="82"/>
        <v/>
      </c>
      <c r="N133" s="17" t="str">
        <f t="shared" si="109"/>
        <v/>
      </c>
      <c r="O133" s="39" t="str">
        <f t="shared" si="83"/>
        <v/>
      </c>
      <c r="P133" s="41" t="str">
        <f t="shared" si="110"/>
        <v/>
      </c>
      <c r="Q133" s="9" t="str">
        <f t="shared" si="67"/>
        <v/>
      </c>
      <c r="R133" s="14">
        <f t="shared" si="71"/>
        <v>0</v>
      </c>
      <c r="S133" s="61" t="str">
        <f t="shared" si="68"/>
        <v/>
      </c>
      <c r="T133" s="14">
        <f t="shared" si="84"/>
        <v>0</v>
      </c>
      <c r="U133" s="58" t="str">
        <f t="shared" si="85"/>
        <v/>
      </c>
      <c r="V133" s="14">
        <f t="shared" si="72"/>
        <v>0</v>
      </c>
      <c r="W133" s="58" t="str">
        <f t="shared" si="86"/>
        <v/>
      </c>
      <c r="X133" s="14">
        <f t="shared" si="73"/>
        <v>0</v>
      </c>
      <c r="Y133" s="58" t="str">
        <f t="shared" si="87"/>
        <v/>
      </c>
      <c r="Z133" s="31">
        <f t="shared" si="74"/>
        <v>0</v>
      </c>
      <c r="AA133" s="21">
        <f t="shared" si="88"/>
        <v>0</v>
      </c>
      <c r="AB133" s="58" t="str">
        <f t="shared" si="89"/>
        <v/>
      </c>
      <c r="AC133" s="630">
        <f t="shared" si="69"/>
        <v>0</v>
      </c>
      <c r="AD133" s="627"/>
      <c r="AE133" s="21">
        <f t="shared" si="90"/>
        <v>0</v>
      </c>
      <c r="AF133" s="58" t="str">
        <f t="shared" si="91"/>
        <v/>
      </c>
      <c r="AG133" s="21">
        <f t="shared" si="92"/>
        <v>0</v>
      </c>
      <c r="AH133" s="58" t="str">
        <f t="shared" si="93"/>
        <v/>
      </c>
      <c r="AI133" s="21">
        <f t="shared" si="94"/>
        <v>0</v>
      </c>
      <c r="AJ133" s="58" t="str">
        <f t="shared" si="95"/>
        <v/>
      </c>
      <c r="AK133" s="31">
        <f t="shared" si="75"/>
        <v>0</v>
      </c>
      <c r="AL133" s="21">
        <f t="shared" si="76"/>
        <v>0</v>
      </c>
      <c r="AM133" s="62" t="str">
        <f t="shared" si="77"/>
        <v/>
      </c>
      <c r="AN133" s="21">
        <f t="shared" si="96"/>
        <v>0</v>
      </c>
      <c r="AO133" s="62" t="str">
        <f t="shared" si="97"/>
        <v/>
      </c>
      <c r="AP133" s="21">
        <f t="shared" si="78"/>
        <v>0</v>
      </c>
      <c r="AQ133" s="62" t="str">
        <f t="shared" si="98"/>
        <v/>
      </c>
      <c r="AR133" s="31">
        <f t="shared" si="79"/>
        <v>0</v>
      </c>
      <c r="AS133" s="21">
        <f t="shared" si="80"/>
        <v>0</v>
      </c>
      <c r="AT133" s="62" t="str">
        <f t="shared" si="99"/>
        <v/>
      </c>
      <c r="AU133" s="84">
        <f t="shared" si="100"/>
        <v>0</v>
      </c>
      <c r="AV133" s="32">
        <f t="shared" si="101"/>
        <v>0</v>
      </c>
      <c r="AW133" s="85" t="str">
        <f t="shared" si="102"/>
        <v/>
      </c>
      <c r="AX133" s="86" t="str">
        <f t="shared" si="106"/>
        <v/>
      </c>
    </row>
    <row r="134" spans="1:50" x14ac:dyDescent="0.2">
      <c r="A134" s="29" t="str">
        <f t="shared" si="107"/>
        <v/>
      </c>
      <c r="B134" s="32" t="str">
        <f t="shared" si="108"/>
        <v/>
      </c>
      <c r="C134" s="35"/>
      <c r="D134" s="33" t="str">
        <f t="shared" si="105"/>
        <v/>
      </c>
      <c r="E134" s="22" t="str">
        <f t="shared" si="103"/>
        <v/>
      </c>
      <c r="F134" s="23" t="str">
        <f t="shared" si="104"/>
        <v/>
      </c>
      <c r="G134" s="23"/>
      <c r="H134" s="22"/>
      <c r="I134" s="23"/>
      <c r="J134" s="18"/>
      <c r="K134" s="13" t="str">
        <f t="shared" si="81"/>
        <v/>
      </c>
      <c r="L134" s="28" t="str">
        <f t="shared" si="70"/>
        <v/>
      </c>
      <c r="M134" s="10" t="str">
        <f t="shared" si="82"/>
        <v/>
      </c>
      <c r="N134" s="17" t="str">
        <f t="shared" si="109"/>
        <v/>
      </c>
      <c r="O134" s="39" t="str">
        <f t="shared" si="83"/>
        <v/>
      </c>
      <c r="P134" s="41" t="str">
        <f t="shared" si="110"/>
        <v/>
      </c>
      <c r="Q134" s="9" t="str">
        <f t="shared" si="67"/>
        <v/>
      </c>
      <c r="R134" s="14">
        <f t="shared" si="71"/>
        <v>0</v>
      </c>
      <c r="S134" s="61" t="str">
        <f t="shared" si="68"/>
        <v/>
      </c>
      <c r="T134" s="14">
        <f t="shared" si="84"/>
        <v>0</v>
      </c>
      <c r="U134" s="58" t="str">
        <f t="shared" si="85"/>
        <v/>
      </c>
      <c r="V134" s="14">
        <f t="shared" si="72"/>
        <v>0</v>
      </c>
      <c r="W134" s="58" t="str">
        <f t="shared" si="86"/>
        <v/>
      </c>
      <c r="X134" s="14">
        <f t="shared" si="73"/>
        <v>0</v>
      </c>
      <c r="Y134" s="58" t="str">
        <f t="shared" si="87"/>
        <v/>
      </c>
      <c r="Z134" s="31">
        <f t="shared" si="74"/>
        <v>0</v>
      </c>
      <c r="AA134" s="21">
        <f t="shared" si="88"/>
        <v>0</v>
      </c>
      <c r="AB134" s="58" t="str">
        <f t="shared" si="89"/>
        <v/>
      </c>
      <c r="AC134" s="630">
        <f t="shared" si="69"/>
        <v>0</v>
      </c>
      <c r="AD134" s="627"/>
      <c r="AE134" s="21">
        <f t="shared" si="90"/>
        <v>0</v>
      </c>
      <c r="AF134" s="58" t="str">
        <f t="shared" si="91"/>
        <v/>
      </c>
      <c r="AG134" s="21">
        <f t="shared" si="92"/>
        <v>0</v>
      </c>
      <c r="AH134" s="58" t="str">
        <f t="shared" si="93"/>
        <v/>
      </c>
      <c r="AI134" s="21">
        <f t="shared" si="94"/>
        <v>0</v>
      </c>
      <c r="AJ134" s="58" t="str">
        <f t="shared" si="95"/>
        <v/>
      </c>
      <c r="AK134" s="31">
        <f t="shared" si="75"/>
        <v>0</v>
      </c>
      <c r="AL134" s="21">
        <f t="shared" si="76"/>
        <v>0</v>
      </c>
      <c r="AM134" s="62" t="str">
        <f t="shared" si="77"/>
        <v/>
      </c>
      <c r="AN134" s="21">
        <f t="shared" si="96"/>
        <v>0</v>
      </c>
      <c r="AO134" s="62" t="str">
        <f t="shared" si="97"/>
        <v/>
      </c>
      <c r="AP134" s="21">
        <f t="shared" si="78"/>
        <v>0</v>
      </c>
      <c r="AQ134" s="62" t="str">
        <f t="shared" si="98"/>
        <v/>
      </c>
      <c r="AR134" s="31">
        <f t="shared" si="79"/>
        <v>0</v>
      </c>
      <c r="AS134" s="21">
        <f t="shared" si="80"/>
        <v>0</v>
      </c>
      <c r="AT134" s="62" t="str">
        <f t="shared" si="99"/>
        <v/>
      </c>
      <c r="AU134" s="84">
        <f t="shared" si="100"/>
        <v>0</v>
      </c>
      <c r="AV134" s="32">
        <f t="shared" si="101"/>
        <v>0</v>
      </c>
      <c r="AW134" s="85" t="str">
        <f t="shared" si="102"/>
        <v/>
      </c>
      <c r="AX134" s="86" t="str">
        <f t="shared" si="106"/>
        <v/>
      </c>
    </row>
    <row r="135" spans="1:50" x14ac:dyDescent="0.2">
      <c r="A135" s="29" t="str">
        <f t="shared" si="107"/>
        <v/>
      </c>
      <c r="B135" s="32" t="str">
        <f t="shared" si="108"/>
        <v/>
      </c>
      <c r="C135" s="35"/>
      <c r="D135" s="33" t="str">
        <f t="shared" si="105"/>
        <v/>
      </c>
      <c r="E135" s="22" t="str">
        <f t="shared" si="103"/>
        <v/>
      </c>
      <c r="F135" s="23" t="str">
        <f t="shared" si="104"/>
        <v/>
      </c>
      <c r="G135" s="23"/>
      <c r="H135" s="22"/>
      <c r="I135" s="23"/>
      <c r="J135" s="18"/>
      <c r="K135" s="13" t="str">
        <f t="shared" si="81"/>
        <v/>
      </c>
      <c r="L135" s="28" t="str">
        <f t="shared" si="70"/>
        <v/>
      </c>
      <c r="M135" s="10" t="str">
        <f t="shared" si="82"/>
        <v/>
      </c>
      <c r="N135" s="17" t="str">
        <f t="shared" si="109"/>
        <v/>
      </c>
      <c r="O135" s="39" t="str">
        <f t="shared" si="83"/>
        <v/>
      </c>
      <c r="P135" s="41" t="str">
        <f t="shared" si="110"/>
        <v/>
      </c>
      <c r="Q135" s="9" t="str">
        <f t="shared" si="67"/>
        <v/>
      </c>
      <c r="R135" s="14">
        <f t="shared" si="71"/>
        <v>0</v>
      </c>
      <c r="S135" s="61" t="str">
        <f t="shared" si="68"/>
        <v/>
      </c>
      <c r="T135" s="14">
        <f t="shared" si="84"/>
        <v>0</v>
      </c>
      <c r="U135" s="58" t="str">
        <f t="shared" si="85"/>
        <v/>
      </c>
      <c r="V135" s="14">
        <f t="shared" si="72"/>
        <v>0</v>
      </c>
      <c r="W135" s="58" t="str">
        <f t="shared" si="86"/>
        <v/>
      </c>
      <c r="X135" s="14">
        <f t="shared" si="73"/>
        <v>0</v>
      </c>
      <c r="Y135" s="58" t="str">
        <f t="shared" si="87"/>
        <v/>
      </c>
      <c r="Z135" s="31">
        <f t="shared" si="74"/>
        <v>0</v>
      </c>
      <c r="AA135" s="21">
        <f t="shared" si="88"/>
        <v>0</v>
      </c>
      <c r="AB135" s="58" t="str">
        <f t="shared" si="89"/>
        <v/>
      </c>
      <c r="AC135" s="630">
        <f t="shared" si="69"/>
        <v>0</v>
      </c>
      <c r="AD135" s="627"/>
      <c r="AE135" s="21">
        <f t="shared" si="90"/>
        <v>0</v>
      </c>
      <c r="AF135" s="58" t="str">
        <f t="shared" si="91"/>
        <v/>
      </c>
      <c r="AG135" s="21">
        <f t="shared" si="92"/>
        <v>0</v>
      </c>
      <c r="AH135" s="58" t="str">
        <f t="shared" si="93"/>
        <v/>
      </c>
      <c r="AI135" s="21">
        <f t="shared" si="94"/>
        <v>0</v>
      </c>
      <c r="AJ135" s="58" t="str">
        <f t="shared" si="95"/>
        <v/>
      </c>
      <c r="AK135" s="31">
        <f t="shared" si="75"/>
        <v>0</v>
      </c>
      <c r="AL135" s="21">
        <f t="shared" si="76"/>
        <v>0</v>
      </c>
      <c r="AM135" s="62" t="str">
        <f t="shared" si="77"/>
        <v/>
      </c>
      <c r="AN135" s="21">
        <f t="shared" si="96"/>
        <v>0</v>
      </c>
      <c r="AO135" s="62" t="str">
        <f t="shared" si="97"/>
        <v/>
      </c>
      <c r="AP135" s="21">
        <f t="shared" si="78"/>
        <v>0</v>
      </c>
      <c r="AQ135" s="62" t="str">
        <f t="shared" si="98"/>
        <v/>
      </c>
      <c r="AR135" s="31">
        <f t="shared" si="79"/>
        <v>0</v>
      </c>
      <c r="AS135" s="21">
        <f t="shared" si="80"/>
        <v>0</v>
      </c>
      <c r="AT135" s="62" t="str">
        <f t="shared" si="99"/>
        <v/>
      </c>
      <c r="AU135" s="84">
        <f t="shared" si="100"/>
        <v>0</v>
      </c>
      <c r="AV135" s="32">
        <f t="shared" si="101"/>
        <v>0</v>
      </c>
      <c r="AW135" s="85" t="str">
        <f t="shared" si="102"/>
        <v/>
      </c>
      <c r="AX135" s="86" t="str">
        <f t="shared" si="106"/>
        <v/>
      </c>
    </row>
    <row r="136" spans="1:50" x14ac:dyDescent="0.2">
      <c r="A136" s="29" t="str">
        <f t="shared" si="107"/>
        <v/>
      </c>
      <c r="B136" s="32" t="str">
        <f t="shared" si="108"/>
        <v/>
      </c>
      <c r="C136" s="35"/>
      <c r="D136" s="33" t="str">
        <f t="shared" si="105"/>
        <v/>
      </c>
      <c r="E136" s="22" t="str">
        <f t="shared" si="103"/>
        <v/>
      </c>
      <c r="F136" s="23" t="str">
        <f t="shared" si="104"/>
        <v/>
      </c>
      <c r="G136" s="23"/>
      <c r="H136" s="22"/>
      <c r="I136" s="23"/>
      <c r="J136" s="18"/>
      <c r="K136" s="13" t="str">
        <f t="shared" si="81"/>
        <v/>
      </c>
      <c r="L136" s="28" t="str">
        <f t="shared" si="70"/>
        <v/>
      </c>
      <c r="M136" s="10" t="str">
        <f t="shared" si="82"/>
        <v/>
      </c>
      <c r="N136" s="17" t="str">
        <f t="shared" si="109"/>
        <v/>
      </c>
      <c r="O136" s="39" t="str">
        <f t="shared" si="83"/>
        <v/>
      </c>
      <c r="P136" s="41" t="str">
        <f t="shared" si="110"/>
        <v/>
      </c>
      <c r="Q136" s="9" t="str">
        <f t="shared" si="67"/>
        <v/>
      </c>
      <c r="R136" s="14">
        <f t="shared" si="71"/>
        <v>0</v>
      </c>
      <c r="S136" s="61" t="str">
        <f t="shared" si="68"/>
        <v/>
      </c>
      <c r="T136" s="14">
        <f t="shared" si="84"/>
        <v>0</v>
      </c>
      <c r="U136" s="58" t="str">
        <f t="shared" si="85"/>
        <v/>
      </c>
      <c r="V136" s="14">
        <f t="shared" si="72"/>
        <v>0</v>
      </c>
      <c r="W136" s="58" t="str">
        <f t="shared" si="86"/>
        <v/>
      </c>
      <c r="X136" s="14">
        <f t="shared" si="73"/>
        <v>0</v>
      </c>
      <c r="Y136" s="58" t="str">
        <f t="shared" si="87"/>
        <v/>
      </c>
      <c r="Z136" s="31">
        <f t="shared" si="74"/>
        <v>0</v>
      </c>
      <c r="AA136" s="21">
        <f t="shared" si="88"/>
        <v>0</v>
      </c>
      <c r="AB136" s="58" t="str">
        <f t="shared" si="89"/>
        <v/>
      </c>
      <c r="AC136" s="630">
        <f t="shared" si="69"/>
        <v>0</v>
      </c>
      <c r="AD136" s="627"/>
      <c r="AE136" s="21">
        <f t="shared" si="90"/>
        <v>0</v>
      </c>
      <c r="AF136" s="58" t="str">
        <f t="shared" si="91"/>
        <v/>
      </c>
      <c r="AG136" s="21">
        <f t="shared" si="92"/>
        <v>0</v>
      </c>
      <c r="AH136" s="58" t="str">
        <f t="shared" si="93"/>
        <v/>
      </c>
      <c r="AI136" s="21">
        <f t="shared" si="94"/>
        <v>0</v>
      </c>
      <c r="AJ136" s="58" t="str">
        <f t="shared" si="95"/>
        <v/>
      </c>
      <c r="AK136" s="31">
        <f t="shared" si="75"/>
        <v>0</v>
      </c>
      <c r="AL136" s="21">
        <f t="shared" si="76"/>
        <v>0</v>
      </c>
      <c r="AM136" s="62" t="str">
        <f t="shared" si="77"/>
        <v/>
      </c>
      <c r="AN136" s="21">
        <f t="shared" si="96"/>
        <v>0</v>
      </c>
      <c r="AO136" s="62" t="str">
        <f t="shared" si="97"/>
        <v/>
      </c>
      <c r="AP136" s="21">
        <f t="shared" si="78"/>
        <v>0</v>
      </c>
      <c r="AQ136" s="62" t="str">
        <f t="shared" si="98"/>
        <v/>
      </c>
      <c r="AR136" s="31">
        <f t="shared" si="79"/>
        <v>0</v>
      </c>
      <c r="AS136" s="21">
        <f t="shared" si="80"/>
        <v>0</v>
      </c>
      <c r="AT136" s="62" t="str">
        <f t="shared" si="99"/>
        <v/>
      </c>
      <c r="AU136" s="84">
        <f t="shared" si="100"/>
        <v>0</v>
      </c>
      <c r="AV136" s="32">
        <f t="shared" si="101"/>
        <v>0</v>
      </c>
      <c r="AW136" s="85" t="str">
        <f t="shared" si="102"/>
        <v/>
      </c>
      <c r="AX136" s="86" t="str">
        <f t="shared" si="106"/>
        <v/>
      </c>
    </row>
    <row r="137" spans="1:50" x14ac:dyDescent="0.2">
      <c r="A137" s="29" t="str">
        <f t="shared" si="107"/>
        <v/>
      </c>
      <c r="B137" s="32" t="str">
        <f t="shared" si="108"/>
        <v/>
      </c>
      <c r="C137" s="35"/>
      <c r="D137" s="33" t="str">
        <f t="shared" si="105"/>
        <v/>
      </c>
      <c r="E137" s="22" t="str">
        <f t="shared" si="103"/>
        <v/>
      </c>
      <c r="F137" s="23" t="str">
        <f t="shared" si="104"/>
        <v/>
      </c>
      <c r="G137" s="23"/>
      <c r="H137" s="22"/>
      <c r="I137" s="23"/>
      <c r="J137" s="18"/>
      <c r="K137" s="13" t="str">
        <f t="shared" si="81"/>
        <v/>
      </c>
      <c r="L137" s="28" t="str">
        <f t="shared" si="70"/>
        <v/>
      </c>
      <c r="M137" s="10" t="str">
        <f t="shared" si="82"/>
        <v/>
      </c>
      <c r="N137" s="17" t="str">
        <f t="shared" si="109"/>
        <v/>
      </c>
      <c r="O137" s="39" t="str">
        <f t="shared" si="83"/>
        <v/>
      </c>
      <c r="P137" s="41" t="str">
        <f t="shared" si="110"/>
        <v/>
      </c>
      <c r="Q137" s="9" t="str">
        <f t="shared" si="67"/>
        <v/>
      </c>
      <c r="R137" s="14">
        <f t="shared" si="71"/>
        <v>0</v>
      </c>
      <c r="S137" s="61" t="str">
        <f t="shared" si="68"/>
        <v/>
      </c>
      <c r="T137" s="14">
        <f t="shared" si="84"/>
        <v>0</v>
      </c>
      <c r="U137" s="58" t="str">
        <f t="shared" si="85"/>
        <v/>
      </c>
      <c r="V137" s="14">
        <f t="shared" si="72"/>
        <v>0</v>
      </c>
      <c r="W137" s="58" t="str">
        <f t="shared" si="86"/>
        <v/>
      </c>
      <c r="X137" s="14">
        <f t="shared" si="73"/>
        <v>0</v>
      </c>
      <c r="Y137" s="58" t="str">
        <f t="shared" si="87"/>
        <v/>
      </c>
      <c r="Z137" s="31">
        <f t="shared" si="74"/>
        <v>0</v>
      </c>
      <c r="AA137" s="21">
        <f t="shared" si="88"/>
        <v>0</v>
      </c>
      <c r="AB137" s="58" t="str">
        <f t="shared" si="89"/>
        <v/>
      </c>
      <c r="AC137" s="630">
        <f t="shared" si="69"/>
        <v>0</v>
      </c>
      <c r="AD137" s="627"/>
      <c r="AE137" s="21">
        <f t="shared" si="90"/>
        <v>0</v>
      </c>
      <c r="AF137" s="58" t="str">
        <f t="shared" si="91"/>
        <v/>
      </c>
      <c r="AG137" s="21">
        <f t="shared" si="92"/>
        <v>0</v>
      </c>
      <c r="AH137" s="58" t="str">
        <f t="shared" si="93"/>
        <v/>
      </c>
      <c r="AI137" s="21">
        <f t="shared" si="94"/>
        <v>0</v>
      </c>
      <c r="AJ137" s="58" t="str">
        <f t="shared" si="95"/>
        <v/>
      </c>
      <c r="AK137" s="31">
        <f t="shared" si="75"/>
        <v>0</v>
      </c>
      <c r="AL137" s="21">
        <f t="shared" si="76"/>
        <v>0</v>
      </c>
      <c r="AM137" s="62" t="str">
        <f t="shared" si="77"/>
        <v/>
      </c>
      <c r="AN137" s="21">
        <f t="shared" si="96"/>
        <v>0</v>
      </c>
      <c r="AO137" s="62" t="str">
        <f t="shared" si="97"/>
        <v/>
      </c>
      <c r="AP137" s="21">
        <f t="shared" si="78"/>
        <v>0</v>
      </c>
      <c r="AQ137" s="62" t="str">
        <f t="shared" si="98"/>
        <v/>
      </c>
      <c r="AR137" s="31">
        <f t="shared" si="79"/>
        <v>0</v>
      </c>
      <c r="AS137" s="21">
        <f t="shared" si="80"/>
        <v>0</v>
      </c>
      <c r="AT137" s="62" t="str">
        <f t="shared" si="99"/>
        <v/>
      </c>
      <c r="AU137" s="84">
        <f t="shared" si="100"/>
        <v>0</v>
      </c>
      <c r="AV137" s="32">
        <f t="shared" si="101"/>
        <v>0</v>
      </c>
      <c r="AW137" s="85" t="str">
        <f t="shared" si="102"/>
        <v/>
      </c>
      <c r="AX137" s="86" t="str">
        <f t="shared" si="106"/>
        <v/>
      </c>
    </row>
    <row r="138" spans="1:50" x14ac:dyDescent="0.2">
      <c r="A138" s="29" t="str">
        <f t="shared" si="107"/>
        <v/>
      </c>
      <c r="B138" s="32" t="str">
        <f t="shared" si="108"/>
        <v/>
      </c>
      <c r="C138" s="35"/>
      <c r="D138" s="33" t="str">
        <f t="shared" si="105"/>
        <v/>
      </c>
      <c r="E138" s="22" t="str">
        <f t="shared" si="103"/>
        <v/>
      </c>
      <c r="F138" s="23" t="str">
        <f t="shared" si="104"/>
        <v/>
      </c>
      <c r="G138" s="23"/>
      <c r="H138" s="22"/>
      <c r="I138" s="23"/>
      <c r="J138" s="18"/>
      <c r="K138" s="13" t="str">
        <f t="shared" si="81"/>
        <v/>
      </c>
      <c r="L138" s="28" t="str">
        <f t="shared" si="70"/>
        <v/>
      </c>
      <c r="M138" s="10" t="str">
        <f t="shared" si="82"/>
        <v/>
      </c>
      <c r="N138" s="17" t="str">
        <f t="shared" si="109"/>
        <v/>
      </c>
      <c r="O138" s="39" t="str">
        <f t="shared" si="83"/>
        <v/>
      </c>
      <c r="P138" s="41" t="str">
        <f t="shared" si="110"/>
        <v/>
      </c>
      <c r="Q138" s="9" t="str">
        <f t="shared" si="67"/>
        <v/>
      </c>
      <c r="R138" s="14">
        <f t="shared" si="71"/>
        <v>0</v>
      </c>
      <c r="S138" s="61" t="str">
        <f t="shared" si="68"/>
        <v/>
      </c>
      <c r="T138" s="14">
        <f t="shared" si="84"/>
        <v>0</v>
      </c>
      <c r="U138" s="58" t="str">
        <f t="shared" si="85"/>
        <v/>
      </c>
      <c r="V138" s="14">
        <f t="shared" si="72"/>
        <v>0</v>
      </c>
      <c r="W138" s="58" t="str">
        <f t="shared" si="86"/>
        <v/>
      </c>
      <c r="X138" s="14">
        <f t="shared" si="73"/>
        <v>0</v>
      </c>
      <c r="Y138" s="58" t="str">
        <f t="shared" si="87"/>
        <v/>
      </c>
      <c r="Z138" s="31">
        <f t="shared" si="74"/>
        <v>0</v>
      </c>
      <c r="AA138" s="21">
        <f t="shared" si="88"/>
        <v>0</v>
      </c>
      <c r="AB138" s="58" t="str">
        <f t="shared" si="89"/>
        <v/>
      </c>
      <c r="AC138" s="630">
        <f t="shared" si="69"/>
        <v>0</v>
      </c>
      <c r="AD138" s="627"/>
      <c r="AE138" s="21">
        <f t="shared" si="90"/>
        <v>0</v>
      </c>
      <c r="AF138" s="58" t="str">
        <f t="shared" si="91"/>
        <v/>
      </c>
      <c r="AG138" s="21">
        <f t="shared" si="92"/>
        <v>0</v>
      </c>
      <c r="AH138" s="58" t="str">
        <f t="shared" si="93"/>
        <v/>
      </c>
      <c r="AI138" s="21">
        <f t="shared" si="94"/>
        <v>0</v>
      </c>
      <c r="AJ138" s="58" t="str">
        <f t="shared" si="95"/>
        <v/>
      </c>
      <c r="AK138" s="31">
        <f t="shared" si="75"/>
        <v>0</v>
      </c>
      <c r="AL138" s="21">
        <f t="shared" si="76"/>
        <v>0</v>
      </c>
      <c r="AM138" s="62" t="str">
        <f t="shared" si="77"/>
        <v/>
      </c>
      <c r="AN138" s="21">
        <f t="shared" si="96"/>
        <v>0</v>
      </c>
      <c r="AO138" s="62" t="str">
        <f t="shared" si="97"/>
        <v/>
      </c>
      <c r="AP138" s="21">
        <f t="shared" si="78"/>
        <v>0</v>
      </c>
      <c r="AQ138" s="62" t="str">
        <f t="shared" si="98"/>
        <v/>
      </c>
      <c r="AR138" s="31">
        <f t="shared" si="79"/>
        <v>0</v>
      </c>
      <c r="AS138" s="21">
        <f t="shared" si="80"/>
        <v>0</v>
      </c>
      <c r="AT138" s="62" t="str">
        <f t="shared" si="99"/>
        <v/>
      </c>
      <c r="AU138" s="84">
        <f t="shared" si="100"/>
        <v>0</v>
      </c>
      <c r="AV138" s="32">
        <f t="shared" si="101"/>
        <v>0</v>
      </c>
      <c r="AW138" s="85" t="str">
        <f t="shared" si="102"/>
        <v/>
      </c>
      <c r="AX138" s="86" t="str">
        <f t="shared" si="106"/>
        <v/>
      </c>
    </row>
    <row r="139" spans="1:50" x14ac:dyDescent="0.2">
      <c r="A139" s="29" t="str">
        <f t="shared" si="107"/>
        <v/>
      </c>
      <c r="B139" s="32" t="str">
        <f t="shared" si="108"/>
        <v/>
      </c>
      <c r="C139" s="35"/>
      <c r="D139" s="33" t="str">
        <f t="shared" si="105"/>
        <v/>
      </c>
      <c r="E139" s="22" t="str">
        <f t="shared" si="103"/>
        <v/>
      </c>
      <c r="F139" s="23" t="str">
        <f t="shared" si="104"/>
        <v/>
      </c>
      <c r="G139" s="23"/>
      <c r="H139" s="22"/>
      <c r="I139" s="23"/>
      <c r="J139" s="18"/>
      <c r="K139" s="13" t="str">
        <f t="shared" si="81"/>
        <v/>
      </c>
      <c r="L139" s="28" t="str">
        <f t="shared" si="70"/>
        <v/>
      </c>
      <c r="M139" s="10" t="str">
        <f t="shared" si="82"/>
        <v/>
      </c>
      <c r="N139" s="17" t="str">
        <f t="shared" si="109"/>
        <v/>
      </c>
      <c r="O139" s="39" t="str">
        <f t="shared" si="83"/>
        <v/>
      </c>
      <c r="P139" s="41" t="str">
        <f t="shared" si="110"/>
        <v/>
      </c>
      <c r="Q139" s="9" t="str">
        <f t="shared" si="67"/>
        <v/>
      </c>
      <c r="R139" s="14">
        <f t="shared" si="71"/>
        <v>0</v>
      </c>
      <c r="S139" s="61" t="str">
        <f t="shared" si="68"/>
        <v/>
      </c>
      <c r="T139" s="14">
        <f t="shared" si="84"/>
        <v>0</v>
      </c>
      <c r="U139" s="58" t="str">
        <f t="shared" si="85"/>
        <v/>
      </c>
      <c r="V139" s="14">
        <f t="shared" si="72"/>
        <v>0</v>
      </c>
      <c r="W139" s="58" t="str">
        <f t="shared" si="86"/>
        <v/>
      </c>
      <c r="X139" s="14">
        <f t="shared" si="73"/>
        <v>0</v>
      </c>
      <c r="Y139" s="58" t="str">
        <f t="shared" si="87"/>
        <v/>
      </c>
      <c r="Z139" s="31">
        <f t="shared" si="74"/>
        <v>0</v>
      </c>
      <c r="AA139" s="21">
        <f t="shared" si="88"/>
        <v>0</v>
      </c>
      <c r="AB139" s="58" t="str">
        <f t="shared" si="89"/>
        <v/>
      </c>
      <c r="AC139" s="630">
        <f t="shared" si="69"/>
        <v>0</v>
      </c>
      <c r="AD139" s="627"/>
      <c r="AE139" s="21">
        <f t="shared" si="90"/>
        <v>0</v>
      </c>
      <c r="AF139" s="58" t="str">
        <f t="shared" si="91"/>
        <v/>
      </c>
      <c r="AG139" s="21">
        <f t="shared" si="92"/>
        <v>0</v>
      </c>
      <c r="AH139" s="58" t="str">
        <f t="shared" si="93"/>
        <v/>
      </c>
      <c r="AI139" s="21">
        <f t="shared" si="94"/>
        <v>0</v>
      </c>
      <c r="AJ139" s="58" t="str">
        <f t="shared" si="95"/>
        <v/>
      </c>
      <c r="AK139" s="31">
        <f t="shared" si="75"/>
        <v>0</v>
      </c>
      <c r="AL139" s="21">
        <f t="shared" si="76"/>
        <v>0</v>
      </c>
      <c r="AM139" s="62" t="str">
        <f t="shared" si="77"/>
        <v/>
      </c>
      <c r="AN139" s="21">
        <f t="shared" si="96"/>
        <v>0</v>
      </c>
      <c r="AO139" s="62" t="str">
        <f t="shared" si="97"/>
        <v/>
      </c>
      <c r="AP139" s="21">
        <f t="shared" si="78"/>
        <v>0</v>
      </c>
      <c r="AQ139" s="62" t="str">
        <f t="shared" si="98"/>
        <v/>
      </c>
      <c r="AR139" s="31">
        <f t="shared" si="79"/>
        <v>0</v>
      </c>
      <c r="AS139" s="21">
        <f t="shared" si="80"/>
        <v>0</v>
      </c>
      <c r="AT139" s="62" t="str">
        <f t="shared" si="99"/>
        <v/>
      </c>
      <c r="AU139" s="84">
        <f t="shared" si="100"/>
        <v>0</v>
      </c>
      <c r="AV139" s="32">
        <f t="shared" si="101"/>
        <v>0</v>
      </c>
      <c r="AW139" s="85" t="str">
        <f t="shared" si="102"/>
        <v/>
      </c>
      <c r="AX139" s="86" t="str">
        <f t="shared" si="106"/>
        <v/>
      </c>
    </row>
    <row r="140" spans="1:50" x14ac:dyDescent="0.2">
      <c r="A140" s="29" t="str">
        <f t="shared" si="107"/>
        <v/>
      </c>
      <c r="B140" s="32" t="str">
        <f t="shared" si="108"/>
        <v/>
      </c>
      <c r="C140" s="35"/>
      <c r="D140" s="33" t="str">
        <f t="shared" si="105"/>
        <v/>
      </c>
      <c r="E140" s="22" t="str">
        <f t="shared" si="103"/>
        <v/>
      </c>
      <c r="F140" s="23" t="str">
        <f t="shared" si="104"/>
        <v/>
      </c>
      <c r="G140" s="23"/>
      <c r="H140" s="22"/>
      <c r="I140" s="23"/>
      <c r="J140" s="18"/>
      <c r="K140" s="13" t="str">
        <f t="shared" si="81"/>
        <v/>
      </c>
      <c r="L140" s="28" t="str">
        <f t="shared" si="70"/>
        <v/>
      </c>
      <c r="M140" s="10" t="str">
        <f t="shared" si="82"/>
        <v/>
      </c>
      <c r="N140" s="17" t="str">
        <f t="shared" si="109"/>
        <v/>
      </c>
      <c r="O140" s="39" t="str">
        <f t="shared" si="83"/>
        <v/>
      </c>
      <c r="P140" s="41" t="str">
        <f t="shared" si="110"/>
        <v/>
      </c>
      <c r="Q140" s="9" t="str">
        <f t="shared" si="67"/>
        <v/>
      </c>
      <c r="R140" s="14">
        <f t="shared" si="71"/>
        <v>0</v>
      </c>
      <c r="S140" s="61" t="str">
        <f t="shared" si="68"/>
        <v/>
      </c>
      <c r="T140" s="14">
        <f t="shared" si="84"/>
        <v>0</v>
      </c>
      <c r="U140" s="58" t="str">
        <f t="shared" si="85"/>
        <v/>
      </c>
      <c r="V140" s="14">
        <f t="shared" si="72"/>
        <v>0</v>
      </c>
      <c r="W140" s="58" t="str">
        <f t="shared" si="86"/>
        <v/>
      </c>
      <c r="X140" s="14">
        <f t="shared" si="73"/>
        <v>0</v>
      </c>
      <c r="Y140" s="58" t="str">
        <f t="shared" si="87"/>
        <v/>
      </c>
      <c r="Z140" s="31">
        <f t="shared" si="74"/>
        <v>0</v>
      </c>
      <c r="AA140" s="21">
        <f t="shared" si="88"/>
        <v>0</v>
      </c>
      <c r="AB140" s="58" t="str">
        <f t="shared" si="89"/>
        <v/>
      </c>
      <c r="AC140" s="630">
        <f t="shared" si="69"/>
        <v>0</v>
      </c>
      <c r="AD140" s="627"/>
      <c r="AE140" s="21">
        <f t="shared" si="90"/>
        <v>0</v>
      </c>
      <c r="AF140" s="58" t="str">
        <f t="shared" si="91"/>
        <v/>
      </c>
      <c r="AG140" s="21">
        <f t="shared" si="92"/>
        <v>0</v>
      </c>
      <c r="AH140" s="58" t="str">
        <f t="shared" si="93"/>
        <v/>
      </c>
      <c r="AI140" s="21">
        <f t="shared" si="94"/>
        <v>0</v>
      </c>
      <c r="AJ140" s="58" t="str">
        <f t="shared" si="95"/>
        <v/>
      </c>
      <c r="AK140" s="31">
        <f t="shared" si="75"/>
        <v>0</v>
      </c>
      <c r="AL140" s="21">
        <f t="shared" si="76"/>
        <v>0</v>
      </c>
      <c r="AM140" s="62" t="str">
        <f t="shared" si="77"/>
        <v/>
      </c>
      <c r="AN140" s="21">
        <f t="shared" si="96"/>
        <v>0</v>
      </c>
      <c r="AO140" s="62" t="str">
        <f t="shared" si="97"/>
        <v/>
      </c>
      <c r="AP140" s="21">
        <f t="shared" si="78"/>
        <v>0</v>
      </c>
      <c r="AQ140" s="62" t="str">
        <f t="shared" si="98"/>
        <v/>
      </c>
      <c r="AR140" s="31">
        <f t="shared" si="79"/>
        <v>0</v>
      </c>
      <c r="AS140" s="21">
        <f t="shared" si="80"/>
        <v>0</v>
      </c>
      <c r="AT140" s="62" t="str">
        <f t="shared" si="99"/>
        <v/>
      </c>
      <c r="AU140" s="84">
        <f t="shared" si="100"/>
        <v>0</v>
      </c>
      <c r="AV140" s="32">
        <f t="shared" si="101"/>
        <v>0</v>
      </c>
      <c r="AW140" s="85" t="str">
        <f t="shared" si="102"/>
        <v/>
      </c>
      <c r="AX140" s="86" t="str">
        <f t="shared" si="106"/>
        <v/>
      </c>
    </row>
    <row r="141" spans="1:50" x14ac:dyDescent="0.2">
      <c r="A141" s="29" t="str">
        <f t="shared" si="107"/>
        <v/>
      </c>
      <c r="B141" s="32" t="str">
        <f t="shared" si="108"/>
        <v/>
      </c>
      <c r="C141" s="35"/>
      <c r="D141" s="33" t="str">
        <f t="shared" si="105"/>
        <v/>
      </c>
      <c r="E141" s="22" t="str">
        <f t="shared" si="103"/>
        <v/>
      </c>
      <c r="F141" s="23" t="str">
        <f t="shared" si="104"/>
        <v/>
      </c>
      <c r="G141" s="23"/>
      <c r="H141" s="22"/>
      <c r="I141" s="23"/>
      <c r="J141" s="18"/>
      <c r="K141" s="13" t="str">
        <f t="shared" si="81"/>
        <v/>
      </c>
      <c r="L141" s="28" t="str">
        <f t="shared" si="70"/>
        <v/>
      </c>
      <c r="M141" s="10" t="str">
        <f t="shared" si="82"/>
        <v/>
      </c>
      <c r="N141" s="17" t="str">
        <f t="shared" si="109"/>
        <v/>
      </c>
      <c r="O141" s="39" t="str">
        <f t="shared" si="83"/>
        <v/>
      </c>
      <c r="P141" s="41" t="str">
        <f t="shared" si="110"/>
        <v/>
      </c>
      <c r="Q141" s="9" t="str">
        <f t="shared" si="67"/>
        <v/>
      </c>
      <c r="R141" s="14">
        <f t="shared" si="71"/>
        <v>0</v>
      </c>
      <c r="S141" s="61" t="str">
        <f t="shared" si="68"/>
        <v/>
      </c>
      <c r="T141" s="14">
        <f t="shared" si="84"/>
        <v>0</v>
      </c>
      <c r="U141" s="58" t="str">
        <f t="shared" si="85"/>
        <v/>
      </c>
      <c r="V141" s="14">
        <f t="shared" si="72"/>
        <v>0</v>
      </c>
      <c r="W141" s="58" t="str">
        <f t="shared" si="86"/>
        <v/>
      </c>
      <c r="X141" s="14">
        <f t="shared" si="73"/>
        <v>0</v>
      </c>
      <c r="Y141" s="58" t="str">
        <f t="shared" si="87"/>
        <v/>
      </c>
      <c r="Z141" s="31">
        <f t="shared" si="74"/>
        <v>0</v>
      </c>
      <c r="AA141" s="21">
        <f t="shared" si="88"/>
        <v>0</v>
      </c>
      <c r="AB141" s="58" t="str">
        <f t="shared" si="89"/>
        <v/>
      </c>
      <c r="AC141" s="630">
        <f t="shared" si="69"/>
        <v>0</v>
      </c>
      <c r="AD141" s="627"/>
      <c r="AE141" s="21">
        <f t="shared" si="90"/>
        <v>0</v>
      </c>
      <c r="AF141" s="58" t="str">
        <f t="shared" si="91"/>
        <v/>
      </c>
      <c r="AG141" s="21">
        <f t="shared" si="92"/>
        <v>0</v>
      </c>
      <c r="AH141" s="58" t="str">
        <f t="shared" si="93"/>
        <v/>
      </c>
      <c r="AI141" s="21">
        <f t="shared" si="94"/>
        <v>0</v>
      </c>
      <c r="AJ141" s="58" t="str">
        <f t="shared" si="95"/>
        <v/>
      </c>
      <c r="AK141" s="31">
        <f t="shared" si="75"/>
        <v>0</v>
      </c>
      <c r="AL141" s="21">
        <f t="shared" si="76"/>
        <v>0</v>
      </c>
      <c r="AM141" s="62" t="str">
        <f t="shared" si="77"/>
        <v/>
      </c>
      <c r="AN141" s="21">
        <f t="shared" si="96"/>
        <v>0</v>
      </c>
      <c r="AO141" s="62" t="str">
        <f t="shared" si="97"/>
        <v/>
      </c>
      <c r="AP141" s="21">
        <f t="shared" si="78"/>
        <v>0</v>
      </c>
      <c r="AQ141" s="62" t="str">
        <f t="shared" si="98"/>
        <v/>
      </c>
      <c r="AR141" s="31">
        <f t="shared" si="79"/>
        <v>0</v>
      </c>
      <c r="AS141" s="21">
        <f t="shared" si="80"/>
        <v>0</v>
      </c>
      <c r="AT141" s="62" t="str">
        <f t="shared" si="99"/>
        <v/>
      </c>
      <c r="AU141" s="84">
        <f t="shared" si="100"/>
        <v>0</v>
      </c>
      <c r="AV141" s="32">
        <f t="shared" si="101"/>
        <v>0</v>
      </c>
      <c r="AW141" s="85" t="str">
        <f t="shared" si="102"/>
        <v/>
      </c>
      <c r="AX141" s="86" t="str">
        <f t="shared" si="106"/>
        <v/>
      </c>
    </row>
    <row r="142" spans="1:50" x14ac:dyDescent="0.2">
      <c r="A142" s="29" t="str">
        <f t="shared" si="107"/>
        <v/>
      </c>
      <c r="B142" s="32" t="str">
        <f t="shared" si="108"/>
        <v/>
      </c>
      <c r="C142" s="35"/>
      <c r="D142" s="33" t="str">
        <f t="shared" si="105"/>
        <v/>
      </c>
      <c r="E142" s="22" t="str">
        <f t="shared" si="103"/>
        <v/>
      </c>
      <c r="F142" s="23" t="str">
        <f t="shared" si="104"/>
        <v/>
      </c>
      <c r="G142" s="23"/>
      <c r="H142" s="22"/>
      <c r="I142" s="23"/>
      <c r="J142" s="18"/>
      <c r="K142" s="13" t="str">
        <f t="shared" si="81"/>
        <v/>
      </c>
      <c r="L142" s="28" t="str">
        <f t="shared" si="70"/>
        <v/>
      </c>
      <c r="M142" s="10" t="str">
        <f t="shared" si="82"/>
        <v/>
      </c>
      <c r="N142" s="17" t="str">
        <f t="shared" si="109"/>
        <v/>
      </c>
      <c r="O142" s="39" t="str">
        <f t="shared" si="83"/>
        <v/>
      </c>
      <c r="P142" s="41" t="str">
        <f t="shared" si="110"/>
        <v/>
      </c>
      <c r="Q142" s="9" t="str">
        <f t="shared" si="67"/>
        <v/>
      </c>
      <c r="R142" s="14">
        <f t="shared" si="71"/>
        <v>0</v>
      </c>
      <c r="S142" s="61" t="str">
        <f t="shared" si="68"/>
        <v/>
      </c>
      <c r="T142" s="14">
        <f t="shared" si="84"/>
        <v>0</v>
      </c>
      <c r="U142" s="58" t="str">
        <f t="shared" si="85"/>
        <v/>
      </c>
      <c r="V142" s="14">
        <f t="shared" si="72"/>
        <v>0</v>
      </c>
      <c r="W142" s="58" t="str">
        <f t="shared" si="86"/>
        <v/>
      </c>
      <c r="X142" s="14">
        <f t="shared" si="73"/>
        <v>0</v>
      </c>
      <c r="Y142" s="58" t="str">
        <f t="shared" si="87"/>
        <v/>
      </c>
      <c r="Z142" s="31">
        <f t="shared" si="74"/>
        <v>0</v>
      </c>
      <c r="AA142" s="21">
        <f t="shared" si="88"/>
        <v>0</v>
      </c>
      <c r="AB142" s="58" t="str">
        <f t="shared" si="89"/>
        <v/>
      </c>
      <c r="AC142" s="630">
        <f t="shared" si="69"/>
        <v>0</v>
      </c>
      <c r="AD142" s="627"/>
      <c r="AE142" s="21">
        <f t="shared" si="90"/>
        <v>0</v>
      </c>
      <c r="AF142" s="58" t="str">
        <f t="shared" si="91"/>
        <v/>
      </c>
      <c r="AG142" s="21">
        <f t="shared" si="92"/>
        <v>0</v>
      </c>
      <c r="AH142" s="58" t="str">
        <f t="shared" si="93"/>
        <v/>
      </c>
      <c r="AI142" s="21">
        <f t="shared" si="94"/>
        <v>0</v>
      </c>
      <c r="AJ142" s="58" t="str">
        <f t="shared" si="95"/>
        <v/>
      </c>
      <c r="AK142" s="31">
        <f t="shared" si="75"/>
        <v>0</v>
      </c>
      <c r="AL142" s="21">
        <f t="shared" si="76"/>
        <v>0</v>
      </c>
      <c r="AM142" s="62" t="str">
        <f t="shared" si="77"/>
        <v/>
      </c>
      <c r="AN142" s="21">
        <f t="shared" si="96"/>
        <v>0</v>
      </c>
      <c r="AO142" s="62" t="str">
        <f t="shared" si="97"/>
        <v/>
      </c>
      <c r="AP142" s="21">
        <f t="shared" si="78"/>
        <v>0</v>
      </c>
      <c r="AQ142" s="62" t="str">
        <f t="shared" si="98"/>
        <v/>
      </c>
      <c r="AR142" s="31">
        <f t="shared" si="79"/>
        <v>0</v>
      </c>
      <c r="AS142" s="21">
        <f t="shared" si="80"/>
        <v>0</v>
      </c>
      <c r="AT142" s="62" t="str">
        <f t="shared" si="99"/>
        <v/>
      </c>
      <c r="AU142" s="84">
        <f t="shared" si="100"/>
        <v>0</v>
      </c>
      <c r="AV142" s="32">
        <f t="shared" si="101"/>
        <v>0</v>
      </c>
      <c r="AW142" s="85" t="str">
        <f t="shared" si="102"/>
        <v/>
      </c>
      <c r="AX142" s="86" t="str">
        <f t="shared" si="106"/>
        <v/>
      </c>
    </row>
    <row r="143" spans="1:50" x14ac:dyDescent="0.2">
      <c r="A143" s="29" t="str">
        <f t="shared" si="107"/>
        <v/>
      </c>
      <c r="B143" s="32" t="str">
        <f t="shared" si="108"/>
        <v/>
      </c>
      <c r="C143" s="35"/>
      <c r="D143" s="33" t="str">
        <f t="shared" si="105"/>
        <v/>
      </c>
      <c r="E143" s="22" t="str">
        <f t="shared" si="103"/>
        <v/>
      </c>
      <c r="F143" s="23" t="str">
        <f t="shared" si="104"/>
        <v/>
      </c>
      <c r="G143" s="23"/>
      <c r="H143" s="22"/>
      <c r="I143" s="23"/>
      <c r="J143" s="18"/>
      <c r="K143" s="13" t="str">
        <f t="shared" si="81"/>
        <v/>
      </c>
      <c r="L143" s="28" t="str">
        <f t="shared" si="70"/>
        <v/>
      </c>
      <c r="M143" s="10" t="str">
        <f t="shared" si="82"/>
        <v/>
      </c>
      <c r="N143" s="17" t="str">
        <f t="shared" si="109"/>
        <v/>
      </c>
      <c r="O143" s="39" t="str">
        <f t="shared" si="83"/>
        <v/>
      </c>
      <c r="P143" s="41" t="str">
        <f t="shared" si="110"/>
        <v/>
      </c>
      <c r="Q143" s="9" t="str">
        <f t="shared" si="67"/>
        <v/>
      </c>
      <c r="R143" s="14">
        <f t="shared" si="71"/>
        <v>0</v>
      </c>
      <c r="S143" s="61" t="str">
        <f t="shared" si="68"/>
        <v/>
      </c>
      <c r="T143" s="14">
        <f t="shared" si="84"/>
        <v>0</v>
      </c>
      <c r="U143" s="58" t="str">
        <f t="shared" si="85"/>
        <v/>
      </c>
      <c r="V143" s="14">
        <f t="shared" si="72"/>
        <v>0</v>
      </c>
      <c r="W143" s="58" t="str">
        <f t="shared" si="86"/>
        <v/>
      </c>
      <c r="X143" s="14">
        <f t="shared" si="73"/>
        <v>0</v>
      </c>
      <c r="Y143" s="58" t="str">
        <f t="shared" si="87"/>
        <v/>
      </c>
      <c r="Z143" s="31">
        <f t="shared" si="74"/>
        <v>0</v>
      </c>
      <c r="AA143" s="21">
        <f t="shared" si="88"/>
        <v>0</v>
      </c>
      <c r="AB143" s="58" t="str">
        <f t="shared" si="89"/>
        <v/>
      </c>
      <c r="AC143" s="630">
        <f t="shared" si="69"/>
        <v>0</v>
      </c>
      <c r="AD143" s="627"/>
      <c r="AE143" s="21">
        <f t="shared" si="90"/>
        <v>0</v>
      </c>
      <c r="AF143" s="58" t="str">
        <f t="shared" si="91"/>
        <v/>
      </c>
      <c r="AG143" s="21">
        <f t="shared" si="92"/>
        <v>0</v>
      </c>
      <c r="AH143" s="58" t="str">
        <f t="shared" si="93"/>
        <v/>
      </c>
      <c r="AI143" s="21">
        <f t="shared" si="94"/>
        <v>0</v>
      </c>
      <c r="AJ143" s="58" t="str">
        <f t="shared" si="95"/>
        <v/>
      </c>
      <c r="AK143" s="31">
        <f t="shared" si="75"/>
        <v>0</v>
      </c>
      <c r="AL143" s="21">
        <f t="shared" si="76"/>
        <v>0</v>
      </c>
      <c r="AM143" s="62" t="str">
        <f t="shared" si="77"/>
        <v/>
      </c>
      <c r="AN143" s="21">
        <f t="shared" si="96"/>
        <v>0</v>
      </c>
      <c r="AO143" s="62" t="str">
        <f t="shared" si="97"/>
        <v/>
      </c>
      <c r="AP143" s="21">
        <f t="shared" si="78"/>
        <v>0</v>
      </c>
      <c r="AQ143" s="62" t="str">
        <f t="shared" si="98"/>
        <v/>
      </c>
      <c r="AR143" s="31">
        <f t="shared" si="79"/>
        <v>0</v>
      </c>
      <c r="AS143" s="21">
        <f t="shared" si="80"/>
        <v>0</v>
      </c>
      <c r="AT143" s="62" t="str">
        <f t="shared" si="99"/>
        <v/>
      </c>
      <c r="AU143" s="84">
        <f t="shared" si="100"/>
        <v>0</v>
      </c>
      <c r="AV143" s="32">
        <f t="shared" si="101"/>
        <v>0</v>
      </c>
      <c r="AW143" s="85" t="str">
        <f t="shared" si="102"/>
        <v/>
      </c>
      <c r="AX143" s="86" t="str">
        <f t="shared" si="106"/>
        <v/>
      </c>
    </row>
    <row r="144" spans="1:50" x14ac:dyDescent="0.2">
      <c r="A144" s="29" t="str">
        <f t="shared" si="107"/>
        <v/>
      </c>
      <c r="B144" s="32" t="str">
        <f t="shared" si="108"/>
        <v/>
      </c>
      <c r="C144" s="35"/>
      <c r="D144" s="33" t="str">
        <f t="shared" si="105"/>
        <v/>
      </c>
      <c r="E144" s="22" t="str">
        <f t="shared" si="103"/>
        <v/>
      </c>
      <c r="F144" s="23" t="str">
        <f t="shared" si="104"/>
        <v/>
      </c>
      <c r="G144" s="23"/>
      <c r="H144" s="22"/>
      <c r="I144" s="23"/>
      <c r="J144" s="18"/>
      <c r="K144" s="13" t="str">
        <f t="shared" si="81"/>
        <v/>
      </c>
      <c r="L144" s="28" t="str">
        <f t="shared" si="70"/>
        <v/>
      </c>
      <c r="M144" s="10" t="str">
        <f t="shared" si="82"/>
        <v/>
      </c>
      <c r="N144" s="17" t="str">
        <f t="shared" si="109"/>
        <v/>
      </c>
      <c r="O144" s="39" t="str">
        <f t="shared" si="83"/>
        <v/>
      </c>
      <c r="P144" s="41" t="str">
        <f t="shared" si="110"/>
        <v/>
      </c>
      <c r="Q144" s="9" t="str">
        <f t="shared" si="67"/>
        <v/>
      </c>
      <c r="R144" s="14">
        <f t="shared" si="71"/>
        <v>0</v>
      </c>
      <c r="S144" s="61" t="str">
        <f t="shared" si="68"/>
        <v/>
      </c>
      <c r="T144" s="14">
        <f t="shared" si="84"/>
        <v>0</v>
      </c>
      <c r="U144" s="58" t="str">
        <f t="shared" si="85"/>
        <v/>
      </c>
      <c r="V144" s="14">
        <f t="shared" si="72"/>
        <v>0</v>
      </c>
      <c r="W144" s="58" t="str">
        <f t="shared" si="86"/>
        <v/>
      </c>
      <c r="X144" s="14">
        <f t="shared" si="73"/>
        <v>0</v>
      </c>
      <c r="Y144" s="58" t="str">
        <f t="shared" si="87"/>
        <v/>
      </c>
      <c r="Z144" s="31">
        <f t="shared" si="74"/>
        <v>0</v>
      </c>
      <c r="AA144" s="21">
        <f t="shared" si="88"/>
        <v>0</v>
      </c>
      <c r="AB144" s="58" t="str">
        <f t="shared" si="89"/>
        <v/>
      </c>
      <c r="AC144" s="630">
        <f t="shared" si="69"/>
        <v>0</v>
      </c>
      <c r="AD144" s="627"/>
      <c r="AE144" s="21">
        <f t="shared" si="90"/>
        <v>0</v>
      </c>
      <c r="AF144" s="58" t="str">
        <f t="shared" si="91"/>
        <v/>
      </c>
      <c r="AG144" s="21">
        <f t="shared" si="92"/>
        <v>0</v>
      </c>
      <c r="AH144" s="58" t="str">
        <f t="shared" si="93"/>
        <v/>
      </c>
      <c r="AI144" s="21">
        <f t="shared" si="94"/>
        <v>0</v>
      </c>
      <c r="AJ144" s="58" t="str">
        <f t="shared" si="95"/>
        <v/>
      </c>
      <c r="AK144" s="31">
        <f t="shared" si="75"/>
        <v>0</v>
      </c>
      <c r="AL144" s="21">
        <f t="shared" si="76"/>
        <v>0</v>
      </c>
      <c r="AM144" s="62" t="str">
        <f t="shared" si="77"/>
        <v/>
      </c>
      <c r="AN144" s="21">
        <f t="shared" si="96"/>
        <v>0</v>
      </c>
      <c r="AO144" s="62" t="str">
        <f t="shared" si="97"/>
        <v/>
      </c>
      <c r="AP144" s="21">
        <f t="shared" si="78"/>
        <v>0</v>
      </c>
      <c r="AQ144" s="62" t="str">
        <f t="shared" si="98"/>
        <v/>
      </c>
      <c r="AR144" s="31">
        <f t="shared" si="79"/>
        <v>0</v>
      </c>
      <c r="AS144" s="21">
        <f t="shared" si="80"/>
        <v>0</v>
      </c>
      <c r="AT144" s="62" t="str">
        <f t="shared" si="99"/>
        <v/>
      </c>
      <c r="AU144" s="84">
        <f t="shared" si="100"/>
        <v>0</v>
      </c>
      <c r="AV144" s="32">
        <f t="shared" si="101"/>
        <v>0</v>
      </c>
      <c r="AW144" s="85" t="str">
        <f t="shared" si="102"/>
        <v/>
      </c>
      <c r="AX144" s="86" t="str">
        <f t="shared" si="106"/>
        <v/>
      </c>
    </row>
    <row r="145" spans="1:50" x14ac:dyDescent="0.2">
      <c r="A145" s="29" t="str">
        <f t="shared" si="107"/>
        <v/>
      </c>
      <c r="B145" s="32" t="str">
        <f t="shared" si="108"/>
        <v/>
      </c>
      <c r="C145" s="35"/>
      <c r="D145" s="33" t="str">
        <f t="shared" si="105"/>
        <v/>
      </c>
      <c r="E145" s="22" t="str">
        <f t="shared" si="103"/>
        <v/>
      </c>
      <c r="F145" s="23" t="str">
        <f t="shared" si="104"/>
        <v/>
      </c>
      <c r="G145" s="23"/>
      <c r="H145" s="22"/>
      <c r="I145" s="23"/>
      <c r="J145" s="18"/>
      <c r="K145" s="13" t="str">
        <f t="shared" si="81"/>
        <v/>
      </c>
      <c r="L145" s="28" t="str">
        <f t="shared" si="70"/>
        <v/>
      </c>
      <c r="M145" s="10" t="str">
        <f t="shared" si="82"/>
        <v/>
      </c>
      <c r="N145" s="17" t="str">
        <f t="shared" si="109"/>
        <v/>
      </c>
      <c r="O145" s="39" t="str">
        <f t="shared" si="83"/>
        <v/>
      </c>
      <c r="P145" s="41" t="str">
        <f t="shared" si="110"/>
        <v/>
      </c>
      <c r="Q145" s="9" t="str">
        <f t="shared" si="67"/>
        <v/>
      </c>
      <c r="R145" s="14">
        <f t="shared" si="71"/>
        <v>0</v>
      </c>
      <c r="S145" s="61" t="str">
        <f t="shared" si="68"/>
        <v/>
      </c>
      <c r="T145" s="14">
        <f t="shared" si="84"/>
        <v>0</v>
      </c>
      <c r="U145" s="58" t="str">
        <f t="shared" si="85"/>
        <v/>
      </c>
      <c r="V145" s="14">
        <f t="shared" si="72"/>
        <v>0</v>
      </c>
      <c r="W145" s="58" t="str">
        <f t="shared" si="86"/>
        <v/>
      </c>
      <c r="X145" s="14">
        <f t="shared" si="73"/>
        <v>0</v>
      </c>
      <c r="Y145" s="58" t="str">
        <f t="shared" si="87"/>
        <v/>
      </c>
      <c r="Z145" s="31">
        <f t="shared" si="74"/>
        <v>0</v>
      </c>
      <c r="AA145" s="21">
        <f t="shared" si="88"/>
        <v>0</v>
      </c>
      <c r="AB145" s="58" t="str">
        <f t="shared" si="89"/>
        <v/>
      </c>
      <c r="AC145" s="630">
        <f t="shared" si="69"/>
        <v>0</v>
      </c>
      <c r="AD145" s="627"/>
      <c r="AE145" s="21">
        <f t="shared" si="90"/>
        <v>0</v>
      </c>
      <c r="AF145" s="58" t="str">
        <f t="shared" si="91"/>
        <v/>
      </c>
      <c r="AG145" s="21">
        <f t="shared" si="92"/>
        <v>0</v>
      </c>
      <c r="AH145" s="58" t="str">
        <f t="shared" si="93"/>
        <v/>
      </c>
      <c r="AI145" s="21">
        <f t="shared" si="94"/>
        <v>0</v>
      </c>
      <c r="AJ145" s="58" t="str">
        <f t="shared" si="95"/>
        <v/>
      </c>
      <c r="AK145" s="31">
        <f t="shared" si="75"/>
        <v>0</v>
      </c>
      <c r="AL145" s="21">
        <f t="shared" si="76"/>
        <v>0</v>
      </c>
      <c r="AM145" s="62" t="str">
        <f t="shared" si="77"/>
        <v/>
      </c>
      <c r="AN145" s="21">
        <f t="shared" si="96"/>
        <v>0</v>
      </c>
      <c r="AO145" s="62" t="str">
        <f t="shared" si="97"/>
        <v/>
      </c>
      <c r="AP145" s="21">
        <f t="shared" si="78"/>
        <v>0</v>
      </c>
      <c r="AQ145" s="62" t="str">
        <f t="shared" si="98"/>
        <v/>
      </c>
      <c r="AR145" s="31">
        <f t="shared" si="79"/>
        <v>0</v>
      </c>
      <c r="AS145" s="21">
        <f t="shared" si="80"/>
        <v>0</v>
      </c>
      <c r="AT145" s="62" t="str">
        <f t="shared" si="99"/>
        <v/>
      </c>
      <c r="AU145" s="84">
        <f t="shared" si="100"/>
        <v>0</v>
      </c>
      <c r="AV145" s="32">
        <f t="shared" si="101"/>
        <v>0</v>
      </c>
      <c r="AW145" s="85" t="str">
        <f t="shared" si="102"/>
        <v/>
      </c>
      <c r="AX145" s="86" t="str">
        <f t="shared" si="106"/>
        <v/>
      </c>
    </row>
    <row r="146" spans="1:50" x14ac:dyDescent="0.2">
      <c r="A146" s="29" t="str">
        <f t="shared" si="107"/>
        <v/>
      </c>
      <c r="B146" s="32" t="str">
        <f t="shared" si="108"/>
        <v/>
      </c>
      <c r="C146" s="35"/>
      <c r="D146" s="33" t="str">
        <f t="shared" si="105"/>
        <v/>
      </c>
      <c r="E146" s="22" t="str">
        <f t="shared" si="103"/>
        <v/>
      </c>
      <c r="F146" s="23" t="str">
        <f t="shared" si="104"/>
        <v/>
      </c>
      <c r="G146" s="23"/>
      <c r="H146" s="22"/>
      <c r="I146" s="23"/>
      <c r="J146" s="18"/>
      <c r="K146" s="13" t="str">
        <f t="shared" si="81"/>
        <v/>
      </c>
      <c r="L146" s="28" t="str">
        <f t="shared" si="70"/>
        <v/>
      </c>
      <c r="M146" s="10" t="str">
        <f t="shared" si="82"/>
        <v/>
      </c>
      <c r="N146" s="17" t="str">
        <f t="shared" si="109"/>
        <v/>
      </c>
      <c r="O146" s="39" t="str">
        <f t="shared" si="83"/>
        <v/>
      </c>
      <c r="P146" s="41" t="str">
        <f t="shared" si="110"/>
        <v/>
      </c>
      <c r="Q146" s="9" t="str">
        <f t="shared" si="67"/>
        <v/>
      </c>
      <c r="R146" s="14">
        <f t="shared" si="71"/>
        <v>0</v>
      </c>
      <c r="S146" s="61" t="str">
        <f t="shared" si="68"/>
        <v/>
      </c>
      <c r="T146" s="14">
        <f t="shared" si="84"/>
        <v>0</v>
      </c>
      <c r="U146" s="58" t="str">
        <f t="shared" si="85"/>
        <v/>
      </c>
      <c r="V146" s="14">
        <f t="shared" si="72"/>
        <v>0</v>
      </c>
      <c r="W146" s="58" t="str">
        <f t="shared" si="86"/>
        <v/>
      </c>
      <c r="X146" s="14">
        <f t="shared" si="73"/>
        <v>0</v>
      </c>
      <c r="Y146" s="58" t="str">
        <f t="shared" si="87"/>
        <v/>
      </c>
      <c r="Z146" s="31">
        <f t="shared" si="74"/>
        <v>0</v>
      </c>
      <c r="AA146" s="21">
        <f t="shared" si="88"/>
        <v>0</v>
      </c>
      <c r="AB146" s="58" t="str">
        <f t="shared" si="89"/>
        <v/>
      </c>
      <c r="AC146" s="630">
        <f t="shared" si="69"/>
        <v>0</v>
      </c>
      <c r="AD146" s="627"/>
      <c r="AE146" s="21">
        <f t="shared" si="90"/>
        <v>0</v>
      </c>
      <c r="AF146" s="58" t="str">
        <f t="shared" si="91"/>
        <v/>
      </c>
      <c r="AG146" s="21">
        <f t="shared" si="92"/>
        <v>0</v>
      </c>
      <c r="AH146" s="58" t="str">
        <f t="shared" si="93"/>
        <v/>
      </c>
      <c r="AI146" s="21">
        <f t="shared" si="94"/>
        <v>0</v>
      </c>
      <c r="AJ146" s="58" t="str">
        <f t="shared" si="95"/>
        <v/>
      </c>
      <c r="AK146" s="31">
        <f t="shared" si="75"/>
        <v>0</v>
      </c>
      <c r="AL146" s="21">
        <f t="shared" si="76"/>
        <v>0</v>
      </c>
      <c r="AM146" s="62" t="str">
        <f t="shared" si="77"/>
        <v/>
      </c>
      <c r="AN146" s="21">
        <f t="shared" si="96"/>
        <v>0</v>
      </c>
      <c r="AO146" s="62" t="str">
        <f t="shared" si="97"/>
        <v/>
      </c>
      <c r="AP146" s="21">
        <f t="shared" si="78"/>
        <v>0</v>
      </c>
      <c r="AQ146" s="62" t="str">
        <f t="shared" si="98"/>
        <v/>
      </c>
      <c r="AR146" s="31">
        <f t="shared" si="79"/>
        <v>0</v>
      </c>
      <c r="AS146" s="21">
        <f t="shared" si="80"/>
        <v>0</v>
      </c>
      <c r="AT146" s="62" t="str">
        <f t="shared" si="99"/>
        <v/>
      </c>
      <c r="AU146" s="84">
        <f t="shared" si="100"/>
        <v>0</v>
      </c>
      <c r="AV146" s="32">
        <f t="shared" si="101"/>
        <v>0</v>
      </c>
      <c r="AW146" s="85" t="str">
        <f t="shared" si="102"/>
        <v/>
      </c>
      <c r="AX146" s="86" t="str">
        <f t="shared" si="106"/>
        <v/>
      </c>
    </row>
    <row r="147" spans="1:50" x14ac:dyDescent="0.2">
      <c r="A147" s="29" t="str">
        <f t="shared" si="107"/>
        <v/>
      </c>
      <c r="B147" s="32" t="str">
        <f t="shared" si="108"/>
        <v/>
      </c>
      <c r="C147" s="35"/>
      <c r="D147" s="33" t="str">
        <f t="shared" si="105"/>
        <v/>
      </c>
      <c r="E147" s="22" t="str">
        <f t="shared" si="103"/>
        <v/>
      </c>
      <c r="F147" s="23" t="str">
        <f t="shared" si="104"/>
        <v/>
      </c>
      <c r="G147" s="23"/>
      <c r="H147" s="22"/>
      <c r="I147" s="23"/>
      <c r="J147" s="18"/>
      <c r="K147" s="13" t="str">
        <f t="shared" si="81"/>
        <v/>
      </c>
      <c r="L147" s="28" t="str">
        <f t="shared" si="70"/>
        <v/>
      </c>
      <c r="M147" s="10" t="str">
        <f t="shared" si="82"/>
        <v/>
      </c>
      <c r="N147" s="17" t="str">
        <f t="shared" si="109"/>
        <v/>
      </c>
      <c r="O147" s="39" t="str">
        <f t="shared" si="83"/>
        <v/>
      </c>
      <c r="P147" s="41" t="str">
        <f t="shared" si="110"/>
        <v/>
      </c>
      <c r="Q147" s="9" t="str">
        <f t="shared" si="67"/>
        <v/>
      </c>
      <c r="R147" s="14">
        <f t="shared" si="71"/>
        <v>0</v>
      </c>
      <c r="S147" s="61" t="str">
        <f t="shared" si="68"/>
        <v/>
      </c>
      <c r="T147" s="14">
        <f t="shared" si="84"/>
        <v>0</v>
      </c>
      <c r="U147" s="58" t="str">
        <f t="shared" si="85"/>
        <v/>
      </c>
      <c r="V147" s="14">
        <f t="shared" si="72"/>
        <v>0</v>
      </c>
      <c r="W147" s="58" t="str">
        <f t="shared" si="86"/>
        <v/>
      </c>
      <c r="X147" s="14">
        <f t="shared" si="73"/>
        <v>0</v>
      </c>
      <c r="Y147" s="58" t="str">
        <f t="shared" si="87"/>
        <v/>
      </c>
      <c r="Z147" s="31">
        <f t="shared" si="74"/>
        <v>0</v>
      </c>
      <c r="AA147" s="21">
        <f t="shared" si="88"/>
        <v>0</v>
      </c>
      <c r="AB147" s="58" t="str">
        <f t="shared" si="89"/>
        <v/>
      </c>
      <c r="AC147" s="630">
        <f t="shared" si="69"/>
        <v>0</v>
      </c>
      <c r="AD147" s="627"/>
      <c r="AE147" s="21">
        <f t="shared" si="90"/>
        <v>0</v>
      </c>
      <c r="AF147" s="58" t="str">
        <f t="shared" si="91"/>
        <v/>
      </c>
      <c r="AG147" s="21">
        <f t="shared" si="92"/>
        <v>0</v>
      </c>
      <c r="AH147" s="58" t="str">
        <f t="shared" si="93"/>
        <v/>
      </c>
      <c r="AI147" s="21">
        <f t="shared" si="94"/>
        <v>0</v>
      </c>
      <c r="AJ147" s="58" t="str">
        <f t="shared" si="95"/>
        <v/>
      </c>
      <c r="AK147" s="31">
        <f t="shared" si="75"/>
        <v>0</v>
      </c>
      <c r="AL147" s="21">
        <f t="shared" si="76"/>
        <v>0</v>
      </c>
      <c r="AM147" s="62" t="str">
        <f t="shared" si="77"/>
        <v/>
      </c>
      <c r="AN147" s="21">
        <f t="shared" si="96"/>
        <v>0</v>
      </c>
      <c r="AO147" s="62" t="str">
        <f t="shared" si="97"/>
        <v/>
      </c>
      <c r="AP147" s="21">
        <f t="shared" si="78"/>
        <v>0</v>
      </c>
      <c r="AQ147" s="62" t="str">
        <f t="shared" si="98"/>
        <v/>
      </c>
      <c r="AR147" s="31">
        <f t="shared" si="79"/>
        <v>0</v>
      </c>
      <c r="AS147" s="21">
        <f t="shared" si="80"/>
        <v>0</v>
      </c>
      <c r="AT147" s="62" t="str">
        <f t="shared" si="99"/>
        <v/>
      </c>
      <c r="AU147" s="84">
        <f t="shared" si="100"/>
        <v>0</v>
      </c>
      <c r="AV147" s="32">
        <f t="shared" si="101"/>
        <v>0</v>
      </c>
      <c r="AW147" s="85" t="str">
        <f t="shared" si="102"/>
        <v/>
      </c>
      <c r="AX147" s="86" t="str">
        <f t="shared" si="106"/>
        <v/>
      </c>
    </row>
    <row r="148" spans="1:50" x14ac:dyDescent="0.2">
      <c r="A148" s="29" t="str">
        <f t="shared" si="107"/>
        <v/>
      </c>
      <c r="B148" s="32" t="str">
        <f t="shared" si="108"/>
        <v/>
      </c>
      <c r="C148" s="35"/>
      <c r="D148" s="33" t="str">
        <f t="shared" si="105"/>
        <v/>
      </c>
      <c r="E148" s="22" t="str">
        <f t="shared" si="103"/>
        <v/>
      </c>
      <c r="F148" s="23" t="str">
        <f t="shared" si="104"/>
        <v/>
      </c>
      <c r="G148" s="23"/>
      <c r="H148" s="22"/>
      <c r="I148" s="23"/>
      <c r="J148" s="18"/>
      <c r="K148" s="13" t="str">
        <f t="shared" si="81"/>
        <v/>
      </c>
      <c r="L148" s="28" t="str">
        <f t="shared" si="70"/>
        <v/>
      </c>
      <c r="M148" s="10" t="str">
        <f t="shared" si="82"/>
        <v/>
      </c>
      <c r="N148" s="17" t="str">
        <f t="shared" ref="N148:N166" si="111">IF(M148="","",IF($N$4="M",(A148+B148+Q148)*C148*0.022,(A148+B148+Q148)*C148*0.17))</f>
        <v/>
      </c>
      <c r="O148" s="39" t="str">
        <f t="shared" si="83"/>
        <v/>
      </c>
      <c r="P148" s="41" t="str">
        <f t="shared" ref="P148:P166" si="112">IF(O148="","",IF($N$4="M",IF(O148=1,(A148+B148+Q148)*C148*0.022*1.1,(A148+B148+Q148)*C148*0.022*1.15),IF(O148=1,(A148+B148+Q148)*C148*0.17*1.1,(A148+B148+Q148)*C148*0.17*1.15)))</f>
        <v/>
      </c>
      <c r="Q148" s="9" t="str">
        <f t="shared" ref="Q148:Q166" si="113">IF($N$4="M",IF(A148="","",IF(D148=1,50,IF(D148=2,100,IF(D148=21,100,IF(D148=3,200,0))))),IF(A148="","",IF(D148=1,2,IF(D148=2,4,IF(D148=21,4,IF(D148=3,8,0))))))</f>
        <v/>
      </c>
      <c r="R148" s="14">
        <f t="shared" si="71"/>
        <v>0</v>
      </c>
      <c r="S148" s="61" t="str">
        <f t="shared" si="68"/>
        <v/>
      </c>
      <c r="T148" s="14">
        <f t="shared" si="84"/>
        <v>0</v>
      </c>
      <c r="U148" s="58" t="str">
        <f t="shared" si="85"/>
        <v/>
      </c>
      <c r="V148" s="14">
        <f t="shared" si="72"/>
        <v>0</v>
      </c>
      <c r="W148" s="58" t="str">
        <f t="shared" si="86"/>
        <v/>
      </c>
      <c r="X148" s="14">
        <f t="shared" si="73"/>
        <v>0</v>
      </c>
      <c r="Y148" s="58" t="str">
        <f t="shared" si="87"/>
        <v/>
      </c>
      <c r="Z148" s="31">
        <f t="shared" si="74"/>
        <v>0</v>
      </c>
      <c r="AA148" s="21">
        <f t="shared" si="88"/>
        <v>0</v>
      </c>
      <c r="AB148" s="58" t="str">
        <f t="shared" si="89"/>
        <v/>
      </c>
      <c r="AC148" s="630">
        <f t="shared" si="69"/>
        <v>0</v>
      </c>
      <c r="AD148" s="627"/>
      <c r="AE148" s="21">
        <f t="shared" si="90"/>
        <v>0</v>
      </c>
      <c r="AF148" s="58" t="str">
        <f t="shared" si="91"/>
        <v/>
      </c>
      <c r="AG148" s="21">
        <f t="shared" si="92"/>
        <v>0</v>
      </c>
      <c r="AH148" s="58" t="str">
        <f t="shared" si="93"/>
        <v/>
      </c>
      <c r="AI148" s="21">
        <f t="shared" si="94"/>
        <v>0</v>
      </c>
      <c r="AJ148" s="58" t="str">
        <f t="shared" si="95"/>
        <v/>
      </c>
      <c r="AK148" s="31">
        <f t="shared" si="75"/>
        <v>0</v>
      </c>
      <c r="AL148" s="21">
        <f t="shared" si="76"/>
        <v>0</v>
      </c>
      <c r="AM148" s="62" t="str">
        <f t="shared" si="77"/>
        <v/>
      </c>
      <c r="AN148" s="21">
        <f t="shared" si="96"/>
        <v>0</v>
      </c>
      <c r="AO148" s="62" t="str">
        <f t="shared" si="97"/>
        <v/>
      </c>
      <c r="AP148" s="21">
        <f t="shared" si="78"/>
        <v>0</v>
      </c>
      <c r="AQ148" s="62" t="str">
        <f t="shared" si="98"/>
        <v/>
      </c>
      <c r="AR148" s="31">
        <f t="shared" si="79"/>
        <v>0</v>
      </c>
      <c r="AS148" s="21">
        <f t="shared" si="80"/>
        <v>0</v>
      </c>
      <c r="AT148" s="62" t="str">
        <f t="shared" si="99"/>
        <v/>
      </c>
      <c r="AU148" s="84">
        <f t="shared" si="100"/>
        <v>0</v>
      </c>
      <c r="AV148" s="32">
        <f t="shared" si="101"/>
        <v>0</v>
      </c>
      <c r="AW148" s="85" t="str">
        <f t="shared" si="102"/>
        <v/>
      </c>
      <c r="AX148" s="86" t="str">
        <f t="shared" si="106"/>
        <v/>
      </c>
    </row>
    <row r="149" spans="1:50" x14ac:dyDescent="0.2">
      <c r="A149" s="29" t="str">
        <f t="shared" si="107"/>
        <v/>
      </c>
      <c r="B149" s="32" t="str">
        <f t="shared" si="108"/>
        <v/>
      </c>
      <c r="C149" s="35"/>
      <c r="D149" s="33" t="str">
        <f t="shared" si="105"/>
        <v/>
      </c>
      <c r="E149" s="22" t="str">
        <f t="shared" si="103"/>
        <v/>
      </c>
      <c r="F149" s="23" t="str">
        <f t="shared" si="104"/>
        <v/>
      </c>
      <c r="G149" s="23"/>
      <c r="H149" s="22"/>
      <c r="I149" s="23"/>
      <c r="J149" s="18"/>
      <c r="K149" s="13" t="str">
        <f t="shared" si="81"/>
        <v/>
      </c>
      <c r="L149" s="28" t="str">
        <f t="shared" si="70"/>
        <v/>
      </c>
      <c r="M149" s="10" t="str">
        <f t="shared" si="82"/>
        <v/>
      </c>
      <c r="N149" s="17" t="str">
        <f t="shared" si="111"/>
        <v/>
      </c>
      <c r="O149" s="39" t="str">
        <f t="shared" si="83"/>
        <v/>
      </c>
      <c r="P149" s="41" t="str">
        <f t="shared" si="112"/>
        <v/>
      </c>
      <c r="Q149" s="9" t="str">
        <f t="shared" si="113"/>
        <v/>
      </c>
      <c r="R149" s="14">
        <f t="shared" si="71"/>
        <v>0</v>
      </c>
      <c r="S149" s="61" t="str">
        <f t="shared" ref="S149:S166" si="114">IF(A149="","",IF($N$4="M",A149*B149*0.000011111*R149*1.5,A149*B149/144*R149*1.5))</f>
        <v/>
      </c>
      <c r="T149" s="14">
        <f t="shared" si="84"/>
        <v>0</v>
      </c>
      <c r="U149" s="58" t="str">
        <f t="shared" si="85"/>
        <v/>
      </c>
      <c r="V149" s="14">
        <f t="shared" si="72"/>
        <v>0</v>
      </c>
      <c r="W149" s="58" t="str">
        <f t="shared" si="86"/>
        <v/>
      </c>
      <c r="X149" s="14">
        <f t="shared" si="73"/>
        <v>0</v>
      </c>
      <c r="Y149" s="58" t="str">
        <f t="shared" si="87"/>
        <v/>
      </c>
      <c r="Z149" s="31">
        <f t="shared" si="74"/>
        <v>0</v>
      </c>
      <c r="AA149" s="21">
        <f t="shared" si="88"/>
        <v>0</v>
      </c>
      <c r="AB149" s="58" t="str">
        <f t="shared" si="89"/>
        <v/>
      </c>
      <c r="AC149" s="630">
        <f t="shared" ref="AC149:AC212" si="115">COUNTIF(G149:J149,100)</f>
        <v>0</v>
      </c>
      <c r="AD149" s="627"/>
      <c r="AE149" s="21">
        <f t="shared" si="90"/>
        <v>0</v>
      </c>
      <c r="AF149" s="58" t="str">
        <f t="shared" si="91"/>
        <v/>
      </c>
      <c r="AG149" s="21">
        <f t="shared" si="92"/>
        <v>0</v>
      </c>
      <c r="AH149" s="58" t="str">
        <f t="shared" si="93"/>
        <v/>
      </c>
      <c r="AI149" s="21">
        <f t="shared" si="94"/>
        <v>0</v>
      </c>
      <c r="AJ149" s="58" t="str">
        <f t="shared" si="95"/>
        <v/>
      </c>
      <c r="AK149" s="31">
        <f t="shared" si="75"/>
        <v>0</v>
      </c>
      <c r="AL149" s="21">
        <f t="shared" si="76"/>
        <v>0</v>
      </c>
      <c r="AM149" s="62" t="str">
        <f t="shared" si="77"/>
        <v/>
      </c>
      <c r="AN149" s="21">
        <f t="shared" si="96"/>
        <v>0</v>
      </c>
      <c r="AO149" s="62" t="str">
        <f t="shared" si="97"/>
        <v/>
      </c>
      <c r="AP149" s="21">
        <f t="shared" si="78"/>
        <v>0</v>
      </c>
      <c r="AQ149" s="62" t="str">
        <f t="shared" si="98"/>
        <v/>
      </c>
      <c r="AR149" s="31">
        <f t="shared" si="79"/>
        <v>0</v>
      </c>
      <c r="AS149" s="21">
        <f t="shared" si="80"/>
        <v>0</v>
      </c>
      <c r="AT149" s="62" t="str">
        <f t="shared" si="99"/>
        <v/>
      </c>
      <c r="AU149" s="84">
        <f t="shared" si="100"/>
        <v>0</v>
      </c>
      <c r="AV149" s="32">
        <f t="shared" si="101"/>
        <v>0</v>
      </c>
      <c r="AW149" s="85" t="str">
        <f t="shared" si="102"/>
        <v/>
      </c>
      <c r="AX149" s="86" t="str">
        <f t="shared" si="106"/>
        <v/>
      </c>
    </row>
    <row r="150" spans="1:50" x14ac:dyDescent="0.2">
      <c r="A150" s="29" t="str">
        <f t="shared" si="107"/>
        <v/>
      </c>
      <c r="B150" s="32" t="str">
        <f t="shared" si="108"/>
        <v/>
      </c>
      <c r="C150" s="35"/>
      <c r="D150" s="33" t="str">
        <f t="shared" si="105"/>
        <v/>
      </c>
      <c r="E150" s="22" t="str">
        <f t="shared" si="103"/>
        <v/>
      </c>
      <c r="F150" s="23" t="str">
        <f t="shared" si="104"/>
        <v/>
      </c>
      <c r="G150" s="23"/>
      <c r="H150" s="22"/>
      <c r="I150" s="23"/>
      <c r="J150" s="18"/>
      <c r="K150" s="40" t="str">
        <f t="shared" ref="K150:K166" si="116">IF($N$4="M",IF(A150="","",IF(D150=6,16,IF(A150&lt;=$M$5,26,IF(A150&lt;=$M$6,24,IF(A150&lt;=$M$7,22,IF(A150&lt;=$M$8,20,18)))))),IF(A150="","",IF(D150=6,16,IF(A150&lt;=$P$5,26,IF(A150&lt;=$P$6,24,IF(A150&lt;=$P$7,22,IF(A150&lt;=$P$8,20,18)))))))</f>
        <v/>
      </c>
      <c r="L150" s="28" t="str">
        <f t="shared" ref="L150:L213" si="117">IF($N$4="M",IF(A150="","",IF(K150=26,(A150+B150+Q150)*C150*0.02739,IF(K150=24,(A150+B150+Q150)*C150*0.02739,IF(K150=22,(A150+B150+Q150)*C150*0.0333,IF(K150=20,(A150+B150+Q150)*C150*0.0393,IF(K150=18,(A150+B150+Q150)*C150*0.0511,IF(K150=16,(A150+B150+Q150)*C150*0.0628))))))),IF(A150="","",IF(K150=26,(A150+B150+Q150)*C150*0.211,IF(K150=24,(A150+B150+Q150)*C150*0.211,IF(K150=22,(A150+B150+Q150)*C150*0.258,IF(K150=20,(A150+B150+Q150)*C150*0.304,IF(K150=18,(A150+B150+Q150)*C150*0.395,IF(K150=16,(A150+B150+Q150)*C150*0.487))))))))</f>
        <v/>
      </c>
      <c r="M150" s="10" t="str">
        <f t="shared" si="82"/>
        <v/>
      </c>
      <c r="N150" s="17" t="str">
        <f t="shared" si="111"/>
        <v/>
      </c>
      <c r="O150" s="33" t="str">
        <f t="shared" ref="O150:O166" si="118">IF(D150=4,1,IF(D150=5,2,""))</f>
        <v/>
      </c>
      <c r="P150" s="41" t="str">
        <f t="shared" si="112"/>
        <v/>
      </c>
      <c r="Q150" s="9" t="str">
        <f t="shared" si="113"/>
        <v/>
      </c>
      <c r="R150" s="14">
        <f t="shared" ref="R150:R166" si="119">COUNTIF(G150:J150,7)</f>
        <v>0</v>
      </c>
      <c r="S150" s="61" t="str">
        <f t="shared" si="114"/>
        <v/>
      </c>
      <c r="T150" s="14">
        <f t="shared" si="84"/>
        <v>0</v>
      </c>
      <c r="U150" s="58" t="str">
        <f t="shared" si="85"/>
        <v/>
      </c>
      <c r="V150" s="14">
        <f t="shared" ref="V150:V166" si="120">COUNTIF(G150:J150,8)</f>
        <v>0</v>
      </c>
      <c r="W150" s="58" t="str">
        <f t="shared" si="86"/>
        <v/>
      </c>
      <c r="X150" s="14">
        <f t="shared" ref="X150:X166" si="121">COUNTIF(G150:J150,81)</f>
        <v>0</v>
      </c>
      <c r="Y150" s="58" t="str">
        <f t="shared" si="87"/>
        <v/>
      </c>
      <c r="Z150" s="31">
        <f t="shared" ref="Z150:Z166" si="122">COUNTIF(G150:J150,9)</f>
        <v>0</v>
      </c>
      <c r="AA150" s="21">
        <f t="shared" si="88"/>
        <v>0</v>
      </c>
      <c r="AB150" s="58" t="str">
        <f t="shared" si="89"/>
        <v/>
      </c>
      <c r="AC150" s="630">
        <f t="shared" si="115"/>
        <v>0</v>
      </c>
      <c r="AD150" s="627"/>
      <c r="AE150" s="21">
        <f t="shared" si="90"/>
        <v>0</v>
      </c>
      <c r="AF150" s="58" t="str">
        <f t="shared" si="91"/>
        <v/>
      </c>
      <c r="AG150" s="21">
        <f t="shared" si="92"/>
        <v>0</v>
      </c>
      <c r="AH150" s="58" t="str">
        <f t="shared" si="93"/>
        <v/>
      </c>
      <c r="AI150" s="21">
        <f t="shared" si="94"/>
        <v>0</v>
      </c>
      <c r="AJ150" s="58" t="str">
        <f t="shared" si="95"/>
        <v/>
      </c>
      <c r="AK150" s="31">
        <f t="shared" ref="AK150:AK166" si="123">COUNTIF(G150:J150,13)</f>
        <v>0</v>
      </c>
      <c r="AL150" s="21">
        <f t="shared" ref="AL150:AL166" si="124">COUNTIF(G150:J150,131)</f>
        <v>0</v>
      </c>
      <c r="AM150" s="62" t="str">
        <f t="shared" ref="AM150:AM166" si="125">IF(A150="","",IF($N$4="M",A150*B150*0.000011111*AL150,A150*B150/144*AL150))</f>
        <v/>
      </c>
      <c r="AN150" s="21">
        <f t="shared" si="96"/>
        <v>0</v>
      </c>
      <c r="AO150" s="62" t="str">
        <f t="shared" si="97"/>
        <v/>
      </c>
      <c r="AP150" s="21">
        <f t="shared" ref="AP150:AP166" si="126">COUNTIF(G150:J150,141)</f>
        <v>0</v>
      </c>
      <c r="AQ150" s="62" t="str">
        <f t="shared" si="98"/>
        <v/>
      </c>
      <c r="AR150" s="31">
        <f t="shared" ref="AR150:AR166" si="127">COUNTIF(G150:J150,15)</f>
        <v>0</v>
      </c>
      <c r="AS150" s="21">
        <f t="shared" ref="AS150:AS166" si="128">COUNTIF(G150:J150,16)</f>
        <v>0</v>
      </c>
      <c r="AT150" s="62" t="str">
        <f t="shared" si="99"/>
        <v/>
      </c>
      <c r="AU150" s="84">
        <f t="shared" si="100"/>
        <v>0</v>
      </c>
      <c r="AV150" s="32">
        <f t="shared" si="101"/>
        <v>0</v>
      </c>
      <c r="AW150" s="85" t="str">
        <f t="shared" si="102"/>
        <v/>
      </c>
      <c r="AX150" s="86" t="str">
        <f t="shared" si="106"/>
        <v/>
      </c>
    </row>
    <row r="151" spans="1:50" x14ac:dyDescent="0.2">
      <c r="A151" s="29" t="str">
        <f t="shared" si="107"/>
        <v/>
      </c>
      <c r="B151" s="32" t="str">
        <f t="shared" si="108"/>
        <v/>
      </c>
      <c r="C151" s="35"/>
      <c r="D151" s="33" t="str">
        <f t="shared" si="105"/>
        <v/>
      </c>
      <c r="E151" s="22" t="str">
        <f t="shared" si="103"/>
        <v/>
      </c>
      <c r="F151" s="23" t="str">
        <f t="shared" si="104"/>
        <v/>
      </c>
      <c r="G151" s="23"/>
      <c r="H151" s="22"/>
      <c r="I151" s="23"/>
      <c r="J151" s="18"/>
      <c r="K151" s="13" t="str">
        <f t="shared" si="116"/>
        <v/>
      </c>
      <c r="L151" s="28" t="str">
        <f t="shared" si="117"/>
        <v/>
      </c>
      <c r="M151" s="10" t="str">
        <f t="shared" ref="M151:M166" si="129">IF(D151=1,0.5,IF(D151=2,"1 F",IF(D151=21,"1 R",IF(D151=3,2,""))))</f>
        <v/>
      </c>
      <c r="N151" s="17" t="str">
        <f t="shared" si="111"/>
        <v/>
      </c>
      <c r="O151" s="39" t="str">
        <f t="shared" si="118"/>
        <v/>
      </c>
      <c r="P151" s="41" t="str">
        <f t="shared" si="112"/>
        <v/>
      </c>
      <c r="Q151" s="9" t="str">
        <f t="shared" si="113"/>
        <v/>
      </c>
      <c r="R151" s="14">
        <f t="shared" si="119"/>
        <v>0</v>
      </c>
      <c r="S151" s="61" t="str">
        <f t="shared" si="114"/>
        <v/>
      </c>
      <c r="T151" s="14">
        <f t="shared" ref="T151:T166" si="130">COUNTIF(G151:J151,71)</f>
        <v>0</v>
      </c>
      <c r="U151" s="58" t="str">
        <f t="shared" ref="U151:U166" si="131">IF(A151="","",IF($N$4="M",A151*B151*0.000011111*T151*1.5,A151*B151/144*T151*1.5))</f>
        <v/>
      </c>
      <c r="V151" s="14">
        <f t="shared" si="120"/>
        <v>0</v>
      </c>
      <c r="W151" s="58" t="str">
        <f t="shared" ref="W151:W166" si="132">IF(A151="","",IF($N$4="M",(A151+B151)*2*0.0032808*V151,(A151+B151)*2*V151/12))</f>
        <v/>
      </c>
      <c r="X151" s="14">
        <f t="shared" si="121"/>
        <v>0</v>
      </c>
      <c r="Y151" s="58" t="str">
        <f t="shared" ref="Y151:Y166" si="133">IF(A151="","",IF($N$4="M",(A151+B151)*2*0.0032808*X151,(A151+B151)*2*X151/12))</f>
        <v/>
      </c>
      <c r="Z151" s="31">
        <f t="shared" si="122"/>
        <v>0</v>
      </c>
      <c r="AA151" s="21">
        <f t="shared" ref="AA151:AA166" si="134">COUNTIF(G151:J151,10)</f>
        <v>0</v>
      </c>
      <c r="AB151" s="58" t="str">
        <f t="shared" ref="AB151:AB166" si="135">IF(A151="","",IF($N$4="M",(A151+B151)*2*0.0032808*AA151,(A151+B151)*2*AA151/12))</f>
        <v/>
      </c>
      <c r="AC151" s="630">
        <f t="shared" si="115"/>
        <v>0</v>
      </c>
      <c r="AD151" s="627"/>
      <c r="AE151" s="21">
        <f t="shared" ref="AE151:AE166" si="136">COUNTIF(G151:J151,11)</f>
        <v>0</v>
      </c>
      <c r="AF151" s="58" t="str">
        <f t="shared" ref="AF151:AF166" si="137">IF(A151="","",IF($N$4="M",A151*B151*0.000011111*AE151,A151*B151/144*AE151))</f>
        <v/>
      </c>
      <c r="AG151" s="21">
        <f t="shared" ref="AG151:AG166" si="138">COUNTIF(G151:J151,111)</f>
        <v>0</v>
      </c>
      <c r="AH151" s="58" t="str">
        <f t="shared" ref="AH151:AH166" si="139">IF(A151="","",IF($N$4="M",A151*B151*0.000011111*AG151,A151*B151/144*AG151))</f>
        <v/>
      </c>
      <c r="AI151" s="21">
        <f t="shared" ref="AI151:AI166" si="140">COUNTIF(G151:J151,12)</f>
        <v>0</v>
      </c>
      <c r="AJ151" s="58" t="str">
        <f t="shared" ref="AJ151:AJ166" si="141">IF(A151="","",IF($N$4="M",A151*B151*0.000011111*AI151,A151*B151/144*AI151))</f>
        <v/>
      </c>
      <c r="AK151" s="31">
        <f t="shared" si="123"/>
        <v>0</v>
      </c>
      <c r="AL151" s="21">
        <f t="shared" si="124"/>
        <v>0</v>
      </c>
      <c r="AM151" s="62" t="str">
        <f t="shared" si="125"/>
        <v/>
      </c>
      <c r="AN151" s="21">
        <f t="shared" ref="AN151:AN166" si="142">COUNTIF(G151:J151,14)</f>
        <v>0</v>
      </c>
      <c r="AO151" s="62" t="str">
        <f t="shared" ref="AO151:AO166" si="143">IF(A151="","",IF($N$4="M",A151*B151*0.000011111*AN151,A151*B151/144*AN151))</f>
        <v/>
      </c>
      <c r="AP151" s="21">
        <f t="shared" si="126"/>
        <v>0</v>
      </c>
      <c r="AQ151" s="62" t="str">
        <f t="shared" ref="AQ151:AQ166" si="144">IF(A151="","",IF($N$4="M",A151*B151*0.000011111*AP151,A151*B151/144*AP151))</f>
        <v/>
      </c>
      <c r="AR151" s="31">
        <f t="shared" si="127"/>
        <v>0</v>
      </c>
      <c r="AS151" s="21">
        <f t="shared" si="128"/>
        <v>0</v>
      </c>
      <c r="AT151" s="62" t="str">
        <f t="shared" ref="AT151:AT166" si="145">IF(A151="","",IF($N$4="M",A151*B151*0.000011111*AS151,A151*B151/144*AS151))</f>
        <v/>
      </c>
      <c r="AU151" s="84">
        <f t="shared" ref="AU151:AU166" si="146">IF(D151=61,C151,0)</f>
        <v>0</v>
      </c>
      <c r="AV151" s="32">
        <f t="shared" si="101"/>
        <v>0</v>
      </c>
      <c r="AW151" s="85" t="str">
        <f t="shared" si="102"/>
        <v/>
      </c>
      <c r="AX151" s="86" t="str">
        <f t="shared" si="106"/>
        <v/>
      </c>
    </row>
    <row r="152" spans="1:50" x14ac:dyDescent="0.2">
      <c r="A152" s="29" t="str">
        <f t="shared" si="107"/>
        <v/>
      </c>
      <c r="B152" s="32" t="str">
        <f t="shared" si="108"/>
        <v/>
      </c>
      <c r="C152" s="35"/>
      <c r="D152" s="33" t="str">
        <f t="shared" si="105"/>
        <v/>
      </c>
      <c r="E152" s="22" t="str">
        <f t="shared" si="103"/>
        <v/>
      </c>
      <c r="F152" s="23" t="str">
        <f t="shared" si="104"/>
        <v/>
      </c>
      <c r="G152" s="23"/>
      <c r="H152" s="22"/>
      <c r="I152" s="23"/>
      <c r="J152" s="18"/>
      <c r="K152" s="13" t="str">
        <f t="shared" si="116"/>
        <v/>
      </c>
      <c r="L152" s="28" t="str">
        <f t="shared" si="117"/>
        <v/>
      </c>
      <c r="M152" s="10" t="str">
        <f t="shared" si="129"/>
        <v/>
      </c>
      <c r="N152" s="17" t="str">
        <f t="shared" si="111"/>
        <v/>
      </c>
      <c r="O152" s="39" t="str">
        <f t="shared" si="118"/>
        <v/>
      </c>
      <c r="P152" s="41" t="str">
        <f t="shared" si="112"/>
        <v/>
      </c>
      <c r="Q152" s="9" t="str">
        <f t="shared" si="113"/>
        <v/>
      </c>
      <c r="R152" s="14">
        <f t="shared" si="119"/>
        <v>0</v>
      </c>
      <c r="S152" s="61" t="str">
        <f t="shared" si="114"/>
        <v/>
      </c>
      <c r="T152" s="14">
        <f t="shared" si="130"/>
        <v>0</v>
      </c>
      <c r="U152" s="58" t="str">
        <f t="shared" si="131"/>
        <v/>
      </c>
      <c r="V152" s="14">
        <f t="shared" si="120"/>
        <v>0</v>
      </c>
      <c r="W152" s="58" t="str">
        <f t="shared" si="132"/>
        <v/>
      </c>
      <c r="X152" s="14">
        <f t="shared" si="121"/>
        <v>0</v>
      </c>
      <c r="Y152" s="58" t="str">
        <f t="shared" si="133"/>
        <v/>
      </c>
      <c r="Z152" s="31">
        <f t="shared" si="122"/>
        <v>0</v>
      </c>
      <c r="AA152" s="21">
        <f t="shared" si="134"/>
        <v>0</v>
      </c>
      <c r="AB152" s="58" t="str">
        <f t="shared" si="135"/>
        <v/>
      </c>
      <c r="AC152" s="630">
        <f t="shared" si="115"/>
        <v>0</v>
      </c>
      <c r="AD152" s="627"/>
      <c r="AE152" s="21">
        <f t="shared" si="136"/>
        <v>0</v>
      </c>
      <c r="AF152" s="58" t="str">
        <f t="shared" si="137"/>
        <v/>
      </c>
      <c r="AG152" s="21">
        <f t="shared" si="138"/>
        <v>0</v>
      </c>
      <c r="AH152" s="58" t="str">
        <f t="shared" si="139"/>
        <v/>
      </c>
      <c r="AI152" s="21">
        <f t="shared" si="140"/>
        <v>0</v>
      </c>
      <c r="AJ152" s="58" t="str">
        <f t="shared" si="141"/>
        <v/>
      </c>
      <c r="AK152" s="31">
        <f t="shared" si="123"/>
        <v>0</v>
      </c>
      <c r="AL152" s="21">
        <f t="shared" si="124"/>
        <v>0</v>
      </c>
      <c r="AM152" s="62" t="str">
        <f t="shared" si="125"/>
        <v/>
      </c>
      <c r="AN152" s="21">
        <f t="shared" si="142"/>
        <v>0</v>
      </c>
      <c r="AO152" s="62" t="str">
        <f t="shared" si="143"/>
        <v/>
      </c>
      <c r="AP152" s="21">
        <f t="shared" si="126"/>
        <v>0</v>
      </c>
      <c r="AQ152" s="62" t="str">
        <f t="shared" si="144"/>
        <v/>
      </c>
      <c r="AR152" s="31">
        <f t="shared" si="127"/>
        <v>0</v>
      </c>
      <c r="AS152" s="21">
        <f t="shared" si="128"/>
        <v>0</v>
      </c>
      <c r="AT152" s="62" t="str">
        <f t="shared" si="145"/>
        <v/>
      </c>
      <c r="AU152" s="84">
        <f t="shared" si="146"/>
        <v>0</v>
      </c>
      <c r="AV152" s="32">
        <f t="shared" si="101"/>
        <v>0</v>
      </c>
      <c r="AW152" s="85" t="str">
        <f t="shared" si="102"/>
        <v/>
      </c>
      <c r="AX152" s="86" t="str">
        <f t="shared" si="106"/>
        <v/>
      </c>
    </row>
    <row r="153" spans="1:50" x14ac:dyDescent="0.2">
      <c r="A153" s="29" t="str">
        <f t="shared" si="107"/>
        <v/>
      </c>
      <c r="B153" s="32" t="str">
        <f t="shared" si="108"/>
        <v/>
      </c>
      <c r="C153" s="35"/>
      <c r="D153" s="33" t="str">
        <f t="shared" si="105"/>
        <v/>
      </c>
      <c r="E153" s="22" t="str">
        <f t="shared" si="103"/>
        <v/>
      </c>
      <c r="F153" s="23" t="str">
        <f t="shared" si="104"/>
        <v/>
      </c>
      <c r="G153" s="23"/>
      <c r="H153" s="22"/>
      <c r="I153" s="23"/>
      <c r="J153" s="18"/>
      <c r="K153" s="13" t="str">
        <f t="shared" si="116"/>
        <v/>
      </c>
      <c r="L153" s="28" t="str">
        <f t="shared" si="117"/>
        <v/>
      </c>
      <c r="M153" s="10" t="str">
        <f t="shared" si="129"/>
        <v/>
      </c>
      <c r="N153" s="17" t="str">
        <f t="shared" si="111"/>
        <v/>
      </c>
      <c r="O153" s="39" t="str">
        <f t="shared" si="118"/>
        <v/>
      </c>
      <c r="P153" s="41" t="str">
        <f t="shared" si="112"/>
        <v/>
      </c>
      <c r="Q153" s="9" t="str">
        <f t="shared" si="113"/>
        <v/>
      </c>
      <c r="R153" s="14">
        <f t="shared" si="119"/>
        <v>0</v>
      </c>
      <c r="S153" s="61" t="str">
        <f t="shared" si="114"/>
        <v/>
      </c>
      <c r="T153" s="14">
        <f t="shared" si="130"/>
        <v>0</v>
      </c>
      <c r="U153" s="58" t="str">
        <f t="shared" si="131"/>
        <v/>
      </c>
      <c r="V153" s="14">
        <f t="shared" si="120"/>
        <v>0</v>
      </c>
      <c r="W153" s="58" t="str">
        <f t="shared" si="132"/>
        <v/>
      </c>
      <c r="X153" s="14">
        <f t="shared" si="121"/>
        <v>0</v>
      </c>
      <c r="Y153" s="58" t="str">
        <f t="shared" si="133"/>
        <v/>
      </c>
      <c r="Z153" s="31">
        <f t="shared" si="122"/>
        <v>0</v>
      </c>
      <c r="AA153" s="21">
        <f t="shared" si="134"/>
        <v>0</v>
      </c>
      <c r="AB153" s="58" t="str">
        <f t="shared" si="135"/>
        <v/>
      </c>
      <c r="AC153" s="630">
        <f t="shared" si="115"/>
        <v>0</v>
      </c>
      <c r="AD153" s="627"/>
      <c r="AE153" s="21">
        <f t="shared" si="136"/>
        <v>0</v>
      </c>
      <c r="AF153" s="58" t="str">
        <f t="shared" si="137"/>
        <v/>
      </c>
      <c r="AG153" s="21">
        <f t="shared" si="138"/>
        <v>0</v>
      </c>
      <c r="AH153" s="58" t="str">
        <f t="shared" si="139"/>
        <v/>
      </c>
      <c r="AI153" s="21">
        <f t="shared" si="140"/>
        <v>0</v>
      </c>
      <c r="AJ153" s="58" t="str">
        <f t="shared" si="141"/>
        <v/>
      </c>
      <c r="AK153" s="31">
        <f t="shared" si="123"/>
        <v>0</v>
      </c>
      <c r="AL153" s="21">
        <f t="shared" si="124"/>
        <v>0</v>
      </c>
      <c r="AM153" s="62" t="str">
        <f t="shared" si="125"/>
        <v/>
      </c>
      <c r="AN153" s="21">
        <f t="shared" si="142"/>
        <v>0</v>
      </c>
      <c r="AO153" s="62" t="str">
        <f t="shared" si="143"/>
        <v/>
      </c>
      <c r="AP153" s="21">
        <f t="shared" si="126"/>
        <v>0</v>
      </c>
      <c r="AQ153" s="62" t="str">
        <f t="shared" si="144"/>
        <v/>
      </c>
      <c r="AR153" s="31">
        <f t="shared" si="127"/>
        <v>0</v>
      </c>
      <c r="AS153" s="21">
        <f t="shared" si="128"/>
        <v>0</v>
      </c>
      <c r="AT153" s="62" t="str">
        <f t="shared" si="145"/>
        <v/>
      </c>
      <c r="AU153" s="84">
        <f t="shared" si="146"/>
        <v>0</v>
      </c>
      <c r="AV153" s="32">
        <f t="shared" si="101"/>
        <v>0</v>
      </c>
      <c r="AW153" s="85" t="str">
        <f t="shared" si="102"/>
        <v/>
      </c>
      <c r="AX153" s="86" t="str">
        <f t="shared" si="106"/>
        <v/>
      </c>
    </row>
    <row r="154" spans="1:50" x14ac:dyDescent="0.2">
      <c r="A154" s="29" t="str">
        <f t="shared" si="107"/>
        <v/>
      </c>
      <c r="B154" s="32" t="str">
        <f t="shared" si="108"/>
        <v/>
      </c>
      <c r="C154" s="35"/>
      <c r="D154" s="33" t="str">
        <f t="shared" si="105"/>
        <v/>
      </c>
      <c r="E154" s="22" t="str">
        <f t="shared" si="103"/>
        <v/>
      </c>
      <c r="F154" s="23" t="str">
        <f t="shared" si="104"/>
        <v/>
      </c>
      <c r="G154" s="23"/>
      <c r="H154" s="22"/>
      <c r="I154" s="23"/>
      <c r="J154" s="18"/>
      <c r="K154" s="13" t="str">
        <f t="shared" si="116"/>
        <v/>
      </c>
      <c r="L154" s="28" t="str">
        <f t="shared" si="117"/>
        <v/>
      </c>
      <c r="M154" s="10" t="str">
        <f t="shared" si="129"/>
        <v/>
      </c>
      <c r="N154" s="17" t="str">
        <f t="shared" si="111"/>
        <v/>
      </c>
      <c r="O154" s="39" t="str">
        <f t="shared" si="118"/>
        <v/>
      </c>
      <c r="P154" s="41" t="str">
        <f t="shared" si="112"/>
        <v/>
      </c>
      <c r="Q154" s="9" t="str">
        <f t="shared" si="113"/>
        <v/>
      </c>
      <c r="R154" s="14">
        <f t="shared" si="119"/>
        <v>0</v>
      </c>
      <c r="S154" s="61" t="str">
        <f t="shared" si="114"/>
        <v/>
      </c>
      <c r="T154" s="14">
        <f t="shared" si="130"/>
        <v>0</v>
      </c>
      <c r="U154" s="58" t="str">
        <f t="shared" si="131"/>
        <v/>
      </c>
      <c r="V154" s="14">
        <f t="shared" si="120"/>
        <v>0</v>
      </c>
      <c r="W154" s="58" t="str">
        <f t="shared" si="132"/>
        <v/>
      </c>
      <c r="X154" s="14">
        <f t="shared" si="121"/>
        <v>0</v>
      </c>
      <c r="Y154" s="58" t="str">
        <f t="shared" si="133"/>
        <v/>
      </c>
      <c r="Z154" s="31">
        <f t="shared" si="122"/>
        <v>0</v>
      </c>
      <c r="AA154" s="21">
        <f t="shared" si="134"/>
        <v>0</v>
      </c>
      <c r="AB154" s="58" t="str">
        <f t="shared" si="135"/>
        <v/>
      </c>
      <c r="AC154" s="630">
        <f t="shared" si="115"/>
        <v>0</v>
      </c>
      <c r="AD154" s="627"/>
      <c r="AE154" s="21">
        <f t="shared" si="136"/>
        <v>0</v>
      </c>
      <c r="AF154" s="58" t="str">
        <f t="shared" si="137"/>
        <v/>
      </c>
      <c r="AG154" s="21">
        <f t="shared" si="138"/>
        <v>0</v>
      </c>
      <c r="AH154" s="58" t="str">
        <f t="shared" si="139"/>
        <v/>
      </c>
      <c r="AI154" s="21">
        <f t="shared" si="140"/>
        <v>0</v>
      </c>
      <c r="AJ154" s="58" t="str">
        <f t="shared" si="141"/>
        <v/>
      </c>
      <c r="AK154" s="31">
        <f t="shared" si="123"/>
        <v>0</v>
      </c>
      <c r="AL154" s="21">
        <f t="shared" si="124"/>
        <v>0</v>
      </c>
      <c r="AM154" s="62" t="str">
        <f t="shared" si="125"/>
        <v/>
      </c>
      <c r="AN154" s="21">
        <f t="shared" si="142"/>
        <v>0</v>
      </c>
      <c r="AO154" s="62" t="str">
        <f t="shared" si="143"/>
        <v/>
      </c>
      <c r="AP154" s="21">
        <f t="shared" si="126"/>
        <v>0</v>
      </c>
      <c r="AQ154" s="62" t="str">
        <f t="shared" si="144"/>
        <v/>
      </c>
      <c r="AR154" s="31">
        <f t="shared" si="127"/>
        <v>0</v>
      </c>
      <c r="AS154" s="21">
        <f t="shared" si="128"/>
        <v>0</v>
      </c>
      <c r="AT154" s="62" t="str">
        <f t="shared" si="145"/>
        <v/>
      </c>
      <c r="AU154" s="84">
        <f t="shared" si="146"/>
        <v>0</v>
      </c>
      <c r="AV154" s="32">
        <f t="shared" ref="AV154:AV166" si="147">IF(D154=61,L154,0)</f>
        <v>0</v>
      </c>
      <c r="AW154" s="85" t="str">
        <f t="shared" ref="AW154:AW166" si="148">IF(A154="","",(C154-AU154))</f>
        <v/>
      </c>
      <c r="AX154" s="86" t="str">
        <f t="shared" si="106"/>
        <v/>
      </c>
    </row>
    <row r="155" spans="1:50" x14ac:dyDescent="0.2">
      <c r="A155" s="29" t="str">
        <f t="shared" si="107"/>
        <v/>
      </c>
      <c r="B155" s="32" t="str">
        <f t="shared" si="108"/>
        <v/>
      </c>
      <c r="C155" s="35"/>
      <c r="D155" s="33" t="str">
        <f t="shared" si="105"/>
        <v/>
      </c>
      <c r="E155" s="22" t="str">
        <f t="shared" si="103"/>
        <v/>
      </c>
      <c r="F155" s="23" t="str">
        <f t="shared" si="104"/>
        <v/>
      </c>
      <c r="G155" s="23"/>
      <c r="H155" s="22"/>
      <c r="I155" s="23"/>
      <c r="J155" s="18"/>
      <c r="K155" s="13" t="str">
        <f t="shared" si="116"/>
        <v/>
      </c>
      <c r="L155" s="28" t="str">
        <f t="shared" si="117"/>
        <v/>
      </c>
      <c r="M155" s="10" t="str">
        <f t="shared" si="129"/>
        <v/>
      </c>
      <c r="N155" s="17" t="str">
        <f t="shared" si="111"/>
        <v/>
      </c>
      <c r="O155" s="39" t="str">
        <f t="shared" si="118"/>
        <v/>
      </c>
      <c r="P155" s="41" t="str">
        <f t="shared" si="112"/>
        <v/>
      </c>
      <c r="Q155" s="9" t="str">
        <f t="shared" si="113"/>
        <v/>
      </c>
      <c r="R155" s="14">
        <f t="shared" si="119"/>
        <v>0</v>
      </c>
      <c r="S155" s="61" t="str">
        <f t="shared" si="114"/>
        <v/>
      </c>
      <c r="T155" s="14">
        <f t="shared" si="130"/>
        <v>0</v>
      </c>
      <c r="U155" s="58" t="str">
        <f t="shared" si="131"/>
        <v/>
      </c>
      <c r="V155" s="14">
        <f t="shared" si="120"/>
        <v>0</v>
      </c>
      <c r="W155" s="58" t="str">
        <f t="shared" si="132"/>
        <v/>
      </c>
      <c r="X155" s="14">
        <f t="shared" si="121"/>
        <v>0</v>
      </c>
      <c r="Y155" s="58" t="str">
        <f t="shared" si="133"/>
        <v/>
      </c>
      <c r="Z155" s="31">
        <f t="shared" si="122"/>
        <v>0</v>
      </c>
      <c r="AA155" s="21">
        <f t="shared" si="134"/>
        <v>0</v>
      </c>
      <c r="AB155" s="58" t="str">
        <f t="shared" si="135"/>
        <v/>
      </c>
      <c r="AC155" s="630">
        <f t="shared" si="115"/>
        <v>0</v>
      </c>
      <c r="AD155" s="627"/>
      <c r="AE155" s="21">
        <f t="shared" si="136"/>
        <v>0</v>
      </c>
      <c r="AF155" s="58" t="str">
        <f t="shared" si="137"/>
        <v/>
      </c>
      <c r="AG155" s="21">
        <f t="shared" si="138"/>
        <v>0</v>
      </c>
      <c r="AH155" s="58" t="str">
        <f t="shared" si="139"/>
        <v/>
      </c>
      <c r="AI155" s="21">
        <f t="shared" si="140"/>
        <v>0</v>
      </c>
      <c r="AJ155" s="58" t="str">
        <f t="shared" si="141"/>
        <v/>
      </c>
      <c r="AK155" s="31">
        <f t="shared" si="123"/>
        <v>0</v>
      </c>
      <c r="AL155" s="21">
        <f t="shared" si="124"/>
        <v>0</v>
      </c>
      <c r="AM155" s="62" t="str">
        <f t="shared" si="125"/>
        <v/>
      </c>
      <c r="AN155" s="21">
        <f t="shared" si="142"/>
        <v>0</v>
      </c>
      <c r="AO155" s="62" t="str">
        <f t="shared" si="143"/>
        <v/>
      </c>
      <c r="AP155" s="21">
        <f t="shared" si="126"/>
        <v>0</v>
      </c>
      <c r="AQ155" s="62" t="str">
        <f t="shared" si="144"/>
        <v/>
      </c>
      <c r="AR155" s="31">
        <f t="shared" si="127"/>
        <v>0</v>
      </c>
      <c r="AS155" s="21">
        <f t="shared" si="128"/>
        <v>0</v>
      </c>
      <c r="AT155" s="62" t="str">
        <f t="shared" si="145"/>
        <v/>
      </c>
      <c r="AU155" s="84">
        <f t="shared" si="146"/>
        <v>0</v>
      </c>
      <c r="AV155" s="32">
        <f t="shared" si="147"/>
        <v>0</v>
      </c>
      <c r="AW155" s="85" t="str">
        <f t="shared" si="148"/>
        <v/>
      </c>
      <c r="AX155" s="86" t="str">
        <f t="shared" si="106"/>
        <v/>
      </c>
    </row>
    <row r="156" spans="1:50" x14ac:dyDescent="0.2">
      <c r="A156" s="29" t="str">
        <f t="shared" si="107"/>
        <v/>
      </c>
      <c r="B156" s="32" t="str">
        <f t="shared" si="108"/>
        <v/>
      </c>
      <c r="C156" s="35"/>
      <c r="D156" s="33" t="str">
        <f t="shared" si="105"/>
        <v/>
      </c>
      <c r="E156" s="22" t="str">
        <f t="shared" si="103"/>
        <v/>
      </c>
      <c r="F156" s="23" t="str">
        <f t="shared" si="104"/>
        <v/>
      </c>
      <c r="G156" s="23"/>
      <c r="H156" s="22"/>
      <c r="I156" s="23"/>
      <c r="J156" s="18"/>
      <c r="K156" s="13" t="str">
        <f t="shared" si="116"/>
        <v/>
      </c>
      <c r="L156" s="28" t="str">
        <f t="shared" si="117"/>
        <v/>
      </c>
      <c r="M156" s="10" t="str">
        <f t="shared" si="129"/>
        <v/>
      </c>
      <c r="N156" s="17" t="str">
        <f t="shared" si="111"/>
        <v/>
      </c>
      <c r="O156" s="39" t="str">
        <f t="shared" si="118"/>
        <v/>
      </c>
      <c r="P156" s="41" t="str">
        <f t="shared" si="112"/>
        <v/>
      </c>
      <c r="Q156" s="9" t="str">
        <f t="shared" si="113"/>
        <v/>
      </c>
      <c r="R156" s="14">
        <f t="shared" si="119"/>
        <v>0</v>
      </c>
      <c r="S156" s="61" t="str">
        <f t="shared" si="114"/>
        <v/>
      </c>
      <c r="T156" s="14">
        <f t="shared" si="130"/>
        <v>0</v>
      </c>
      <c r="U156" s="58" t="str">
        <f t="shared" si="131"/>
        <v/>
      </c>
      <c r="V156" s="14">
        <f t="shared" si="120"/>
        <v>0</v>
      </c>
      <c r="W156" s="58" t="str">
        <f t="shared" si="132"/>
        <v/>
      </c>
      <c r="X156" s="14">
        <f t="shared" si="121"/>
        <v>0</v>
      </c>
      <c r="Y156" s="58" t="str">
        <f t="shared" si="133"/>
        <v/>
      </c>
      <c r="Z156" s="31">
        <f t="shared" si="122"/>
        <v>0</v>
      </c>
      <c r="AA156" s="21">
        <f t="shared" si="134"/>
        <v>0</v>
      </c>
      <c r="AB156" s="58" t="str">
        <f t="shared" si="135"/>
        <v/>
      </c>
      <c r="AC156" s="630">
        <f t="shared" si="115"/>
        <v>0</v>
      </c>
      <c r="AD156" s="627"/>
      <c r="AE156" s="21">
        <f t="shared" si="136"/>
        <v>0</v>
      </c>
      <c r="AF156" s="58" t="str">
        <f t="shared" si="137"/>
        <v/>
      </c>
      <c r="AG156" s="21">
        <f t="shared" si="138"/>
        <v>0</v>
      </c>
      <c r="AH156" s="58" t="str">
        <f t="shared" si="139"/>
        <v/>
      </c>
      <c r="AI156" s="21">
        <f t="shared" si="140"/>
        <v>0</v>
      </c>
      <c r="AJ156" s="58" t="str">
        <f t="shared" si="141"/>
        <v/>
      </c>
      <c r="AK156" s="31">
        <f t="shared" si="123"/>
        <v>0</v>
      </c>
      <c r="AL156" s="21">
        <f t="shared" si="124"/>
        <v>0</v>
      </c>
      <c r="AM156" s="62" t="str">
        <f t="shared" si="125"/>
        <v/>
      </c>
      <c r="AN156" s="21">
        <f t="shared" si="142"/>
        <v>0</v>
      </c>
      <c r="AO156" s="62" t="str">
        <f t="shared" si="143"/>
        <v/>
      </c>
      <c r="AP156" s="21">
        <f t="shared" si="126"/>
        <v>0</v>
      </c>
      <c r="AQ156" s="62" t="str">
        <f t="shared" si="144"/>
        <v/>
      </c>
      <c r="AR156" s="31">
        <f t="shared" si="127"/>
        <v>0</v>
      </c>
      <c r="AS156" s="21">
        <f t="shared" si="128"/>
        <v>0</v>
      </c>
      <c r="AT156" s="62" t="str">
        <f t="shared" si="145"/>
        <v/>
      </c>
      <c r="AU156" s="84">
        <f t="shared" si="146"/>
        <v>0</v>
      </c>
      <c r="AV156" s="32">
        <f t="shared" si="147"/>
        <v>0</v>
      </c>
      <c r="AW156" s="85" t="str">
        <f t="shared" si="148"/>
        <v/>
      </c>
      <c r="AX156" s="86" t="str">
        <f t="shared" si="106"/>
        <v/>
      </c>
    </row>
    <row r="157" spans="1:50" x14ac:dyDescent="0.2">
      <c r="A157" s="29" t="str">
        <f t="shared" si="107"/>
        <v/>
      </c>
      <c r="B157" s="32" t="str">
        <f t="shared" si="108"/>
        <v/>
      </c>
      <c r="C157" s="35"/>
      <c r="D157" s="33" t="str">
        <f t="shared" si="105"/>
        <v/>
      </c>
      <c r="E157" s="22" t="str">
        <f t="shared" ref="E157:E166" si="149">IF(A157="","",IF(E156="","",E156))</f>
        <v/>
      </c>
      <c r="F157" s="23" t="str">
        <f t="shared" si="104"/>
        <v/>
      </c>
      <c r="G157" s="23"/>
      <c r="H157" s="22"/>
      <c r="I157" s="23"/>
      <c r="J157" s="18"/>
      <c r="K157" s="13" t="str">
        <f t="shared" si="116"/>
        <v/>
      </c>
      <c r="L157" s="28" t="str">
        <f t="shared" si="117"/>
        <v/>
      </c>
      <c r="M157" s="10" t="str">
        <f t="shared" si="129"/>
        <v/>
      </c>
      <c r="N157" s="17" t="str">
        <f t="shared" si="111"/>
        <v/>
      </c>
      <c r="O157" s="39" t="str">
        <f t="shared" si="118"/>
        <v/>
      </c>
      <c r="P157" s="41" t="str">
        <f t="shared" si="112"/>
        <v/>
      </c>
      <c r="Q157" s="9" t="str">
        <f t="shared" si="113"/>
        <v/>
      </c>
      <c r="R157" s="14">
        <f t="shared" si="119"/>
        <v>0</v>
      </c>
      <c r="S157" s="61" t="str">
        <f t="shared" si="114"/>
        <v/>
      </c>
      <c r="T157" s="14">
        <f t="shared" si="130"/>
        <v>0</v>
      </c>
      <c r="U157" s="58" t="str">
        <f t="shared" si="131"/>
        <v/>
      </c>
      <c r="V157" s="14">
        <f t="shared" si="120"/>
        <v>0</v>
      </c>
      <c r="W157" s="58" t="str">
        <f t="shared" si="132"/>
        <v/>
      </c>
      <c r="X157" s="14">
        <f t="shared" si="121"/>
        <v>0</v>
      </c>
      <c r="Y157" s="58" t="str">
        <f t="shared" si="133"/>
        <v/>
      </c>
      <c r="Z157" s="31">
        <f t="shared" si="122"/>
        <v>0</v>
      </c>
      <c r="AA157" s="21">
        <f t="shared" si="134"/>
        <v>0</v>
      </c>
      <c r="AB157" s="58" t="str">
        <f t="shared" si="135"/>
        <v/>
      </c>
      <c r="AC157" s="630">
        <f t="shared" si="115"/>
        <v>0</v>
      </c>
      <c r="AD157" s="627"/>
      <c r="AE157" s="21">
        <f t="shared" si="136"/>
        <v>0</v>
      </c>
      <c r="AF157" s="58" t="str">
        <f t="shared" si="137"/>
        <v/>
      </c>
      <c r="AG157" s="21">
        <f t="shared" si="138"/>
        <v>0</v>
      </c>
      <c r="AH157" s="58" t="str">
        <f t="shared" si="139"/>
        <v/>
      </c>
      <c r="AI157" s="21">
        <f t="shared" si="140"/>
        <v>0</v>
      </c>
      <c r="AJ157" s="58" t="str">
        <f t="shared" si="141"/>
        <v/>
      </c>
      <c r="AK157" s="31">
        <f t="shared" si="123"/>
        <v>0</v>
      </c>
      <c r="AL157" s="21">
        <f t="shared" si="124"/>
        <v>0</v>
      </c>
      <c r="AM157" s="62" t="str">
        <f t="shared" si="125"/>
        <v/>
      </c>
      <c r="AN157" s="21">
        <f t="shared" si="142"/>
        <v>0</v>
      </c>
      <c r="AO157" s="62" t="str">
        <f t="shared" si="143"/>
        <v/>
      </c>
      <c r="AP157" s="21">
        <f t="shared" si="126"/>
        <v>0</v>
      </c>
      <c r="AQ157" s="62" t="str">
        <f t="shared" si="144"/>
        <v/>
      </c>
      <c r="AR157" s="31">
        <f t="shared" si="127"/>
        <v>0</v>
      </c>
      <c r="AS157" s="21">
        <f t="shared" si="128"/>
        <v>0</v>
      </c>
      <c r="AT157" s="62" t="str">
        <f t="shared" si="145"/>
        <v/>
      </c>
      <c r="AU157" s="84">
        <f t="shared" si="146"/>
        <v>0</v>
      </c>
      <c r="AV157" s="32">
        <f t="shared" si="147"/>
        <v>0</v>
      </c>
      <c r="AW157" s="85" t="str">
        <f t="shared" si="148"/>
        <v/>
      </c>
      <c r="AX157" s="86" t="str">
        <f t="shared" si="106"/>
        <v/>
      </c>
    </row>
    <row r="158" spans="1:50" x14ac:dyDescent="0.2">
      <c r="A158" s="29" t="str">
        <f t="shared" ref="A158:A166" si="150">IF(A157="","",IF(C158="","",A157))</f>
        <v/>
      </c>
      <c r="B158" s="32" t="str">
        <f t="shared" si="108"/>
        <v/>
      </c>
      <c r="C158" s="35"/>
      <c r="D158" s="33" t="str">
        <f t="shared" si="105"/>
        <v/>
      </c>
      <c r="E158" s="22" t="str">
        <f t="shared" si="149"/>
        <v/>
      </c>
      <c r="F158" s="23" t="str">
        <f t="shared" ref="F158:F166" si="151">IF(A158="","",IF(F157="","",F157))</f>
        <v/>
      </c>
      <c r="G158" s="23"/>
      <c r="H158" s="22"/>
      <c r="I158" s="23"/>
      <c r="J158" s="18"/>
      <c r="K158" s="13" t="str">
        <f t="shared" si="116"/>
        <v/>
      </c>
      <c r="L158" s="28" t="str">
        <f t="shared" si="117"/>
        <v/>
      </c>
      <c r="M158" s="10" t="str">
        <f t="shared" si="129"/>
        <v/>
      </c>
      <c r="N158" s="17" t="str">
        <f t="shared" si="111"/>
        <v/>
      </c>
      <c r="O158" s="39" t="str">
        <f t="shared" si="118"/>
        <v/>
      </c>
      <c r="P158" s="41" t="str">
        <f t="shared" si="112"/>
        <v/>
      </c>
      <c r="Q158" s="9" t="str">
        <f t="shared" si="113"/>
        <v/>
      </c>
      <c r="R158" s="14">
        <f t="shared" si="119"/>
        <v>0</v>
      </c>
      <c r="S158" s="61" t="str">
        <f t="shared" si="114"/>
        <v/>
      </c>
      <c r="T158" s="14">
        <f t="shared" si="130"/>
        <v>0</v>
      </c>
      <c r="U158" s="58" t="str">
        <f t="shared" si="131"/>
        <v/>
      </c>
      <c r="V158" s="14">
        <f t="shared" si="120"/>
        <v>0</v>
      </c>
      <c r="W158" s="58" t="str">
        <f t="shared" si="132"/>
        <v/>
      </c>
      <c r="X158" s="14">
        <f t="shared" si="121"/>
        <v>0</v>
      </c>
      <c r="Y158" s="58" t="str">
        <f t="shared" si="133"/>
        <v/>
      </c>
      <c r="Z158" s="31">
        <f t="shared" si="122"/>
        <v>0</v>
      </c>
      <c r="AA158" s="21">
        <f t="shared" si="134"/>
        <v>0</v>
      </c>
      <c r="AB158" s="58" t="str">
        <f t="shared" si="135"/>
        <v/>
      </c>
      <c r="AC158" s="630">
        <f t="shared" si="115"/>
        <v>0</v>
      </c>
      <c r="AD158" s="627"/>
      <c r="AE158" s="21">
        <f t="shared" si="136"/>
        <v>0</v>
      </c>
      <c r="AF158" s="58" t="str">
        <f t="shared" si="137"/>
        <v/>
      </c>
      <c r="AG158" s="21">
        <f t="shared" si="138"/>
        <v>0</v>
      </c>
      <c r="AH158" s="58" t="str">
        <f t="shared" si="139"/>
        <v/>
      </c>
      <c r="AI158" s="21">
        <f t="shared" si="140"/>
        <v>0</v>
      </c>
      <c r="AJ158" s="58" t="str">
        <f t="shared" si="141"/>
        <v/>
      </c>
      <c r="AK158" s="31">
        <f t="shared" si="123"/>
        <v>0</v>
      </c>
      <c r="AL158" s="21">
        <f t="shared" si="124"/>
        <v>0</v>
      </c>
      <c r="AM158" s="62" t="str">
        <f t="shared" si="125"/>
        <v/>
      </c>
      <c r="AN158" s="21">
        <f t="shared" si="142"/>
        <v>0</v>
      </c>
      <c r="AO158" s="62" t="str">
        <f t="shared" si="143"/>
        <v/>
      </c>
      <c r="AP158" s="21">
        <f t="shared" si="126"/>
        <v>0</v>
      </c>
      <c r="AQ158" s="62" t="str">
        <f t="shared" si="144"/>
        <v/>
      </c>
      <c r="AR158" s="31">
        <f t="shared" si="127"/>
        <v>0</v>
      </c>
      <c r="AS158" s="21">
        <f t="shared" si="128"/>
        <v>0</v>
      </c>
      <c r="AT158" s="62" t="str">
        <f t="shared" si="145"/>
        <v/>
      </c>
      <c r="AU158" s="84">
        <f t="shared" si="146"/>
        <v>0</v>
      </c>
      <c r="AV158" s="32">
        <f t="shared" si="147"/>
        <v>0</v>
      </c>
      <c r="AW158" s="85" t="str">
        <f t="shared" si="148"/>
        <v/>
      </c>
      <c r="AX158" s="86" t="str">
        <f t="shared" si="106"/>
        <v/>
      </c>
    </row>
    <row r="159" spans="1:50" x14ac:dyDescent="0.2">
      <c r="A159" s="29" t="str">
        <f t="shared" si="150"/>
        <v/>
      </c>
      <c r="B159" s="32" t="str">
        <f t="shared" ref="B159:B166" si="152">IF(B158="","",IF(C159="","",B158))</f>
        <v/>
      </c>
      <c r="C159" s="35"/>
      <c r="D159" s="33" t="str">
        <f t="shared" si="105"/>
        <v/>
      </c>
      <c r="E159" s="22" t="str">
        <f t="shared" si="149"/>
        <v/>
      </c>
      <c r="F159" s="23" t="str">
        <f t="shared" si="151"/>
        <v/>
      </c>
      <c r="G159" s="23"/>
      <c r="H159" s="22"/>
      <c r="I159" s="23"/>
      <c r="J159" s="18"/>
      <c r="K159" s="13" t="str">
        <f t="shared" si="116"/>
        <v/>
      </c>
      <c r="L159" s="28" t="str">
        <f t="shared" si="117"/>
        <v/>
      </c>
      <c r="M159" s="10" t="str">
        <f t="shared" si="129"/>
        <v/>
      </c>
      <c r="N159" s="17" t="str">
        <f t="shared" si="111"/>
        <v/>
      </c>
      <c r="O159" s="39" t="str">
        <f t="shared" si="118"/>
        <v/>
      </c>
      <c r="P159" s="41" t="str">
        <f t="shared" si="112"/>
        <v/>
      </c>
      <c r="Q159" s="9" t="str">
        <f t="shared" si="113"/>
        <v/>
      </c>
      <c r="R159" s="14">
        <f t="shared" si="119"/>
        <v>0</v>
      </c>
      <c r="S159" s="61" t="str">
        <f t="shared" si="114"/>
        <v/>
      </c>
      <c r="T159" s="14">
        <f t="shared" si="130"/>
        <v>0</v>
      </c>
      <c r="U159" s="58" t="str">
        <f t="shared" si="131"/>
        <v/>
      </c>
      <c r="V159" s="14">
        <f t="shared" si="120"/>
        <v>0</v>
      </c>
      <c r="W159" s="58" t="str">
        <f t="shared" si="132"/>
        <v/>
      </c>
      <c r="X159" s="14">
        <f t="shared" si="121"/>
        <v>0</v>
      </c>
      <c r="Y159" s="58" t="str">
        <f t="shared" si="133"/>
        <v/>
      </c>
      <c r="Z159" s="31">
        <f t="shared" si="122"/>
        <v>0</v>
      </c>
      <c r="AA159" s="21">
        <f t="shared" si="134"/>
        <v>0</v>
      </c>
      <c r="AB159" s="58" t="str">
        <f t="shared" si="135"/>
        <v/>
      </c>
      <c r="AC159" s="630">
        <f t="shared" si="115"/>
        <v>0</v>
      </c>
      <c r="AD159" s="627"/>
      <c r="AE159" s="21">
        <f t="shared" si="136"/>
        <v>0</v>
      </c>
      <c r="AF159" s="58" t="str">
        <f t="shared" si="137"/>
        <v/>
      </c>
      <c r="AG159" s="21">
        <f t="shared" si="138"/>
        <v>0</v>
      </c>
      <c r="AH159" s="58" t="str">
        <f t="shared" si="139"/>
        <v/>
      </c>
      <c r="AI159" s="21">
        <f t="shared" si="140"/>
        <v>0</v>
      </c>
      <c r="AJ159" s="58" t="str">
        <f t="shared" si="141"/>
        <v/>
      </c>
      <c r="AK159" s="31">
        <f t="shared" si="123"/>
        <v>0</v>
      </c>
      <c r="AL159" s="21">
        <f t="shared" si="124"/>
        <v>0</v>
      </c>
      <c r="AM159" s="62" t="str">
        <f t="shared" si="125"/>
        <v/>
      </c>
      <c r="AN159" s="21">
        <f t="shared" si="142"/>
        <v>0</v>
      </c>
      <c r="AO159" s="62" t="str">
        <f t="shared" si="143"/>
        <v/>
      </c>
      <c r="AP159" s="21">
        <f t="shared" si="126"/>
        <v>0</v>
      </c>
      <c r="AQ159" s="62" t="str">
        <f t="shared" si="144"/>
        <v/>
      </c>
      <c r="AR159" s="31">
        <f t="shared" si="127"/>
        <v>0</v>
      </c>
      <c r="AS159" s="21">
        <f t="shared" si="128"/>
        <v>0</v>
      </c>
      <c r="AT159" s="62" t="str">
        <f t="shared" si="145"/>
        <v/>
      </c>
      <c r="AU159" s="84">
        <f t="shared" si="146"/>
        <v>0</v>
      </c>
      <c r="AV159" s="32">
        <f t="shared" si="147"/>
        <v>0</v>
      </c>
      <c r="AW159" s="85" t="str">
        <f t="shared" si="148"/>
        <v/>
      </c>
      <c r="AX159" s="86" t="str">
        <f t="shared" si="106"/>
        <v/>
      </c>
    </row>
    <row r="160" spans="1:50" x14ac:dyDescent="0.2">
      <c r="A160" s="29" t="str">
        <f t="shared" si="150"/>
        <v/>
      </c>
      <c r="B160" s="32" t="str">
        <f t="shared" si="152"/>
        <v/>
      </c>
      <c r="C160" s="35"/>
      <c r="D160" s="33" t="str">
        <f t="shared" si="105"/>
        <v/>
      </c>
      <c r="E160" s="22" t="str">
        <f t="shared" si="149"/>
        <v/>
      </c>
      <c r="F160" s="23" t="str">
        <f t="shared" si="151"/>
        <v/>
      </c>
      <c r="G160" s="23"/>
      <c r="H160" s="22"/>
      <c r="I160" s="23"/>
      <c r="J160" s="18"/>
      <c r="K160" s="13" t="str">
        <f t="shared" si="116"/>
        <v/>
      </c>
      <c r="L160" s="28" t="str">
        <f t="shared" si="117"/>
        <v/>
      </c>
      <c r="M160" s="10" t="str">
        <f t="shared" si="129"/>
        <v/>
      </c>
      <c r="N160" s="17" t="str">
        <f t="shared" si="111"/>
        <v/>
      </c>
      <c r="O160" s="39" t="str">
        <f t="shared" si="118"/>
        <v/>
      </c>
      <c r="P160" s="41" t="str">
        <f t="shared" si="112"/>
        <v/>
      </c>
      <c r="Q160" s="9" t="str">
        <f t="shared" si="113"/>
        <v/>
      </c>
      <c r="R160" s="14">
        <f t="shared" si="119"/>
        <v>0</v>
      </c>
      <c r="S160" s="61" t="str">
        <f t="shared" si="114"/>
        <v/>
      </c>
      <c r="T160" s="14">
        <f t="shared" si="130"/>
        <v>0</v>
      </c>
      <c r="U160" s="58" t="str">
        <f t="shared" si="131"/>
        <v/>
      </c>
      <c r="V160" s="14">
        <f t="shared" si="120"/>
        <v>0</v>
      </c>
      <c r="W160" s="58" t="str">
        <f t="shared" si="132"/>
        <v/>
      </c>
      <c r="X160" s="14">
        <f t="shared" si="121"/>
        <v>0</v>
      </c>
      <c r="Y160" s="58" t="str">
        <f t="shared" si="133"/>
        <v/>
      </c>
      <c r="Z160" s="31">
        <f t="shared" si="122"/>
        <v>0</v>
      </c>
      <c r="AA160" s="21">
        <f t="shared" si="134"/>
        <v>0</v>
      </c>
      <c r="AB160" s="58" t="str">
        <f t="shared" si="135"/>
        <v/>
      </c>
      <c r="AC160" s="630">
        <f t="shared" si="115"/>
        <v>0</v>
      </c>
      <c r="AD160" s="627"/>
      <c r="AE160" s="21">
        <f t="shared" si="136"/>
        <v>0</v>
      </c>
      <c r="AF160" s="58" t="str">
        <f t="shared" si="137"/>
        <v/>
      </c>
      <c r="AG160" s="21">
        <f t="shared" si="138"/>
        <v>0</v>
      </c>
      <c r="AH160" s="58" t="str">
        <f t="shared" si="139"/>
        <v/>
      </c>
      <c r="AI160" s="21">
        <f t="shared" si="140"/>
        <v>0</v>
      </c>
      <c r="AJ160" s="58" t="str">
        <f t="shared" si="141"/>
        <v/>
      </c>
      <c r="AK160" s="31">
        <f t="shared" si="123"/>
        <v>0</v>
      </c>
      <c r="AL160" s="21">
        <f t="shared" si="124"/>
        <v>0</v>
      </c>
      <c r="AM160" s="62" t="str">
        <f t="shared" si="125"/>
        <v/>
      </c>
      <c r="AN160" s="21">
        <f t="shared" si="142"/>
        <v>0</v>
      </c>
      <c r="AO160" s="62" t="str">
        <f t="shared" si="143"/>
        <v/>
      </c>
      <c r="AP160" s="21">
        <f t="shared" si="126"/>
        <v>0</v>
      </c>
      <c r="AQ160" s="62" t="str">
        <f t="shared" si="144"/>
        <v/>
      </c>
      <c r="AR160" s="31">
        <f t="shared" si="127"/>
        <v>0</v>
      </c>
      <c r="AS160" s="21">
        <f t="shared" si="128"/>
        <v>0</v>
      </c>
      <c r="AT160" s="62" t="str">
        <f t="shared" si="145"/>
        <v/>
      </c>
      <c r="AU160" s="84">
        <f t="shared" si="146"/>
        <v>0</v>
      </c>
      <c r="AV160" s="32">
        <f t="shared" si="147"/>
        <v>0</v>
      </c>
      <c r="AW160" s="85" t="str">
        <f t="shared" si="148"/>
        <v/>
      </c>
      <c r="AX160" s="86" t="str">
        <f t="shared" si="106"/>
        <v/>
      </c>
    </row>
    <row r="161" spans="1:50" x14ac:dyDescent="0.2">
      <c r="A161" s="29" t="str">
        <f t="shared" si="150"/>
        <v/>
      </c>
      <c r="B161" s="32" t="str">
        <f t="shared" si="152"/>
        <v/>
      </c>
      <c r="C161" s="35"/>
      <c r="D161" s="33" t="str">
        <f t="shared" si="105"/>
        <v/>
      </c>
      <c r="E161" s="22" t="str">
        <f t="shared" si="149"/>
        <v/>
      </c>
      <c r="F161" s="23" t="str">
        <f t="shared" si="151"/>
        <v/>
      </c>
      <c r="G161" s="23"/>
      <c r="H161" s="22"/>
      <c r="I161" s="23"/>
      <c r="J161" s="18"/>
      <c r="K161" s="13" t="str">
        <f t="shared" si="116"/>
        <v/>
      </c>
      <c r="L161" s="28" t="str">
        <f t="shared" si="117"/>
        <v/>
      </c>
      <c r="M161" s="10" t="str">
        <f t="shared" si="129"/>
        <v/>
      </c>
      <c r="N161" s="17" t="str">
        <f t="shared" si="111"/>
        <v/>
      </c>
      <c r="O161" s="39" t="str">
        <f t="shared" si="118"/>
        <v/>
      </c>
      <c r="P161" s="41" t="str">
        <f t="shared" si="112"/>
        <v/>
      </c>
      <c r="Q161" s="9" t="str">
        <f t="shared" si="113"/>
        <v/>
      </c>
      <c r="R161" s="14">
        <f t="shared" si="119"/>
        <v>0</v>
      </c>
      <c r="S161" s="61" t="str">
        <f t="shared" si="114"/>
        <v/>
      </c>
      <c r="T161" s="14">
        <f t="shared" si="130"/>
        <v>0</v>
      </c>
      <c r="U161" s="58" t="str">
        <f t="shared" si="131"/>
        <v/>
      </c>
      <c r="V161" s="14">
        <f t="shared" si="120"/>
        <v>0</v>
      </c>
      <c r="W161" s="58" t="str">
        <f t="shared" si="132"/>
        <v/>
      </c>
      <c r="X161" s="14">
        <f t="shared" si="121"/>
        <v>0</v>
      </c>
      <c r="Y161" s="58" t="str">
        <f t="shared" si="133"/>
        <v/>
      </c>
      <c r="Z161" s="31">
        <f t="shared" si="122"/>
        <v>0</v>
      </c>
      <c r="AA161" s="21">
        <f t="shared" si="134"/>
        <v>0</v>
      </c>
      <c r="AB161" s="58" t="str">
        <f t="shared" si="135"/>
        <v/>
      </c>
      <c r="AC161" s="630">
        <f t="shared" si="115"/>
        <v>0</v>
      </c>
      <c r="AD161" s="627"/>
      <c r="AE161" s="21">
        <f t="shared" si="136"/>
        <v>0</v>
      </c>
      <c r="AF161" s="58" t="str">
        <f t="shared" si="137"/>
        <v/>
      </c>
      <c r="AG161" s="21">
        <f t="shared" si="138"/>
        <v>0</v>
      </c>
      <c r="AH161" s="58" t="str">
        <f t="shared" si="139"/>
        <v/>
      </c>
      <c r="AI161" s="21">
        <f t="shared" si="140"/>
        <v>0</v>
      </c>
      <c r="AJ161" s="58" t="str">
        <f t="shared" si="141"/>
        <v/>
      </c>
      <c r="AK161" s="31">
        <f t="shared" si="123"/>
        <v>0</v>
      </c>
      <c r="AL161" s="21">
        <f t="shared" si="124"/>
        <v>0</v>
      </c>
      <c r="AM161" s="62" t="str">
        <f t="shared" si="125"/>
        <v/>
      </c>
      <c r="AN161" s="21">
        <f t="shared" si="142"/>
        <v>0</v>
      </c>
      <c r="AO161" s="62" t="str">
        <f t="shared" si="143"/>
        <v/>
      </c>
      <c r="AP161" s="21">
        <f t="shared" si="126"/>
        <v>0</v>
      </c>
      <c r="AQ161" s="62" t="str">
        <f t="shared" si="144"/>
        <v/>
      </c>
      <c r="AR161" s="31">
        <f t="shared" si="127"/>
        <v>0</v>
      </c>
      <c r="AS161" s="21">
        <f t="shared" si="128"/>
        <v>0</v>
      </c>
      <c r="AT161" s="62" t="str">
        <f t="shared" si="145"/>
        <v/>
      </c>
      <c r="AU161" s="84">
        <f t="shared" si="146"/>
        <v>0</v>
      </c>
      <c r="AV161" s="32">
        <f t="shared" si="147"/>
        <v>0</v>
      </c>
      <c r="AW161" s="85" t="str">
        <f t="shared" si="148"/>
        <v/>
      </c>
      <c r="AX161" s="86" t="str">
        <f t="shared" si="106"/>
        <v/>
      </c>
    </row>
    <row r="162" spans="1:50" x14ac:dyDescent="0.2">
      <c r="A162" s="29" t="str">
        <f t="shared" si="150"/>
        <v/>
      </c>
      <c r="B162" s="32" t="str">
        <f t="shared" si="152"/>
        <v/>
      </c>
      <c r="C162" s="35"/>
      <c r="D162" s="33" t="str">
        <f>IF(A162="","",IF(D161="","",D161))</f>
        <v/>
      </c>
      <c r="E162" s="22" t="str">
        <f t="shared" si="149"/>
        <v/>
      </c>
      <c r="F162" s="23" t="str">
        <f t="shared" si="151"/>
        <v/>
      </c>
      <c r="G162" s="23"/>
      <c r="H162" s="22"/>
      <c r="I162" s="23"/>
      <c r="J162" s="18"/>
      <c r="K162" s="13" t="str">
        <f t="shared" si="116"/>
        <v/>
      </c>
      <c r="L162" s="28" t="str">
        <f t="shared" si="117"/>
        <v/>
      </c>
      <c r="M162" s="10" t="str">
        <f t="shared" si="129"/>
        <v/>
      </c>
      <c r="N162" s="17" t="str">
        <f t="shared" si="111"/>
        <v/>
      </c>
      <c r="O162" s="39" t="str">
        <f t="shared" si="118"/>
        <v/>
      </c>
      <c r="P162" s="41" t="str">
        <f t="shared" si="112"/>
        <v/>
      </c>
      <c r="Q162" s="9" t="str">
        <f t="shared" si="113"/>
        <v/>
      </c>
      <c r="R162" s="14">
        <f t="shared" si="119"/>
        <v>0</v>
      </c>
      <c r="S162" s="61" t="str">
        <f t="shared" si="114"/>
        <v/>
      </c>
      <c r="T162" s="14">
        <f t="shared" si="130"/>
        <v>0</v>
      </c>
      <c r="U162" s="58" t="str">
        <f t="shared" si="131"/>
        <v/>
      </c>
      <c r="V162" s="14">
        <f t="shared" si="120"/>
        <v>0</v>
      </c>
      <c r="W162" s="58" t="str">
        <f t="shared" si="132"/>
        <v/>
      </c>
      <c r="X162" s="14">
        <f t="shared" si="121"/>
        <v>0</v>
      </c>
      <c r="Y162" s="58" t="str">
        <f t="shared" si="133"/>
        <v/>
      </c>
      <c r="Z162" s="31">
        <f t="shared" si="122"/>
        <v>0</v>
      </c>
      <c r="AA162" s="21">
        <f t="shared" si="134"/>
        <v>0</v>
      </c>
      <c r="AB162" s="58" t="str">
        <f t="shared" si="135"/>
        <v/>
      </c>
      <c r="AC162" s="630">
        <f t="shared" si="115"/>
        <v>0</v>
      </c>
      <c r="AD162" s="627"/>
      <c r="AE162" s="21">
        <f t="shared" si="136"/>
        <v>0</v>
      </c>
      <c r="AF162" s="58" t="str">
        <f t="shared" si="137"/>
        <v/>
      </c>
      <c r="AG162" s="21">
        <f t="shared" si="138"/>
        <v>0</v>
      </c>
      <c r="AH162" s="58" t="str">
        <f t="shared" si="139"/>
        <v/>
      </c>
      <c r="AI162" s="21">
        <f t="shared" si="140"/>
        <v>0</v>
      </c>
      <c r="AJ162" s="58" t="str">
        <f t="shared" si="141"/>
        <v/>
      </c>
      <c r="AK162" s="31">
        <f t="shared" si="123"/>
        <v>0</v>
      </c>
      <c r="AL162" s="21">
        <f t="shared" si="124"/>
        <v>0</v>
      </c>
      <c r="AM162" s="62" t="str">
        <f t="shared" si="125"/>
        <v/>
      </c>
      <c r="AN162" s="21">
        <f t="shared" si="142"/>
        <v>0</v>
      </c>
      <c r="AO162" s="62" t="str">
        <f t="shared" si="143"/>
        <v/>
      </c>
      <c r="AP162" s="21">
        <f t="shared" si="126"/>
        <v>0</v>
      </c>
      <c r="AQ162" s="62" t="str">
        <f t="shared" si="144"/>
        <v/>
      </c>
      <c r="AR162" s="31">
        <f t="shared" si="127"/>
        <v>0</v>
      </c>
      <c r="AS162" s="21">
        <f t="shared" si="128"/>
        <v>0</v>
      </c>
      <c r="AT162" s="62" t="str">
        <f t="shared" si="145"/>
        <v/>
      </c>
      <c r="AU162" s="84">
        <f t="shared" si="146"/>
        <v>0</v>
      </c>
      <c r="AV162" s="32">
        <f t="shared" si="147"/>
        <v>0</v>
      </c>
      <c r="AW162" s="85" t="str">
        <f t="shared" si="148"/>
        <v/>
      </c>
      <c r="AX162" s="86" t="str">
        <f>IF(A162="","",(L162-AV162))</f>
        <v/>
      </c>
    </row>
    <row r="163" spans="1:50" x14ac:dyDescent="0.2">
      <c r="A163" s="29" t="str">
        <f t="shared" si="150"/>
        <v/>
      </c>
      <c r="B163" s="32" t="str">
        <f t="shared" si="152"/>
        <v/>
      </c>
      <c r="C163" s="35"/>
      <c r="D163" s="33" t="str">
        <f>IF(A163="","",IF(D162="","",D162))</f>
        <v/>
      </c>
      <c r="E163" s="22" t="str">
        <f t="shared" si="149"/>
        <v/>
      </c>
      <c r="F163" s="23" t="str">
        <f t="shared" si="151"/>
        <v/>
      </c>
      <c r="G163" s="23"/>
      <c r="H163" s="22"/>
      <c r="I163" s="23"/>
      <c r="J163" s="18"/>
      <c r="K163" s="13" t="str">
        <f t="shared" si="116"/>
        <v/>
      </c>
      <c r="L163" s="28" t="str">
        <f t="shared" si="117"/>
        <v/>
      </c>
      <c r="M163" s="10" t="str">
        <f t="shared" si="129"/>
        <v/>
      </c>
      <c r="N163" s="17" t="str">
        <f t="shared" si="111"/>
        <v/>
      </c>
      <c r="O163" s="39" t="str">
        <f t="shared" si="118"/>
        <v/>
      </c>
      <c r="P163" s="41" t="str">
        <f t="shared" si="112"/>
        <v/>
      </c>
      <c r="Q163" s="9" t="str">
        <f t="shared" si="113"/>
        <v/>
      </c>
      <c r="R163" s="14">
        <f t="shared" si="119"/>
        <v>0</v>
      </c>
      <c r="S163" s="61" t="str">
        <f t="shared" si="114"/>
        <v/>
      </c>
      <c r="T163" s="14">
        <f t="shared" si="130"/>
        <v>0</v>
      </c>
      <c r="U163" s="58" t="str">
        <f t="shared" si="131"/>
        <v/>
      </c>
      <c r="V163" s="14">
        <f t="shared" si="120"/>
        <v>0</v>
      </c>
      <c r="W163" s="58" t="str">
        <f t="shared" si="132"/>
        <v/>
      </c>
      <c r="X163" s="14">
        <f t="shared" si="121"/>
        <v>0</v>
      </c>
      <c r="Y163" s="58" t="str">
        <f t="shared" si="133"/>
        <v/>
      </c>
      <c r="Z163" s="31">
        <f t="shared" si="122"/>
        <v>0</v>
      </c>
      <c r="AA163" s="21">
        <f t="shared" si="134"/>
        <v>0</v>
      </c>
      <c r="AB163" s="58" t="str">
        <f t="shared" si="135"/>
        <v/>
      </c>
      <c r="AC163" s="630">
        <f t="shared" si="115"/>
        <v>0</v>
      </c>
      <c r="AD163" s="627"/>
      <c r="AE163" s="21">
        <f t="shared" si="136"/>
        <v>0</v>
      </c>
      <c r="AF163" s="58" t="str">
        <f t="shared" si="137"/>
        <v/>
      </c>
      <c r="AG163" s="21">
        <f t="shared" si="138"/>
        <v>0</v>
      </c>
      <c r="AH163" s="58" t="str">
        <f t="shared" si="139"/>
        <v/>
      </c>
      <c r="AI163" s="21">
        <f t="shared" si="140"/>
        <v>0</v>
      </c>
      <c r="AJ163" s="58" t="str">
        <f t="shared" si="141"/>
        <v/>
      </c>
      <c r="AK163" s="31">
        <f t="shared" si="123"/>
        <v>0</v>
      </c>
      <c r="AL163" s="21">
        <f t="shared" si="124"/>
        <v>0</v>
      </c>
      <c r="AM163" s="62" t="str">
        <f t="shared" si="125"/>
        <v/>
      </c>
      <c r="AN163" s="21">
        <f t="shared" si="142"/>
        <v>0</v>
      </c>
      <c r="AO163" s="62" t="str">
        <f t="shared" si="143"/>
        <v/>
      </c>
      <c r="AP163" s="21">
        <f t="shared" si="126"/>
        <v>0</v>
      </c>
      <c r="AQ163" s="62" t="str">
        <f t="shared" si="144"/>
        <v/>
      </c>
      <c r="AR163" s="31">
        <f t="shared" si="127"/>
        <v>0</v>
      </c>
      <c r="AS163" s="21">
        <f t="shared" si="128"/>
        <v>0</v>
      </c>
      <c r="AT163" s="62" t="str">
        <f t="shared" si="145"/>
        <v/>
      </c>
      <c r="AU163" s="84">
        <f t="shared" si="146"/>
        <v>0</v>
      </c>
      <c r="AV163" s="32">
        <f t="shared" si="147"/>
        <v>0</v>
      </c>
      <c r="AW163" s="85" t="str">
        <f t="shared" si="148"/>
        <v/>
      </c>
      <c r="AX163" s="86" t="str">
        <f>IF(A163="","",(L163-AV163))</f>
        <v/>
      </c>
    </row>
    <row r="164" spans="1:50" x14ac:dyDescent="0.2">
      <c r="A164" s="29" t="str">
        <f t="shared" si="150"/>
        <v/>
      </c>
      <c r="B164" s="32" t="str">
        <f t="shared" si="152"/>
        <v/>
      </c>
      <c r="C164" s="35"/>
      <c r="D164" s="33" t="str">
        <f>IF(A164="","",IF(D163="","",D163))</f>
        <v/>
      </c>
      <c r="E164" s="22" t="str">
        <f t="shared" si="149"/>
        <v/>
      </c>
      <c r="F164" s="23" t="str">
        <f t="shared" si="151"/>
        <v/>
      </c>
      <c r="G164" s="23"/>
      <c r="H164" s="22"/>
      <c r="I164" s="23"/>
      <c r="J164" s="18"/>
      <c r="K164" s="13" t="str">
        <f t="shared" si="116"/>
        <v/>
      </c>
      <c r="L164" s="28" t="str">
        <f t="shared" si="117"/>
        <v/>
      </c>
      <c r="M164" s="10" t="str">
        <f t="shared" si="129"/>
        <v/>
      </c>
      <c r="N164" s="17" t="str">
        <f t="shared" si="111"/>
        <v/>
      </c>
      <c r="O164" s="39" t="str">
        <f t="shared" si="118"/>
        <v/>
      </c>
      <c r="P164" s="41" t="str">
        <f t="shared" si="112"/>
        <v/>
      </c>
      <c r="Q164" s="9" t="str">
        <f t="shared" si="113"/>
        <v/>
      </c>
      <c r="R164" s="14">
        <f t="shared" si="119"/>
        <v>0</v>
      </c>
      <c r="S164" s="61" t="str">
        <f t="shared" si="114"/>
        <v/>
      </c>
      <c r="T164" s="14">
        <f t="shared" si="130"/>
        <v>0</v>
      </c>
      <c r="U164" s="58" t="str">
        <f t="shared" si="131"/>
        <v/>
      </c>
      <c r="V164" s="14">
        <f t="shared" si="120"/>
        <v>0</v>
      </c>
      <c r="W164" s="58" t="str">
        <f t="shared" si="132"/>
        <v/>
      </c>
      <c r="X164" s="14">
        <f t="shared" si="121"/>
        <v>0</v>
      </c>
      <c r="Y164" s="58" t="str">
        <f t="shared" si="133"/>
        <v/>
      </c>
      <c r="Z164" s="31">
        <f t="shared" si="122"/>
        <v>0</v>
      </c>
      <c r="AA164" s="21">
        <f t="shared" si="134"/>
        <v>0</v>
      </c>
      <c r="AB164" s="58" t="str">
        <f t="shared" si="135"/>
        <v/>
      </c>
      <c r="AC164" s="630">
        <f t="shared" si="115"/>
        <v>0</v>
      </c>
      <c r="AD164" s="627"/>
      <c r="AE164" s="21">
        <f t="shared" si="136"/>
        <v>0</v>
      </c>
      <c r="AF164" s="58" t="str">
        <f t="shared" si="137"/>
        <v/>
      </c>
      <c r="AG164" s="21">
        <f t="shared" si="138"/>
        <v>0</v>
      </c>
      <c r="AH164" s="58" t="str">
        <f t="shared" si="139"/>
        <v/>
      </c>
      <c r="AI164" s="21">
        <f t="shared" si="140"/>
        <v>0</v>
      </c>
      <c r="AJ164" s="58" t="str">
        <f t="shared" si="141"/>
        <v/>
      </c>
      <c r="AK164" s="31">
        <f t="shared" si="123"/>
        <v>0</v>
      </c>
      <c r="AL164" s="21">
        <f t="shared" si="124"/>
        <v>0</v>
      </c>
      <c r="AM164" s="62" t="str">
        <f t="shared" si="125"/>
        <v/>
      </c>
      <c r="AN164" s="21">
        <f t="shared" si="142"/>
        <v>0</v>
      </c>
      <c r="AO164" s="62" t="str">
        <f t="shared" si="143"/>
        <v/>
      </c>
      <c r="AP164" s="21">
        <f t="shared" si="126"/>
        <v>0</v>
      </c>
      <c r="AQ164" s="62" t="str">
        <f t="shared" si="144"/>
        <v/>
      </c>
      <c r="AR164" s="31">
        <f t="shared" si="127"/>
        <v>0</v>
      </c>
      <c r="AS164" s="21">
        <f t="shared" si="128"/>
        <v>0</v>
      </c>
      <c r="AT164" s="62" t="str">
        <f t="shared" si="145"/>
        <v/>
      </c>
      <c r="AU164" s="84">
        <f t="shared" si="146"/>
        <v>0</v>
      </c>
      <c r="AV164" s="32">
        <f t="shared" si="147"/>
        <v>0</v>
      </c>
      <c r="AW164" s="85" t="str">
        <f t="shared" si="148"/>
        <v/>
      </c>
      <c r="AX164" s="86" t="str">
        <f>IF(A164="","",(L164-AV164))</f>
        <v/>
      </c>
    </row>
    <row r="165" spans="1:50" x14ac:dyDescent="0.2">
      <c r="A165" s="29" t="str">
        <f t="shared" si="150"/>
        <v/>
      </c>
      <c r="B165" s="32" t="str">
        <f t="shared" si="152"/>
        <v/>
      </c>
      <c r="C165" s="35"/>
      <c r="D165" s="33" t="str">
        <f>IF(A165="","",IF(D164="","",D164))</f>
        <v/>
      </c>
      <c r="E165" s="22" t="str">
        <f t="shared" si="149"/>
        <v/>
      </c>
      <c r="F165" s="23" t="str">
        <f t="shared" si="151"/>
        <v/>
      </c>
      <c r="G165" s="23"/>
      <c r="H165" s="22"/>
      <c r="I165" s="23"/>
      <c r="J165" s="18"/>
      <c r="K165" s="13" t="str">
        <f t="shared" si="116"/>
        <v/>
      </c>
      <c r="L165" s="28" t="str">
        <f t="shared" si="117"/>
        <v/>
      </c>
      <c r="M165" s="10" t="str">
        <f t="shared" si="129"/>
        <v/>
      </c>
      <c r="N165" s="17" t="str">
        <f t="shared" si="111"/>
        <v/>
      </c>
      <c r="O165" s="39" t="str">
        <f t="shared" si="118"/>
        <v/>
      </c>
      <c r="P165" s="41" t="str">
        <f t="shared" si="112"/>
        <v/>
      </c>
      <c r="Q165" s="9" t="str">
        <f t="shared" si="113"/>
        <v/>
      </c>
      <c r="R165" s="14">
        <f t="shared" si="119"/>
        <v>0</v>
      </c>
      <c r="S165" s="61" t="str">
        <f t="shared" si="114"/>
        <v/>
      </c>
      <c r="T165" s="14">
        <f t="shared" si="130"/>
        <v>0</v>
      </c>
      <c r="U165" s="58" t="str">
        <f t="shared" si="131"/>
        <v/>
      </c>
      <c r="V165" s="14">
        <f t="shared" si="120"/>
        <v>0</v>
      </c>
      <c r="W165" s="58" t="str">
        <f t="shared" si="132"/>
        <v/>
      </c>
      <c r="X165" s="14">
        <f t="shared" si="121"/>
        <v>0</v>
      </c>
      <c r="Y165" s="58" t="str">
        <f t="shared" si="133"/>
        <v/>
      </c>
      <c r="Z165" s="31">
        <f t="shared" si="122"/>
        <v>0</v>
      </c>
      <c r="AA165" s="21">
        <f t="shared" si="134"/>
        <v>0</v>
      </c>
      <c r="AB165" s="58" t="str">
        <f t="shared" si="135"/>
        <v/>
      </c>
      <c r="AC165" s="630">
        <f t="shared" si="115"/>
        <v>0</v>
      </c>
      <c r="AD165" s="627"/>
      <c r="AE165" s="21">
        <f t="shared" si="136"/>
        <v>0</v>
      </c>
      <c r="AF165" s="58" t="str">
        <f t="shared" si="137"/>
        <v/>
      </c>
      <c r="AG165" s="21">
        <f t="shared" si="138"/>
        <v>0</v>
      </c>
      <c r="AH165" s="58" t="str">
        <f t="shared" si="139"/>
        <v/>
      </c>
      <c r="AI165" s="21">
        <f t="shared" si="140"/>
        <v>0</v>
      </c>
      <c r="AJ165" s="58" t="str">
        <f t="shared" si="141"/>
        <v/>
      </c>
      <c r="AK165" s="31">
        <f t="shared" si="123"/>
        <v>0</v>
      </c>
      <c r="AL165" s="21">
        <f t="shared" si="124"/>
        <v>0</v>
      </c>
      <c r="AM165" s="62" t="str">
        <f t="shared" si="125"/>
        <v/>
      </c>
      <c r="AN165" s="21">
        <f t="shared" si="142"/>
        <v>0</v>
      </c>
      <c r="AO165" s="62" t="str">
        <f t="shared" si="143"/>
        <v/>
      </c>
      <c r="AP165" s="21">
        <f t="shared" si="126"/>
        <v>0</v>
      </c>
      <c r="AQ165" s="62" t="str">
        <f t="shared" si="144"/>
        <v/>
      </c>
      <c r="AR165" s="31">
        <f t="shared" si="127"/>
        <v>0</v>
      </c>
      <c r="AS165" s="21">
        <f t="shared" si="128"/>
        <v>0</v>
      </c>
      <c r="AT165" s="62" t="str">
        <f t="shared" si="145"/>
        <v/>
      </c>
      <c r="AU165" s="84">
        <f t="shared" si="146"/>
        <v>0</v>
      </c>
      <c r="AV165" s="32">
        <f t="shared" si="147"/>
        <v>0</v>
      </c>
      <c r="AW165" s="85" t="str">
        <f t="shared" si="148"/>
        <v/>
      </c>
      <c r="AX165" s="86" t="str">
        <f>IF(A165="","",(L165-AV165))</f>
        <v/>
      </c>
    </row>
    <row r="166" spans="1:50" x14ac:dyDescent="0.2">
      <c r="A166" s="29" t="str">
        <f t="shared" si="150"/>
        <v/>
      </c>
      <c r="B166" s="32" t="str">
        <f t="shared" si="152"/>
        <v/>
      </c>
      <c r="C166" s="35"/>
      <c r="D166" s="33" t="str">
        <f>IF(A166="","",IF(D165="","",D165))</f>
        <v/>
      </c>
      <c r="E166" s="22" t="str">
        <f t="shared" si="149"/>
        <v/>
      </c>
      <c r="F166" s="23" t="str">
        <f t="shared" si="151"/>
        <v/>
      </c>
      <c r="G166" s="23"/>
      <c r="H166" s="22"/>
      <c r="I166" s="23"/>
      <c r="J166" s="18"/>
      <c r="K166" s="13" t="str">
        <f t="shared" si="116"/>
        <v/>
      </c>
      <c r="L166" s="28" t="str">
        <f t="shared" si="117"/>
        <v/>
      </c>
      <c r="M166" s="10" t="str">
        <f t="shared" si="129"/>
        <v/>
      </c>
      <c r="N166" s="17" t="str">
        <f t="shared" si="111"/>
        <v/>
      </c>
      <c r="O166" s="39" t="str">
        <f t="shared" si="118"/>
        <v/>
      </c>
      <c r="P166" s="41" t="str">
        <f t="shared" si="112"/>
        <v/>
      </c>
      <c r="Q166" s="9" t="str">
        <f t="shared" si="113"/>
        <v/>
      </c>
      <c r="R166" s="14">
        <f t="shared" si="119"/>
        <v>0</v>
      </c>
      <c r="S166" s="61" t="str">
        <f t="shared" si="114"/>
        <v/>
      </c>
      <c r="T166" s="14">
        <f t="shared" si="130"/>
        <v>0</v>
      </c>
      <c r="U166" s="58" t="str">
        <f t="shared" si="131"/>
        <v/>
      </c>
      <c r="V166" s="14">
        <f t="shared" si="120"/>
        <v>0</v>
      </c>
      <c r="W166" s="58" t="str">
        <f t="shared" si="132"/>
        <v/>
      </c>
      <c r="X166" s="14">
        <f t="shared" si="121"/>
        <v>0</v>
      </c>
      <c r="Y166" s="58" t="str">
        <f t="shared" si="133"/>
        <v/>
      </c>
      <c r="Z166" s="31">
        <f t="shared" si="122"/>
        <v>0</v>
      </c>
      <c r="AA166" s="21">
        <f t="shared" si="134"/>
        <v>0</v>
      </c>
      <c r="AB166" s="58" t="str">
        <f t="shared" si="135"/>
        <v/>
      </c>
      <c r="AC166" s="630">
        <f t="shared" si="115"/>
        <v>0</v>
      </c>
      <c r="AD166" s="627"/>
      <c r="AE166" s="21">
        <f t="shared" si="136"/>
        <v>0</v>
      </c>
      <c r="AF166" s="58" t="str">
        <f t="shared" si="137"/>
        <v/>
      </c>
      <c r="AG166" s="21">
        <f t="shared" si="138"/>
        <v>0</v>
      </c>
      <c r="AH166" s="58" t="str">
        <f t="shared" si="139"/>
        <v/>
      </c>
      <c r="AI166" s="21">
        <f t="shared" si="140"/>
        <v>0</v>
      </c>
      <c r="AJ166" s="58" t="str">
        <f t="shared" si="141"/>
        <v/>
      </c>
      <c r="AK166" s="31">
        <f t="shared" si="123"/>
        <v>0</v>
      </c>
      <c r="AL166" s="21">
        <f t="shared" si="124"/>
        <v>0</v>
      </c>
      <c r="AM166" s="62" t="str">
        <f t="shared" si="125"/>
        <v/>
      </c>
      <c r="AN166" s="21">
        <f t="shared" si="142"/>
        <v>0</v>
      </c>
      <c r="AO166" s="62" t="str">
        <f t="shared" si="143"/>
        <v/>
      </c>
      <c r="AP166" s="21">
        <f t="shared" si="126"/>
        <v>0</v>
      </c>
      <c r="AQ166" s="62" t="str">
        <f t="shared" si="144"/>
        <v/>
      </c>
      <c r="AR166" s="31">
        <f t="shared" si="127"/>
        <v>0</v>
      </c>
      <c r="AS166" s="21">
        <f t="shared" si="128"/>
        <v>0</v>
      </c>
      <c r="AT166" s="62" t="str">
        <f t="shared" si="145"/>
        <v/>
      </c>
      <c r="AU166" s="84">
        <f t="shared" si="146"/>
        <v>0</v>
      </c>
      <c r="AV166" s="32">
        <f t="shared" si="147"/>
        <v>0</v>
      </c>
      <c r="AW166" s="85" t="str">
        <f t="shared" si="148"/>
        <v/>
      </c>
      <c r="AX166" s="86" t="str">
        <f>IF(A166="","",(L166-AV166))</f>
        <v/>
      </c>
    </row>
    <row r="167" spans="1:50" x14ac:dyDescent="0.2">
      <c r="A167" s="29" t="str">
        <f t="shared" ref="A167:A230" si="153">IF(A166="","",IF(C167="","",A166))</f>
        <v/>
      </c>
      <c r="B167" s="32" t="str">
        <f t="shared" ref="B167:B230" si="154">IF(B166="","",IF(C167="","",B166))</f>
        <v/>
      </c>
      <c r="C167" s="35"/>
      <c r="D167" s="33" t="str">
        <f t="shared" ref="D167:D230" si="155">IF(A167="","",IF(D166="","",D166))</f>
        <v/>
      </c>
      <c r="E167" s="22" t="str">
        <f t="shared" ref="E167:E230" si="156">IF(A167="","",IF(E166="","",E166))</f>
        <v/>
      </c>
      <c r="F167" s="23" t="str">
        <f t="shared" ref="F167:F230" si="157">IF(A167="","",IF(F166="","",F166))</f>
        <v/>
      </c>
      <c r="G167" s="23"/>
      <c r="H167" s="22"/>
      <c r="I167" s="23"/>
      <c r="J167" s="18"/>
      <c r="K167" s="13" t="str">
        <f t="shared" ref="K167:K230" si="158">IF($N$4="M",IF(A167="","",IF(D167=6,16,IF(A167&lt;=$M$5,26,IF(A167&lt;=$M$6,24,IF(A167&lt;=$M$7,22,IF(A167&lt;=$M$8,20,18)))))),IF(A167="","",IF(D167=6,16,IF(A167&lt;=$P$5,26,IF(A167&lt;=$P$6,24,IF(A167&lt;=$P$7,22,IF(A167&lt;=$P$8,20,18)))))))</f>
        <v/>
      </c>
      <c r="L167" s="28" t="str">
        <f t="shared" si="117"/>
        <v/>
      </c>
      <c r="M167" s="10" t="str">
        <f t="shared" ref="M167:M230" si="159">IF(D167=1,0.5,IF(D167=2,"1 F",IF(D167=21,"1 R",IF(D167=3,2,""))))</f>
        <v/>
      </c>
      <c r="N167" s="17" t="str">
        <f t="shared" ref="N167:N230" si="160">IF(M167="","",IF($N$4="M",(A167+B167+Q167)*C167*0.022,(A167+B167+Q167)*C167*0.17))</f>
        <v/>
      </c>
      <c r="O167" s="39" t="str">
        <f t="shared" ref="O167:O230" si="161">IF(D167=4,1,IF(D167=5,2,""))</f>
        <v/>
      </c>
      <c r="P167" s="41" t="str">
        <f t="shared" ref="P167:P230" si="162">IF(O167="","",IF($N$4="M",IF(O167=1,(A167+B167+Q167)*C167*0.022*1.1,(A167+B167+Q167)*C167*0.022*1.15),IF(O167=1,(A167+B167+Q167)*C167*0.17*1.1,(A167+B167+Q167)*C167*0.17*1.15)))</f>
        <v/>
      </c>
      <c r="Q167" s="9" t="str">
        <f t="shared" ref="Q167:Q230" si="163">IF($N$4="M",IF(A167="","",IF(D167=1,50,IF(D167=2,100,IF(D167=21,100,IF(D167=3,200,0))))),IF(A167="","",IF(D167=1,2,IF(D167=2,4,IF(D167=21,4,IF(D167=3,8,0))))))</f>
        <v/>
      </c>
      <c r="R167" s="14">
        <f t="shared" ref="R167:R230" si="164">COUNTIF(G167:J167,7)</f>
        <v>0</v>
      </c>
      <c r="S167" s="61" t="str">
        <f t="shared" ref="S167:S230" si="165">IF(A167="","",IF($N$4="M",A167*B167*0.000011111*R167*1.5,A167*B167/144*R167*1.5))</f>
        <v/>
      </c>
      <c r="T167" s="14">
        <f t="shared" ref="T167:T230" si="166">COUNTIF(G167:J167,71)</f>
        <v>0</v>
      </c>
      <c r="U167" s="58" t="str">
        <f t="shared" ref="U167:U230" si="167">IF(A167="","",IF($N$4="M",A167*B167*0.000011111*T167*1.5,A167*B167/144*T167*1.5))</f>
        <v/>
      </c>
      <c r="V167" s="14">
        <f t="shared" ref="V167:V230" si="168">COUNTIF(G167:J167,8)</f>
        <v>0</v>
      </c>
      <c r="W167" s="58" t="str">
        <f t="shared" ref="W167:W230" si="169">IF(A167="","",IF($N$4="M",(A167+B167)*2*0.0032808*V167,(A167+B167)*2*V167/12))</f>
        <v/>
      </c>
      <c r="X167" s="14">
        <f t="shared" ref="X167:X230" si="170">COUNTIF(G167:J167,81)</f>
        <v>0</v>
      </c>
      <c r="Y167" s="58" t="str">
        <f t="shared" ref="Y167:Y230" si="171">IF(A167="","",IF($N$4="M",(A167+B167)*2*0.0032808*X167,(A167+B167)*2*X167/12))</f>
        <v/>
      </c>
      <c r="Z167" s="31">
        <f t="shared" ref="Z167:Z230" si="172">COUNTIF(G167:J167,9)</f>
        <v>0</v>
      </c>
      <c r="AA167" s="21">
        <f t="shared" ref="AA167:AA230" si="173">COUNTIF(G167:J167,10)</f>
        <v>0</v>
      </c>
      <c r="AB167" s="58" t="str">
        <f t="shared" ref="AB167:AB230" si="174">IF(A167="","",IF($N$4="M",(A167+B167)*2*0.0032808*AA167,(A167+B167)*2*AA167/12))</f>
        <v/>
      </c>
      <c r="AC167" s="630">
        <f t="shared" si="115"/>
        <v>0</v>
      </c>
      <c r="AD167" s="627"/>
      <c r="AE167" s="21">
        <f t="shared" ref="AE167:AE230" si="175">COUNTIF(G167:J167,11)</f>
        <v>0</v>
      </c>
      <c r="AF167" s="58" t="str">
        <f t="shared" ref="AF167:AF230" si="176">IF(A167="","",IF($N$4="M",A167*B167*0.000011111*AE167,A167*B167/144*AE167))</f>
        <v/>
      </c>
      <c r="AG167" s="21">
        <f t="shared" ref="AG167:AG230" si="177">COUNTIF(G167:J167,111)</f>
        <v>0</v>
      </c>
      <c r="AH167" s="58" t="str">
        <f t="shared" ref="AH167:AH230" si="178">IF(A167="","",IF($N$4="M",A167*B167*0.000011111*AG167,A167*B167/144*AG167))</f>
        <v/>
      </c>
      <c r="AI167" s="21">
        <f t="shared" ref="AI167:AI230" si="179">COUNTIF(G167:J167,12)</f>
        <v>0</v>
      </c>
      <c r="AJ167" s="58" t="str">
        <f t="shared" ref="AJ167:AJ230" si="180">IF(A167="","",IF($N$4="M",A167*B167*0.000011111*AI167,A167*B167/144*AI167))</f>
        <v/>
      </c>
      <c r="AK167" s="31">
        <f t="shared" ref="AK167:AK230" si="181">COUNTIF(G167:J167,13)</f>
        <v>0</v>
      </c>
      <c r="AL167" s="21">
        <f t="shared" ref="AL167:AL230" si="182">COUNTIF(G167:J167,131)</f>
        <v>0</v>
      </c>
      <c r="AM167" s="62" t="str">
        <f t="shared" ref="AM167:AM230" si="183">IF(A167="","",IF($N$4="M",A167*B167*0.000011111*AL167,A167*B167/144*AL167))</f>
        <v/>
      </c>
      <c r="AN167" s="21">
        <f t="shared" ref="AN167:AN230" si="184">COUNTIF(G167:J167,14)</f>
        <v>0</v>
      </c>
      <c r="AO167" s="62" t="str">
        <f t="shared" ref="AO167:AO230" si="185">IF(A167="","",IF($N$4="M",A167*B167*0.000011111*AN167,A167*B167/144*AN167))</f>
        <v/>
      </c>
      <c r="AP167" s="21">
        <f t="shared" ref="AP167:AP230" si="186">COUNTIF(G167:J167,141)</f>
        <v>0</v>
      </c>
      <c r="AQ167" s="62" t="str">
        <f t="shared" ref="AQ167:AQ230" si="187">IF(A167="","",IF($N$4="M",A167*B167*0.000011111*AP167,A167*B167/144*AP167))</f>
        <v/>
      </c>
      <c r="AR167" s="31">
        <f t="shared" ref="AR167:AR230" si="188">COUNTIF(G167:J167,15)</f>
        <v>0</v>
      </c>
      <c r="AS167" s="21">
        <f t="shared" ref="AS167:AS230" si="189">COUNTIF(G167:J167,16)</f>
        <v>0</v>
      </c>
      <c r="AT167" s="62" t="str">
        <f t="shared" ref="AT167:AT230" si="190">IF(A167="","",IF($N$4="M",A167*B167*0.000011111*AS167,A167*B167/144*AS167))</f>
        <v/>
      </c>
      <c r="AU167" s="84">
        <f t="shared" ref="AU167:AU230" si="191">IF(D167=61,C167,0)</f>
        <v>0</v>
      </c>
      <c r="AV167" s="32">
        <f t="shared" ref="AV167:AV230" si="192">IF(D167=61,L167,0)</f>
        <v>0</v>
      </c>
      <c r="AW167" s="85" t="str">
        <f t="shared" ref="AW167:AW230" si="193">IF(A167="","",(C167-AU167))</f>
        <v/>
      </c>
      <c r="AX167" s="86" t="str">
        <f t="shared" ref="AX167:AX230" si="194">IF(A167="","",(L167-AV167))</f>
        <v/>
      </c>
    </row>
    <row r="168" spans="1:50" x14ac:dyDescent="0.2">
      <c r="A168" s="29" t="str">
        <f t="shared" si="153"/>
        <v/>
      </c>
      <c r="B168" s="32" t="str">
        <f t="shared" si="154"/>
        <v/>
      </c>
      <c r="C168" s="35"/>
      <c r="D168" s="33" t="str">
        <f t="shared" si="155"/>
        <v/>
      </c>
      <c r="E168" s="22" t="str">
        <f t="shared" si="156"/>
        <v/>
      </c>
      <c r="F168" s="23" t="str">
        <f t="shared" si="157"/>
        <v/>
      </c>
      <c r="G168" s="23"/>
      <c r="H168" s="22"/>
      <c r="I168" s="23"/>
      <c r="J168" s="18"/>
      <c r="K168" s="13" t="str">
        <f t="shared" si="158"/>
        <v/>
      </c>
      <c r="L168" s="28" t="str">
        <f t="shared" si="117"/>
        <v/>
      </c>
      <c r="M168" s="10" t="str">
        <f t="shared" si="159"/>
        <v/>
      </c>
      <c r="N168" s="17" t="str">
        <f t="shared" si="160"/>
        <v/>
      </c>
      <c r="O168" s="39" t="str">
        <f t="shared" si="161"/>
        <v/>
      </c>
      <c r="P168" s="41" t="str">
        <f t="shared" si="162"/>
        <v/>
      </c>
      <c r="Q168" s="9" t="str">
        <f t="shared" si="163"/>
        <v/>
      </c>
      <c r="R168" s="14">
        <f t="shared" si="164"/>
        <v>0</v>
      </c>
      <c r="S168" s="61" t="str">
        <f t="shared" si="165"/>
        <v/>
      </c>
      <c r="T168" s="14">
        <f t="shared" si="166"/>
        <v>0</v>
      </c>
      <c r="U168" s="58" t="str">
        <f t="shared" si="167"/>
        <v/>
      </c>
      <c r="V168" s="14">
        <f t="shared" si="168"/>
        <v>0</v>
      </c>
      <c r="W168" s="58" t="str">
        <f t="shared" si="169"/>
        <v/>
      </c>
      <c r="X168" s="14">
        <f t="shared" si="170"/>
        <v>0</v>
      </c>
      <c r="Y168" s="58" t="str">
        <f t="shared" si="171"/>
        <v/>
      </c>
      <c r="Z168" s="31">
        <f t="shared" si="172"/>
        <v>0</v>
      </c>
      <c r="AA168" s="21">
        <f t="shared" si="173"/>
        <v>0</v>
      </c>
      <c r="AB168" s="58" t="str">
        <f t="shared" si="174"/>
        <v/>
      </c>
      <c r="AC168" s="630">
        <f t="shared" si="115"/>
        <v>0</v>
      </c>
      <c r="AD168" s="627"/>
      <c r="AE168" s="21">
        <f t="shared" si="175"/>
        <v>0</v>
      </c>
      <c r="AF168" s="58" t="str">
        <f t="shared" si="176"/>
        <v/>
      </c>
      <c r="AG168" s="21">
        <f t="shared" si="177"/>
        <v>0</v>
      </c>
      <c r="AH168" s="58" t="str">
        <f t="shared" si="178"/>
        <v/>
      </c>
      <c r="AI168" s="21">
        <f t="shared" si="179"/>
        <v>0</v>
      </c>
      <c r="AJ168" s="58" t="str">
        <f t="shared" si="180"/>
        <v/>
      </c>
      <c r="AK168" s="31">
        <f t="shared" si="181"/>
        <v>0</v>
      </c>
      <c r="AL168" s="21">
        <f t="shared" si="182"/>
        <v>0</v>
      </c>
      <c r="AM168" s="62" t="str">
        <f t="shared" si="183"/>
        <v/>
      </c>
      <c r="AN168" s="21">
        <f t="shared" si="184"/>
        <v>0</v>
      </c>
      <c r="AO168" s="62" t="str">
        <f t="shared" si="185"/>
        <v/>
      </c>
      <c r="AP168" s="21">
        <f t="shared" si="186"/>
        <v>0</v>
      </c>
      <c r="AQ168" s="62" t="str">
        <f t="shared" si="187"/>
        <v/>
      </c>
      <c r="AR168" s="31">
        <f t="shared" si="188"/>
        <v>0</v>
      </c>
      <c r="AS168" s="21">
        <f t="shared" si="189"/>
        <v>0</v>
      </c>
      <c r="AT168" s="62" t="str">
        <f t="shared" si="190"/>
        <v/>
      </c>
      <c r="AU168" s="84">
        <f t="shared" si="191"/>
        <v>0</v>
      </c>
      <c r="AV168" s="32">
        <f t="shared" si="192"/>
        <v>0</v>
      </c>
      <c r="AW168" s="85" t="str">
        <f t="shared" si="193"/>
        <v/>
      </c>
      <c r="AX168" s="86" t="str">
        <f t="shared" si="194"/>
        <v/>
      </c>
    </row>
    <row r="169" spans="1:50" x14ac:dyDescent="0.2">
      <c r="A169" s="29" t="str">
        <f t="shared" si="153"/>
        <v/>
      </c>
      <c r="B169" s="32" t="str">
        <f t="shared" si="154"/>
        <v/>
      </c>
      <c r="C169" s="35"/>
      <c r="D169" s="33" t="str">
        <f t="shared" si="155"/>
        <v/>
      </c>
      <c r="E169" s="22" t="str">
        <f t="shared" si="156"/>
        <v/>
      </c>
      <c r="F169" s="23" t="str">
        <f t="shared" si="157"/>
        <v/>
      </c>
      <c r="G169" s="23"/>
      <c r="H169" s="22"/>
      <c r="I169" s="23"/>
      <c r="J169" s="18"/>
      <c r="K169" s="13" t="str">
        <f t="shared" si="158"/>
        <v/>
      </c>
      <c r="L169" s="28" t="str">
        <f t="shared" si="117"/>
        <v/>
      </c>
      <c r="M169" s="10" t="str">
        <f t="shared" si="159"/>
        <v/>
      </c>
      <c r="N169" s="17" t="str">
        <f t="shared" si="160"/>
        <v/>
      </c>
      <c r="O169" s="39" t="str">
        <f t="shared" si="161"/>
        <v/>
      </c>
      <c r="P169" s="41" t="str">
        <f t="shared" si="162"/>
        <v/>
      </c>
      <c r="Q169" s="9" t="str">
        <f t="shared" si="163"/>
        <v/>
      </c>
      <c r="R169" s="14">
        <f t="shared" si="164"/>
        <v>0</v>
      </c>
      <c r="S169" s="61" t="str">
        <f t="shared" si="165"/>
        <v/>
      </c>
      <c r="T169" s="14">
        <f t="shared" si="166"/>
        <v>0</v>
      </c>
      <c r="U169" s="58" t="str">
        <f t="shared" si="167"/>
        <v/>
      </c>
      <c r="V169" s="14">
        <f t="shared" si="168"/>
        <v>0</v>
      </c>
      <c r="W169" s="58" t="str">
        <f t="shared" si="169"/>
        <v/>
      </c>
      <c r="X169" s="14">
        <f t="shared" si="170"/>
        <v>0</v>
      </c>
      <c r="Y169" s="58" t="str">
        <f t="shared" si="171"/>
        <v/>
      </c>
      <c r="Z169" s="31">
        <f t="shared" si="172"/>
        <v>0</v>
      </c>
      <c r="AA169" s="21">
        <f t="shared" si="173"/>
        <v>0</v>
      </c>
      <c r="AB169" s="58" t="str">
        <f t="shared" si="174"/>
        <v/>
      </c>
      <c r="AC169" s="630">
        <f t="shared" si="115"/>
        <v>0</v>
      </c>
      <c r="AD169" s="627"/>
      <c r="AE169" s="21">
        <f t="shared" si="175"/>
        <v>0</v>
      </c>
      <c r="AF169" s="58" t="str">
        <f t="shared" si="176"/>
        <v/>
      </c>
      <c r="AG169" s="21">
        <f t="shared" si="177"/>
        <v>0</v>
      </c>
      <c r="AH169" s="58" t="str">
        <f t="shared" si="178"/>
        <v/>
      </c>
      <c r="AI169" s="21">
        <f t="shared" si="179"/>
        <v>0</v>
      </c>
      <c r="AJ169" s="58" t="str">
        <f t="shared" si="180"/>
        <v/>
      </c>
      <c r="AK169" s="31">
        <f t="shared" si="181"/>
        <v>0</v>
      </c>
      <c r="AL169" s="21">
        <f t="shared" si="182"/>
        <v>0</v>
      </c>
      <c r="AM169" s="62" t="str">
        <f t="shared" si="183"/>
        <v/>
      </c>
      <c r="AN169" s="21">
        <f t="shared" si="184"/>
        <v>0</v>
      </c>
      <c r="AO169" s="62" t="str">
        <f t="shared" si="185"/>
        <v/>
      </c>
      <c r="AP169" s="21">
        <f t="shared" si="186"/>
        <v>0</v>
      </c>
      <c r="AQ169" s="62" t="str">
        <f t="shared" si="187"/>
        <v/>
      </c>
      <c r="AR169" s="31">
        <f t="shared" si="188"/>
        <v>0</v>
      </c>
      <c r="AS169" s="21">
        <f t="shared" si="189"/>
        <v>0</v>
      </c>
      <c r="AT169" s="62" t="str">
        <f t="shared" si="190"/>
        <v/>
      </c>
      <c r="AU169" s="84">
        <f t="shared" si="191"/>
        <v>0</v>
      </c>
      <c r="AV169" s="32">
        <f t="shared" si="192"/>
        <v>0</v>
      </c>
      <c r="AW169" s="85" t="str">
        <f t="shared" si="193"/>
        <v/>
      </c>
      <c r="AX169" s="86" t="str">
        <f t="shared" si="194"/>
        <v/>
      </c>
    </row>
    <row r="170" spans="1:50" x14ac:dyDescent="0.2">
      <c r="A170" s="29" t="str">
        <f t="shared" si="153"/>
        <v/>
      </c>
      <c r="B170" s="32" t="str">
        <f t="shared" si="154"/>
        <v/>
      </c>
      <c r="C170" s="35"/>
      <c r="D170" s="33" t="str">
        <f t="shared" si="155"/>
        <v/>
      </c>
      <c r="E170" s="22" t="str">
        <f t="shared" si="156"/>
        <v/>
      </c>
      <c r="F170" s="23" t="str">
        <f t="shared" si="157"/>
        <v/>
      </c>
      <c r="G170" s="23"/>
      <c r="H170" s="22"/>
      <c r="I170" s="23"/>
      <c r="J170" s="18"/>
      <c r="K170" s="13" t="str">
        <f t="shared" si="158"/>
        <v/>
      </c>
      <c r="L170" s="28" t="str">
        <f t="shared" si="117"/>
        <v/>
      </c>
      <c r="M170" s="10" t="str">
        <f t="shared" si="159"/>
        <v/>
      </c>
      <c r="N170" s="17" t="str">
        <f t="shared" si="160"/>
        <v/>
      </c>
      <c r="O170" s="39" t="str">
        <f t="shared" si="161"/>
        <v/>
      </c>
      <c r="P170" s="41" t="str">
        <f t="shared" si="162"/>
        <v/>
      </c>
      <c r="Q170" s="9" t="str">
        <f t="shared" si="163"/>
        <v/>
      </c>
      <c r="R170" s="14">
        <f t="shared" si="164"/>
        <v>0</v>
      </c>
      <c r="S170" s="61" t="str">
        <f t="shared" si="165"/>
        <v/>
      </c>
      <c r="T170" s="14">
        <f t="shared" si="166"/>
        <v>0</v>
      </c>
      <c r="U170" s="58" t="str">
        <f t="shared" si="167"/>
        <v/>
      </c>
      <c r="V170" s="14">
        <f t="shared" si="168"/>
        <v>0</v>
      </c>
      <c r="W170" s="58" t="str">
        <f t="shared" si="169"/>
        <v/>
      </c>
      <c r="X170" s="14">
        <f t="shared" si="170"/>
        <v>0</v>
      </c>
      <c r="Y170" s="58" t="str">
        <f t="shared" si="171"/>
        <v/>
      </c>
      <c r="Z170" s="31">
        <f t="shared" si="172"/>
        <v>0</v>
      </c>
      <c r="AA170" s="21">
        <f t="shared" si="173"/>
        <v>0</v>
      </c>
      <c r="AB170" s="58" t="str">
        <f t="shared" si="174"/>
        <v/>
      </c>
      <c r="AC170" s="630">
        <f t="shared" si="115"/>
        <v>0</v>
      </c>
      <c r="AD170" s="627"/>
      <c r="AE170" s="21">
        <f t="shared" si="175"/>
        <v>0</v>
      </c>
      <c r="AF170" s="58" t="str">
        <f t="shared" si="176"/>
        <v/>
      </c>
      <c r="AG170" s="21">
        <f t="shared" si="177"/>
        <v>0</v>
      </c>
      <c r="AH170" s="58" t="str">
        <f t="shared" si="178"/>
        <v/>
      </c>
      <c r="AI170" s="21">
        <f t="shared" si="179"/>
        <v>0</v>
      </c>
      <c r="AJ170" s="58" t="str">
        <f t="shared" si="180"/>
        <v/>
      </c>
      <c r="AK170" s="31">
        <f t="shared" si="181"/>
        <v>0</v>
      </c>
      <c r="AL170" s="21">
        <f t="shared" si="182"/>
        <v>0</v>
      </c>
      <c r="AM170" s="62" t="str">
        <f t="shared" si="183"/>
        <v/>
      </c>
      <c r="AN170" s="21">
        <f t="shared" si="184"/>
        <v>0</v>
      </c>
      <c r="AO170" s="62" t="str">
        <f t="shared" si="185"/>
        <v/>
      </c>
      <c r="AP170" s="21">
        <f t="shared" si="186"/>
        <v>0</v>
      </c>
      <c r="AQ170" s="62" t="str">
        <f t="shared" si="187"/>
        <v/>
      </c>
      <c r="AR170" s="31">
        <f t="shared" si="188"/>
        <v>0</v>
      </c>
      <c r="AS170" s="21">
        <f t="shared" si="189"/>
        <v>0</v>
      </c>
      <c r="AT170" s="62" t="str">
        <f t="shared" si="190"/>
        <v/>
      </c>
      <c r="AU170" s="84">
        <f t="shared" si="191"/>
        <v>0</v>
      </c>
      <c r="AV170" s="32">
        <f t="shared" si="192"/>
        <v>0</v>
      </c>
      <c r="AW170" s="85" t="str">
        <f t="shared" si="193"/>
        <v/>
      </c>
      <c r="AX170" s="86" t="str">
        <f t="shared" si="194"/>
        <v/>
      </c>
    </row>
    <row r="171" spans="1:50" x14ac:dyDescent="0.2">
      <c r="A171" s="29" t="str">
        <f t="shared" si="153"/>
        <v/>
      </c>
      <c r="B171" s="32" t="str">
        <f t="shared" si="154"/>
        <v/>
      </c>
      <c r="C171" s="35"/>
      <c r="D171" s="33" t="str">
        <f t="shared" si="155"/>
        <v/>
      </c>
      <c r="E171" s="22" t="str">
        <f t="shared" si="156"/>
        <v/>
      </c>
      <c r="F171" s="23" t="str">
        <f t="shared" si="157"/>
        <v/>
      </c>
      <c r="G171" s="23"/>
      <c r="H171" s="22"/>
      <c r="I171" s="23"/>
      <c r="J171" s="18"/>
      <c r="K171" s="13" t="str">
        <f t="shared" si="158"/>
        <v/>
      </c>
      <c r="L171" s="28" t="str">
        <f t="shared" si="117"/>
        <v/>
      </c>
      <c r="M171" s="10" t="str">
        <f t="shared" si="159"/>
        <v/>
      </c>
      <c r="N171" s="17" t="str">
        <f t="shared" si="160"/>
        <v/>
      </c>
      <c r="O171" s="39" t="str">
        <f t="shared" si="161"/>
        <v/>
      </c>
      <c r="P171" s="41" t="str">
        <f t="shared" si="162"/>
        <v/>
      </c>
      <c r="Q171" s="9" t="str">
        <f t="shared" si="163"/>
        <v/>
      </c>
      <c r="R171" s="14">
        <f t="shared" si="164"/>
        <v>0</v>
      </c>
      <c r="S171" s="61" t="str">
        <f t="shared" si="165"/>
        <v/>
      </c>
      <c r="T171" s="14">
        <f t="shared" si="166"/>
        <v>0</v>
      </c>
      <c r="U171" s="58" t="str">
        <f t="shared" si="167"/>
        <v/>
      </c>
      <c r="V171" s="14">
        <f t="shared" si="168"/>
        <v>0</v>
      </c>
      <c r="W171" s="58" t="str">
        <f t="shared" si="169"/>
        <v/>
      </c>
      <c r="X171" s="14">
        <f t="shared" si="170"/>
        <v>0</v>
      </c>
      <c r="Y171" s="58" t="str">
        <f t="shared" si="171"/>
        <v/>
      </c>
      <c r="Z171" s="31">
        <f t="shared" si="172"/>
        <v>0</v>
      </c>
      <c r="AA171" s="21">
        <f t="shared" si="173"/>
        <v>0</v>
      </c>
      <c r="AB171" s="58" t="str">
        <f t="shared" si="174"/>
        <v/>
      </c>
      <c r="AC171" s="630">
        <f t="shared" si="115"/>
        <v>0</v>
      </c>
      <c r="AD171" s="627"/>
      <c r="AE171" s="21">
        <f t="shared" si="175"/>
        <v>0</v>
      </c>
      <c r="AF171" s="58" t="str">
        <f t="shared" si="176"/>
        <v/>
      </c>
      <c r="AG171" s="21">
        <f t="shared" si="177"/>
        <v>0</v>
      </c>
      <c r="AH171" s="58" t="str">
        <f t="shared" si="178"/>
        <v/>
      </c>
      <c r="AI171" s="21">
        <f t="shared" si="179"/>
        <v>0</v>
      </c>
      <c r="AJ171" s="58" t="str">
        <f t="shared" si="180"/>
        <v/>
      </c>
      <c r="AK171" s="31">
        <f t="shared" si="181"/>
        <v>0</v>
      </c>
      <c r="AL171" s="21">
        <f t="shared" si="182"/>
        <v>0</v>
      </c>
      <c r="AM171" s="62" t="str">
        <f t="shared" si="183"/>
        <v/>
      </c>
      <c r="AN171" s="21">
        <f t="shared" si="184"/>
        <v>0</v>
      </c>
      <c r="AO171" s="62" t="str">
        <f t="shared" si="185"/>
        <v/>
      </c>
      <c r="AP171" s="21">
        <f t="shared" si="186"/>
        <v>0</v>
      </c>
      <c r="AQ171" s="62" t="str">
        <f t="shared" si="187"/>
        <v/>
      </c>
      <c r="AR171" s="31">
        <f t="shared" si="188"/>
        <v>0</v>
      </c>
      <c r="AS171" s="21">
        <f t="shared" si="189"/>
        <v>0</v>
      </c>
      <c r="AT171" s="62" t="str">
        <f t="shared" si="190"/>
        <v/>
      </c>
      <c r="AU171" s="84">
        <f t="shared" si="191"/>
        <v>0</v>
      </c>
      <c r="AV171" s="32">
        <f t="shared" si="192"/>
        <v>0</v>
      </c>
      <c r="AW171" s="85" t="str">
        <f t="shared" si="193"/>
        <v/>
      </c>
      <c r="AX171" s="86" t="str">
        <f t="shared" si="194"/>
        <v/>
      </c>
    </row>
    <row r="172" spans="1:50" x14ac:dyDescent="0.2">
      <c r="A172" s="29" t="str">
        <f t="shared" si="153"/>
        <v/>
      </c>
      <c r="B172" s="32" t="str">
        <f t="shared" si="154"/>
        <v/>
      </c>
      <c r="C172" s="35"/>
      <c r="D172" s="33" t="str">
        <f t="shared" si="155"/>
        <v/>
      </c>
      <c r="E172" s="22" t="str">
        <f t="shared" si="156"/>
        <v/>
      </c>
      <c r="F172" s="23" t="str">
        <f t="shared" si="157"/>
        <v/>
      </c>
      <c r="G172" s="23"/>
      <c r="H172" s="22"/>
      <c r="I172" s="23"/>
      <c r="J172" s="18"/>
      <c r="K172" s="13" t="str">
        <f t="shared" si="158"/>
        <v/>
      </c>
      <c r="L172" s="28" t="str">
        <f t="shared" si="117"/>
        <v/>
      </c>
      <c r="M172" s="10" t="str">
        <f t="shared" si="159"/>
        <v/>
      </c>
      <c r="N172" s="17" t="str">
        <f t="shared" si="160"/>
        <v/>
      </c>
      <c r="O172" s="39" t="str">
        <f t="shared" si="161"/>
        <v/>
      </c>
      <c r="P172" s="41" t="str">
        <f t="shared" si="162"/>
        <v/>
      </c>
      <c r="Q172" s="9" t="str">
        <f t="shared" si="163"/>
        <v/>
      </c>
      <c r="R172" s="14">
        <f t="shared" si="164"/>
        <v>0</v>
      </c>
      <c r="S172" s="61" t="str">
        <f t="shared" si="165"/>
        <v/>
      </c>
      <c r="T172" s="14">
        <f t="shared" si="166"/>
        <v>0</v>
      </c>
      <c r="U172" s="58" t="str">
        <f t="shared" si="167"/>
        <v/>
      </c>
      <c r="V172" s="14">
        <f t="shared" si="168"/>
        <v>0</v>
      </c>
      <c r="W172" s="58" t="str">
        <f t="shared" si="169"/>
        <v/>
      </c>
      <c r="X172" s="14">
        <f t="shared" si="170"/>
        <v>0</v>
      </c>
      <c r="Y172" s="58" t="str">
        <f t="shared" si="171"/>
        <v/>
      </c>
      <c r="Z172" s="31">
        <f t="shared" si="172"/>
        <v>0</v>
      </c>
      <c r="AA172" s="21">
        <f t="shared" si="173"/>
        <v>0</v>
      </c>
      <c r="AB172" s="58" t="str">
        <f t="shared" si="174"/>
        <v/>
      </c>
      <c r="AC172" s="630">
        <f t="shared" si="115"/>
        <v>0</v>
      </c>
      <c r="AD172" s="627"/>
      <c r="AE172" s="21">
        <f t="shared" si="175"/>
        <v>0</v>
      </c>
      <c r="AF172" s="58" t="str">
        <f t="shared" si="176"/>
        <v/>
      </c>
      <c r="AG172" s="21">
        <f t="shared" si="177"/>
        <v>0</v>
      </c>
      <c r="AH172" s="58" t="str">
        <f t="shared" si="178"/>
        <v/>
      </c>
      <c r="AI172" s="21">
        <f t="shared" si="179"/>
        <v>0</v>
      </c>
      <c r="AJ172" s="58" t="str">
        <f t="shared" si="180"/>
        <v/>
      </c>
      <c r="AK172" s="31">
        <f t="shared" si="181"/>
        <v>0</v>
      </c>
      <c r="AL172" s="21">
        <f t="shared" si="182"/>
        <v>0</v>
      </c>
      <c r="AM172" s="62" t="str">
        <f t="shared" si="183"/>
        <v/>
      </c>
      <c r="AN172" s="21">
        <f t="shared" si="184"/>
        <v>0</v>
      </c>
      <c r="AO172" s="62" t="str">
        <f t="shared" si="185"/>
        <v/>
      </c>
      <c r="AP172" s="21">
        <f t="shared" si="186"/>
        <v>0</v>
      </c>
      <c r="AQ172" s="62" t="str">
        <f t="shared" si="187"/>
        <v/>
      </c>
      <c r="AR172" s="31">
        <f t="shared" si="188"/>
        <v>0</v>
      </c>
      <c r="AS172" s="21">
        <f t="shared" si="189"/>
        <v>0</v>
      </c>
      <c r="AT172" s="62" t="str">
        <f t="shared" si="190"/>
        <v/>
      </c>
      <c r="AU172" s="84">
        <f t="shared" si="191"/>
        <v>0</v>
      </c>
      <c r="AV172" s="32">
        <f t="shared" si="192"/>
        <v>0</v>
      </c>
      <c r="AW172" s="85" t="str">
        <f t="shared" si="193"/>
        <v/>
      </c>
      <c r="AX172" s="86" t="str">
        <f t="shared" si="194"/>
        <v/>
      </c>
    </row>
    <row r="173" spans="1:50" x14ac:dyDescent="0.2">
      <c r="A173" s="29" t="str">
        <f t="shared" si="153"/>
        <v/>
      </c>
      <c r="B173" s="32" t="str">
        <f t="shared" si="154"/>
        <v/>
      </c>
      <c r="C173" s="35"/>
      <c r="D173" s="33" t="str">
        <f t="shared" si="155"/>
        <v/>
      </c>
      <c r="E173" s="22" t="str">
        <f t="shared" si="156"/>
        <v/>
      </c>
      <c r="F173" s="23" t="str">
        <f t="shared" si="157"/>
        <v/>
      </c>
      <c r="G173" s="23"/>
      <c r="H173" s="22"/>
      <c r="I173" s="23"/>
      <c r="J173" s="18"/>
      <c r="K173" s="13" t="str">
        <f t="shared" si="158"/>
        <v/>
      </c>
      <c r="L173" s="28" t="str">
        <f t="shared" si="117"/>
        <v/>
      </c>
      <c r="M173" s="10" t="str">
        <f t="shared" si="159"/>
        <v/>
      </c>
      <c r="N173" s="17" t="str">
        <f t="shared" si="160"/>
        <v/>
      </c>
      <c r="O173" s="39" t="str">
        <f t="shared" si="161"/>
        <v/>
      </c>
      <c r="P173" s="41" t="str">
        <f t="shared" si="162"/>
        <v/>
      </c>
      <c r="Q173" s="9" t="str">
        <f t="shared" si="163"/>
        <v/>
      </c>
      <c r="R173" s="14">
        <f t="shared" si="164"/>
        <v>0</v>
      </c>
      <c r="S173" s="61" t="str">
        <f t="shared" si="165"/>
        <v/>
      </c>
      <c r="T173" s="14">
        <f t="shared" si="166"/>
        <v>0</v>
      </c>
      <c r="U173" s="58" t="str">
        <f t="shared" si="167"/>
        <v/>
      </c>
      <c r="V173" s="14">
        <f t="shared" si="168"/>
        <v>0</v>
      </c>
      <c r="W173" s="58" t="str">
        <f t="shared" si="169"/>
        <v/>
      </c>
      <c r="X173" s="14">
        <f t="shared" si="170"/>
        <v>0</v>
      </c>
      <c r="Y173" s="58" t="str">
        <f t="shared" si="171"/>
        <v/>
      </c>
      <c r="Z173" s="31">
        <f t="shared" si="172"/>
        <v>0</v>
      </c>
      <c r="AA173" s="21">
        <f t="shared" si="173"/>
        <v>0</v>
      </c>
      <c r="AB173" s="58" t="str">
        <f t="shared" si="174"/>
        <v/>
      </c>
      <c r="AC173" s="630">
        <f t="shared" si="115"/>
        <v>0</v>
      </c>
      <c r="AD173" s="627"/>
      <c r="AE173" s="21">
        <f t="shared" si="175"/>
        <v>0</v>
      </c>
      <c r="AF173" s="58" t="str">
        <f t="shared" si="176"/>
        <v/>
      </c>
      <c r="AG173" s="21">
        <f t="shared" si="177"/>
        <v>0</v>
      </c>
      <c r="AH173" s="58" t="str">
        <f t="shared" si="178"/>
        <v/>
      </c>
      <c r="AI173" s="21">
        <f t="shared" si="179"/>
        <v>0</v>
      </c>
      <c r="AJ173" s="58" t="str">
        <f t="shared" si="180"/>
        <v/>
      </c>
      <c r="AK173" s="31">
        <f t="shared" si="181"/>
        <v>0</v>
      </c>
      <c r="AL173" s="21">
        <f t="shared" si="182"/>
        <v>0</v>
      </c>
      <c r="AM173" s="62" t="str">
        <f t="shared" si="183"/>
        <v/>
      </c>
      <c r="AN173" s="21">
        <f t="shared" si="184"/>
        <v>0</v>
      </c>
      <c r="AO173" s="62" t="str">
        <f t="shared" si="185"/>
        <v/>
      </c>
      <c r="AP173" s="21">
        <f t="shared" si="186"/>
        <v>0</v>
      </c>
      <c r="AQ173" s="62" t="str">
        <f t="shared" si="187"/>
        <v/>
      </c>
      <c r="AR173" s="31">
        <f t="shared" si="188"/>
        <v>0</v>
      </c>
      <c r="AS173" s="21">
        <f t="shared" si="189"/>
        <v>0</v>
      </c>
      <c r="AT173" s="62" t="str">
        <f t="shared" si="190"/>
        <v/>
      </c>
      <c r="AU173" s="84">
        <f t="shared" si="191"/>
        <v>0</v>
      </c>
      <c r="AV173" s="32">
        <f t="shared" si="192"/>
        <v>0</v>
      </c>
      <c r="AW173" s="85" t="str">
        <f t="shared" si="193"/>
        <v/>
      </c>
      <c r="AX173" s="86" t="str">
        <f t="shared" si="194"/>
        <v/>
      </c>
    </row>
    <row r="174" spans="1:50" x14ac:dyDescent="0.2">
      <c r="A174" s="29" t="str">
        <f t="shared" si="153"/>
        <v/>
      </c>
      <c r="B174" s="32" t="str">
        <f t="shared" si="154"/>
        <v/>
      </c>
      <c r="C174" s="35"/>
      <c r="D174" s="33" t="str">
        <f t="shared" si="155"/>
        <v/>
      </c>
      <c r="E174" s="22" t="str">
        <f t="shared" si="156"/>
        <v/>
      </c>
      <c r="F174" s="23" t="str">
        <f t="shared" si="157"/>
        <v/>
      </c>
      <c r="G174" s="23"/>
      <c r="H174" s="22"/>
      <c r="I174" s="23"/>
      <c r="J174" s="18"/>
      <c r="K174" s="13" t="str">
        <f t="shared" si="158"/>
        <v/>
      </c>
      <c r="L174" s="28" t="str">
        <f t="shared" si="117"/>
        <v/>
      </c>
      <c r="M174" s="10" t="str">
        <f t="shared" si="159"/>
        <v/>
      </c>
      <c r="N174" s="17" t="str">
        <f t="shared" si="160"/>
        <v/>
      </c>
      <c r="O174" s="39" t="str">
        <f t="shared" si="161"/>
        <v/>
      </c>
      <c r="P174" s="41" t="str">
        <f t="shared" si="162"/>
        <v/>
      </c>
      <c r="Q174" s="9" t="str">
        <f t="shared" si="163"/>
        <v/>
      </c>
      <c r="R174" s="14">
        <f t="shared" si="164"/>
        <v>0</v>
      </c>
      <c r="S174" s="61" t="str">
        <f t="shared" si="165"/>
        <v/>
      </c>
      <c r="T174" s="14">
        <f t="shared" si="166"/>
        <v>0</v>
      </c>
      <c r="U174" s="58" t="str">
        <f t="shared" si="167"/>
        <v/>
      </c>
      <c r="V174" s="14">
        <f t="shared" si="168"/>
        <v>0</v>
      </c>
      <c r="W174" s="58" t="str">
        <f t="shared" si="169"/>
        <v/>
      </c>
      <c r="X174" s="14">
        <f t="shared" si="170"/>
        <v>0</v>
      </c>
      <c r="Y174" s="58" t="str">
        <f t="shared" si="171"/>
        <v/>
      </c>
      <c r="Z174" s="31">
        <f t="shared" si="172"/>
        <v>0</v>
      </c>
      <c r="AA174" s="21">
        <f t="shared" si="173"/>
        <v>0</v>
      </c>
      <c r="AB174" s="58" t="str">
        <f t="shared" si="174"/>
        <v/>
      </c>
      <c r="AC174" s="630">
        <f t="shared" si="115"/>
        <v>0</v>
      </c>
      <c r="AD174" s="627"/>
      <c r="AE174" s="21">
        <f t="shared" si="175"/>
        <v>0</v>
      </c>
      <c r="AF174" s="58" t="str">
        <f t="shared" si="176"/>
        <v/>
      </c>
      <c r="AG174" s="21">
        <f t="shared" si="177"/>
        <v>0</v>
      </c>
      <c r="AH174" s="58" t="str">
        <f t="shared" si="178"/>
        <v/>
      </c>
      <c r="AI174" s="21">
        <f t="shared" si="179"/>
        <v>0</v>
      </c>
      <c r="AJ174" s="58" t="str">
        <f t="shared" si="180"/>
        <v/>
      </c>
      <c r="AK174" s="31">
        <f t="shared" si="181"/>
        <v>0</v>
      </c>
      <c r="AL174" s="21">
        <f t="shared" si="182"/>
        <v>0</v>
      </c>
      <c r="AM174" s="62" t="str">
        <f t="shared" si="183"/>
        <v/>
      </c>
      <c r="AN174" s="21">
        <f t="shared" si="184"/>
        <v>0</v>
      </c>
      <c r="AO174" s="62" t="str">
        <f t="shared" si="185"/>
        <v/>
      </c>
      <c r="AP174" s="21">
        <f t="shared" si="186"/>
        <v>0</v>
      </c>
      <c r="AQ174" s="62" t="str">
        <f t="shared" si="187"/>
        <v/>
      </c>
      <c r="AR174" s="31">
        <f t="shared" si="188"/>
        <v>0</v>
      </c>
      <c r="AS174" s="21">
        <f t="shared" si="189"/>
        <v>0</v>
      </c>
      <c r="AT174" s="62" t="str">
        <f t="shared" si="190"/>
        <v/>
      </c>
      <c r="AU174" s="84">
        <f t="shared" si="191"/>
        <v>0</v>
      </c>
      <c r="AV174" s="32">
        <f t="shared" si="192"/>
        <v>0</v>
      </c>
      <c r="AW174" s="85" t="str">
        <f t="shared" si="193"/>
        <v/>
      </c>
      <c r="AX174" s="86" t="str">
        <f t="shared" si="194"/>
        <v/>
      </c>
    </row>
    <row r="175" spans="1:50" x14ac:dyDescent="0.2">
      <c r="A175" s="29" t="str">
        <f t="shared" si="153"/>
        <v/>
      </c>
      <c r="B175" s="32" t="str">
        <f t="shared" si="154"/>
        <v/>
      </c>
      <c r="C175" s="35"/>
      <c r="D175" s="33" t="str">
        <f t="shared" si="155"/>
        <v/>
      </c>
      <c r="E175" s="22" t="str">
        <f t="shared" si="156"/>
        <v/>
      </c>
      <c r="F175" s="23" t="str">
        <f t="shared" si="157"/>
        <v/>
      </c>
      <c r="G175" s="23"/>
      <c r="H175" s="22"/>
      <c r="I175" s="23"/>
      <c r="J175" s="18"/>
      <c r="K175" s="13" t="str">
        <f t="shared" si="158"/>
        <v/>
      </c>
      <c r="L175" s="28" t="str">
        <f t="shared" si="117"/>
        <v/>
      </c>
      <c r="M175" s="10" t="str">
        <f t="shared" si="159"/>
        <v/>
      </c>
      <c r="N175" s="17" t="str">
        <f t="shared" si="160"/>
        <v/>
      </c>
      <c r="O175" s="39" t="str">
        <f t="shared" si="161"/>
        <v/>
      </c>
      <c r="P175" s="41" t="str">
        <f t="shared" si="162"/>
        <v/>
      </c>
      <c r="Q175" s="9" t="str">
        <f t="shared" si="163"/>
        <v/>
      </c>
      <c r="R175" s="14">
        <f t="shared" si="164"/>
        <v>0</v>
      </c>
      <c r="S175" s="61" t="str">
        <f t="shared" si="165"/>
        <v/>
      </c>
      <c r="T175" s="14">
        <f t="shared" si="166"/>
        <v>0</v>
      </c>
      <c r="U175" s="58" t="str">
        <f t="shared" si="167"/>
        <v/>
      </c>
      <c r="V175" s="14">
        <f t="shared" si="168"/>
        <v>0</v>
      </c>
      <c r="W175" s="58" t="str">
        <f t="shared" si="169"/>
        <v/>
      </c>
      <c r="X175" s="14">
        <f t="shared" si="170"/>
        <v>0</v>
      </c>
      <c r="Y175" s="58" t="str">
        <f t="shared" si="171"/>
        <v/>
      </c>
      <c r="Z175" s="31">
        <f t="shared" si="172"/>
        <v>0</v>
      </c>
      <c r="AA175" s="21">
        <f t="shared" si="173"/>
        <v>0</v>
      </c>
      <c r="AB175" s="58" t="str">
        <f t="shared" si="174"/>
        <v/>
      </c>
      <c r="AC175" s="630">
        <f t="shared" si="115"/>
        <v>0</v>
      </c>
      <c r="AD175" s="627"/>
      <c r="AE175" s="21">
        <f t="shared" si="175"/>
        <v>0</v>
      </c>
      <c r="AF175" s="58" t="str">
        <f t="shared" si="176"/>
        <v/>
      </c>
      <c r="AG175" s="21">
        <f t="shared" si="177"/>
        <v>0</v>
      </c>
      <c r="AH175" s="58" t="str">
        <f t="shared" si="178"/>
        <v/>
      </c>
      <c r="AI175" s="21">
        <f t="shared" si="179"/>
        <v>0</v>
      </c>
      <c r="AJ175" s="58" t="str">
        <f t="shared" si="180"/>
        <v/>
      </c>
      <c r="AK175" s="31">
        <f t="shared" si="181"/>
        <v>0</v>
      </c>
      <c r="AL175" s="21">
        <f t="shared" si="182"/>
        <v>0</v>
      </c>
      <c r="AM175" s="62" t="str">
        <f t="shared" si="183"/>
        <v/>
      </c>
      <c r="AN175" s="21">
        <f t="shared" si="184"/>
        <v>0</v>
      </c>
      <c r="AO175" s="62" t="str">
        <f t="shared" si="185"/>
        <v/>
      </c>
      <c r="AP175" s="21">
        <f t="shared" si="186"/>
        <v>0</v>
      </c>
      <c r="AQ175" s="62" t="str">
        <f t="shared" si="187"/>
        <v/>
      </c>
      <c r="AR175" s="31">
        <f t="shared" si="188"/>
        <v>0</v>
      </c>
      <c r="AS175" s="21">
        <f t="shared" si="189"/>
        <v>0</v>
      </c>
      <c r="AT175" s="62" t="str">
        <f t="shared" si="190"/>
        <v/>
      </c>
      <c r="AU175" s="84">
        <f t="shared" si="191"/>
        <v>0</v>
      </c>
      <c r="AV175" s="32">
        <f t="shared" si="192"/>
        <v>0</v>
      </c>
      <c r="AW175" s="85" t="str">
        <f t="shared" si="193"/>
        <v/>
      </c>
      <c r="AX175" s="86" t="str">
        <f t="shared" si="194"/>
        <v/>
      </c>
    </row>
    <row r="176" spans="1:50" x14ac:dyDescent="0.2">
      <c r="A176" s="29" t="str">
        <f t="shared" si="153"/>
        <v/>
      </c>
      <c r="B176" s="32" t="str">
        <f t="shared" si="154"/>
        <v/>
      </c>
      <c r="C176" s="35"/>
      <c r="D176" s="33" t="str">
        <f t="shared" si="155"/>
        <v/>
      </c>
      <c r="E176" s="22" t="str">
        <f t="shared" si="156"/>
        <v/>
      </c>
      <c r="F176" s="23" t="str">
        <f t="shared" si="157"/>
        <v/>
      </c>
      <c r="G176" s="23"/>
      <c r="H176" s="22"/>
      <c r="I176" s="23"/>
      <c r="J176" s="18"/>
      <c r="K176" s="13" t="str">
        <f t="shared" si="158"/>
        <v/>
      </c>
      <c r="L176" s="28" t="str">
        <f t="shared" si="117"/>
        <v/>
      </c>
      <c r="M176" s="10" t="str">
        <f t="shared" si="159"/>
        <v/>
      </c>
      <c r="N176" s="17" t="str">
        <f t="shared" si="160"/>
        <v/>
      </c>
      <c r="O176" s="39" t="str">
        <f t="shared" si="161"/>
        <v/>
      </c>
      <c r="P176" s="41" t="str">
        <f t="shared" si="162"/>
        <v/>
      </c>
      <c r="Q176" s="9" t="str">
        <f t="shared" si="163"/>
        <v/>
      </c>
      <c r="R176" s="14">
        <f t="shared" si="164"/>
        <v>0</v>
      </c>
      <c r="S176" s="61" t="str">
        <f t="shared" si="165"/>
        <v/>
      </c>
      <c r="T176" s="14">
        <f t="shared" si="166"/>
        <v>0</v>
      </c>
      <c r="U176" s="58" t="str">
        <f t="shared" si="167"/>
        <v/>
      </c>
      <c r="V176" s="14">
        <f t="shared" si="168"/>
        <v>0</v>
      </c>
      <c r="W176" s="58" t="str">
        <f t="shared" si="169"/>
        <v/>
      </c>
      <c r="X176" s="14">
        <f t="shared" si="170"/>
        <v>0</v>
      </c>
      <c r="Y176" s="58" t="str">
        <f t="shared" si="171"/>
        <v/>
      </c>
      <c r="Z176" s="31">
        <f t="shared" si="172"/>
        <v>0</v>
      </c>
      <c r="AA176" s="21">
        <f t="shared" si="173"/>
        <v>0</v>
      </c>
      <c r="AB176" s="58" t="str">
        <f t="shared" si="174"/>
        <v/>
      </c>
      <c r="AC176" s="630">
        <f t="shared" si="115"/>
        <v>0</v>
      </c>
      <c r="AD176" s="627"/>
      <c r="AE176" s="21">
        <f t="shared" si="175"/>
        <v>0</v>
      </c>
      <c r="AF176" s="58" t="str">
        <f t="shared" si="176"/>
        <v/>
      </c>
      <c r="AG176" s="21">
        <f t="shared" si="177"/>
        <v>0</v>
      </c>
      <c r="AH176" s="58" t="str">
        <f t="shared" si="178"/>
        <v/>
      </c>
      <c r="AI176" s="21">
        <f t="shared" si="179"/>
        <v>0</v>
      </c>
      <c r="AJ176" s="58" t="str">
        <f t="shared" si="180"/>
        <v/>
      </c>
      <c r="AK176" s="31">
        <f t="shared" si="181"/>
        <v>0</v>
      </c>
      <c r="AL176" s="21">
        <f t="shared" si="182"/>
        <v>0</v>
      </c>
      <c r="AM176" s="62" t="str">
        <f t="shared" si="183"/>
        <v/>
      </c>
      <c r="AN176" s="21">
        <f t="shared" si="184"/>
        <v>0</v>
      </c>
      <c r="AO176" s="62" t="str">
        <f t="shared" si="185"/>
        <v/>
      </c>
      <c r="AP176" s="21">
        <f t="shared" si="186"/>
        <v>0</v>
      </c>
      <c r="AQ176" s="62" t="str">
        <f t="shared" si="187"/>
        <v/>
      </c>
      <c r="AR176" s="31">
        <f t="shared" si="188"/>
        <v>0</v>
      </c>
      <c r="AS176" s="21">
        <f t="shared" si="189"/>
        <v>0</v>
      </c>
      <c r="AT176" s="62" t="str">
        <f t="shared" si="190"/>
        <v/>
      </c>
      <c r="AU176" s="84">
        <f t="shared" si="191"/>
        <v>0</v>
      </c>
      <c r="AV176" s="32">
        <f t="shared" si="192"/>
        <v>0</v>
      </c>
      <c r="AW176" s="85" t="str">
        <f t="shared" si="193"/>
        <v/>
      </c>
      <c r="AX176" s="86" t="str">
        <f t="shared" si="194"/>
        <v/>
      </c>
    </row>
    <row r="177" spans="1:50" x14ac:dyDescent="0.2">
      <c r="A177" s="29" t="str">
        <f t="shared" si="153"/>
        <v/>
      </c>
      <c r="B177" s="32" t="str">
        <f t="shared" si="154"/>
        <v/>
      </c>
      <c r="C177" s="35"/>
      <c r="D177" s="33" t="str">
        <f t="shared" si="155"/>
        <v/>
      </c>
      <c r="E177" s="22" t="str">
        <f t="shared" si="156"/>
        <v/>
      </c>
      <c r="F177" s="23" t="str">
        <f t="shared" si="157"/>
        <v/>
      </c>
      <c r="G177" s="23"/>
      <c r="H177" s="22"/>
      <c r="I177" s="23"/>
      <c r="J177" s="18"/>
      <c r="K177" s="13" t="str">
        <f t="shared" si="158"/>
        <v/>
      </c>
      <c r="L177" s="28" t="str">
        <f t="shared" si="117"/>
        <v/>
      </c>
      <c r="M177" s="10" t="str">
        <f t="shared" si="159"/>
        <v/>
      </c>
      <c r="N177" s="17" t="str">
        <f t="shared" si="160"/>
        <v/>
      </c>
      <c r="O177" s="39" t="str">
        <f t="shared" si="161"/>
        <v/>
      </c>
      <c r="P177" s="41" t="str">
        <f t="shared" si="162"/>
        <v/>
      </c>
      <c r="Q177" s="9" t="str">
        <f t="shared" si="163"/>
        <v/>
      </c>
      <c r="R177" s="14">
        <f t="shared" si="164"/>
        <v>0</v>
      </c>
      <c r="S177" s="61" t="str">
        <f t="shared" si="165"/>
        <v/>
      </c>
      <c r="T177" s="14">
        <f t="shared" si="166"/>
        <v>0</v>
      </c>
      <c r="U177" s="58" t="str">
        <f t="shared" si="167"/>
        <v/>
      </c>
      <c r="V177" s="14">
        <f t="shared" si="168"/>
        <v>0</v>
      </c>
      <c r="W177" s="58" t="str">
        <f t="shared" si="169"/>
        <v/>
      </c>
      <c r="X177" s="14">
        <f t="shared" si="170"/>
        <v>0</v>
      </c>
      <c r="Y177" s="58" t="str">
        <f t="shared" si="171"/>
        <v/>
      </c>
      <c r="Z177" s="31">
        <f t="shared" si="172"/>
        <v>0</v>
      </c>
      <c r="AA177" s="21">
        <f t="shared" si="173"/>
        <v>0</v>
      </c>
      <c r="AB177" s="58" t="str">
        <f t="shared" si="174"/>
        <v/>
      </c>
      <c r="AC177" s="630">
        <f t="shared" si="115"/>
        <v>0</v>
      </c>
      <c r="AD177" s="627"/>
      <c r="AE177" s="21">
        <f t="shared" si="175"/>
        <v>0</v>
      </c>
      <c r="AF177" s="58" t="str">
        <f t="shared" si="176"/>
        <v/>
      </c>
      <c r="AG177" s="21">
        <f t="shared" si="177"/>
        <v>0</v>
      </c>
      <c r="AH177" s="58" t="str">
        <f t="shared" si="178"/>
        <v/>
      </c>
      <c r="AI177" s="21">
        <f t="shared" si="179"/>
        <v>0</v>
      </c>
      <c r="AJ177" s="58" t="str">
        <f t="shared" si="180"/>
        <v/>
      </c>
      <c r="AK177" s="31">
        <f t="shared" si="181"/>
        <v>0</v>
      </c>
      <c r="AL177" s="21">
        <f t="shared" si="182"/>
        <v>0</v>
      </c>
      <c r="AM177" s="62" t="str">
        <f t="shared" si="183"/>
        <v/>
      </c>
      <c r="AN177" s="21">
        <f t="shared" si="184"/>
        <v>0</v>
      </c>
      <c r="AO177" s="62" t="str">
        <f t="shared" si="185"/>
        <v/>
      </c>
      <c r="AP177" s="21">
        <f t="shared" si="186"/>
        <v>0</v>
      </c>
      <c r="AQ177" s="62" t="str">
        <f t="shared" si="187"/>
        <v/>
      </c>
      <c r="AR177" s="31">
        <f t="shared" si="188"/>
        <v>0</v>
      </c>
      <c r="AS177" s="21">
        <f t="shared" si="189"/>
        <v>0</v>
      </c>
      <c r="AT177" s="62" t="str">
        <f t="shared" si="190"/>
        <v/>
      </c>
      <c r="AU177" s="84">
        <f t="shared" si="191"/>
        <v>0</v>
      </c>
      <c r="AV177" s="32">
        <f t="shared" si="192"/>
        <v>0</v>
      </c>
      <c r="AW177" s="85" t="str">
        <f t="shared" si="193"/>
        <v/>
      </c>
      <c r="AX177" s="86" t="str">
        <f t="shared" si="194"/>
        <v/>
      </c>
    </row>
    <row r="178" spans="1:50" x14ac:dyDescent="0.2">
      <c r="A178" s="29" t="str">
        <f t="shared" si="153"/>
        <v/>
      </c>
      <c r="B178" s="32" t="str">
        <f t="shared" si="154"/>
        <v/>
      </c>
      <c r="C178" s="35"/>
      <c r="D178" s="33" t="str">
        <f t="shared" si="155"/>
        <v/>
      </c>
      <c r="E178" s="22" t="str">
        <f t="shared" si="156"/>
        <v/>
      </c>
      <c r="F178" s="23" t="str">
        <f t="shared" si="157"/>
        <v/>
      </c>
      <c r="G178" s="23"/>
      <c r="H178" s="22"/>
      <c r="I178" s="23"/>
      <c r="J178" s="18"/>
      <c r="K178" s="13" t="str">
        <f t="shared" si="158"/>
        <v/>
      </c>
      <c r="L178" s="28" t="str">
        <f t="shared" si="117"/>
        <v/>
      </c>
      <c r="M178" s="10" t="str">
        <f t="shared" si="159"/>
        <v/>
      </c>
      <c r="N178" s="17" t="str">
        <f t="shared" si="160"/>
        <v/>
      </c>
      <c r="O178" s="39" t="str">
        <f t="shared" si="161"/>
        <v/>
      </c>
      <c r="P178" s="41" t="str">
        <f t="shared" si="162"/>
        <v/>
      </c>
      <c r="Q178" s="9" t="str">
        <f t="shared" si="163"/>
        <v/>
      </c>
      <c r="R178" s="14">
        <f t="shared" si="164"/>
        <v>0</v>
      </c>
      <c r="S178" s="61" t="str">
        <f t="shared" si="165"/>
        <v/>
      </c>
      <c r="T178" s="14">
        <f t="shared" si="166"/>
        <v>0</v>
      </c>
      <c r="U178" s="58" t="str">
        <f t="shared" si="167"/>
        <v/>
      </c>
      <c r="V178" s="14">
        <f t="shared" si="168"/>
        <v>0</v>
      </c>
      <c r="W178" s="58" t="str">
        <f t="shared" si="169"/>
        <v/>
      </c>
      <c r="X178" s="14">
        <f t="shared" si="170"/>
        <v>0</v>
      </c>
      <c r="Y178" s="58" t="str">
        <f t="shared" si="171"/>
        <v/>
      </c>
      <c r="Z178" s="31">
        <f t="shared" si="172"/>
        <v>0</v>
      </c>
      <c r="AA178" s="21">
        <f t="shared" si="173"/>
        <v>0</v>
      </c>
      <c r="AB178" s="58" t="str">
        <f t="shared" si="174"/>
        <v/>
      </c>
      <c r="AC178" s="630">
        <f t="shared" si="115"/>
        <v>0</v>
      </c>
      <c r="AD178" s="627"/>
      <c r="AE178" s="21">
        <f t="shared" si="175"/>
        <v>0</v>
      </c>
      <c r="AF178" s="58" t="str">
        <f t="shared" si="176"/>
        <v/>
      </c>
      <c r="AG178" s="21">
        <f t="shared" si="177"/>
        <v>0</v>
      </c>
      <c r="AH178" s="58" t="str">
        <f t="shared" si="178"/>
        <v/>
      </c>
      <c r="AI178" s="21">
        <f t="shared" si="179"/>
        <v>0</v>
      </c>
      <c r="AJ178" s="58" t="str">
        <f t="shared" si="180"/>
        <v/>
      </c>
      <c r="AK178" s="31">
        <f t="shared" si="181"/>
        <v>0</v>
      </c>
      <c r="AL178" s="21">
        <f t="shared" si="182"/>
        <v>0</v>
      </c>
      <c r="AM178" s="62" t="str">
        <f t="shared" si="183"/>
        <v/>
      </c>
      <c r="AN178" s="21">
        <f t="shared" si="184"/>
        <v>0</v>
      </c>
      <c r="AO178" s="62" t="str">
        <f t="shared" si="185"/>
        <v/>
      </c>
      <c r="AP178" s="21">
        <f t="shared" si="186"/>
        <v>0</v>
      </c>
      <c r="AQ178" s="62" t="str">
        <f t="shared" si="187"/>
        <v/>
      </c>
      <c r="AR178" s="31">
        <f t="shared" si="188"/>
        <v>0</v>
      </c>
      <c r="AS178" s="21">
        <f t="shared" si="189"/>
        <v>0</v>
      </c>
      <c r="AT178" s="62" t="str">
        <f t="shared" si="190"/>
        <v/>
      </c>
      <c r="AU178" s="84">
        <f t="shared" si="191"/>
        <v>0</v>
      </c>
      <c r="AV178" s="32">
        <f t="shared" si="192"/>
        <v>0</v>
      </c>
      <c r="AW178" s="85" t="str">
        <f t="shared" si="193"/>
        <v/>
      </c>
      <c r="AX178" s="86" t="str">
        <f t="shared" si="194"/>
        <v/>
      </c>
    </row>
    <row r="179" spans="1:50" x14ac:dyDescent="0.2">
      <c r="A179" s="29" t="str">
        <f t="shared" si="153"/>
        <v/>
      </c>
      <c r="B179" s="32" t="str">
        <f t="shared" si="154"/>
        <v/>
      </c>
      <c r="C179" s="35"/>
      <c r="D179" s="33" t="str">
        <f t="shared" si="155"/>
        <v/>
      </c>
      <c r="E179" s="22" t="str">
        <f t="shared" si="156"/>
        <v/>
      </c>
      <c r="F179" s="23" t="str">
        <f t="shared" si="157"/>
        <v/>
      </c>
      <c r="G179" s="23"/>
      <c r="H179" s="22"/>
      <c r="I179" s="23"/>
      <c r="J179" s="18"/>
      <c r="K179" s="13" t="str">
        <f t="shared" si="158"/>
        <v/>
      </c>
      <c r="L179" s="28" t="str">
        <f t="shared" si="117"/>
        <v/>
      </c>
      <c r="M179" s="10" t="str">
        <f t="shared" si="159"/>
        <v/>
      </c>
      <c r="N179" s="17" t="str">
        <f t="shared" si="160"/>
        <v/>
      </c>
      <c r="O179" s="39" t="str">
        <f t="shared" si="161"/>
        <v/>
      </c>
      <c r="P179" s="41" t="str">
        <f t="shared" si="162"/>
        <v/>
      </c>
      <c r="Q179" s="9" t="str">
        <f t="shared" si="163"/>
        <v/>
      </c>
      <c r="R179" s="14">
        <f t="shared" si="164"/>
        <v>0</v>
      </c>
      <c r="S179" s="61" t="str">
        <f t="shared" si="165"/>
        <v/>
      </c>
      <c r="T179" s="14">
        <f t="shared" si="166"/>
        <v>0</v>
      </c>
      <c r="U179" s="58" t="str">
        <f t="shared" si="167"/>
        <v/>
      </c>
      <c r="V179" s="14">
        <f t="shared" si="168"/>
        <v>0</v>
      </c>
      <c r="W179" s="58" t="str">
        <f t="shared" si="169"/>
        <v/>
      </c>
      <c r="X179" s="14">
        <f t="shared" si="170"/>
        <v>0</v>
      </c>
      <c r="Y179" s="58" t="str">
        <f t="shared" si="171"/>
        <v/>
      </c>
      <c r="Z179" s="31">
        <f t="shared" si="172"/>
        <v>0</v>
      </c>
      <c r="AA179" s="21">
        <f t="shared" si="173"/>
        <v>0</v>
      </c>
      <c r="AB179" s="58" t="str">
        <f t="shared" si="174"/>
        <v/>
      </c>
      <c r="AC179" s="630">
        <f t="shared" si="115"/>
        <v>0</v>
      </c>
      <c r="AD179" s="627"/>
      <c r="AE179" s="21">
        <f t="shared" si="175"/>
        <v>0</v>
      </c>
      <c r="AF179" s="58" t="str">
        <f t="shared" si="176"/>
        <v/>
      </c>
      <c r="AG179" s="21">
        <f t="shared" si="177"/>
        <v>0</v>
      </c>
      <c r="AH179" s="58" t="str">
        <f t="shared" si="178"/>
        <v/>
      </c>
      <c r="AI179" s="21">
        <f t="shared" si="179"/>
        <v>0</v>
      </c>
      <c r="AJ179" s="58" t="str">
        <f t="shared" si="180"/>
        <v/>
      </c>
      <c r="AK179" s="31">
        <f t="shared" si="181"/>
        <v>0</v>
      </c>
      <c r="AL179" s="21">
        <f t="shared" si="182"/>
        <v>0</v>
      </c>
      <c r="AM179" s="62" t="str">
        <f t="shared" si="183"/>
        <v/>
      </c>
      <c r="AN179" s="21">
        <f t="shared" si="184"/>
        <v>0</v>
      </c>
      <c r="AO179" s="62" t="str">
        <f t="shared" si="185"/>
        <v/>
      </c>
      <c r="AP179" s="21">
        <f t="shared" si="186"/>
        <v>0</v>
      </c>
      <c r="AQ179" s="62" t="str">
        <f t="shared" si="187"/>
        <v/>
      </c>
      <c r="AR179" s="31">
        <f t="shared" si="188"/>
        <v>0</v>
      </c>
      <c r="AS179" s="21">
        <f t="shared" si="189"/>
        <v>0</v>
      </c>
      <c r="AT179" s="62" t="str">
        <f t="shared" si="190"/>
        <v/>
      </c>
      <c r="AU179" s="84">
        <f t="shared" si="191"/>
        <v>0</v>
      </c>
      <c r="AV179" s="32">
        <f t="shared" si="192"/>
        <v>0</v>
      </c>
      <c r="AW179" s="85" t="str">
        <f t="shared" si="193"/>
        <v/>
      </c>
      <c r="AX179" s="86" t="str">
        <f t="shared" si="194"/>
        <v/>
      </c>
    </row>
    <row r="180" spans="1:50" x14ac:dyDescent="0.2">
      <c r="A180" s="29" t="str">
        <f t="shared" si="153"/>
        <v/>
      </c>
      <c r="B180" s="32" t="str">
        <f t="shared" si="154"/>
        <v/>
      </c>
      <c r="C180" s="35"/>
      <c r="D180" s="33" t="str">
        <f t="shared" si="155"/>
        <v/>
      </c>
      <c r="E180" s="22" t="str">
        <f t="shared" si="156"/>
        <v/>
      </c>
      <c r="F180" s="23" t="str">
        <f t="shared" si="157"/>
        <v/>
      </c>
      <c r="G180" s="23"/>
      <c r="H180" s="22"/>
      <c r="I180" s="23"/>
      <c r="J180" s="18"/>
      <c r="K180" s="13" t="str">
        <f t="shared" si="158"/>
        <v/>
      </c>
      <c r="L180" s="28" t="str">
        <f t="shared" si="117"/>
        <v/>
      </c>
      <c r="M180" s="10" t="str">
        <f t="shared" si="159"/>
        <v/>
      </c>
      <c r="N180" s="17" t="str">
        <f t="shared" si="160"/>
        <v/>
      </c>
      <c r="O180" s="39" t="str">
        <f t="shared" si="161"/>
        <v/>
      </c>
      <c r="P180" s="41" t="str">
        <f t="shared" si="162"/>
        <v/>
      </c>
      <c r="Q180" s="9" t="str">
        <f t="shared" si="163"/>
        <v/>
      </c>
      <c r="R180" s="14">
        <f t="shared" si="164"/>
        <v>0</v>
      </c>
      <c r="S180" s="61" t="str">
        <f t="shared" si="165"/>
        <v/>
      </c>
      <c r="T180" s="14">
        <f t="shared" si="166"/>
        <v>0</v>
      </c>
      <c r="U180" s="58" t="str">
        <f t="shared" si="167"/>
        <v/>
      </c>
      <c r="V180" s="14">
        <f t="shared" si="168"/>
        <v>0</v>
      </c>
      <c r="W180" s="58" t="str">
        <f t="shared" si="169"/>
        <v/>
      </c>
      <c r="X180" s="14">
        <f t="shared" si="170"/>
        <v>0</v>
      </c>
      <c r="Y180" s="58" t="str">
        <f t="shared" si="171"/>
        <v/>
      </c>
      <c r="Z180" s="31">
        <f t="shared" si="172"/>
        <v>0</v>
      </c>
      <c r="AA180" s="21">
        <f t="shared" si="173"/>
        <v>0</v>
      </c>
      <c r="AB180" s="58" t="str">
        <f t="shared" si="174"/>
        <v/>
      </c>
      <c r="AC180" s="630">
        <f t="shared" si="115"/>
        <v>0</v>
      </c>
      <c r="AD180" s="627"/>
      <c r="AE180" s="21">
        <f t="shared" si="175"/>
        <v>0</v>
      </c>
      <c r="AF180" s="58" t="str">
        <f t="shared" si="176"/>
        <v/>
      </c>
      <c r="AG180" s="21">
        <f t="shared" si="177"/>
        <v>0</v>
      </c>
      <c r="AH180" s="58" t="str">
        <f t="shared" si="178"/>
        <v/>
      </c>
      <c r="AI180" s="21">
        <f t="shared" si="179"/>
        <v>0</v>
      </c>
      <c r="AJ180" s="58" t="str">
        <f t="shared" si="180"/>
        <v/>
      </c>
      <c r="AK180" s="31">
        <f t="shared" si="181"/>
        <v>0</v>
      </c>
      <c r="AL180" s="21">
        <f t="shared" si="182"/>
        <v>0</v>
      </c>
      <c r="AM180" s="62" t="str">
        <f t="shared" si="183"/>
        <v/>
      </c>
      <c r="AN180" s="21">
        <f t="shared" si="184"/>
        <v>0</v>
      </c>
      <c r="AO180" s="62" t="str">
        <f t="shared" si="185"/>
        <v/>
      </c>
      <c r="AP180" s="21">
        <f t="shared" si="186"/>
        <v>0</v>
      </c>
      <c r="AQ180" s="62" t="str">
        <f t="shared" si="187"/>
        <v/>
      </c>
      <c r="AR180" s="31">
        <f t="shared" si="188"/>
        <v>0</v>
      </c>
      <c r="AS180" s="21">
        <f t="shared" si="189"/>
        <v>0</v>
      </c>
      <c r="AT180" s="62" t="str">
        <f t="shared" si="190"/>
        <v/>
      </c>
      <c r="AU180" s="84">
        <f t="shared" si="191"/>
        <v>0</v>
      </c>
      <c r="AV180" s="32">
        <f t="shared" si="192"/>
        <v>0</v>
      </c>
      <c r="AW180" s="85" t="str">
        <f t="shared" si="193"/>
        <v/>
      </c>
      <c r="AX180" s="86" t="str">
        <f t="shared" si="194"/>
        <v/>
      </c>
    </row>
    <row r="181" spans="1:50" x14ac:dyDescent="0.2">
      <c r="A181" s="29" t="str">
        <f t="shared" si="153"/>
        <v/>
      </c>
      <c r="B181" s="32" t="str">
        <f t="shared" si="154"/>
        <v/>
      </c>
      <c r="C181" s="35"/>
      <c r="D181" s="33" t="str">
        <f t="shared" si="155"/>
        <v/>
      </c>
      <c r="E181" s="22" t="str">
        <f t="shared" si="156"/>
        <v/>
      </c>
      <c r="F181" s="23" t="str">
        <f t="shared" si="157"/>
        <v/>
      </c>
      <c r="G181" s="23"/>
      <c r="H181" s="22"/>
      <c r="I181" s="23"/>
      <c r="J181" s="18"/>
      <c r="K181" s="13" t="str">
        <f t="shared" si="158"/>
        <v/>
      </c>
      <c r="L181" s="28" t="str">
        <f t="shared" si="117"/>
        <v/>
      </c>
      <c r="M181" s="10" t="str">
        <f t="shared" si="159"/>
        <v/>
      </c>
      <c r="N181" s="17" t="str">
        <f t="shared" si="160"/>
        <v/>
      </c>
      <c r="O181" s="39" t="str">
        <f t="shared" si="161"/>
        <v/>
      </c>
      <c r="P181" s="41" t="str">
        <f t="shared" si="162"/>
        <v/>
      </c>
      <c r="Q181" s="9" t="str">
        <f t="shared" si="163"/>
        <v/>
      </c>
      <c r="R181" s="14">
        <f t="shared" si="164"/>
        <v>0</v>
      </c>
      <c r="S181" s="61" t="str">
        <f t="shared" si="165"/>
        <v/>
      </c>
      <c r="T181" s="14">
        <f t="shared" si="166"/>
        <v>0</v>
      </c>
      <c r="U181" s="58" t="str">
        <f t="shared" si="167"/>
        <v/>
      </c>
      <c r="V181" s="14">
        <f t="shared" si="168"/>
        <v>0</v>
      </c>
      <c r="W181" s="58" t="str">
        <f t="shared" si="169"/>
        <v/>
      </c>
      <c r="X181" s="14">
        <f t="shared" si="170"/>
        <v>0</v>
      </c>
      <c r="Y181" s="58" t="str">
        <f t="shared" si="171"/>
        <v/>
      </c>
      <c r="Z181" s="31">
        <f t="shared" si="172"/>
        <v>0</v>
      </c>
      <c r="AA181" s="21">
        <f t="shared" si="173"/>
        <v>0</v>
      </c>
      <c r="AB181" s="58" t="str">
        <f t="shared" si="174"/>
        <v/>
      </c>
      <c r="AC181" s="630">
        <f t="shared" si="115"/>
        <v>0</v>
      </c>
      <c r="AD181" s="627"/>
      <c r="AE181" s="21">
        <f t="shared" si="175"/>
        <v>0</v>
      </c>
      <c r="AF181" s="58" t="str">
        <f t="shared" si="176"/>
        <v/>
      </c>
      <c r="AG181" s="21">
        <f t="shared" si="177"/>
        <v>0</v>
      </c>
      <c r="AH181" s="58" t="str">
        <f t="shared" si="178"/>
        <v/>
      </c>
      <c r="AI181" s="21">
        <f t="shared" si="179"/>
        <v>0</v>
      </c>
      <c r="AJ181" s="58" t="str">
        <f t="shared" si="180"/>
        <v/>
      </c>
      <c r="AK181" s="31">
        <f t="shared" si="181"/>
        <v>0</v>
      </c>
      <c r="AL181" s="21">
        <f t="shared" si="182"/>
        <v>0</v>
      </c>
      <c r="AM181" s="62" t="str">
        <f t="shared" si="183"/>
        <v/>
      </c>
      <c r="AN181" s="21">
        <f t="shared" si="184"/>
        <v>0</v>
      </c>
      <c r="AO181" s="62" t="str">
        <f t="shared" si="185"/>
        <v/>
      </c>
      <c r="AP181" s="21">
        <f t="shared" si="186"/>
        <v>0</v>
      </c>
      <c r="AQ181" s="62" t="str">
        <f t="shared" si="187"/>
        <v/>
      </c>
      <c r="AR181" s="31">
        <f t="shared" si="188"/>
        <v>0</v>
      </c>
      <c r="AS181" s="21">
        <f t="shared" si="189"/>
        <v>0</v>
      </c>
      <c r="AT181" s="62" t="str">
        <f t="shared" si="190"/>
        <v/>
      </c>
      <c r="AU181" s="84">
        <f t="shared" si="191"/>
        <v>0</v>
      </c>
      <c r="AV181" s="32">
        <f t="shared" si="192"/>
        <v>0</v>
      </c>
      <c r="AW181" s="85" t="str">
        <f t="shared" si="193"/>
        <v/>
      </c>
      <c r="AX181" s="86" t="str">
        <f t="shared" si="194"/>
        <v/>
      </c>
    </row>
    <row r="182" spans="1:50" x14ac:dyDescent="0.2">
      <c r="A182" s="29" t="str">
        <f t="shared" si="153"/>
        <v/>
      </c>
      <c r="B182" s="32" t="str">
        <f t="shared" si="154"/>
        <v/>
      </c>
      <c r="C182" s="35"/>
      <c r="D182" s="33" t="str">
        <f t="shared" si="155"/>
        <v/>
      </c>
      <c r="E182" s="22" t="str">
        <f t="shared" si="156"/>
        <v/>
      </c>
      <c r="F182" s="23" t="str">
        <f t="shared" si="157"/>
        <v/>
      </c>
      <c r="G182" s="23"/>
      <c r="H182" s="22"/>
      <c r="I182" s="23"/>
      <c r="J182" s="18"/>
      <c r="K182" s="13" t="str">
        <f t="shared" si="158"/>
        <v/>
      </c>
      <c r="L182" s="28" t="str">
        <f t="shared" si="117"/>
        <v/>
      </c>
      <c r="M182" s="10" t="str">
        <f t="shared" si="159"/>
        <v/>
      </c>
      <c r="N182" s="17" t="str">
        <f t="shared" si="160"/>
        <v/>
      </c>
      <c r="O182" s="39" t="str">
        <f t="shared" si="161"/>
        <v/>
      </c>
      <c r="P182" s="41" t="str">
        <f t="shared" si="162"/>
        <v/>
      </c>
      <c r="Q182" s="9" t="str">
        <f t="shared" si="163"/>
        <v/>
      </c>
      <c r="R182" s="14">
        <f t="shared" si="164"/>
        <v>0</v>
      </c>
      <c r="S182" s="61" t="str">
        <f t="shared" si="165"/>
        <v/>
      </c>
      <c r="T182" s="14">
        <f t="shared" si="166"/>
        <v>0</v>
      </c>
      <c r="U182" s="58" t="str">
        <f t="shared" si="167"/>
        <v/>
      </c>
      <c r="V182" s="14">
        <f t="shared" si="168"/>
        <v>0</v>
      </c>
      <c r="W182" s="58" t="str">
        <f t="shared" si="169"/>
        <v/>
      </c>
      <c r="X182" s="14">
        <f t="shared" si="170"/>
        <v>0</v>
      </c>
      <c r="Y182" s="58" t="str">
        <f t="shared" si="171"/>
        <v/>
      </c>
      <c r="Z182" s="31">
        <f t="shared" si="172"/>
        <v>0</v>
      </c>
      <c r="AA182" s="21">
        <f t="shared" si="173"/>
        <v>0</v>
      </c>
      <c r="AB182" s="58" t="str">
        <f t="shared" si="174"/>
        <v/>
      </c>
      <c r="AC182" s="630">
        <f t="shared" si="115"/>
        <v>0</v>
      </c>
      <c r="AD182" s="627"/>
      <c r="AE182" s="21">
        <f t="shared" si="175"/>
        <v>0</v>
      </c>
      <c r="AF182" s="58" t="str">
        <f t="shared" si="176"/>
        <v/>
      </c>
      <c r="AG182" s="21">
        <f t="shared" si="177"/>
        <v>0</v>
      </c>
      <c r="AH182" s="58" t="str">
        <f t="shared" si="178"/>
        <v/>
      </c>
      <c r="AI182" s="21">
        <f t="shared" si="179"/>
        <v>0</v>
      </c>
      <c r="AJ182" s="58" t="str">
        <f t="shared" si="180"/>
        <v/>
      </c>
      <c r="AK182" s="31">
        <f t="shared" si="181"/>
        <v>0</v>
      </c>
      <c r="AL182" s="21">
        <f t="shared" si="182"/>
        <v>0</v>
      </c>
      <c r="AM182" s="62" t="str">
        <f t="shared" si="183"/>
        <v/>
      </c>
      <c r="AN182" s="21">
        <f t="shared" si="184"/>
        <v>0</v>
      </c>
      <c r="AO182" s="62" t="str">
        <f t="shared" si="185"/>
        <v/>
      </c>
      <c r="AP182" s="21">
        <f t="shared" si="186"/>
        <v>0</v>
      </c>
      <c r="AQ182" s="62" t="str">
        <f t="shared" si="187"/>
        <v/>
      </c>
      <c r="AR182" s="31">
        <f t="shared" si="188"/>
        <v>0</v>
      </c>
      <c r="AS182" s="21">
        <f t="shared" si="189"/>
        <v>0</v>
      </c>
      <c r="AT182" s="62" t="str">
        <f t="shared" si="190"/>
        <v/>
      </c>
      <c r="AU182" s="84">
        <f t="shared" si="191"/>
        <v>0</v>
      </c>
      <c r="AV182" s="32">
        <f t="shared" si="192"/>
        <v>0</v>
      </c>
      <c r="AW182" s="85" t="str">
        <f t="shared" si="193"/>
        <v/>
      </c>
      <c r="AX182" s="86" t="str">
        <f t="shared" si="194"/>
        <v/>
      </c>
    </row>
    <row r="183" spans="1:50" x14ac:dyDescent="0.2">
      <c r="A183" s="29" t="str">
        <f t="shared" si="153"/>
        <v/>
      </c>
      <c r="B183" s="32" t="str">
        <f t="shared" si="154"/>
        <v/>
      </c>
      <c r="C183" s="35"/>
      <c r="D183" s="33" t="str">
        <f t="shared" si="155"/>
        <v/>
      </c>
      <c r="E183" s="22" t="str">
        <f t="shared" si="156"/>
        <v/>
      </c>
      <c r="F183" s="23" t="str">
        <f t="shared" si="157"/>
        <v/>
      </c>
      <c r="G183" s="23"/>
      <c r="H183" s="22"/>
      <c r="I183" s="23"/>
      <c r="J183" s="18"/>
      <c r="K183" s="13" t="str">
        <f t="shared" si="158"/>
        <v/>
      </c>
      <c r="L183" s="28" t="str">
        <f t="shared" si="117"/>
        <v/>
      </c>
      <c r="M183" s="10" t="str">
        <f t="shared" si="159"/>
        <v/>
      </c>
      <c r="N183" s="17" t="str">
        <f t="shared" si="160"/>
        <v/>
      </c>
      <c r="O183" s="39" t="str">
        <f t="shared" si="161"/>
        <v/>
      </c>
      <c r="P183" s="41" t="str">
        <f t="shared" si="162"/>
        <v/>
      </c>
      <c r="Q183" s="9" t="str">
        <f t="shared" si="163"/>
        <v/>
      </c>
      <c r="R183" s="14">
        <f t="shared" si="164"/>
        <v>0</v>
      </c>
      <c r="S183" s="61" t="str">
        <f t="shared" si="165"/>
        <v/>
      </c>
      <c r="T183" s="14">
        <f t="shared" si="166"/>
        <v>0</v>
      </c>
      <c r="U183" s="58" t="str">
        <f t="shared" si="167"/>
        <v/>
      </c>
      <c r="V183" s="14">
        <f t="shared" si="168"/>
        <v>0</v>
      </c>
      <c r="W183" s="58" t="str">
        <f t="shared" si="169"/>
        <v/>
      </c>
      <c r="X183" s="14">
        <f t="shared" si="170"/>
        <v>0</v>
      </c>
      <c r="Y183" s="58" t="str">
        <f t="shared" si="171"/>
        <v/>
      </c>
      <c r="Z183" s="31">
        <f t="shared" si="172"/>
        <v>0</v>
      </c>
      <c r="AA183" s="21">
        <f t="shared" si="173"/>
        <v>0</v>
      </c>
      <c r="AB183" s="58" t="str">
        <f t="shared" si="174"/>
        <v/>
      </c>
      <c r="AC183" s="630">
        <f t="shared" si="115"/>
        <v>0</v>
      </c>
      <c r="AD183" s="627"/>
      <c r="AE183" s="21">
        <f t="shared" si="175"/>
        <v>0</v>
      </c>
      <c r="AF183" s="58" t="str">
        <f t="shared" si="176"/>
        <v/>
      </c>
      <c r="AG183" s="21">
        <f t="shared" si="177"/>
        <v>0</v>
      </c>
      <c r="AH183" s="58" t="str">
        <f t="shared" si="178"/>
        <v/>
      </c>
      <c r="AI183" s="21">
        <f t="shared" si="179"/>
        <v>0</v>
      </c>
      <c r="AJ183" s="58" t="str">
        <f t="shared" si="180"/>
        <v/>
      </c>
      <c r="AK183" s="31">
        <f t="shared" si="181"/>
        <v>0</v>
      </c>
      <c r="AL183" s="21">
        <f t="shared" si="182"/>
        <v>0</v>
      </c>
      <c r="AM183" s="62" t="str">
        <f t="shared" si="183"/>
        <v/>
      </c>
      <c r="AN183" s="21">
        <f t="shared" si="184"/>
        <v>0</v>
      </c>
      <c r="AO183" s="62" t="str">
        <f t="shared" si="185"/>
        <v/>
      </c>
      <c r="AP183" s="21">
        <f t="shared" si="186"/>
        <v>0</v>
      </c>
      <c r="AQ183" s="62" t="str">
        <f t="shared" si="187"/>
        <v/>
      </c>
      <c r="AR183" s="31">
        <f t="shared" si="188"/>
        <v>0</v>
      </c>
      <c r="AS183" s="21">
        <f t="shared" si="189"/>
        <v>0</v>
      </c>
      <c r="AT183" s="62" t="str">
        <f t="shared" si="190"/>
        <v/>
      </c>
      <c r="AU183" s="84">
        <f t="shared" si="191"/>
        <v>0</v>
      </c>
      <c r="AV183" s="32">
        <f t="shared" si="192"/>
        <v>0</v>
      </c>
      <c r="AW183" s="85" t="str">
        <f t="shared" si="193"/>
        <v/>
      </c>
      <c r="AX183" s="86" t="str">
        <f t="shared" si="194"/>
        <v/>
      </c>
    </row>
    <row r="184" spans="1:50" x14ac:dyDescent="0.2">
      <c r="A184" s="29" t="str">
        <f t="shared" si="153"/>
        <v/>
      </c>
      <c r="B184" s="32" t="str">
        <f t="shared" si="154"/>
        <v/>
      </c>
      <c r="C184" s="35"/>
      <c r="D184" s="33" t="str">
        <f t="shared" si="155"/>
        <v/>
      </c>
      <c r="E184" s="22" t="str">
        <f t="shared" si="156"/>
        <v/>
      </c>
      <c r="F184" s="23" t="str">
        <f t="shared" si="157"/>
        <v/>
      </c>
      <c r="G184" s="23"/>
      <c r="H184" s="22"/>
      <c r="I184" s="23"/>
      <c r="J184" s="18"/>
      <c r="K184" s="13" t="str">
        <f t="shared" si="158"/>
        <v/>
      </c>
      <c r="L184" s="28" t="str">
        <f t="shared" si="117"/>
        <v/>
      </c>
      <c r="M184" s="10" t="str">
        <f t="shared" si="159"/>
        <v/>
      </c>
      <c r="N184" s="17" t="str">
        <f t="shared" si="160"/>
        <v/>
      </c>
      <c r="O184" s="39" t="str">
        <f t="shared" si="161"/>
        <v/>
      </c>
      <c r="P184" s="41" t="str">
        <f t="shared" si="162"/>
        <v/>
      </c>
      <c r="Q184" s="9" t="str">
        <f t="shared" si="163"/>
        <v/>
      </c>
      <c r="R184" s="14">
        <f t="shared" si="164"/>
        <v>0</v>
      </c>
      <c r="S184" s="61" t="str">
        <f t="shared" si="165"/>
        <v/>
      </c>
      <c r="T184" s="14">
        <f t="shared" si="166"/>
        <v>0</v>
      </c>
      <c r="U184" s="58" t="str">
        <f t="shared" si="167"/>
        <v/>
      </c>
      <c r="V184" s="14">
        <f t="shared" si="168"/>
        <v>0</v>
      </c>
      <c r="W184" s="58" t="str">
        <f t="shared" si="169"/>
        <v/>
      </c>
      <c r="X184" s="14">
        <f t="shared" si="170"/>
        <v>0</v>
      </c>
      <c r="Y184" s="58" t="str">
        <f t="shared" si="171"/>
        <v/>
      </c>
      <c r="Z184" s="31">
        <f t="shared" si="172"/>
        <v>0</v>
      </c>
      <c r="AA184" s="21">
        <f t="shared" si="173"/>
        <v>0</v>
      </c>
      <c r="AB184" s="58" t="str">
        <f t="shared" si="174"/>
        <v/>
      </c>
      <c r="AC184" s="630">
        <f t="shared" si="115"/>
        <v>0</v>
      </c>
      <c r="AD184" s="627"/>
      <c r="AE184" s="21">
        <f t="shared" si="175"/>
        <v>0</v>
      </c>
      <c r="AF184" s="58" t="str">
        <f t="shared" si="176"/>
        <v/>
      </c>
      <c r="AG184" s="21">
        <f t="shared" si="177"/>
        <v>0</v>
      </c>
      <c r="AH184" s="58" t="str">
        <f t="shared" si="178"/>
        <v/>
      </c>
      <c r="AI184" s="21">
        <f t="shared" si="179"/>
        <v>0</v>
      </c>
      <c r="AJ184" s="58" t="str">
        <f t="shared" si="180"/>
        <v/>
      </c>
      <c r="AK184" s="31">
        <f t="shared" si="181"/>
        <v>0</v>
      </c>
      <c r="AL184" s="21">
        <f t="shared" si="182"/>
        <v>0</v>
      </c>
      <c r="AM184" s="62" t="str">
        <f t="shared" si="183"/>
        <v/>
      </c>
      <c r="AN184" s="21">
        <f t="shared" si="184"/>
        <v>0</v>
      </c>
      <c r="AO184" s="62" t="str">
        <f t="shared" si="185"/>
        <v/>
      </c>
      <c r="AP184" s="21">
        <f t="shared" si="186"/>
        <v>0</v>
      </c>
      <c r="AQ184" s="62" t="str">
        <f t="shared" si="187"/>
        <v/>
      </c>
      <c r="AR184" s="31">
        <f t="shared" si="188"/>
        <v>0</v>
      </c>
      <c r="AS184" s="21">
        <f t="shared" si="189"/>
        <v>0</v>
      </c>
      <c r="AT184" s="62" t="str">
        <f t="shared" si="190"/>
        <v/>
      </c>
      <c r="AU184" s="84">
        <f t="shared" si="191"/>
        <v>0</v>
      </c>
      <c r="AV184" s="32">
        <f t="shared" si="192"/>
        <v>0</v>
      </c>
      <c r="AW184" s="85" t="str">
        <f t="shared" si="193"/>
        <v/>
      </c>
      <c r="AX184" s="86" t="str">
        <f t="shared" si="194"/>
        <v/>
      </c>
    </row>
    <row r="185" spans="1:50" x14ac:dyDescent="0.2">
      <c r="A185" s="29" t="str">
        <f t="shared" si="153"/>
        <v/>
      </c>
      <c r="B185" s="32" t="str">
        <f t="shared" si="154"/>
        <v/>
      </c>
      <c r="C185" s="35"/>
      <c r="D185" s="33" t="str">
        <f t="shared" si="155"/>
        <v/>
      </c>
      <c r="E185" s="22" t="str">
        <f t="shared" si="156"/>
        <v/>
      </c>
      <c r="F185" s="23" t="str">
        <f t="shared" si="157"/>
        <v/>
      </c>
      <c r="G185" s="23"/>
      <c r="H185" s="22"/>
      <c r="I185" s="23"/>
      <c r="J185" s="18"/>
      <c r="K185" s="13" t="str">
        <f t="shared" si="158"/>
        <v/>
      </c>
      <c r="L185" s="28" t="str">
        <f t="shared" si="117"/>
        <v/>
      </c>
      <c r="M185" s="10" t="str">
        <f t="shared" si="159"/>
        <v/>
      </c>
      <c r="N185" s="17" t="str">
        <f t="shared" si="160"/>
        <v/>
      </c>
      <c r="O185" s="39" t="str">
        <f t="shared" si="161"/>
        <v/>
      </c>
      <c r="P185" s="41" t="str">
        <f t="shared" si="162"/>
        <v/>
      </c>
      <c r="Q185" s="9" t="str">
        <f t="shared" si="163"/>
        <v/>
      </c>
      <c r="R185" s="14">
        <f t="shared" si="164"/>
        <v>0</v>
      </c>
      <c r="S185" s="61" t="str">
        <f t="shared" si="165"/>
        <v/>
      </c>
      <c r="T185" s="14">
        <f t="shared" si="166"/>
        <v>0</v>
      </c>
      <c r="U185" s="58" t="str">
        <f t="shared" si="167"/>
        <v/>
      </c>
      <c r="V185" s="14">
        <f t="shared" si="168"/>
        <v>0</v>
      </c>
      <c r="W185" s="58" t="str">
        <f t="shared" si="169"/>
        <v/>
      </c>
      <c r="X185" s="14">
        <f t="shared" si="170"/>
        <v>0</v>
      </c>
      <c r="Y185" s="58" t="str">
        <f t="shared" si="171"/>
        <v/>
      </c>
      <c r="Z185" s="31">
        <f t="shared" si="172"/>
        <v>0</v>
      </c>
      <c r="AA185" s="21">
        <f t="shared" si="173"/>
        <v>0</v>
      </c>
      <c r="AB185" s="58" t="str">
        <f t="shared" si="174"/>
        <v/>
      </c>
      <c r="AC185" s="630">
        <f t="shared" si="115"/>
        <v>0</v>
      </c>
      <c r="AD185" s="627"/>
      <c r="AE185" s="21">
        <f t="shared" si="175"/>
        <v>0</v>
      </c>
      <c r="AF185" s="58" t="str">
        <f t="shared" si="176"/>
        <v/>
      </c>
      <c r="AG185" s="21">
        <f t="shared" si="177"/>
        <v>0</v>
      </c>
      <c r="AH185" s="58" t="str">
        <f t="shared" si="178"/>
        <v/>
      </c>
      <c r="AI185" s="21">
        <f t="shared" si="179"/>
        <v>0</v>
      </c>
      <c r="AJ185" s="58" t="str">
        <f t="shared" si="180"/>
        <v/>
      </c>
      <c r="AK185" s="31">
        <f t="shared" si="181"/>
        <v>0</v>
      </c>
      <c r="AL185" s="21">
        <f t="shared" si="182"/>
        <v>0</v>
      </c>
      <c r="AM185" s="62" t="str">
        <f t="shared" si="183"/>
        <v/>
      </c>
      <c r="AN185" s="21">
        <f t="shared" si="184"/>
        <v>0</v>
      </c>
      <c r="AO185" s="62" t="str">
        <f t="shared" si="185"/>
        <v/>
      </c>
      <c r="AP185" s="21">
        <f t="shared" si="186"/>
        <v>0</v>
      </c>
      <c r="AQ185" s="62" t="str">
        <f t="shared" si="187"/>
        <v/>
      </c>
      <c r="AR185" s="31">
        <f t="shared" si="188"/>
        <v>0</v>
      </c>
      <c r="AS185" s="21">
        <f t="shared" si="189"/>
        <v>0</v>
      </c>
      <c r="AT185" s="62" t="str">
        <f t="shared" si="190"/>
        <v/>
      </c>
      <c r="AU185" s="84">
        <f t="shared" si="191"/>
        <v>0</v>
      </c>
      <c r="AV185" s="32">
        <f t="shared" si="192"/>
        <v>0</v>
      </c>
      <c r="AW185" s="85" t="str">
        <f t="shared" si="193"/>
        <v/>
      </c>
      <c r="AX185" s="86" t="str">
        <f t="shared" si="194"/>
        <v/>
      </c>
    </row>
    <row r="186" spans="1:50" x14ac:dyDescent="0.2">
      <c r="A186" s="29" t="str">
        <f t="shared" si="153"/>
        <v/>
      </c>
      <c r="B186" s="32" t="str">
        <f t="shared" si="154"/>
        <v/>
      </c>
      <c r="C186" s="35"/>
      <c r="D186" s="33" t="str">
        <f t="shared" si="155"/>
        <v/>
      </c>
      <c r="E186" s="22" t="str">
        <f t="shared" si="156"/>
        <v/>
      </c>
      <c r="F186" s="23" t="str">
        <f t="shared" si="157"/>
        <v/>
      </c>
      <c r="G186" s="23"/>
      <c r="H186" s="22"/>
      <c r="I186" s="23"/>
      <c r="J186" s="18"/>
      <c r="K186" s="13" t="str">
        <f t="shared" si="158"/>
        <v/>
      </c>
      <c r="L186" s="28" t="str">
        <f t="shared" si="117"/>
        <v/>
      </c>
      <c r="M186" s="10" t="str">
        <f t="shared" si="159"/>
        <v/>
      </c>
      <c r="N186" s="17" t="str">
        <f t="shared" si="160"/>
        <v/>
      </c>
      <c r="O186" s="39" t="str">
        <f t="shared" si="161"/>
        <v/>
      </c>
      <c r="P186" s="41" t="str">
        <f t="shared" si="162"/>
        <v/>
      </c>
      <c r="Q186" s="9" t="str">
        <f t="shared" si="163"/>
        <v/>
      </c>
      <c r="R186" s="14">
        <f t="shared" si="164"/>
        <v>0</v>
      </c>
      <c r="S186" s="61" t="str">
        <f t="shared" si="165"/>
        <v/>
      </c>
      <c r="T186" s="14">
        <f t="shared" si="166"/>
        <v>0</v>
      </c>
      <c r="U186" s="58" t="str">
        <f t="shared" si="167"/>
        <v/>
      </c>
      <c r="V186" s="14">
        <f t="shared" si="168"/>
        <v>0</v>
      </c>
      <c r="W186" s="58" t="str">
        <f t="shared" si="169"/>
        <v/>
      </c>
      <c r="X186" s="14">
        <f t="shared" si="170"/>
        <v>0</v>
      </c>
      <c r="Y186" s="58" t="str">
        <f t="shared" si="171"/>
        <v/>
      </c>
      <c r="Z186" s="31">
        <f t="shared" si="172"/>
        <v>0</v>
      </c>
      <c r="AA186" s="21">
        <f t="shared" si="173"/>
        <v>0</v>
      </c>
      <c r="AB186" s="58" t="str">
        <f t="shared" si="174"/>
        <v/>
      </c>
      <c r="AC186" s="630">
        <f t="shared" si="115"/>
        <v>0</v>
      </c>
      <c r="AD186" s="627"/>
      <c r="AE186" s="21">
        <f t="shared" si="175"/>
        <v>0</v>
      </c>
      <c r="AF186" s="58" t="str">
        <f t="shared" si="176"/>
        <v/>
      </c>
      <c r="AG186" s="21">
        <f t="shared" si="177"/>
        <v>0</v>
      </c>
      <c r="AH186" s="58" t="str">
        <f t="shared" si="178"/>
        <v/>
      </c>
      <c r="AI186" s="21">
        <f t="shared" si="179"/>
        <v>0</v>
      </c>
      <c r="AJ186" s="58" t="str">
        <f t="shared" si="180"/>
        <v/>
      </c>
      <c r="AK186" s="31">
        <f t="shared" si="181"/>
        <v>0</v>
      </c>
      <c r="AL186" s="21">
        <f t="shared" si="182"/>
        <v>0</v>
      </c>
      <c r="AM186" s="62" t="str">
        <f t="shared" si="183"/>
        <v/>
      </c>
      <c r="AN186" s="21">
        <f t="shared" si="184"/>
        <v>0</v>
      </c>
      <c r="AO186" s="62" t="str">
        <f t="shared" si="185"/>
        <v/>
      </c>
      <c r="AP186" s="21">
        <f t="shared" si="186"/>
        <v>0</v>
      </c>
      <c r="AQ186" s="62" t="str">
        <f t="shared" si="187"/>
        <v/>
      </c>
      <c r="AR186" s="31">
        <f t="shared" si="188"/>
        <v>0</v>
      </c>
      <c r="AS186" s="21">
        <f t="shared" si="189"/>
        <v>0</v>
      </c>
      <c r="AT186" s="62" t="str">
        <f t="shared" si="190"/>
        <v/>
      </c>
      <c r="AU186" s="84">
        <f t="shared" si="191"/>
        <v>0</v>
      </c>
      <c r="AV186" s="32">
        <f t="shared" si="192"/>
        <v>0</v>
      </c>
      <c r="AW186" s="85" t="str">
        <f t="shared" si="193"/>
        <v/>
      </c>
      <c r="AX186" s="86" t="str">
        <f t="shared" si="194"/>
        <v/>
      </c>
    </row>
    <row r="187" spans="1:50" x14ac:dyDescent="0.2">
      <c r="A187" s="29" t="str">
        <f t="shared" si="153"/>
        <v/>
      </c>
      <c r="B187" s="32" t="str">
        <f t="shared" si="154"/>
        <v/>
      </c>
      <c r="C187" s="35"/>
      <c r="D187" s="33" t="str">
        <f t="shared" si="155"/>
        <v/>
      </c>
      <c r="E187" s="22" t="str">
        <f t="shared" si="156"/>
        <v/>
      </c>
      <c r="F187" s="23" t="str">
        <f t="shared" si="157"/>
        <v/>
      </c>
      <c r="G187" s="23"/>
      <c r="H187" s="22"/>
      <c r="I187" s="23"/>
      <c r="J187" s="18"/>
      <c r="K187" s="13" t="str">
        <f t="shared" si="158"/>
        <v/>
      </c>
      <c r="L187" s="28" t="str">
        <f t="shared" si="117"/>
        <v/>
      </c>
      <c r="M187" s="10" t="str">
        <f t="shared" si="159"/>
        <v/>
      </c>
      <c r="N187" s="17" t="str">
        <f t="shared" si="160"/>
        <v/>
      </c>
      <c r="O187" s="39" t="str">
        <f t="shared" si="161"/>
        <v/>
      </c>
      <c r="P187" s="41" t="str">
        <f t="shared" si="162"/>
        <v/>
      </c>
      <c r="Q187" s="9" t="str">
        <f t="shared" si="163"/>
        <v/>
      </c>
      <c r="R187" s="14">
        <f t="shared" si="164"/>
        <v>0</v>
      </c>
      <c r="S187" s="61" t="str">
        <f t="shared" si="165"/>
        <v/>
      </c>
      <c r="T187" s="14">
        <f t="shared" si="166"/>
        <v>0</v>
      </c>
      <c r="U187" s="58" t="str">
        <f t="shared" si="167"/>
        <v/>
      </c>
      <c r="V187" s="14">
        <f t="shared" si="168"/>
        <v>0</v>
      </c>
      <c r="W187" s="58" t="str">
        <f t="shared" si="169"/>
        <v/>
      </c>
      <c r="X187" s="14">
        <f t="shared" si="170"/>
        <v>0</v>
      </c>
      <c r="Y187" s="58" t="str">
        <f t="shared" si="171"/>
        <v/>
      </c>
      <c r="Z187" s="31">
        <f t="shared" si="172"/>
        <v>0</v>
      </c>
      <c r="AA187" s="21">
        <f t="shared" si="173"/>
        <v>0</v>
      </c>
      <c r="AB187" s="58" t="str">
        <f t="shared" si="174"/>
        <v/>
      </c>
      <c r="AC187" s="630">
        <f t="shared" si="115"/>
        <v>0</v>
      </c>
      <c r="AD187" s="627"/>
      <c r="AE187" s="21">
        <f t="shared" si="175"/>
        <v>0</v>
      </c>
      <c r="AF187" s="58" t="str">
        <f t="shared" si="176"/>
        <v/>
      </c>
      <c r="AG187" s="21">
        <f t="shared" si="177"/>
        <v>0</v>
      </c>
      <c r="AH187" s="58" t="str">
        <f t="shared" si="178"/>
        <v/>
      </c>
      <c r="AI187" s="21">
        <f t="shared" si="179"/>
        <v>0</v>
      </c>
      <c r="AJ187" s="58" t="str">
        <f t="shared" si="180"/>
        <v/>
      </c>
      <c r="AK187" s="31">
        <f t="shared" si="181"/>
        <v>0</v>
      </c>
      <c r="AL187" s="21">
        <f t="shared" si="182"/>
        <v>0</v>
      </c>
      <c r="AM187" s="62" t="str">
        <f t="shared" si="183"/>
        <v/>
      </c>
      <c r="AN187" s="21">
        <f t="shared" si="184"/>
        <v>0</v>
      </c>
      <c r="AO187" s="62" t="str">
        <f t="shared" si="185"/>
        <v/>
      </c>
      <c r="AP187" s="21">
        <f t="shared" si="186"/>
        <v>0</v>
      </c>
      <c r="AQ187" s="62" t="str">
        <f t="shared" si="187"/>
        <v/>
      </c>
      <c r="AR187" s="31">
        <f t="shared" si="188"/>
        <v>0</v>
      </c>
      <c r="AS187" s="21">
        <f t="shared" si="189"/>
        <v>0</v>
      </c>
      <c r="AT187" s="62" t="str">
        <f t="shared" si="190"/>
        <v/>
      </c>
      <c r="AU187" s="84">
        <f t="shared" si="191"/>
        <v>0</v>
      </c>
      <c r="AV187" s="32">
        <f t="shared" si="192"/>
        <v>0</v>
      </c>
      <c r="AW187" s="85" t="str">
        <f t="shared" si="193"/>
        <v/>
      </c>
      <c r="AX187" s="86" t="str">
        <f t="shared" si="194"/>
        <v/>
      </c>
    </row>
    <row r="188" spans="1:50" x14ac:dyDescent="0.2">
      <c r="A188" s="29" t="str">
        <f t="shared" si="153"/>
        <v/>
      </c>
      <c r="B188" s="32" t="str">
        <f t="shared" si="154"/>
        <v/>
      </c>
      <c r="C188" s="35"/>
      <c r="D188" s="33" t="str">
        <f t="shared" si="155"/>
        <v/>
      </c>
      <c r="E188" s="22" t="str">
        <f t="shared" si="156"/>
        <v/>
      </c>
      <c r="F188" s="23" t="str">
        <f t="shared" si="157"/>
        <v/>
      </c>
      <c r="G188" s="23"/>
      <c r="H188" s="22"/>
      <c r="I188" s="23"/>
      <c r="J188" s="18"/>
      <c r="K188" s="13" t="str">
        <f t="shared" si="158"/>
        <v/>
      </c>
      <c r="L188" s="28" t="str">
        <f t="shared" si="117"/>
        <v/>
      </c>
      <c r="M188" s="10" t="str">
        <f t="shared" si="159"/>
        <v/>
      </c>
      <c r="N188" s="17" t="str">
        <f t="shared" si="160"/>
        <v/>
      </c>
      <c r="O188" s="39" t="str">
        <f t="shared" si="161"/>
        <v/>
      </c>
      <c r="P188" s="41" t="str">
        <f t="shared" si="162"/>
        <v/>
      </c>
      <c r="Q188" s="9" t="str">
        <f t="shared" si="163"/>
        <v/>
      </c>
      <c r="R188" s="14">
        <f t="shared" si="164"/>
        <v>0</v>
      </c>
      <c r="S188" s="61" t="str">
        <f t="shared" si="165"/>
        <v/>
      </c>
      <c r="T188" s="14">
        <f t="shared" si="166"/>
        <v>0</v>
      </c>
      <c r="U188" s="58" t="str">
        <f t="shared" si="167"/>
        <v/>
      </c>
      <c r="V188" s="14">
        <f t="shared" si="168"/>
        <v>0</v>
      </c>
      <c r="W188" s="58" t="str">
        <f t="shared" si="169"/>
        <v/>
      </c>
      <c r="X188" s="14">
        <f t="shared" si="170"/>
        <v>0</v>
      </c>
      <c r="Y188" s="58" t="str">
        <f t="shared" si="171"/>
        <v/>
      </c>
      <c r="Z188" s="31">
        <f t="shared" si="172"/>
        <v>0</v>
      </c>
      <c r="AA188" s="21">
        <f t="shared" si="173"/>
        <v>0</v>
      </c>
      <c r="AB188" s="58" t="str">
        <f t="shared" si="174"/>
        <v/>
      </c>
      <c r="AC188" s="630">
        <f t="shared" si="115"/>
        <v>0</v>
      </c>
      <c r="AD188" s="627"/>
      <c r="AE188" s="21">
        <f t="shared" si="175"/>
        <v>0</v>
      </c>
      <c r="AF188" s="58" t="str">
        <f t="shared" si="176"/>
        <v/>
      </c>
      <c r="AG188" s="21">
        <f t="shared" si="177"/>
        <v>0</v>
      </c>
      <c r="AH188" s="58" t="str">
        <f t="shared" si="178"/>
        <v/>
      </c>
      <c r="AI188" s="21">
        <f t="shared" si="179"/>
        <v>0</v>
      </c>
      <c r="AJ188" s="58" t="str">
        <f t="shared" si="180"/>
        <v/>
      </c>
      <c r="AK188" s="31">
        <f t="shared" si="181"/>
        <v>0</v>
      </c>
      <c r="AL188" s="21">
        <f t="shared" si="182"/>
        <v>0</v>
      </c>
      <c r="AM188" s="62" t="str">
        <f t="shared" si="183"/>
        <v/>
      </c>
      <c r="AN188" s="21">
        <f t="shared" si="184"/>
        <v>0</v>
      </c>
      <c r="AO188" s="62" t="str">
        <f t="shared" si="185"/>
        <v/>
      </c>
      <c r="AP188" s="21">
        <f t="shared" si="186"/>
        <v>0</v>
      </c>
      <c r="AQ188" s="62" t="str">
        <f t="shared" si="187"/>
        <v/>
      </c>
      <c r="AR188" s="31">
        <f t="shared" si="188"/>
        <v>0</v>
      </c>
      <c r="AS188" s="21">
        <f t="shared" si="189"/>
        <v>0</v>
      </c>
      <c r="AT188" s="62" t="str">
        <f t="shared" si="190"/>
        <v/>
      </c>
      <c r="AU188" s="84">
        <f t="shared" si="191"/>
        <v>0</v>
      </c>
      <c r="AV188" s="32">
        <f t="shared" si="192"/>
        <v>0</v>
      </c>
      <c r="AW188" s="85" t="str">
        <f t="shared" si="193"/>
        <v/>
      </c>
      <c r="AX188" s="86" t="str">
        <f t="shared" si="194"/>
        <v/>
      </c>
    </row>
    <row r="189" spans="1:50" x14ac:dyDescent="0.2">
      <c r="A189" s="29" t="str">
        <f t="shared" si="153"/>
        <v/>
      </c>
      <c r="B189" s="32" t="str">
        <f t="shared" si="154"/>
        <v/>
      </c>
      <c r="C189" s="35"/>
      <c r="D189" s="33" t="str">
        <f t="shared" si="155"/>
        <v/>
      </c>
      <c r="E189" s="22" t="str">
        <f t="shared" si="156"/>
        <v/>
      </c>
      <c r="F189" s="23" t="str">
        <f t="shared" si="157"/>
        <v/>
      </c>
      <c r="G189" s="23"/>
      <c r="H189" s="22"/>
      <c r="I189" s="23"/>
      <c r="J189" s="18"/>
      <c r="K189" s="13" t="str">
        <f t="shared" si="158"/>
        <v/>
      </c>
      <c r="L189" s="28" t="str">
        <f t="shared" si="117"/>
        <v/>
      </c>
      <c r="M189" s="10" t="str">
        <f t="shared" si="159"/>
        <v/>
      </c>
      <c r="N189" s="17" t="str">
        <f t="shared" si="160"/>
        <v/>
      </c>
      <c r="O189" s="39" t="str">
        <f t="shared" si="161"/>
        <v/>
      </c>
      <c r="P189" s="41" t="str">
        <f t="shared" si="162"/>
        <v/>
      </c>
      <c r="Q189" s="9" t="str">
        <f t="shared" si="163"/>
        <v/>
      </c>
      <c r="R189" s="14">
        <f t="shared" si="164"/>
        <v>0</v>
      </c>
      <c r="S189" s="61" t="str">
        <f t="shared" si="165"/>
        <v/>
      </c>
      <c r="T189" s="14">
        <f t="shared" si="166"/>
        <v>0</v>
      </c>
      <c r="U189" s="58" t="str">
        <f t="shared" si="167"/>
        <v/>
      </c>
      <c r="V189" s="14">
        <f t="shared" si="168"/>
        <v>0</v>
      </c>
      <c r="W189" s="58" t="str">
        <f t="shared" si="169"/>
        <v/>
      </c>
      <c r="X189" s="14">
        <f t="shared" si="170"/>
        <v>0</v>
      </c>
      <c r="Y189" s="58" t="str">
        <f t="shared" si="171"/>
        <v/>
      </c>
      <c r="Z189" s="31">
        <f t="shared" si="172"/>
        <v>0</v>
      </c>
      <c r="AA189" s="21">
        <f t="shared" si="173"/>
        <v>0</v>
      </c>
      <c r="AB189" s="58" t="str">
        <f t="shared" si="174"/>
        <v/>
      </c>
      <c r="AC189" s="630">
        <f t="shared" si="115"/>
        <v>0</v>
      </c>
      <c r="AD189" s="627"/>
      <c r="AE189" s="21">
        <f t="shared" si="175"/>
        <v>0</v>
      </c>
      <c r="AF189" s="58" t="str">
        <f t="shared" si="176"/>
        <v/>
      </c>
      <c r="AG189" s="21">
        <f t="shared" si="177"/>
        <v>0</v>
      </c>
      <c r="AH189" s="58" t="str">
        <f t="shared" si="178"/>
        <v/>
      </c>
      <c r="AI189" s="21">
        <f t="shared" si="179"/>
        <v>0</v>
      </c>
      <c r="AJ189" s="58" t="str">
        <f t="shared" si="180"/>
        <v/>
      </c>
      <c r="AK189" s="31">
        <f t="shared" si="181"/>
        <v>0</v>
      </c>
      <c r="AL189" s="21">
        <f t="shared" si="182"/>
        <v>0</v>
      </c>
      <c r="AM189" s="62" t="str">
        <f t="shared" si="183"/>
        <v/>
      </c>
      <c r="AN189" s="21">
        <f t="shared" si="184"/>
        <v>0</v>
      </c>
      <c r="AO189" s="62" t="str">
        <f t="shared" si="185"/>
        <v/>
      </c>
      <c r="AP189" s="21">
        <f t="shared" si="186"/>
        <v>0</v>
      </c>
      <c r="AQ189" s="62" t="str">
        <f t="shared" si="187"/>
        <v/>
      </c>
      <c r="AR189" s="31">
        <f t="shared" si="188"/>
        <v>0</v>
      </c>
      <c r="AS189" s="21">
        <f t="shared" si="189"/>
        <v>0</v>
      </c>
      <c r="AT189" s="62" t="str">
        <f t="shared" si="190"/>
        <v/>
      </c>
      <c r="AU189" s="84">
        <f t="shared" si="191"/>
        <v>0</v>
      </c>
      <c r="AV189" s="32">
        <f t="shared" si="192"/>
        <v>0</v>
      </c>
      <c r="AW189" s="85" t="str">
        <f t="shared" si="193"/>
        <v/>
      </c>
      <c r="AX189" s="86" t="str">
        <f t="shared" si="194"/>
        <v/>
      </c>
    </row>
    <row r="190" spans="1:50" x14ac:dyDescent="0.2">
      <c r="A190" s="29" t="str">
        <f t="shared" si="153"/>
        <v/>
      </c>
      <c r="B190" s="32" t="str">
        <f t="shared" si="154"/>
        <v/>
      </c>
      <c r="C190" s="35"/>
      <c r="D190" s="33" t="str">
        <f t="shared" si="155"/>
        <v/>
      </c>
      <c r="E190" s="22" t="str">
        <f t="shared" si="156"/>
        <v/>
      </c>
      <c r="F190" s="23" t="str">
        <f t="shared" si="157"/>
        <v/>
      </c>
      <c r="G190" s="23"/>
      <c r="H190" s="22"/>
      <c r="I190" s="23"/>
      <c r="J190" s="18"/>
      <c r="K190" s="13" t="str">
        <f t="shared" si="158"/>
        <v/>
      </c>
      <c r="L190" s="28" t="str">
        <f t="shared" si="117"/>
        <v/>
      </c>
      <c r="M190" s="10" t="str">
        <f t="shared" si="159"/>
        <v/>
      </c>
      <c r="N190" s="17" t="str">
        <f t="shared" si="160"/>
        <v/>
      </c>
      <c r="O190" s="39" t="str">
        <f t="shared" si="161"/>
        <v/>
      </c>
      <c r="P190" s="41" t="str">
        <f t="shared" si="162"/>
        <v/>
      </c>
      <c r="Q190" s="9" t="str">
        <f t="shared" si="163"/>
        <v/>
      </c>
      <c r="R190" s="14">
        <f t="shared" si="164"/>
        <v>0</v>
      </c>
      <c r="S190" s="61" t="str">
        <f t="shared" si="165"/>
        <v/>
      </c>
      <c r="T190" s="14">
        <f t="shared" si="166"/>
        <v>0</v>
      </c>
      <c r="U190" s="58" t="str">
        <f t="shared" si="167"/>
        <v/>
      </c>
      <c r="V190" s="14">
        <f t="shared" si="168"/>
        <v>0</v>
      </c>
      <c r="W190" s="58" t="str">
        <f t="shared" si="169"/>
        <v/>
      </c>
      <c r="X190" s="14">
        <f t="shared" si="170"/>
        <v>0</v>
      </c>
      <c r="Y190" s="58" t="str">
        <f t="shared" si="171"/>
        <v/>
      </c>
      <c r="Z190" s="31">
        <f t="shared" si="172"/>
        <v>0</v>
      </c>
      <c r="AA190" s="21">
        <f t="shared" si="173"/>
        <v>0</v>
      </c>
      <c r="AB190" s="58" t="str">
        <f t="shared" si="174"/>
        <v/>
      </c>
      <c r="AC190" s="630">
        <f t="shared" si="115"/>
        <v>0</v>
      </c>
      <c r="AD190" s="627"/>
      <c r="AE190" s="21">
        <f t="shared" si="175"/>
        <v>0</v>
      </c>
      <c r="AF190" s="58" t="str">
        <f t="shared" si="176"/>
        <v/>
      </c>
      <c r="AG190" s="21">
        <f t="shared" si="177"/>
        <v>0</v>
      </c>
      <c r="AH190" s="58" t="str">
        <f t="shared" si="178"/>
        <v/>
      </c>
      <c r="AI190" s="21">
        <f t="shared" si="179"/>
        <v>0</v>
      </c>
      <c r="AJ190" s="58" t="str">
        <f t="shared" si="180"/>
        <v/>
      </c>
      <c r="AK190" s="31">
        <f t="shared" si="181"/>
        <v>0</v>
      </c>
      <c r="AL190" s="21">
        <f t="shared" si="182"/>
        <v>0</v>
      </c>
      <c r="AM190" s="62" t="str">
        <f t="shared" si="183"/>
        <v/>
      </c>
      <c r="AN190" s="21">
        <f t="shared" si="184"/>
        <v>0</v>
      </c>
      <c r="AO190" s="62" t="str">
        <f t="shared" si="185"/>
        <v/>
      </c>
      <c r="AP190" s="21">
        <f t="shared" si="186"/>
        <v>0</v>
      </c>
      <c r="AQ190" s="62" t="str">
        <f t="shared" si="187"/>
        <v/>
      </c>
      <c r="AR190" s="31">
        <f t="shared" si="188"/>
        <v>0</v>
      </c>
      <c r="AS190" s="21">
        <f t="shared" si="189"/>
        <v>0</v>
      </c>
      <c r="AT190" s="62" t="str">
        <f t="shared" si="190"/>
        <v/>
      </c>
      <c r="AU190" s="84">
        <f t="shared" si="191"/>
        <v>0</v>
      </c>
      <c r="AV190" s="32">
        <f t="shared" si="192"/>
        <v>0</v>
      </c>
      <c r="AW190" s="85" t="str">
        <f t="shared" si="193"/>
        <v/>
      </c>
      <c r="AX190" s="86" t="str">
        <f t="shared" si="194"/>
        <v/>
      </c>
    </row>
    <row r="191" spans="1:50" x14ac:dyDescent="0.2">
      <c r="A191" s="29" t="str">
        <f t="shared" si="153"/>
        <v/>
      </c>
      <c r="B191" s="32" t="str">
        <f t="shared" si="154"/>
        <v/>
      </c>
      <c r="C191" s="35"/>
      <c r="D191" s="33" t="str">
        <f t="shared" si="155"/>
        <v/>
      </c>
      <c r="E191" s="22" t="str">
        <f t="shared" si="156"/>
        <v/>
      </c>
      <c r="F191" s="23" t="str">
        <f t="shared" si="157"/>
        <v/>
      </c>
      <c r="G191" s="23"/>
      <c r="H191" s="22"/>
      <c r="I191" s="23"/>
      <c r="J191" s="18"/>
      <c r="K191" s="13" t="str">
        <f t="shared" si="158"/>
        <v/>
      </c>
      <c r="L191" s="28" t="str">
        <f t="shared" si="117"/>
        <v/>
      </c>
      <c r="M191" s="10" t="str">
        <f t="shared" si="159"/>
        <v/>
      </c>
      <c r="N191" s="17" t="str">
        <f t="shared" si="160"/>
        <v/>
      </c>
      <c r="O191" s="39" t="str">
        <f t="shared" si="161"/>
        <v/>
      </c>
      <c r="P191" s="41" t="str">
        <f t="shared" si="162"/>
        <v/>
      </c>
      <c r="Q191" s="9" t="str">
        <f t="shared" si="163"/>
        <v/>
      </c>
      <c r="R191" s="14">
        <f t="shared" si="164"/>
        <v>0</v>
      </c>
      <c r="S191" s="61" t="str">
        <f t="shared" si="165"/>
        <v/>
      </c>
      <c r="T191" s="14">
        <f t="shared" si="166"/>
        <v>0</v>
      </c>
      <c r="U191" s="58" t="str">
        <f t="shared" si="167"/>
        <v/>
      </c>
      <c r="V191" s="14">
        <f t="shared" si="168"/>
        <v>0</v>
      </c>
      <c r="W191" s="58" t="str">
        <f t="shared" si="169"/>
        <v/>
      </c>
      <c r="X191" s="14">
        <f t="shared" si="170"/>
        <v>0</v>
      </c>
      <c r="Y191" s="58" t="str">
        <f t="shared" si="171"/>
        <v/>
      </c>
      <c r="Z191" s="31">
        <f t="shared" si="172"/>
        <v>0</v>
      </c>
      <c r="AA191" s="21">
        <f t="shared" si="173"/>
        <v>0</v>
      </c>
      <c r="AB191" s="58" t="str">
        <f t="shared" si="174"/>
        <v/>
      </c>
      <c r="AC191" s="630">
        <f t="shared" si="115"/>
        <v>0</v>
      </c>
      <c r="AD191" s="627"/>
      <c r="AE191" s="21">
        <f t="shared" si="175"/>
        <v>0</v>
      </c>
      <c r="AF191" s="58" t="str">
        <f t="shared" si="176"/>
        <v/>
      </c>
      <c r="AG191" s="21">
        <f t="shared" si="177"/>
        <v>0</v>
      </c>
      <c r="AH191" s="58" t="str">
        <f t="shared" si="178"/>
        <v/>
      </c>
      <c r="AI191" s="21">
        <f t="shared" si="179"/>
        <v>0</v>
      </c>
      <c r="AJ191" s="58" t="str">
        <f t="shared" si="180"/>
        <v/>
      </c>
      <c r="AK191" s="31">
        <f t="shared" si="181"/>
        <v>0</v>
      </c>
      <c r="AL191" s="21">
        <f t="shared" si="182"/>
        <v>0</v>
      </c>
      <c r="AM191" s="62" t="str">
        <f t="shared" si="183"/>
        <v/>
      </c>
      <c r="AN191" s="21">
        <f t="shared" si="184"/>
        <v>0</v>
      </c>
      <c r="AO191" s="62" t="str">
        <f t="shared" si="185"/>
        <v/>
      </c>
      <c r="AP191" s="21">
        <f t="shared" si="186"/>
        <v>0</v>
      </c>
      <c r="AQ191" s="62" t="str">
        <f t="shared" si="187"/>
        <v/>
      </c>
      <c r="AR191" s="31">
        <f t="shared" si="188"/>
        <v>0</v>
      </c>
      <c r="AS191" s="21">
        <f t="shared" si="189"/>
        <v>0</v>
      </c>
      <c r="AT191" s="62" t="str">
        <f t="shared" si="190"/>
        <v/>
      </c>
      <c r="AU191" s="84">
        <f t="shared" si="191"/>
        <v>0</v>
      </c>
      <c r="AV191" s="32">
        <f t="shared" si="192"/>
        <v>0</v>
      </c>
      <c r="AW191" s="85" t="str">
        <f t="shared" si="193"/>
        <v/>
      </c>
      <c r="AX191" s="86" t="str">
        <f t="shared" si="194"/>
        <v/>
      </c>
    </row>
    <row r="192" spans="1:50" x14ac:dyDescent="0.2">
      <c r="A192" s="29" t="str">
        <f t="shared" si="153"/>
        <v/>
      </c>
      <c r="B192" s="32" t="str">
        <f t="shared" si="154"/>
        <v/>
      </c>
      <c r="C192" s="35"/>
      <c r="D192" s="33" t="str">
        <f t="shared" si="155"/>
        <v/>
      </c>
      <c r="E192" s="22" t="str">
        <f t="shared" si="156"/>
        <v/>
      </c>
      <c r="F192" s="23" t="str">
        <f t="shared" si="157"/>
        <v/>
      </c>
      <c r="G192" s="23"/>
      <c r="H192" s="22"/>
      <c r="I192" s="23"/>
      <c r="J192" s="18"/>
      <c r="K192" s="13" t="str">
        <f t="shared" si="158"/>
        <v/>
      </c>
      <c r="L192" s="28" t="str">
        <f t="shared" si="117"/>
        <v/>
      </c>
      <c r="M192" s="10" t="str">
        <f t="shared" si="159"/>
        <v/>
      </c>
      <c r="N192" s="17" t="str">
        <f t="shared" si="160"/>
        <v/>
      </c>
      <c r="O192" s="39" t="str">
        <f t="shared" si="161"/>
        <v/>
      </c>
      <c r="P192" s="41" t="str">
        <f t="shared" si="162"/>
        <v/>
      </c>
      <c r="Q192" s="9" t="str">
        <f t="shared" si="163"/>
        <v/>
      </c>
      <c r="R192" s="14">
        <f t="shared" si="164"/>
        <v>0</v>
      </c>
      <c r="S192" s="61" t="str">
        <f t="shared" si="165"/>
        <v/>
      </c>
      <c r="T192" s="14">
        <f t="shared" si="166"/>
        <v>0</v>
      </c>
      <c r="U192" s="58" t="str">
        <f t="shared" si="167"/>
        <v/>
      </c>
      <c r="V192" s="14">
        <f t="shared" si="168"/>
        <v>0</v>
      </c>
      <c r="W192" s="58" t="str">
        <f t="shared" si="169"/>
        <v/>
      </c>
      <c r="X192" s="14">
        <f t="shared" si="170"/>
        <v>0</v>
      </c>
      <c r="Y192" s="58" t="str">
        <f t="shared" si="171"/>
        <v/>
      </c>
      <c r="Z192" s="31">
        <f t="shared" si="172"/>
        <v>0</v>
      </c>
      <c r="AA192" s="21">
        <f t="shared" si="173"/>
        <v>0</v>
      </c>
      <c r="AB192" s="58" t="str">
        <f t="shared" si="174"/>
        <v/>
      </c>
      <c r="AC192" s="630">
        <f t="shared" si="115"/>
        <v>0</v>
      </c>
      <c r="AD192" s="627"/>
      <c r="AE192" s="21">
        <f t="shared" si="175"/>
        <v>0</v>
      </c>
      <c r="AF192" s="58" t="str">
        <f t="shared" si="176"/>
        <v/>
      </c>
      <c r="AG192" s="21">
        <f t="shared" si="177"/>
        <v>0</v>
      </c>
      <c r="AH192" s="58" t="str">
        <f t="shared" si="178"/>
        <v/>
      </c>
      <c r="AI192" s="21">
        <f t="shared" si="179"/>
        <v>0</v>
      </c>
      <c r="AJ192" s="58" t="str">
        <f t="shared" si="180"/>
        <v/>
      </c>
      <c r="AK192" s="31">
        <f t="shared" si="181"/>
        <v>0</v>
      </c>
      <c r="AL192" s="21">
        <f t="shared" si="182"/>
        <v>0</v>
      </c>
      <c r="AM192" s="62" t="str">
        <f t="shared" si="183"/>
        <v/>
      </c>
      <c r="AN192" s="21">
        <f t="shared" si="184"/>
        <v>0</v>
      </c>
      <c r="AO192" s="62" t="str">
        <f t="shared" si="185"/>
        <v/>
      </c>
      <c r="AP192" s="21">
        <f t="shared" si="186"/>
        <v>0</v>
      </c>
      <c r="AQ192" s="62" t="str">
        <f t="shared" si="187"/>
        <v/>
      </c>
      <c r="AR192" s="31">
        <f t="shared" si="188"/>
        <v>0</v>
      </c>
      <c r="AS192" s="21">
        <f t="shared" si="189"/>
        <v>0</v>
      </c>
      <c r="AT192" s="62" t="str">
        <f t="shared" si="190"/>
        <v/>
      </c>
      <c r="AU192" s="84">
        <f t="shared" si="191"/>
        <v>0</v>
      </c>
      <c r="AV192" s="32">
        <f t="shared" si="192"/>
        <v>0</v>
      </c>
      <c r="AW192" s="85" t="str">
        <f t="shared" si="193"/>
        <v/>
      </c>
      <c r="AX192" s="86" t="str">
        <f t="shared" si="194"/>
        <v/>
      </c>
    </row>
    <row r="193" spans="1:50" x14ac:dyDescent="0.2">
      <c r="A193" s="29" t="str">
        <f t="shared" si="153"/>
        <v/>
      </c>
      <c r="B193" s="32" t="str">
        <f t="shared" si="154"/>
        <v/>
      </c>
      <c r="C193" s="35"/>
      <c r="D193" s="33" t="str">
        <f t="shared" si="155"/>
        <v/>
      </c>
      <c r="E193" s="22" t="str">
        <f t="shared" si="156"/>
        <v/>
      </c>
      <c r="F193" s="23" t="str">
        <f t="shared" si="157"/>
        <v/>
      </c>
      <c r="G193" s="23"/>
      <c r="H193" s="22"/>
      <c r="I193" s="23"/>
      <c r="J193" s="18"/>
      <c r="K193" s="13" t="str">
        <f t="shared" si="158"/>
        <v/>
      </c>
      <c r="L193" s="28" t="str">
        <f t="shared" si="117"/>
        <v/>
      </c>
      <c r="M193" s="10" t="str">
        <f t="shared" si="159"/>
        <v/>
      </c>
      <c r="N193" s="17" t="str">
        <f t="shared" si="160"/>
        <v/>
      </c>
      <c r="O193" s="39" t="str">
        <f t="shared" si="161"/>
        <v/>
      </c>
      <c r="P193" s="41" t="str">
        <f t="shared" si="162"/>
        <v/>
      </c>
      <c r="Q193" s="9" t="str">
        <f t="shared" si="163"/>
        <v/>
      </c>
      <c r="R193" s="14">
        <f t="shared" si="164"/>
        <v>0</v>
      </c>
      <c r="S193" s="61" t="str">
        <f t="shared" si="165"/>
        <v/>
      </c>
      <c r="T193" s="14">
        <f t="shared" si="166"/>
        <v>0</v>
      </c>
      <c r="U193" s="58" t="str">
        <f t="shared" si="167"/>
        <v/>
      </c>
      <c r="V193" s="14">
        <f t="shared" si="168"/>
        <v>0</v>
      </c>
      <c r="W193" s="58" t="str">
        <f t="shared" si="169"/>
        <v/>
      </c>
      <c r="X193" s="14">
        <f t="shared" si="170"/>
        <v>0</v>
      </c>
      <c r="Y193" s="58" t="str">
        <f t="shared" si="171"/>
        <v/>
      </c>
      <c r="Z193" s="31">
        <f t="shared" si="172"/>
        <v>0</v>
      </c>
      <c r="AA193" s="21">
        <f t="shared" si="173"/>
        <v>0</v>
      </c>
      <c r="AB193" s="58" t="str">
        <f t="shared" si="174"/>
        <v/>
      </c>
      <c r="AC193" s="630">
        <f t="shared" si="115"/>
        <v>0</v>
      </c>
      <c r="AD193" s="627"/>
      <c r="AE193" s="21">
        <f t="shared" si="175"/>
        <v>0</v>
      </c>
      <c r="AF193" s="58" t="str">
        <f t="shared" si="176"/>
        <v/>
      </c>
      <c r="AG193" s="21">
        <f t="shared" si="177"/>
        <v>0</v>
      </c>
      <c r="AH193" s="58" t="str">
        <f t="shared" si="178"/>
        <v/>
      </c>
      <c r="AI193" s="21">
        <f t="shared" si="179"/>
        <v>0</v>
      </c>
      <c r="AJ193" s="58" t="str">
        <f t="shared" si="180"/>
        <v/>
      </c>
      <c r="AK193" s="31">
        <f t="shared" si="181"/>
        <v>0</v>
      </c>
      <c r="AL193" s="21">
        <f t="shared" si="182"/>
        <v>0</v>
      </c>
      <c r="AM193" s="62" t="str">
        <f t="shared" si="183"/>
        <v/>
      </c>
      <c r="AN193" s="21">
        <f t="shared" si="184"/>
        <v>0</v>
      </c>
      <c r="AO193" s="62" t="str">
        <f t="shared" si="185"/>
        <v/>
      </c>
      <c r="AP193" s="21">
        <f t="shared" si="186"/>
        <v>0</v>
      </c>
      <c r="AQ193" s="62" t="str">
        <f t="shared" si="187"/>
        <v/>
      </c>
      <c r="AR193" s="31">
        <f t="shared" si="188"/>
        <v>0</v>
      </c>
      <c r="AS193" s="21">
        <f t="shared" si="189"/>
        <v>0</v>
      </c>
      <c r="AT193" s="62" t="str">
        <f t="shared" si="190"/>
        <v/>
      </c>
      <c r="AU193" s="84">
        <f t="shared" si="191"/>
        <v>0</v>
      </c>
      <c r="AV193" s="32">
        <f t="shared" si="192"/>
        <v>0</v>
      </c>
      <c r="AW193" s="85" t="str">
        <f t="shared" si="193"/>
        <v/>
      </c>
      <c r="AX193" s="86" t="str">
        <f t="shared" si="194"/>
        <v/>
      </c>
    </row>
    <row r="194" spans="1:50" x14ac:dyDescent="0.2">
      <c r="A194" s="29" t="str">
        <f t="shared" si="153"/>
        <v/>
      </c>
      <c r="B194" s="32" t="str">
        <f t="shared" si="154"/>
        <v/>
      </c>
      <c r="C194" s="35"/>
      <c r="D194" s="33" t="str">
        <f t="shared" si="155"/>
        <v/>
      </c>
      <c r="E194" s="22" t="str">
        <f t="shared" si="156"/>
        <v/>
      </c>
      <c r="F194" s="23" t="str">
        <f t="shared" si="157"/>
        <v/>
      </c>
      <c r="G194" s="23"/>
      <c r="H194" s="22"/>
      <c r="I194" s="23"/>
      <c r="J194" s="18"/>
      <c r="K194" s="13" t="str">
        <f t="shared" si="158"/>
        <v/>
      </c>
      <c r="L194" s="28" t="str">
        <f t="shared" si="117"/>
        <v/>
      </c>
      <c r="M194" s="10" t="str">
        <f t="shared" si="159"/>
        <v/>
      </c>
      <c r="N194" s="17" t="str">
        <f t="shared" si="160"/>
        <v/>
      </c>
      <c r="O194" s="39" t="str">
        <f t="shared" si="161"/>
        <v/>
      </c>
      <c r="P194" s="41" t="str">
        <f t="shared" si="162"/>
        <v/>
      </c>
      <c r="Q194" s="9" t="str">
        <f t="shared" si="163"/>
        <v/>
      </c>
      <c r="R194" s="14">
        <f t="shared" si="164"/>
        <v>0</v>
      </c>
      <c r="S194" s="61" t="str">
        <f t="shared" si="165"/>
        <v/>
      </c>
      <c r="T194" s="14">
        <f t="shared" si="166"/>
        <v>0</v>
      </c>
      <c r="U194" s="58" t="str">
        <f t="shared" si="167"/>
        <v/>
      </c>
      <c r="V194" s="14">
        <f t="shared" si="168"/>
        <v>0</v>
      </c>
      <c r="W194" s="58" t="str">
        <f t="shared" si="169"/>
        <v/>
      </c>
      <c r="X194" s="14">
        <f t="shared" si="170"/>
        <v>0</v>
      </c>
      <c r="Y194" s="58" t="str">
        <f t="shared" si="171"/>
        <v/>
      </c>
      <c r="Z194" s="31">
        <f t="shared" si="172"/>
        <v>0</v>
      </c>
      <c r="AA194" s="21">
        <f t="shared" si="173"/>
        <v>0</v>
      </c>
      <c r="AB194" s="58" t="str">
        <f t="shared" si="174"/>
        <v/>
      </c>
      <c r="AC194" s="630">
        <f t="shared" si="115"/>
        <v>0</v>
      </c>
      <c r="AD194" s="627"/>
      <c r="AE194" s="21">
        <f t="shared" si="175"/>
        <v>0</v>
      </c>
      <c r="AF194" s="58" t="str">
        <f t="shared" si="176"/>
        <v/>
      </c>
      <c r="AG194" s="21">
        <f t="shared" si="177"/>
        <v>0</v>
      </c>
      <c r="AH194" s="58" t="str">
        <f t="shared" si="178"/>
        <v/>
      </c>
      <c r="AI194" s="21">
        <f t="shared" si="179"/>
        <v>0</v>
      </c>
      <c r="AJ194" s="58" t="str">
        <f t="shared" si="180"/>
        <v/>
      </c>
      <c r="AK194" s="31">
        <f t="shared" si="181"/>
        <v>0</v>
      </c>
      <c r="AL194" s="21">
        <f t="shared" si="182"/>
        <v>0</v>
      </c>
      <c r="AM194" s="62" t="str">
        <f t="shared" si="183"/>
        <v/>
      </c>
      <c r="AN194" s="21">
        <f t="shared" si="184"/>
        <v>0</v>
      </c>
      <c r="AO194" s="62" t="str">
        <f t="shared" si="185"/>
        <v/>
      </c>
      <c r="AP194" s="21">
        <f t="shared" si="186"/>
        <v>0</v>
      </c>
      <c r="AQ194" s="62" t="str">
        <f t="shared" si="187"/>
        <v/>
      </c>
      <c r="AR194" s="31">
        <f t="shared" si="188"/>
        <v>0</v>
      </c>
      <c r="AS194" s="21">
        <f t="shared" si="189"/>
        <v>0</v>
      </c>
      <c r="AT194" s="62" t="str">
        <f t="shared" si="190"/>
        <v/>
      </c>
      <c r="AU194" s="84">
        <f t="shared" si="191"/>
        <v>0</v>
      </c>
      <c r="AV194" s="32">
        <f t="shared" si="192"/>
        <v>0</v>
      </c>
      <c r="AW194" s="85" t="str">
        <f t="shared" si="193"/>
        <v/>
      </c>
      <c r="AX194" s="86" t="str">
        <f t="shared" si="194"/>
        <v/>
      </c>
    </row>
    <row r="195" spans="1:50" x14ac:dyDescent="0.2">
      <c r="A195" s="29" t="str">
        <f t="shared" si="153"/>
        <v/>
      </c>
      <c r="B195" s="32" t="str">
        <f t="shared" si="154"/>
        <v/>
      </c>
      <c r="C195" s="35"/>
      <c r="D195" s="33" t="str">
        <f t="shared" si="155"/>
        <v/>
      </c>
      <c r="E195" s="22" t="str">
        <f t="shared" si="156"/>
        <v/>
      </c>
      <c r="F195" s="23" t="str">
        <f t="shared" si="157"/>
        <v/>
      </c>
      <c r="G195" s="23"/>
      <c r="H195" s="22"/>
      <c r="I195" s="23"/>
      <c r="J195" s="18"/>
      <c r="K195" s="13" t="str">
        <f t="shared" si="158"/>
        <v/>
      </c>
      <c r="L195" s="28" t="str">
        <f t="shared" si="117"/>
        <v/>
      </c>
      <c r="M195" s="10" t="str">
        <f t="shared" si="159"/>
        <v/>
      </c>
      <c r="N195" s="17" t="str">
        <f t="shared" si="160"/>
        <v/>
      </c>
      <c r="O195" s="39" t="str">
        <f t="shared" si="161"/>
        <v/>
      </c>
      <c r="P195" s="41" t="str">
        <f t="shared" si="162"/>
        <v/>
      </c>
      <c r="Q195" s="9" t="str">
        <f t="shared" si="163"/>
        <v/>
      </c>
      <c r="R195" s="14">
        <f t="shared" si="164"/>
        <v>0</v>
      </c>
      <c r="S195" s="61" t="str">
        <f t="shared" si="165"/>
        <v/>
      </c>
      <c r="T195" s="14">
        <f t="shared" si="166"/>
        <v>0</v>
      </c>
      <c r="U195" s="58" t="str">
        <f t="shared" si="167"/>
        <v/>
      </c>
      <c r="V195" s="14">
        <f t="shared" si="168"/>
        <v>0</v>
      </c>
      <c r="W195" s="58" t="str">
        <f t="shared" si="169"/>
        <v/>
      </c>
      <c r="X195" s="14">
        <f t="shared" si="170"/>
        <v>0</v>
      </c>
      <c r="Y195" s="58" t="str">
        <f t="shared" si="171"/>
        <v/>
      </c>
      <c r="Z195" s="31">
        <f t="shared" si="172"/>
        <v>0</v>
      </c>
      <c r="AA195" s="21">
        <f t="shared" si="173"/>
        <v>0</v>
      </c>
      <c r="AB195" s="58" t="str">
        <f t="shared" si="174"/>
        <v/>
      </c>
      <c r="AC195" s="630">
        <f t="shared" si="115"/>
        <v>0</v>
      </c>
      <c r="AD195" s="627"/>
      <c r="AE195" s="21">
        <f t="shared" si="175"/>
        <v>0</v>
      </c>
      <c r="AF195" s="58" t="str">
        <f t="shared" si="176"/>
        <v/>
      </c>
      <c r="AG195" s="21">
        <f t="shared" si="177"/>
        <v>0</v>
      </c>
      <c r="AH195" s="58" t="str">
        <f t="shared" si="178"/>
        <v/>
      </c>
      <c r="AI195" s="21">
        <f t="shared" si="179"/>
        <v>0</v>
      </c>
      <c r="AJ195" s="58" t="str">
        <f t="shared" si="180"/>
        <v/>
      </c>
      <c r="AK195" s="31">
        <f t="shared" si="181"/>
        <v>0</v>
      </c>
      <c r="AL195" s="21">
        <f t="shared" si="182"/>
        <v>0</v>
      </c>
      <c r="AM195" s="62" t="str">
        <f t="shared" si="183"/>
        <v/>
      </c>
      <c r="AN195" s="21">
        <f t="shared" si="184"/>
        <v>0</v>
      </c>
      <c r="AO195" s="62" t="str">
        <f t="shared" si="185"/>
        <v/>
      </c>
      <c r="AP195" s="21">
        <f t="shared" si="186"/>
        <v>0</v>
      </c>
      <c r="AQ195" s="62" t="str">
        <f t="shared" si="187"/>
        <v/>
      </c>
      <c r="AR195" s="31">
        <f t="shared" si="188"/>
        <v>0</v>
      </c>
      <c r="AS195" s="21">
        <f t="shared" si="189"/>
        <v>0</v>
      </c>
      <c r="AT195" s="62" t="str">
        <f t="shared" si="190"/>
        <v/>
      </c>
      <c r="AU195" s="84">
        <f t="shared" si="191"/>
        <v>0</v>
      </c>
      <c r="AV195" s="32">
        <f t="shared" si="192"/>
        <v>0</v>
      </c>
      <c r="AW195" s="85" t="str">
        <f t="shared" si="193"/>
        <v/>
      </c>
      <c r="AX195" s="86" t="str">
        <f t="shared" si="194"/>
        <v/>
      </c>
    </row>
    <row r="196" spans="1:50" x14ac:dyDescent="0.2">
      <c r="A196" s="29" t="str">
        <f t="shared" si="153"/>
        <v/>
      </c>
      <c r="B196" s="32" t="str">
        <f t="shared" si="154"/>
        <v/>
      </c>
      <c r="C196" s="35"/>
      <c r="D196" s="33" t="str">
        <f t="shared" si="155"/>
        <v/>
      </c>
      <c r="E196" s="22" t="str">
        <f t="shared" si="156"/>
        <v/>
      </c>
      <c r="F196" s="23" t="str">
        <f t="shared" si="157"/>
        <v/>
      </c>
      <c r="G196" s="23"/>
      <c r="H196" s="22"/>
      <c r="I196" s="23"/>
      <c r="J196" s="18"/>
      <c r="K196" s="13" t="str">
        <f t="shared" si="158"/>
        <v/>
      </c>
      <c r="L196" s="28" t="str">
        <f t="shared" si="117"/>
        <v/>
      </c>
      <c r="M196" s="10" t="str">
        <f t="shared" si="159"/>
        <v/>
      </c>
      <c r="N196" s="17" t="str">
        <f t="shared" si="160"/>
        <v/>
      </c>
      <c r="O196" s="39" t="str">
        <f t="shared" si="161"/>
        <v/>
      </c>
      <c r="P196" s="41" t="str">
        <f t="shared" si="162"/>
        <v/>
      </c>
      <c r="Q196" s="9" t="str">
        <f t="shared" si="163"/>
        <v/>
      </c>
      <c r="R196" s="14">
        <f t="shared" si="164"/>
        <v>0</v>
      </c>
      <c r="S196" s="61" t="str">
        <f t="shared" si="165"/>
        <v/>
      </c>
      <c r="T196" s="14">
        <f t="shared" si="166"/>
        <v>0</v>
      </c>
      <c r="U196" s="58" t="str">
        <f t="shared" si="167"/>
        <v/>
      </c>
      <c r="V196" s="14">
        <f t="shared" si="168"/>
        <v>0</v>
      </c>
      <c r="W196" s="58" t="str">
        <f t="shared" si="169"/>
        <v/>
      </c>
      <c r="X196" s="14">
        <f t="shared" si="170"/>
        <v>0</v>
      </c>
      <c r="Y196" s="58" t="str">
        <f t="shared" si="171"/>
        <v/>
      </c>
      <c r="Z196" s="31">
        <f t="shared" si="172"/>
        <v>0</v>
      </c>
      <c r="AA196" s="21">
        <f t="shared" si="173"/>
        <v>0</v>
      </c>
      <c r="AB196" s="58" t="str">
        <f t="shared" si="174"/>
        <v/>
      </c>
      <c r="AC196" s="630">
        <f t="shared" si="115"/>
        <v>0</v>
      </c>
      <c r="AD196" s="627"/>
      <c r="AE196" s="21">
        <f t="shared" si="175"/>
        <v>0</v>
      </c>
      <c r="AF196" s="58" t="str">
        <f t="shared" si="176"/>
        <v/>
      </c>
      <c r="AG196" s="21">
        <f t="shared" si="177"/>
        <v>0</v>
      </c>
      <c r="AH196" s="58" t="str">
        <f t="shared" si="178"/>
        <v/>
      </c>
      <c r="AI196" s="21">
        <f t="shared" si="179"/>
        <v>0</v>
      </c>
      <c r="AJ196" s="58" t="str">
        <f t="shared" si="180"/>
        <v/>
      </c>
      <c r="AK196" s="31">
        <f t="shared" si="181"/>
        <v>0</v>
      </c>
      <c r="AL196" s="21">
        <f t="shared" si="182"/>
        <v>0</v>
      </c>
      <c r="AM196" s="62" t="str">
        <f t="shared" si="183"/>
        <v/>
      </c>
      <c r="AN196" s="21">
        <f t="shared" si="184"/>
        <v>0</v>
      </c>
      <c r="AO196" s="62" t="str">
        <f t="shared" si="185"/>
        <v/>
      </c>
      <c r="AP196" s="21">
        <f t="shared" si="186"/>
        <v>0</v>
      </c>
      <c r="AQ196" s="62" t="str">
        <f t="shared" si="187"/>
        <v/>
      </c>
      <c r="AR196" s="31">
        <f t="shared" si="188"/>
        <v>0</v>
      </c>
      <c r="AS196" s="21">
        <f t="shared" si="189"/>
        <v>0</v>
      </c>
      <c r="AT196" s="62" t="str">
        <f t="shared" si="190"/>
        <v/>
      </c>
      <c r="AU196" s="84">
        <f t="shared" si="191"/>
        <v>0</v>
      </c>
      <c r="AV196" s="32">
        <f t="shared" si="192"/>
        <v>0</v>
      </c>
      <c r="AW196" s="85" t="str">
        <f t="shared" si="193"/>
        <v/>
      </c>
      <c r="AX196" s="86" t="str">
        <f t="shared" si="194"/>
        <v/>
      </c>
    </row>
    <row r="197" spans="1:50" x14ac:dyDescent="0.2">
      <c r="A197" s="29" t="str">
        <f t="shared" si="153"/>
        <v/>
      </c>
      <c r="B197" s="32" t="str">
        <f t="shared" si="154"/>
        <v/>
      </c>
      <c r="C197" s="35"/>
      <c r="D197" s="33" t="str">
        <f t="shared" si="155"/>
        <v/>
      </c>
      <c r="E197" s="22" t="str">
        <f t="shared" si="156"/>
        <v/>
      </c>
      <c r="F197" s="23" t="str">
        <f t="shared" si="157"/>
        <v/>
      </c>
      <c r="G197" s="23"/>
      <c r="H197" s="22"/>
      <c r="I197" s="23"/>
      <c r="J197" s="18"/>
      <c r="K197" s="13" t="str">
        <f t="shared" si="158"/>
        <v/>
      </c>
      <c r="L197" s="28" t="str">
        <f t="shared" si="117"/>
        <v/>
      </c>
      <c r="M197" s="10" t="str">
        <f t="shared" si="159"/>
        <v/>
      </c>
      <c r="N197" s="17" t="str">
        <f t="shared" si="160"/>
        <v/>
      </c>
      <c r="O197" s="39" t="str">
        <f t="shared" si="161"/>
        <v/>
      </c>
      <c r="P197" s="41" t="str">
        <f t="shared" si="162"/>
        <v/>
      </c>
      <c r="Q197" s="9" t="str">
        <f t="shared" si="163"/>
        <v/>
      </c>
      <c r="R197" s="14">
        <f t="shared" si="164"/>
        <v>0</v>
      </c>
      <c r="S197" s="61" t="str">
        <f t="shared" si="165"/>
        <v/>
      </c>
      <c r="T197" s="14">
        <f t="shared" si="166"/>
        <v>0</v>
      </c>
      <c r="U197" s="58" t="str">
        <f t="shared" si="167"/>
        <v/>
      </c>
      <c r="V197" s="14">
        <f t="shared" si="168"/>
        <v>0</v>
      </c>
      <c r="W197" s="58" t="str">
        <f t="shared" si="169"/>
        <v/>
      </c>
      <c r="X197" s="14">
        <f t="shared" si="170"/>
        <v>0</v>
      </c>
      <c r="Y197" s="58" t="str">
        <f t="shared" si="171"/>
        <v/>
      </c>
      <c r="Z197" s="31">
        <f t="shared" si="172"/>
        <v>0</v>
      </c>
      <c r="AA197" s="21">
        <f t="shared" si="173"/>
        <v>0</v>
      </c>
      <c r="AB197" s="58" t="str">
        <f t="shared" si="174"/>
        <v/>
      </c>
      <c r="AC197" s="630">
        <f t="shared" si="115"/>
        <v>0</v>
      </c>
      <c r="AD197" s="627"/>
      <c r="AE197" s="21">
        <f t="shared" si="175"/>
        <v>0</v>
      </c>
      <c r="AF197" s="58" t="str">
        <f t="shared" si="176"/>
        <v/>
      </c>
      <c r="AG197" s="21">
        <f t="shared" si="177"/>
        <v>0</v>
      </c>
      <c r="AH197" s="58" t="str">
        <f t="shared" si="178"/>
        <v/>
      </c>
      <c r="AI197" s="21">
        <f t="shared" si="179"/>
        <v>0</v>
      </c>
      <c r="AJ197" s="58" t="str">
        <f t="shared" si="180"/>
        <v/>
      </c>
      <c r="AK197" s="31">
        <f t="shared" si="181"/>
        <v>0</v>
      </c>
      <c r="AL197" s="21">
        <f t="shared" si="182"/>
        <v>0</v>
      </c>
      <c r="AM197" s="62" t="str">
        <f t="shared" si="183"/>
        <v/>
      </c>
      <c r="AN197" s="21">
        <f t="shared" si="184"/>
        <v>0</v>
      </c>
      <c r="AO197" s="62" t="str">
        <f t="shared" si="185"/>
        <v/>
      </c>
      <c r="AP197" s="21">
        <f t="shared" si="186"/>
        <v>0</v>
      </c>
      <c r="AQ197" s="62" t="str">
        <f t="shared" si="187"/>
        <v/>
      </c>
      <c r="AR197" s="31">
        <f t="shared" si="188"/>
        <v>0</v>
      </c>
      <c r="AS197" s="21">
        <f t="shared" si="189"/>
        <v>0</v>
      </c>
      <c r="AT197" s="62" t="str">
        <f t="shared" si="190"/>
        <v/>
      </c>
      <c r="AU197" s="84">
        <f t="shared" si="191"/>
        <v>0</v>
      </c>
      <c r="AV197" s="32">
        <f t="shared" si="192"/>
        <v>0</v>
      </c>
      <c r="AW197" s="85" t="str">
        <f t="shared" si="193"/>
        <v/>
      </c>
      <c r="AX197" s="86" t="str">
        <f t="shared" si="194"/>
        <v/>
      </c>
    </row>
    <row r="198" spans="1:50" x14ac:dyDescent="0.2">
      <c r="A198" s="29" t="str">
        <f t="shared" si="153"/>
        <v/>
      </c>
      <c r="B198" s="32" t="str">
        <f t="shared" si="154"/>
        <v/>
      </c>
      <c r="C198" s="35"/>
      <c r="D198" s="33" t="str">
        <f t="shared" si="155"/>
        <v/>
      </c>
      <c r="E198" s="22" t="str">
        <f t="shared" si="156"/>
        <v/>
      </c>
      <c r="F198" s="23" t="str">
        <f t="shared" si="157"/>
        <v/>
      </c>
      <c r="G198" s="23"/>
      <c r="H198" s="22"/>
      <c r="I198" s="23"/>
      <c r="J198" s="18"/>
      <c r="K198" s="13" t="str">
        <f t="shared" si="158"/>
        <v/>
      </c>
      <c r="L198" s="28" t="str">
        <f t="shared" si="117"/>
        <v/>
      </c>
      <c r="M198" s="10" t="str">
        <f t="shared" si="159"/>
        <v/>
      </c>
      <c r="N198" s="17" t="str">
        <f t="shared" si="160"/>
        <v/>
      </c>
      <c r="O198" s="39" t="str">
        <f t="shared" si="161"/>
        <v/>
      </c>
      <c r="P198" s="41" t="str">
        <f t="shared" si="162"/>
        <v/>
      </c>
      <c r="Q198" s="9" t="str">
        <f t="shared" si="163"/>
        <v/>
      </c>
      <c r="R198" s="14">
        <f t="shared" si="164"/>
        <v>0</v>
      </c>
      <c r="S198" s="61" t="str">
        <f t="shared" si="165"/>
        <v/>
      </c>
      <c r="T198" s="14">
        <f t="shared" si="166"/>
        <v>0</v>
      </c>
      <c r="U198" s="58" t="str">
        <f t="shared" si="167"/>
        <v/>
      </c>
      <c r="V198" s="14">
        <f t="shared" si="168"/>
        <v>0</v>
      </c>
      <c r="W198" s="58" t="str">
        <f t="shared" si="169"/>
        <v/>
      </c>
      <c r="X198" s="14">
        <f t="shared" si="170"/>
        <v>0</v>
      </c>
      <c r="Y198" s="58" t="str">
        <f t="shared" si="171"/>
        <v/>
      </c>
      <c r="Z198" s="31">
        <f t="shared" si="172"/>
        <v>0</v>
      </c>
      <c r="AA198" s="21">
        <f t="shared" si="173"/>
        <v>0</v>
      </c>
      <c r="AB198" s="58" t="str">
        <f t="shared" si="174"/>
        <v/>
      </c>
      <c r="AC198" s="630">
        <f t="shared" si="115"/>
        <v>0</v>
      </c>
      <c r="AD198" s="627"/>
      <c r="AE198" s="21">
        <f t="shared" si="175"/>
        <v>0</v>
      </c>
      <c r="AF198" s="58" t="str">
        <f t="shared" si="176"/>
        <v/>
      </c>
      <c r="AG198" s="21">
        <f t="shared" si="177"/>
        <v>0</v>
      </c>
      <c r="AH198" s="58" t="str">
        <f t="shared" si="178"/>
        <v/>
      </c>
      <c r="AI198" s="21">
        <f t="shared" si="179"/>
        <v>0</v>
      </c>
      <c r="AJ198" s="58" t="str">
        <f t="shared" si="180"/>
        <v/>
      </c>
      <c r="AK198" s="31">
        <f t="shared" si="181"/>
        <v>0</v>
      </c>
      <c r="AL198" s="21">
        <f t="shared" si="182"/>
        <v>0</v>
      </c>
      <c r="AM198" s="62" t="str">
        <f t="shared" si="183"/>
        <v/>
      </c>
      <c r="AN198" s="21">
        <f t="shared" si="184"/>
        <v>0</v>
      </c>
      <c r="AO198" s="62" t="str">
        <f t="shared" si="185"/>
        <v/>
      </c>
      <c r="AP198" s="21">
        <f t="shared" si="186"/>
        <v>0</v>
      </c>
      <c r="AQ198" s="62" t="str">
        <f t="shared" si="187"/>
        <v/>
      </c>
      <c r="AR198" s="31">
        <f t="shared" si="188"/>
        <v>0</v>
      </c>
      <c r="AS198" s="21">
        <f t="shared" si="189"/>
        <v>0</v>
      </c>
      <c r="AT198" s="62" t="str">
        <f t="shared" si="190"/>
        <v/>
      </c>
      <c r="AU198" s="84">
        <f t="shared" si="191"/>
        <v>0</v>
      </c>
      <c r="AV198" s="32">
        <f t="shared" si="192"/>
        <v>0</v>
      </c>
      <c r="AW198" s="85" t="str">
        <f t="shared" si="193"/>
        <v/>
      </c>
      <c r="AX198" s="86" t="str">
        <f t="shared" si="194"/>
        <v/>
      </c>
    </row>
    <row r="199" spans="1:50" x14ac:dyDescent="0.2">
      <c r="A199" s="29" t="str">
        <f t="shared" si="153"/>
        <v/>
      </c>
      <c r="B199" s="32" t="str">
        <f t="shared" si="154"/>
        <v/>
      </c>
      <c r="C199" s="35"/>
      <c r="D199" s="33" t="str">
        <f t="shared" si="155"/>
        <v/>
      </c>
      <c r="E199" s="22" t="str">
        <f t="shared" si="156"/>
        <v/>
      </c>
      <c r="F199" s="23" t="str">
        <f t="shared" si="157"/>
        <v/>
      </c>
      <c r="G199" s="23"/>
      <c r="H199" s="22"/>
      <c r="I199" s="23"/>
      <c r="J199" s="18"/>
      <c r="K199" s="13" t="str">
        <f t="shared" si="158"/>
        <v/>
      </c>
      <c r="L199" s="28" t="str">
        <f t="shared" si="117"/>
        <v/>
      </c>
      <c r="M199" s="10" t="str">
        <f t="shared" si="159"/>
        <v/>
      </c>
      <c r="N199" s="17" t="str">
        <f t="shared" si="160"/>
        <v/>
      </c>
      <c r="O199" s="39" t="str">
        <f t="shared" si="161"/>
        <v/>
      </c>
      <c r="P199" s="41" t="str">
        <f t="shared" si="162"/>
        <v/>
      </c>
      <c r="Q199" s="9" t="str">
        <f t="shared" si="163"/>
        <v/>
      </c>
      <c r="R199" s="14">
        <f t="shared" si="164"/>
        <v>0</v>
      </c>
      <c r="S199" s="61" t="str">
        <f t="shared" si="165"/>
        <v/>
      </c>
      <c r="T199" s="14">
        <f t="shared" si="166"/>
        <v>0</v>
      </c>
      <c r="U199" s="58" t="str">
        <f t="shared" si="167"/>
        <v/>
      </c>
      <c r="V199" s="14">
        <f t="shared" si="168"/>
        <v>0</v>
      </c>
      <c r="W199" s="58" t="str">
        <f t="shared" si="169"/>
        <v/>
      </c>
      <c r="X199" s="14">
        <f t="shared" si="170"/>
        <v>0</v>
      </c>
      <c r="Y199" s="58" t="str">
        <f t="shared" si="171"/>
        <v/>
      </c>
      <c r="Z199" s="31">
        <f t="shared" si="172"/>
        <v>0</v>
      </c>
      <c r="AA199" s="21">
        <f t="shared" si="173"/>
        <v>0</v>
      </c>
      <c r="AB199" s="58" t="str">
        <f t="shared" si="174"/>
        <v/>
      </c>
      <c r="AC199" s="630">
        <f t="shared" si="115"/>
        <v>0</v>
      </c>
      <c r="AD199" s="627"/>
      <c r="AE199" s="21">
        <f t="shared" si="175"/>
        <v>0</v>
      </c>
      <c r="AF199" s="58" t="str">
        <f t="shared" si="176"/>
        <v/>
      </c>
      <c r="AG199" s="21">
        <f t="shared" si="177"/>
        <v>0</v>
      </c>
      <c r="AH199" s="58" t="str">
        <f t="shared" si="178"/>
        <v/>
      </c>
      <c r="AI199" s="21">
        <f t="shared" si="179"/>
        <v>0</v>
      </c>
      <c r="AJ199" s="58" t="str">
        <f t="shared" si="180"/>
        <v/>
      </c>
      <c r="AK199" s="31">
        <f t="shared" si="181"/>
        <v>0</v>
      </c>
      <c r="AL199" s="21">
        <f t="shared" si="182"/>
        <v>0</v>
      </c>
      <c r="AM199" s="62" t="str">
        <f t="shared" si="183"/>
        <v/>
      </c>
      <c r="AN199" s="21">
        <f t="shared" si="184"/>
        <v>0</v>
      </c>
      <c r="AO199" s="62" t="str">
        <f t="shared" si="185"/>
        <v/>
      </c>
      <c r="AP199" s="21">
        <f t="shared" si="186"/>
        <v>0</v>
      </c>
      <c r="AQ199" s="62" t="str">
        <f t="shared" si="187"/>
        <v/>
      </c>
      <c r="AR199" s="31">
        <f t="shared" si="188"/>
        <v>0</v>
      </c>
      <c r="AS199" s="21">
        <f t="shared" si="189"/>
        <v>0</v>
      </c>
      <c r="AT199" s="62" t="str">
        <f t="shared" si="190"/>
        <v/>
      </c>
      <c r="AU199" s="84">
        <f t="shared" si="191"/>
        <v>0</v>
      </c>
      <c r="AV199" s="32">
        <f t="shared" si="192"/>
        <v>0</v>
      </c>
      <c r="AW199" s="85" t="str">
        <f t="shared" si="193"/>
        <v/>
      </c>
      <c r="AX199" s="86" t="str">
        <f t="shared" si="194"/>
        <v/>
      </c>
    </row>
    <row r="200" spans="1:50" x14ac:dyDescent="0.2">
      <c r="A200" s="29" t="str">
        <f t="shared" si="153"/>
        <v/>
      </c>
      <c r="B200" s="32" t="str">
        <f t="shared" si="154"/>
        <v/>
      </c>
      <c r="C200" s="35"/>
      <c r="D200" s="33" t="str">
        <f t="shared" si="155"/>
        <v/>
      </c>
      <c r="E200" s="22" t="str">
        <f t="shared" si="156"/>
        <v/>
      </c>
      <c r="F200" s="23" t="str">
        <f t="shared" si="157"/>
        <v/>
      </c>
      <c r="G200" s="23"/>
      <c r="H200" s="22"/>
      <c r="I200" s="23"/>
      <c r="J200" s="18"/>
      <c r="K200" s="13" t="str">
        <f t="shared" si="158"/>
        <v/>
      </c>
      <c r="L200" s="28" t="str">
        <f t="shared" si="117"/>
        <v/>
      </c>
      <c r="M200" s="10" t="str">
        <f t="shared" si="159"/>
        <v/>
      </c>
      <c r="N200" s="17" t="str">
        <f t="shared" si="160"/>
        <v/>
      </c>
      <c r="O200" s="39" t="str">
        <f t="shared" si="161"/>
        <v/>
      </c>
      <c r="P200" s="41" t="str">
        <f t="shared" si="162"/>
        <v/>
      </c>
      <c r="Q200" s="9" t="str">
        <f t="shared" si="163"/>
        <v/>
      </c>
      <c r="R200" s="14">
        <f t="shared" si="164"/>
        <v>0</v>
      </c>
      <c r="S200" s="61" t="str">
        <f t="shared" si="165"/>
        <v/>
      </c>
      <c r="T200" s="14">
        <f t="shared" si="166"/>
        <v>0</v>
      </c>
      <c r="U200" s="58" t="str">
        <f t="shared" si="167"/>
        <v/>
      </c>
      <c r="V200" s="14">
        <f t="shared" si="168"/>
        <v>0</v>
      </c>
      <c r="W200" s="58" t="str">
        <f t="shared" si="169"/>
        <v/>
      </c>
      <c r="X200" s="14">
        <f t="shared" si="170"/>
        <v>0</v>
      </c>
      <c r="Y200" s="58" t="str">
        <f t="shared" si="171"/>
        <v/>
      </c>
      <c r="Z200" s="31">
        <f t="shared" si="172"/>
        <v>0</v>
      </c>
      <c r="AA200" s="21">
        <f t="shared" si="173"/>
        <v>0</v>
      </c>
      <c r="AB200" s="58" t="str">
        <f t="shared" si="174"/>
        <v/>
      </c>
      <c r="AC200" s="630">
        <f t="shared" si="115"/>
        <v>0</v>
      </c>
      <c r="AD200" s="627"/>
      <c r="AE200" s="21">
        <f t="shared" si="175"/>
        <v>0</v>
      </c>
      <c r="AF200" s="58" t="str">
        <f t="shared" si="176"/>
        <v/>
      </c>
      <c r="AG200" s="21">
        <f t="shared" si="177"/>
        <v>0</v>
      </c>
      <c r="AH200" s="58" t="str">
        <f t="shared" si="178"/>
        <v/>
      </c>
      <c r="AI200" s="21">
        <f t="shared" si="179"/>
        <v>0</v>
      </c>
      <c r="AJ200" s="58" t="str">
        <f t="shared" si="180"/>
        <v/>
      </c>
      <c r="AK200" s="31">
        <f t="shared" si="181"/>
        <v>0</v>
      </c>
      <c r="AL200" s="21">
        <f t="shared" si="182"/>
        <v>0</v>
      </c>
      <c r="AM200" s="62" t="str">
        <f t="shared" si="183"/>
        <v/>
      </c>
      <c r="AN200" s="21">
        <f t="shared" si="184"/>
        <v>0</v>
      </c>
      <c r="AO200" s="62" t="str">
        <f t="shared" si="185"/>
        <v/>
      </c>
      <c r="AP200" s="21">
        <f t="shared" si="186"/>
        <v>0</v>
      </c>
      <c r="AQ200" s="62" t="str">
        <f t="shared" si="187"/>
        <v/>
      </c>
      <c r="AR200" s="31">
        <f t="shared" si="188"/>
        <v>0</v>
      </c>
      <c r="AS200" s="21">
        <f t="shared" si="189"/>
        <v>0</v>
      </c>
      <c r="AT200" s="62" t="str">
        <f t="shared" si="190"/>
        <v/>
      </c>
      <c r="AU200" s="84">
        <f t="shared" si="191"/>
        <v>0</v>
      </c>
      <c r="AV200" s="32">
        <f t="shared" si="192"/>
        <v>0</v>
      </c>
      <c r="AW200" s="85" t="str">
        <f t="shared" si="193"/>
        <v/>
      </c>
      <c r="AX200" s="86" t="str">
        <f t="shared" si="194"/>
        <v/>
      </c>
    </row>
    <row r="201" spans="1:50" x14ac:dyDescent="0.2">
      <c r="A201" s="29" t="str">
        <f t="shared" si="153"/>
        <v/>
      </c>
      <c r="B201" s="32" t="str">
        <f t="shared" si="154"/>
        <v/>
      </c>
      <c r="C201" s="35"/>
      <c r="D201" s="33" t="str">
        <f t="shared" si="155"/>
        <v/>
      </c>
      <c r="E201" s="22" t="str">
        <f t="shared" si="156"/>
        <v/>
      </c>
      <c r="F201" s="23" t="str">
        <f t="shared" si="157"/>
        <v/>
      </c>
      <c r="G201" s="23"/>
      <c r="H201" s="22"/>
      <c r="I201" s="23"/>
      <c r="J201" s="18"/>
      <c r="K201" s="13" t="str">
        <f t="shared" si="158"/>
        <v/>
      </c>
      <c r="L201" s="28" t="str">
        <f t="shared" si="117"/>
        <v/>
      </c>
      <c r="M201" s="10" t="str">
        <f t="shared" si="159"/>
        <v/>
      </c>
      <c r="N201" s="17" t="str">
        <f t="shared" si="160"/>
        <v/>
      </c>
      <c r="O201" s="39" t="str">
        <f t="shared" si="161"/>
        <v/>
      </c>
      <c r="P201" s="41" t="str">
        <f t="shared" si="162"/>
        <v/>
      </c>
      <c r="Q201" s="9" t="str">
        <f t="shared" si="163"/>
        <v/>
      </c>
      <c r="R201" s="14">
        <f t="shared" si="164"/>
        <v>0</v>
      </c>
      <c r="S201" s="61" t="str">
        <f t="shared" si="165"/>
        <v/>
      </c>
      <c r="T201" s="14">
        <f t="shared" si="166"/>
        <v>0</v>
      </c>
      <c r="U201" s="58" t="str">
        <f t="shared" si="167"/>
        <v/>
      </c>
      <c r="V201" s="14">
        <f t="shared" si="168"/>
        <v>0</v>
      </c>
      <c r="W201" s="58" t="str">
        <f t="shared" si="169"/>
        <v/>
      </c>
      <c r="X201" s="14">
        <f t="shared" si="170"/>
        <v>0</v>
      </c>
      <c r="Y201" s="58" t="str">
        <f t="shared" si="171"/>
        <v/>
      </c>
      <c r="Z201" s="31">
        <f t="shared" si="172"/>
        <v>0</v>
      </c>
      <c r="AA201" s="21">
        <f t="shared" si="173"/>
        <v>0</v>
      </c>
      <c r="AB201" s="58" t="str">
        <f t="shared" si="174"/>
        <v/>
      </c>
      <c r="AC201" s="630">
        <f t="shared" si="115"/>
        <v>0</v>
      </c>
      <c r="AD201" s="627"/>
      <c r="AE201" s="21">
        <f t="shared" si="175"/>
        <v>0</v>
      </c>
      <c r="AF201" s="58" t="str">
        <f t="shared" si="176"/>
        <v/>
      </c>
      <c r="AG201" s="21">
        <f t="shared" si="177"/>
        <v>0</v>
      </c>
      <c r="AH201" s="58" t="str">
        <f t="shared" si="178"/>
        <v/>
      </c>
      <c r="AI201" s="21">
        <f t="shared" si="179"/>
        <v>0</v>
      </c>
      <c r="AJ201" s="58" t="str">
        <f t="shared" si="180"/>
        <v/>
      </c>
      <c r="AK201" s="31">
        <f t="shared" si="181"/>
        <v>0</v>
      </c>
      <c r="AL201" s="21">
        <f t="shared" si="182"/>
        <v>0</v>
      </c>
      <c r="AM201" s="62" t="str">
        <f t="shared" si="183"/>
        <v/>
      </c>
      <c r="AN201" s="21">
        <f t="shared" si="184"/>
        <v>0</v>
      </c>
      <c r="AO201" s="62" t="str">
        <f t="shared" si="185"/>
        <v/>
      </c>
      <c r="AP201" s="21">
        <f t="shared" si="186"/>
        <v>0</v>
      </c>
      <c r="AQ201" s="62" t="str">
        <f t="shared" si="187"/>
        <v/>
      </c>
      <c r="AR201" s="31">
        <f t="shared" si="188"/>
        <v>0</v>
      </c>
      <c r="AS201" s="21">
        <f t="shared" si="189"/>
        <v>0</v>
      </c>
      <c r="AT201" s="62" t="str">
        <f t="shared" si="190"/>
        <v/>
      </c>
      <c r="AU201" s="84">
        <f t="shared" si="191"/>
        <v>0</v>
      </c>
      <c r="AV201" s="32">
        <f t="shared" si="192"/>
        <v>0</v>
      </c>
      <c r="AW201" s="85" t="str">
        <f t="shared" si="193"/>
        <v/>
      </c>
      <c r="AX201" s="86" t="str">
        <f t="shared" si="194"/>
        <v/>
      </c>
    </row>
    <row r="202" spans="1:50" x14ac:dyDescent="0.2">
      <c r="A202" s="29" t="str">
        <f t="shared" si="153"/>
        <v/>
      </c>
      <c r="B202" s="32" t="str">
        <f t="shared" si="154"/>
        <v/>
      </c>
      <c r="C202" s="35"/>
      <c r="D202" s="33" t="str">
        <f t="shared" si="155"/>
        <v/>
      </c>
      <c r="E202" s="22" t="str">
        <f t="shared" si="156"/>
        <v/>
      </c>
      <c r="F202" s="23" t="str">
        <f t="shared" si="157"/>
        <v/>
      </c>
      <c r="G202" s="23"/>
      <c r="H202" s="22"/>
      <c r="I202" s="23"/>
      <c r="J202" s="18"/>
      <c r="K202" s="13" t="str">
        <f t="shared" si="158"/>
        <v/>
      </c>
      <c r="L202" s="28" t="str">
        <f t="shared" si="117"/>
        <v/>
      </c>
      <c r="M202" s="10" t="str">
        <f t="shared" si="159"/>
        <v/>
      </c>
      <c r="N202" s="17" t="str">
        <f t="shared" si="160"/>
        <v/>
      </c>
      <c r="O202" s="39" t="str">
        <f t="shared" si="161"/>
        <v/>
      </c>
      <c r="P202" s="41" t="str">
        <f t="shared" si="162"/>
        <v/>
      </c>
      <c r="Q202" s="9" t="str">
        <f t="shared" si="163"/>
        <v/>
      </c>
      <c r="R202" s="14">
        <f t="shared" si="164"/>
        <v>0</v>
      </c>
      <c r="S202" s="61" t="str">
        <f t="shared" si="165"/>
        <v/>
      </c>
      <c r="T202" s="14">
        <f t="shared" si="166"/>
        <v>0</v>
      </c>
      <c r="U202" s="58" t="str">
        <f t="shared" si="167"/>
        <v/>
      </c>
      <c r="V202" s="14">
        <f t="shared" si="168"/>
        <v>0</v>
      </c>
      <c r="W202" s="58" t="str">
        <f t="shared" si="169"/>
        <v/>
      </c>
      <c r="X202" s="14">
        <f t="shared" si="170"/>
        <v>0</v>
      </c>
      <c r="Y202" s="58" t="str">
        <f t="shared" si="171"/>
        <v/>
      </c>
      <c r="Z202" s="31">
        <f t="shared" si="172"/>
        <v>0</v>
      </c>
      <c r="AA202" s="21">
        <f t="shared" si="173"/>
        <v>0</v>
      </c>
      <c r="AB202" s="58" t="str">
        <f t="shared" si="174"/>
        <v/>
      </c>
      <c r="AC202" s="630">
        <f t="shared" si="115"/>
        <v>0</v>
      </c>
      <c r="AD202" s="627"/>
      <c r="AE202" s="21">
        <f t="shared" si="175"/>
        <v>0</v>
      </c>
      <c r="AF202" s="58" t="str">
        <f t="shared" si="176"/>
        <v/>
      </c>
      <c r="AG202" s="21">
        <f t="shared" si="177"/>
        <v>0</v>
      </c>
      <c r="AH202" s="58" t="str">
        <f t="shared" si="178"/>
        <v/>
      </c>
      <c r="AI202" s="21">
        <f t="shared" si="179"/>
        <v>0</v>
      </c>
      <c r="AJ202" s="58" t="str">
        <f t="shared" si="180"/>
        <v/>
      </c>
      <c r="AK202" s="31">
        <f t="shared" si="181"/>
        <v>0</v>
      </c>
      <c r="AL202" s="21">
        <f t="shared" si="182"/>
        <v>0</v>
      </c>
      <c r="AM202" s="62" t="str">
        <f t="shared" si="183"/>
        <v/>
      </c>
      <c r="AN202" s="21">
        <f t="shared" si="184"/>
        <v>0</v>
      </c>
      <c r="AO202" s="62" t="str">
        <f t="shared" si="185"/>
        <v/>
      </c>
      <c r="AP202" s="21">
        <f t="shared" si="186"/>
        <v>0</v>
      </c>
      <c r="AQ202" s="62" t="str">
        <f t="shared" si="187"/>
        <v/>
      </c>
      <c r="AR202" s="31">
        <f t="shared" si="188"/>
        <v>0</v>
      </c>
      <c r="AS202" s="21">
        <f t="shared" si="189"/>
        <v>0</v>
      </c>
      <c r="AT202" s="62" t="str">
        <f t="shared" si="190"/>
        <v/>
      </c>
      <c r="AU202" s="84">
        <f t="shared" si="191"/>
        <v>0</v>
      </c>
      <c r="AV202" s="32">
        <f t="shared" si="192"/>
        <v>0</v>
      </c>
      <c r="AW202" s="85" t="str">
        <f t="shared" si="193"/>
        <v/>
      </c>
      <c r="AX202" s="86" t="str">
        <f t="shared" si="194"/>
        <v/>
      </c>
    </row>
    <row r="203" spans="1:50" x14ac:dyDescent="0.2">
      <c r="A203" s="29" t="str">
        <f t="shared" si="153"/>
        <v/>
      </c>
      <c r="B203" s="32" t="str">
        <f t="shared" si="154"/>
        <v/>
      </c>
      <c r="C203" s="35"/>
      <c r="D203" s="33" t="str">
        <f t="shared" si="155"/>
        <v/>
      </c>
      <c r="E203" s="22" t="str">
        <f t="shared" si="156"/>
        <v/>
      </c>
      <c r="F203" s="23" t="str">
        <f t="shared" si="157"/>
        <v/>
      </c>
      <c r="G203" s="23"/>
      <c r="H203" s="22"/>
      <c r="I203" s="23"/>
      <c r="J203" s="18"/>
      <c r="K203" s="13" t="str">
        <f t="shared" si="158"/>
        <v/>
      </c>
      <c r="L203" s="28" t="str">
        <f t="shared" si="117"/>
        <v/>
      </c>
      <c r="M203" s="10" t="str">
        <f t="shared" si="159"/>
        <v/>
      </c>
      <c r="N203" s="17" t="str">
        <f t="shared" si="160"/>
        <v/>
      </c>
      <c r="O203" s="39" t="str">
        <f t="shared" si="161"/>
        <v/>
      </c>
      <c r="P203" s="41" t="str">
        <f t="shared" si="162"/>
        <v/>
      </c>
      <c r="Q203" s="9" t="str">
        <f t="shared" si="163"/>
        <v/>
      </c>
      <c r="R203" s="14">
        <f t="shared" si="164"/>
        <v>0</v>
      </c>
      <c r="S203" s="61" t="str">
        <f t="shared" si="165"/>
        <v/>
      </c>
      <c r="T203" s="14">
        <f t="shared" si="166"/>
        <v>0</v>
      </c>
      <c r="U203" s="58" t="str">
        <f t="shared" si="167"/>
        <v/>
      </c>
      <c r="V203" s="14">
        <f t="shared" si="168"/>
        <v>0</v>
      </c>
      <c r="W203" s="58" t="str">
        <f t="shared" si="169"/>
        <v/>
      </c>
      <c r="X203" s="14">
        <f t="shared" si="170"/>
        <v>0</v>
      </c>
      <c r="Y203" s="58" t="str">
        <f t="shared" si="171"/>
        <v/>
      </c>
      <c r="Z203" s="31">
        <f t="shared" si="172"/>
        <v>0</v>
      </c>
      <c r="AA203" s="21">
        <f t="shared" si="173"/>
        <v>0</v>
      </c>
      <c r="AB203" s="58" t="str">
        <f t="shared" si="174"/>
        <v/>
      </c>
      <c r="AC203" s="630">
        <f t="shared" si="115"/>
        <v>0</v>
      </c>
      <c r="AD203" s="627"/>
      <c r="AE203" s="21">
        <f t="shared" si="175"/>
        <v>0</v>
      </c>
      <c r="AF203" s="58" t="str">
        <f t="shared" si="176"/>
        <v/>
      </c>
      <c r="AG203" s="21">
        <f t="shared" si="177"/>
        <v>0</v>
      </c>
      <c r="AH203" s="58" t="str">
        <f t="shared" si="178"/>
        <v/>
      </c>
      <c r="AI203" s="21">
        <f t="shared" si="179"/>
        <v>0</v>
      </c>
      <c r="AJ203" s="58" t="str">
        <f t="shared" si="180"/>
        <v/>
      </c>
      <c r="AK203" s="31">
        <f t="shared" si="181"/>
        <v>0</v>
      </c>
      <c r="AL203" s="21">
        <f t="shared" si="182"/>
        <v>0</v>
      </c>
      <c r="AM203" s="62" t="str">
        <f t="shared" si="183"/>
        <v/>
      </c>
      <c r="AN203" s="21">
        <f t="shared" si="184"/>
        <v>0</v>
      </c>
      <c r="AO203" s="62" t="str">
        <f t="shared" si="185"/>
        <v/>
      </c>
      <c r="AP203" s="21">
        <f t="shared" si="186"/>
        <v>0</v>
      </c>
      <c r="AQ203" s="62" t="str">
        <f t="shared" si="187"/>
        <v/>
      </c>
      <c r="AR203" s="31">
        <f t="shared" si="188"/>
        <v>0</v>
      </c>
      <c r="AS203" s="21">
        <f t="shared" si="189"/>
        <v>0</v>
      </c>
      <c r="AT203" s="62" t="str">
        <f t="shared" si="190"/>
        <v/>
      </c>
      <c r="AU203" s="84">
        <f t="shared" si="191"/>
        <v>0</v>
      </c>
      <c r="AV203" s="32">
        <f t="shared" si="192"/>
        <v>0</v>
      </c>
      <c r="AW203" s="85" t="str">
        <f t="shared" si="193"/>
        <v/>
      </c>
      <c r="AX203" s="86" t="str">
        <f t="shared" si="194"/>
        <v/>
      </c>
    </row>
    <row r="204" spans="1:50" x14ac:dyDescent="0.2">
      <c r="A204" s="29" t="str">
        <f t="shared" si="153"/>
        <v/>
      </c>
      <c r="B204" s="32" t="str">
        <f t="shared" si="154"/>
        <v/>
      </c>
      <c r="C204" s="35"/>
      <c r="D204" s="33" t="str">
        <f t="shared" si="155"/>
        <v/>
      </c>
      <c r="E204" s="22" t="str">
        <f t="shared" si="156"/>
        <v/>
      </c>
      <c r="F204" s="23" t="str">
        <f t="shared" si="157"/>
        <v/>
      </c>
      <c r="G204" s="23"/>
      <c r="H204" s="22"/>
      <c r="I204" s="23"/>
      <c r="J204" s="18"/>
      <c r="K204" s="13" t="str">
        <f t="shared" si="158"/>
        <v/>
      </c>
      <c r="L204" s="28" t="str">
        <f t="shared" si="117"/>
        <v/>
      </c>
      <c r="M204" s="10" t="str">
        <f t="shared" si="159"/>
        <v/>
      </c>
      <c r="N204" s="17" t="str">
        <f t="shared" si="160"/>
        <v/>
      </c>
      <c r="O204" s="39" t="str">
        <f t="shared" si="161"/>
        <v/>
      </c>
      <c r="P204" s="41" t="str">
        <f t="shared" si="162"/>
        <v/>
      </c>
      <c r="Q204" s="9" t="str">
        <f t="shared" si="163"/>
        <v/>
      </c>
      <c r="R204" s="14">
        <f t="shared" si="164"/>
        <v>0</v>
      </c>
      <c r="S204" s="61" t="str">
        <f t="shared" si="165"/>
        <v/>
      </c>
      <c r="T204" s="14">
        <f t="shared" si="166"/>
        <v>0</v>
      </c>
      <c r="U204" s="58" t="str">
        <f t="shared" si="167"/>
        <v/>
      </c>
      <c r="V204" s="14">
        <f t="shared" si="168"/>
        <v>0</v>
      </c>
      <c r="W204" s="58" t="str">
        <f t="shared" si="169"/>
        <v/>
      </c>
      <c r="X204" s="14">
        <f t="shared" si="170"/>
        <v>0</v>
      </c>
      <c r="Y204" s="58" t="str">
        <f t="shared" si="171"/>
        <v/>
      </c>
      <c r="Z204" s="31">
        <f t="shared" si="172"/>
        <v>0</v>
      </c>
      <c r="AA204" s="21">
        <f t="shared" si="173"/>
        <v>0</v>
      </c>
      <c r="AB204" s="58" t="str">
        <f t="shared" si="174"/>
        <v/>
      </c>
      <c r="AC204" s="630">
        <f t="shared" si="115"/>
        <v>0</v>
      </c>
      <c r="AD204" s="627"/>
      <c r="AE204" s="21">
        <f t="shared" si="175"/>
        <v>0</v>
      </c>
      <c r="AF204" s="58" t="str">
        <f t="shared" si="176"/>
        <v/>
      </c>
      <c r="AG204" s="21">
        <f t="shared" si="177"/>
        <v>0</v>
      </c>
      <c r="AH204" s="58" t="str">
        <f t="shared" si="178"/>
        <v/>
      </c>
      <c r="AI204" s="21">
        <f t="shared" si="179"/>
        <v>0</v>
      </c>
      <c r="AJ204" s="58" t="str">
        <f t="shared" si="180"/>
        <v/>
      </c>
      <c r="AK204" s="31">
        <f t="shared" si="181"/>
        <v>0</v>
      </c>
      <c r="AL204" s="21">
        <f t="shared" si="182"/>
        <v>0</v>
      </c>
      <c r="AM204" s="62" t="str">
        <f t="shared" si="183"/>
        <v/>
      </c>
      <c r="AN204" s="21">
        <f t="shared" si="184"/>
        <v>0</v>
      </c>
      <c r="AO204" s="62" t="str">
        <f t="shared" si="185"/>
        <v/>
      </c>
      <c r="AP204" s="21">
        <f t="shared" si="186"/>
        <v>0</v>
      </c>
      <c r="AQ204" s="62" t="str">
        <f t="shared" si="187"/>
        <v/>
      </c>
      <c r="AR204" s="31">
        <f t="shared" si="188"/>
        <v>0</v>
      </c>
      <c r="AS204" s="21">
        <f t="shared" si="189"/>
        <v>0</v>
      </c>
      <c r="AT204" s="62" t="str">
        <f t="shared" si="190"/>
        <v/>
      </c>
      <c r="AU204" s="84">
        <f t="shared" si="191"/>
        <v>0</v>
      </c>
      <c r="AV204" s="32">
        <f t="shared" si="192"/>
        <v>0</v>
      </c>
      <c r="AW204" s="85" t="str">
        <f t="shared" si="193"/>
        <v/>
      </c>
      <c r="AX204" s="86" t="str">
        <f t="shared" si="194"/>
        <v/>
      </c>
    </row>
    <row r="205" spans="1:50" x14ac:dyDescent="0.2">
      <c r="A205" s="29" t="str">
        <f t="shared" si="153"/>
        <v/>
      </c>
      <c r="B205" s="32" t="str">
        <f t="shared" si="154"/>
        <v/>
      </c>
      <c r="C205" s="35"/>
      <c r="D205" s="33" t="str">
        <f t="shared" si="155"/>
        <v/>
      </c>
      <c r="E205" s="22" t="str">
        <f t="shared" si="156"/>
        <v/>
      </c>
      <c r="F205" s="23" t="str">
        <f t="shared" si="157"/>
        <v/>
      </c>
      <c r="G205" s="23"/>
      <c r="H205" s="22"/>
      <c r="I205" s="23"/>
      <c r="J205" s="18"/>
      <c r="K205" s="13" t="str">
        <f t="shared" si="158"/>
        <v/>
      </c>
      <c r="L205" s="28" t="str">
        <f t="shared" si="117"/>
        <v/>
      </c>
      <c r="M205" s="10" t="str">
        <f t="shared" si="159"/>
        <v/>
      </c>
      <c r="N205" s="17" t="str">
        <f t="shared" si="160"/>
        <v/>
      </c>
      <c r="O205" s="39" t="str">
        <f t="shared" si="161"/>
        <v/>
      </c>
      <c r="P205" s="41" t="str">
        <f t="shared" si="162"/>
        <v/>
      </c>
      <c r="Q205" s="9" t="str">
        <f t="shared" si="163"/>
        <v/>
      </c>
      <c r="R205" s="14">
        <f t="shared" si="164"/>
        <v>0</v>
      </c>
      <c r="S205" s="61" t="str">
        <f t="shared" si="165"/>
        <v/>
      </c>
      <c r="T205" s="14">
        <f t="shared" si="166"/>
        <v>0</v>
      </c>
      <c r="U205" s="58" t="str">
        <f t="shared" si="167"/>
        <v/>
      </c>
      <c r="V205" s="14">
        <f t="shared" si="168"/>
        <v>0</v>
      </c>
      <c r="W205" s="58" t="str">
        <f t="shared" si="169"/>
        <v/>
      </c>
      <c r="X205" s="14">
        <f t="shared" si="170"/>
        <v>0</v>
      </c>
      <c r="Y205" s="58" t="str">
        <f t="shared" si="171"/>
        <v/>
      </c>
      <c r="Z205" s="31">
        <f t="shared" si="172"/>
        <v>0</v>
      </c>
      <c r="AA205" s="21">
        <f t="shared" si="173"/>
        <v>0</v>
      </c>
      <c r="AB205" s="58" t="str">
        <f t="shared" si="174"/>
        <v/>
      </c>
      <c r="AC205" s="630">
        <f t="shared" si="115"/>
        <v>0</v>
      </c>
      <c r="AD205" s="627"/>
      <c r="AE205" s="21">
        <f t="shared" si="175"/>
        <v>0</v>
      </c>
      <c r="AF205" s="58" t="str">
        <f t="shared" si="176"/>
        <v/>
      </c>
      <c r="AG205" s="21">
        <f t="shared" si="177"/>
        <v>0</v>
      </c>
      <c r="AH205" s="58" t="str">
        <f t="shared" si="178"/>
        <v/>
      </c>
      <c r="AI205" s="21">
        <f t="shared" si="179"/>
        <v>0</v>
      </c>
      <c r="AJ205" s="58" t="str">
        <f t="shared" si="180"/>
        <v/>
      </c>
      <c r="AK205" s="31">
        <f t="shared" si="181"/>
        <v>0</v>
      </c>
      <c r="AL205" s="21">
        <f t="shared" si="182"/>
        <v>0</v>
      </c>
      <c r="AM205" s="62" t="str">
        <f t="shared" si="183"/>
        <v/>
      </c>
      <c r="AN205" s="21">
        <f t="shared" si="184"/>
        <v>0</v>
      </c>
      <c r="AO205" s="62" t="str">
        <f t="shared" si="185"/>
        <v/>
      </c>
      <c r="AP205" s="21">
        <f t="shared" si="186"/>
        <v>0</v>
      </c>
      <c r="AQ205" s="62" t="str">
        <f t="shared" si="187"/>
        <v/>
      </c>
      <c r="AR205" s="31">
        <f t="shared" si="188"/>
        <v>0</v>
      </c>
      <c r="AS205" s="21">
        <f t="shared" si="189"/>
        <v>0</v>
      </c>
      <c r="AT205" s="62" t="str">
        <f t="shared" si="190"/>
        <v/>
      </c>
      <c r="AU205" s="84">
        <f t="shared" si="191"/>
        <v>0</v>
      </c>
      <c r="AV205" s="32">
        <f t="shared" si="192"/>
        <v>0</v>
      </c>
      <c r="AW205" s="85" t="str">
        <f t="shared" si="193"/>
        <v/>
      </c>
      <c r="AX205" s="86" t="str">
        <f t="shared" si="194"/>
        <v/>
      </c>
    </row>
    <row r="206" spans="1:50" x14ac:dyDescent="0.2">
      <c r="A206" s="29" t="str">
        <f t="shared" si="153"/>
        <v/>
      </c>
      <c r="B206" s="32" t="str">
        <f t="shared" si="154"/>
        <v/>
      </c>
      <c r="C206" s="35"/>
      <c r="D206" s="33" t="str">
        <f t="shared" si="155"/>
        <v/>
      </c>
      <c r="E206" s="22" t="str">
        <f t="shared" si="156"/>
        <v/>
      </c>
      <c r="F206" s="23" t="str">
        <f t="shared" si="157"/>
        <v/>
      </c>
      <c r="G206" s="23"/>
      <c r="H206" s="22"/>
      <c r="I206" s="23"/>
      <c r="J206" s="18"/>
      <c r="K206" s="13" t="str">
        <f t="shared" si="158"/>
        <v/>
      </c>
      <c r="L206" s="28" t="str">
        <f t="shared" si="117"/>
        <v/>
      </c>
      <c r="M206" s="10" t="str">
        <f t="shared" si="159"/>
        <v/>
      </c>
      <c r="N206" s="17" t="str">
        <f t="shared" si="160"/>
        <v/>
      </c>
      <c r="O206" s="39" t="str">
        <f t="shared" si="161"/>
        <v/>
      </c>
      <c r="P206" s="41" t="str">
        <f t="shared" si="162"/>
        <v/>
      </c>
      <c r="Q206" s="9" t="str">
        <f t="shared" si="163"/>
        <v/>
      </c>
      <c r="R206" s="14">
        <f t="shared" si="164"/>
        <v>0</v>
      </c>
      <c r="S206" s="61" t="str">
        <f t="shared" si="165"/>
        <v/>
      </c>
      <c r="T206" s="14">
        <f t="shared" si="166"/>
        <v>0</v>
      </c>
      <c r="U206" s="58" t="str">
        <f t="shared" si="167"/>
        <v/>
      </c>
      <c r="V206" s="14">
        <f t="shared" si="168"/>
        <v>0</v>
      </c>
      <c r="W206" s="58" t="str">
        <f t="shared" si="169"/>
        <v/>
      </c>
      <c r="X206" s="14">
        <f t="shared" si="170"/>
        <v>0</v>
      </c>
      <c r="Y206" s="58" t="str">
        <f t="shared" si="171"/>
        <v/>
      </c>
      <c r="Z206" s="31">
        <f t="shared" si="172"/>
        <v>0</v>
      </c>
      <c r="AA206" s="21">
        <f t="shared" si="173"/>
        <v>0</v>
      </c>
      <c r="AB206" s="58" t="str">
        <f t="shared" si="174"/>
        <v/>
      </c>
      <c r="AC206" s="630">
        <f t="shared" si="115"/>
        <v>0</v>
      </c>
      <c r="AD206" s="627"/>
      <c r="AE206" s="21">
        <f t="shared" si="175"/>
        <v>0</v>
      </c>
      <c r="AF206" s="58" t="str">
        <f t="shared" si="176"/>
        <v/>
      </c>
      <c r="AG206" s="21">
        <f t="shared" si="177"/>
        <v>0</v>
      </c>
      <c r="AH206" s="58" t="str">
        <f t="shared" si="178"/>
        <v/>
      </c>
      <c r="AI206" s="21">
        <f t="shared" si="179"/>
        <v>0</v>
      </c>
      <c r="AJ206" s="58" t="str">
        <f t="shared" si="180"/>
        <v/>
      </c>
      <c r="AK206" s="31">
        <f t="shared" si="181"/>
        <v>0</v>
      </c>
      <c r="AL206" s="21">
        <f t="shared" si="182"/>
        <v>0</v>
      </c>
      <c r="AM206" s="62" t="str">
        <f t="shared" si="183"/>
        <v/>
      </c>
      <c r="AN206" s="21">
        <f t="shared" si="184"/>
        <v>0</v>
      </c>
      <c r="AO206" s="62" t="str">
        <f t="shared" si="185"/>
        <v/>
      </c>
      <c r="AP206" s="21">
        <f t="shared" si="186"/>
        <v>0</v>
      </c>
      <c r="AQ206" s="62" t="str">
        <f t="shared" si="187"/>
        <v/>
      </c>
      <c r="AR206" s="31">
        <f t="shared" si="188"/>
        <v>0</v>
      </c>
      <c r="AS206" s="21">
        <f t="shared" si="189"/>
        <v>0</v>
      </c>
      <c r="AT206" s="62" t="str">
        <f t="shared" si="190"/>
        <v/>
      </c>
      <c r="AU206" s="84">
        <f t="shared" si="191"/>
        <v>0</v>
      </c>
      <c r="AV206" s="32">
        <f t="shared" si="192"/>
        <v>0</v>
      </c>
      <c r="AW206" s="85" t="str">
        <f t="shared" si="193"/>
        <v/>
      </c>
      <c r="AX206" s="86" t="str">
        <f t="shared" si="194"/>
        <v/>
      </c>
    </row>
    <row r="207" spans="1:50" x14ac:dyDescent="0.2">
      <c r="A207" s="29" t="str">
        <f t="shared" si="153"/>
        <v/>
      </c>
      <c r="B207" s="32" t="str">
        <f t="shared" si="154"/>
        <v/>
      </c>
      <c r="C207" s="35"/>
      <c r="D207" s="33" t="str">
        <f t="shared" si="155"/>
        <v/>
      </c>
      <c r="E207" s="22" t="str">
        <f t="shared" si="156"/>
        <v/>
      </c>
      <c r="F207" s="23" t="str">
        <f t="shared" si="157"/>
        <v/>
      </c>
      <c r="G207" s="23"/>
      <c r="H207" s="22"/>
      <c r="I207" s="23"/>
      <c r="J207" s="18"/>
      <c r="K207" s="13" t="str">
        <f t="shared" si="158"/>
        <v/>
      </c>
      <c r="L207" s="28" t="str">
        <f t="shared" si="117"/>
        <v/>
      </c>
      <c r="M207" s="10" t="str">
        <f t="shared" si="159"/>
        <v/>
      </c>
      <c r="N207" s="17" t="str">
        <f t="shared" si="160"/>
        <v/>
      </c>
      <c r="O207" s="39" t="str">
        <f t="shared" si="161"/>
        <v/>
      </c>
      <c r="P207" s="41" t="str">
        <f t="shared" si="162"/>
        <v/>
      </c>
      <c r="Q207" s="9" t="str">
        <f t="shared" si="163"/>
        <v/>
      </c>
      <c r="R207" s="14">
        <f t="shared" si="164"/>
        <v>0</v>
      </c>
      <c r="S207" s="61" t="str">
        <f t="shared" si="165"/>
        <v/>
      </c>
      <c r="T207" s="14">
        <f t="shared" si="166"/>
        <v>0</v>
      </c>
      <c r="U207" s="58" t="str">
        <f t="shared" si="167"/>
        <v/>
      </c>
      <c r="V207" s="14">
        <f t="shared" si="168"/>
        <v>0</v>
      </c>
      <c r="W207" s="58" t="str">
        <f t="shared" si="169"/>
        <v/>
      </c>
      <c r="X207" s="14">
        <f t="shared" si="170"/>
        <v>0</v>
      </c>
      <c r="Y207" s="58" t="str">
        <f t="shared" si="171"/>
        <v/>
      </c>
      <c r="Z207" s="31">
        <f t="shared" si="172"/>
        <v>0</v>
      </c>
      <c r="AA207" s="21">
        <f t="shared" si="173"/>
        <v>0</v>
      </c>
      <c r="AB207" s="58" t="str">
        <f t="shared" si="174"/>
        <v/>
      </c>
      <c r="AC207" s="630">
        <f t="shared" si="115"/>
        <v>0</v>
      </c>
      <c r="AD207" s="627"/>
      <c r="AE207" s="21">
        <f t="shared" si="175"/>
        <v>0</v>
      </c>
      <c r="AF207" s="58" t="str">
        <f t="shared" si="176"/>
        <v/>
      </c>
      <c r="AG207" s="21">
        <f t="shared" si="177"/>
        <v>0</v>
      </c>
      <c r="AH207" s="58" t="str">
        <f t="shared" si="178"/>
        <v/>
      </c>
      <c r="AI207" s="21">
        <f t="shared" si="179"/>
        <v>0</v>
      </c>
      <c r="AJ207" s="58" t="str">
        <f t="shared" si="180"/>
        <v/>
      </c>
      <c r="AK207" s="31">
        <f t="shared" si="181"/>
        <v>0</v>
      </c>
      <c r="AL207" s="21">
        <f t="shared" si="182"/>
        <v>0</v>
      </c>
      <c r="AM207" s="62" t="str">
        <f t="shared" si="183"/>
        <v/>
      </c>
      <c r="AN207" s="21">
        <f t="shared" si="184"/>
        <v>0</v>
      </c>
      <c r="AO207" s="62" t="str">
        <f t="shared" si="185"/>
        <v/>
      </c>
      <c r="AP207" s="21">
        <f t="shared" si="186"/>
        <v>0</v>
      </c>
      <c r="AQ207" s="62" t="str">
        <f t="shared" si="187"/>
        <v/>
      </c>
      <c r="AR207" s="31">
        <f t="shared" si="188"/>
        <v>0</v>
      </c>
      <c r="AS207" s="21">
        <f t="shared" si="189"/>
        <v>0</v>
      </c>
      <c r="AT207" s="62" t="str">
        <f t="shared" si="190"/>
        <v/>
      </c>
      <c r="AU207" s="84">
        <f t="shared" si="191"/>
        <v>0</v>
      </c>
      <c r="AV207" s="32">
        <f t="shared" si="192"/>
        <v>0</v>
      </c>
      <c r="AW207" s="85" t="str">
        <f t="shared" si="193"/>
        <v/>
      </c>
      <c r="AX207" s="86" t="str">
        <f t="shared" si="194"/>
        <v/>
      </c>
    </row>
    <row r="208" spans="1:50" x14ac:dyDescent="0.2">
      <c r="A208" s="29" t="str">
        <f t="shared" si="153"/>
        <v/>
      </c>
      <c r="B208" s="32" t="str">
        <f t="shared" si="154"/>
        <v/>
      </c>
      <c r="C208" s="35"/>
      <c r="D208" s="33" t="str">
        <f t="shared" si="155"/>
        <v/>
      </c>
      <c r="E208" s="22" t="str">
        <f t="shared" si="156"/>
        <v/>
      </c>
      <c r="F208" s="23" t="str">
        <f t="shared" si="157"/>
        <v/>
      </c>
      <c r="G208" s="23"/>
      <c r="H208" s="22"/>
      <c r="I208" s="23"/>
      <c r="J208" s="18"/>
      <c r="K208" s="13" t="str">
        <f t="shared" si="158"/>
        <v/>
      </c>
      <c r="L208" s="28" t="str">
        <f t="shared" si="117"/>
        <v/>
      </c>
      <c r="M208" s="10" t="str">
        <f t="shared" si="159"/>
        <v/>
      </c>
      <c r="N208" s="17" t="str">
        <f t="shared" si="160"/>
        <v/>
      </c>
      <c r="O208" s="39" t="str">
        <f t="shared" si="161"/>
        <v/>
      </c>
      <c r="P208" s="41" t="str">
        <f t="shared" si="162"/>
        <v/>
      </c>
      <c r="Q208" s="9" t="str">
        <f t="shared" si="163"/>
        <v/>
      </c>
      <c r="R208" s="14">
        <f t="shared" si="164"/>
        <v>0</v>
      </c>
      <c r="S208" s="61" t="str">
        <f t="shared" si="165"/>
        <v/>
      </c>
      <c r="T208" s="14">
        <f t="shared" si="166"/>
        <v>0</v>
      </c>
      <c r="U208" s="58" t="str">
        <f t="shared" si="167"/>
        <v/>
      </c>
      <c r="V208" s="14">
        <f t="shared" si="168"/>
        <v>0</v>
      </c>
      <c r="W208" s="58" t="str">
        <f t="shared" si="169"/>
        <v/>
      </c>
      <c r="X208" s="14">
        <f t="shared" si="170"/>
        <v>0</v>
      </c>
      <c r="Y208" s="58" t="str">
        <f t="shared" si="171"/>
        <v/>
      </c>
      <c r="Z208" s="31">
        <f t="shared" si="172"/>
        <v>0</v>
      </c>
      <c r="AA208" s="21">
        <f t="shared" si="173"/>
        <v>0</v>
      </c>
      <c r="AB208" s="58" t="str">
        <f t="shared" si="174"/>
        <v/>
      </c>
      <c r="AC208" s="630">
        <f t="shared" si="115"/>
        <v>0</v>
      </c>
      <c r="AD208" s="627"/>
      <c r="AE208" s="21">
        <f t="shared" si="175"/>
        <v>0</v>
      </c>
      <c r="AF208" s="58" t="str">
        <f t="shared" si="176"/>
        <v/>
      </c>
      <c r="AG208" s="21">
        <f t="shared" si="177"/>
        <v>0</v>
      </c>
      <c r="AH208" s="58" t="str">
        <f t="shared" si="178"/>
        <v/>
      </c>
      <c r="AI208" s="21">
        <f t="shared" si="179"/>
        <v>0</v>
      </c>
      <c r="AJ208" s="58" t="str">
        <f t="shared" si="180"/>
        <v/>
      </c>
      <c r="AK208" s="31">
        <f t="shared" si="181"/>
        <v>0</v>
      </c>
      <c r="AL208" s="21">
        <f t="shared" si="182"/>
        <v>0</v>
      </c>
      <c r="AM208" s="62" t="str">
        <f t="shared" si="183"/>
        <v/>
      </c>
      <c r="AN208" s="21">
        <f t="shared" si="184"/>
        <v>0</v>
      </c>
      <c r="AO208" s="62" t="str">
        <f t="shared" si="185"/>
        <v/>
      </c>
      <c r="AP208" s="21">
        <f t="shared" si="186"/>
        <v>0</v>
      </c>
      <c r="AQ208" s="62" t="str">
        <f t="shared" si="187"/>
        <v/>
      </c>
      <c r="AR208" s="31">
        <f t="shared" si="188"/>
        <v>0</v>
      </c>
      <c r="AS208" s="21">
        <f t="shared" si="189"/>
        <v>0</v>
      </c>
      <c r="AT208" s="62" t="str">
        <f t="shared" si="190"/>
        <v/>
      </c>
      <c r="AU208" s="84">
        <f t="shared" si="191"/>
        <v>0</v>
      </c>
      <c r="AV208" s="32">
        <f t="shared" si="192"/>
        <v>0</v>
      </c>
      <c r="AW208" s="85" t="str">
        <f t="shared" si="193"/>
        <v/>
      </c>
      <c r="AX208" s="86" t="str">
        <f t="shared" si="194"/>
        <v/>
      </c>
    </row>
    <row r="209" spans="1:50" x14ac:dyDescent="0.2">
      <c r="A209" s="29" t="str">
        <f t="shared" si="153"/>
        <v/>
      </c>
      <c r="B209" s="32" t="str">
        <f t="shared" si="154"/>
        <v/>
      </c>
      <c r="C209" s="35"/>
      <c r="D209" s="33" t="str">
        <f t="shared" si="155"/>
        <v/>
      </c>
      <c r="E209" s="22" t="str">
        <f t="shared" si="156"/>
        <v/>
      </c>
      <c r="F209" s="23" t="str">
        <f t="shared" si="157"/>
        <v/>
      </c>
      <c r="G209" s="23"/>
      <c r="H209" s="22"/>
      <c r="I209" s="23"/>
      <c r="J209" s="18"/>
      <c r="K209" s="13" t="str">
        <f t="shared" si="158"/>
        <v/>
      </c>
      <c r="L209" s="28" t="str">
        <f t="shared" si="117"/>
        <v/>
      </c>
      <c r="M209" s="10" t="str">
        <f t="shared" si="159"/>
        <v/>
      </c>
      <c r="N209" s="17" t="str">
        <f t="shared" si="160"/>
        <v/>
      </c>
      <c r="O209" s="39" t="str">
        <f t="shared" si="161"/>
        <v/>
      </c>
      <c r="P209" s="41" t="str">
        <f t="shared" si="162"/>
        <v/>
      </c>
      <c r="Q209" s="9" t="str">
        <f t="shared" si="163"/>
        <v/>
      </c>
      <c r="R209" s="14">
        <f t="shared" si="164"/>
        <v>0</v>
      </c>
      <c r="S209" s="61" t="str">
        <f t="shared" si="165"/>
        <v/>
      </c>
      <c r="T209" s="14">
        <f t="shared" si="166"/>
        <v>0</v>
      </c>
      <c r="U209" s="58" t="str">
        <f t="shared" si="167"/>
        <v/>
      </c>
      <c r="V209" s="14">
        <f t="shared" si="168"/>
        <v>0</v>
      </c>
      <c r="W209" s="58" t="str">
        <f t="shared" si="169"/>
        <v/>
      </c>
      <c r="X209" s="14">
        <f t="shared" si="170"/>
        <v>0</v>
      </c>
      <c r="Y209" s="58" t="str">
        <f t="shared" si="171"/>
        <v/>
      </c>
      <c r="Z209" s="31">
        <f t="shared" si="172"/>
        <v>0</v>
      </c>
      <c r="AA209" s="21">
        <f t="shared" si="173"/>
        <v>0</v>
      </c>
      <c r="AB209" s="58" t="str">
        <f t="shared" si="174"/>
        <v/>
      </c>
      <c r="AC209" s="630">
        <f t="shared" si="115"/>
        <v>0</v>
      </c>
      <c r="AD209" s="627"/>
      <c r="AE209" s="21">
        <f t="shared" si="175"/>
        <v>0</v>
      </c>
      <c r="AF209" s="58" t="str">
        <f t="shared" si="176"/>
        <v/>
      </c>
      <c r="AG209" s="21">
        <f t="shared" si="177"/>
        <v>0</v>
      </c>
      <c r="AH209" s="58" t="str">
        <f t="shared" si="178"/>
        <v/>
      </c>
      <c r="AI209" s="21">
        <f t="shared" si="179"/>
        <v>0</v>
      </c>
      <c r="AJ209" s="58" t="str">
        <f t="shared" si="180"/>
        <v/>
      </c>
      <c r="AK209" s="31">
        <f t="shared" si="181"/>
        <v>0</v>
      </c>
      <c r="AL209" s="21">
        <f t="shared" si="182"/>
        <v>0</v>
      </c>
      <c r="AM209" s="62" t="str">
        <f t="shared" si="183"/>
        <v/>
      </c>
      <c r="AN209" s="21">
        <f t="shared" si="184"/>
        <v>0</v>
      </c>
      <c r="AO209" s="62" t="str">
        <f t="shared" si="185"/>
        <v/>
      </c>
      <c r="AP209" s="21">
        <f t="shared" si="186"/>
        <v>0</v>
      </c>
      <c r="AQ209" s="62" t="str">
        <f t="shared" si="187"/>
        <v/>
      </c>
      <c r="AR209" s="31">
        <f t="shared" si="188"/>
        <v>0</v>
      </c>
      <c r="AS209" s="21">
        <f t="shared" si="189"/>
        <v>0</v>
      </c>
      <c r="AT209" s="62" t="str">
        <f t="shared" si="190"/>
        <v/>
      </c>
      <c r="AU209" s="84">
        <f t="shared" si="191"/>
        <v>0</v>
      </c>
      <c r="AV209" s="32">
        <f t="shared" si="192"/>
        <v>0</v>
      </c>
      <c r="AW209" s="85" t="str">
        <f t="shared" si="193"/>
        <v/>
      </c>
      <c r="AX209" s="86" t="str">
        <f t="shared" si="194"/>
        <v/>
      </c>
    </row>
    <row r="210" spans="1:50" x14ac:dyDescent="0.2">
      <c r="A210" s="29" t="str">
        <f t="shared" si="153"/>
        <v/>
      </c>
      <c r="B210" s="32" t="str">
        <f t="shared" si="154"/>
        <v/>
      </c>
      <c r="C210" s="35"/>
      <c r="D210" s="33" t="str">
        <f t="shared" si="155"/>
        <v/>
      </c>
      <c r="E210" s="22" t="str">
        <f t="shared" si="156"/>
        <v/>
      </c>
      <c r="F210" s="23" t="str">
        <f t="shared" si="157"/>
        <v/>
      </c>
      <c r="G210" s="23"/>
      <c r="H210" s="22"/>
      <c r="I210" s="23"/>
      <c r="J210" s="18"/>
      <c r="K210" s="13" t="str">
        <f t="shared" si="158"/>
        <v/>
      </c>
      <c r="L210" s="28" t="str">
        <f t="shared" si="117"/>
        <v/>
      </c>
      <c r="M210" s="10" t="str">
        <f t="shared" si="159"/>
        <v/>
      </c>
      <c r="N210" s="17" t="str">
        <f t="shared" si="160"/>
        <v/>
      </c>
      <c r="O210" s="39" t="str">
        <f t="shared" si="161"/>
        <v/>
      </c>
      <c r="P210" s="41" t="str">
        <f t="shared" si="162"/>
        <v/>
      </c>
      <c r="Q210" s="9" t="str">
        <f t="shared" si="163"/>
        <v/>
      </c>
      <c r="R210" s="14">
        <f t="shared" si="164"/>
        <v>0</v>
      </c>
      <c r="S210" s="61" t="str">
        <f t="shared" si="165"/>
        <v/>
      </c>
      <c r="T210" s="14">
        <f t="shared" si="166"/>
        <v>0</v>
      </c>
      <c r="U210" s="58" t="str">
        <f t="shared" si="167"/>
        <v/>
      </c>
      <c r="V210" s="14">
        <f t="shared" si="168"/>
        <v>0</v>
      </c>
      <c r="W210" s="58" t="str">
        <f t="shared" si="169"/>
        <v/>
      </c>
      <c r="X210" s="14">
        <f t="shared" si="170"/>
        <v>0</v>
      </c>
      <c r="Y210" s="58" t="str">
        <f t="shared" si="171"/>
        <v/>
      </c>
      <c r="Z210" s="31">
        <f t="shared" si="172"/>
        <v>0</v>
      </c>
      <c r="AA210" s="21">
        <f t="shared" si="173"/>
        <v>0</v>
      </c>
      <c r="AB210" s="58" t="str">
        <f t="shared" si="174"/>
        <v/>
      </c>
      <c r="AC210" s="630">
        <f t="shared" si="115"/>
        <v>0</v>
      </c>
      <c r="AD210" s="627"/>
      <c r="AE210" s="21">
        <f t="shared" si="175"/>
        <v>0</v>
      </c>
      <c r="AF210" s="58" t="str">
        <f t="shared" si="176"/>
        <v/>
      </c>
      <c r="AG210" s="21">
        <f t="shared" si="177"/>
        <v>0</v>
      </c>
      <c r="AH210" s="58" t="str">
        <f t="shared" si="178"/>
        <v/>
      </c>
      <c r="AI210" s="21">
        <f t="shared" si="179"/>
        <v>0</v>
      </c>
      <c r="AJ210" s="58" t="str">
        <f t="shared" si="180"/>
        <v/>
      </c>
      <c r="AK210" s="31">
        <f t="shared" si="181"/>
        <v>0</v>
      </c>
      <c r="AL210" s="21">
        <f t="shared" si="182"/>
        <v>0</v>
      </c>
      <c r="AM210" s="62" t="str">
        <f t="shared" si="183"/>
        <v/>
      </c>
      <c r="AN210" s="21">
        <f t="shared" si="184"/>
        <v>0</v>
      </c>
      <c r="AO210" s="62" t="str">
        <f t="shared" si="185"/>
        <v/>
      </c>
      <c r="AP210" s="21">
        <f t="shared" si="186"/>
        <v>0</v>
      </c>
      <c r="AQ210" s="62" t="str">
        <f t="shared" si="187"/>
        <v/>
      </c>
      <c r="AR210" s="31">
        <f t="shared" si="188"/>
        <v>0</v>
      </c>
      <c r="AS210" s="21">
        <f t="shared" si="189"/>
        <v>0</v>
      </c>
      <c r="AT210" s="62" t="str">
        <f t="shared" si="190"/>
        <v/>
      </c>
      <c r="AU210" s="84">
        <f t="shared" si="191"/>
        <v>0</v>
      </c>
      <c r="AV210" s="32">
        <f t="shared" si="192"/>
        <v>0</v>
      </c>
      <c r="AW210" s="85" t="str">
        <f t="shared" si="193"/>
        <v/>
      </c>
      <c r="AX210" s="86" t="str">
        <f t="shared" si="194"/>
        <v/>
      </c>
    </row>
    <row r="211" spans="1:50" x14ac:dyDescent="0.2">
      <c r="A211" s="29" t="str">
        <f t="shared" si="153"/>
        <v/>
      </c>
      <c r="B211" s="32" t="str">
        <f t="shared" si="154"/>
        <v/>
      </c>
      <c r="C211" s="35"/>
      <c r="D211" s="33" t="str">
        <f t="shared" si="155"/>
        <v/>
      </c>
      <c r="E211" s="22" t="str">
        <f t="shared" si="156"/>
        <v/>
      </c>
      <c r="F211" s="23" t="str">
        <f t="shared" si="157"/>
        <v/>
      </c>
      <c r="G211" s="23"/>
      <c r="H211" s="22"/>
      <c r="I211" s="23"/>
      <c r="J211" s="18"/>
      <c r="K211" s="13" t="str">
        <f t="shared" si="158"/>
        <v/>
      </c>
      <c r="L211" s="28" t="str">
        <f t="shared" si="117"/>
        <v/>
      </c>
      <c r="M211" s="10" t="str">
        <f t="shared" si="159"/>
        <v/>
      </c>
      <c r="N211" s="17" t="str">
        <f t="shared" si="160"/>
        <v/>
      </c>
      <c r="O211" s="39" t="str">
        <f t="shared" si="161"/>
        <v/>
      </c>
      <c r="P211" s="41" t="str">
        <f t="shared" si="162"/>
        <v/>
      </c>
      <c r="Q211" s="9" t="str">
        <f t="shared" si="163"/>
        <v/>
      </c>
      <c r="R211" s="14">
        <f t="shared" si="164"/>
        <v>0</v>
      </c>
      <c r="S211" s="61" t="str">
        <f t="shared" si="165"/>
        <v/>
      </c>
      <c r="T211" s="14">
        <f t="shared" si="166"/>
        <v>0</v>
      </c>
      <c r="U211" s="58" t="str">
        <f t="shared" si="167"/>
        <v/>
      </c>
      <c r="V211" s="14">
        <f t="shared" si="168"/>
        <v>0</v>
      </c>
      <c r="W211" s="58" t="str">
        <f t="shared" si="169"/>
        <v/>
      </c>
      <c r="X211" s="14">
        <f t="shared" si="170"/>
        <v>0</v>
      </c>
      <c r="Y211" s="58" t="str">
        <f t="shared" si="171"/>
        <v/>
      </c>
      <c r="Z211" s="31">
        <f t="shared" si="172"/>
        <v>0</v>
      </c>
      <c r="AA211" s="21">
        <f t="shared" si="173"/>
        <v>0</v>
      </c>
      <c r="AB211" s="58" t="str">
        <f t="shared" si="174"/>
        <v/>
      </c>
      <c r="AC211" s="630">
        <f t="shared" si="115"/>
        <v>0</v>
      </c>
      <c r="AD211" s="627"/>
      <c r="AE211" s="21">
        <f t="shared" si="175"/>
        <v>0</v>
      </c>
      <c r="AF211" s="58" t="str">
        <f t="shared" si="176"/>
        <v/>
      </c>
      <c r="AG211" s="21">
        <f t="shared" si="177"/>
        <v>0</v>
      </c>
      <c r="AH211" s="58" t="str">
        <f t="shared" si="178"/>
        <v/>
      </c>
      <c r="AI211" s="21">
        <f t="shared" si="179"/>
        <v>0</v>
      </c>
      <c r="AJ211" s="58" t="str">
        <f t="shared" si="180"/>
        <v/>
      </c>
      <c r="AK211" s="31">
        <f t="shared" si="181"/>
        <v>0</v>
      </c>
      <c r="AL211" s="21">
        <f t="shared" si="182"/>
        <v>0</v>
      </c>
      <c r="AM211" s="62" t="str">
        <f t="shared" si="183"/>
        <v/>
      </c>
      <c r="AN211" s="21">
        <f t="shared" si="184"/>
        <v>0</v>
      </c>
      <c r="AO211" s="62" t="str">
        <f t="shared" si="185"/>
        <v/>
      </c>
      <c r="AP211" s="21">
        <f t="shared" si="186"/>
        <v>0</v>
      </c>
      <c r="AQ211" s="62" t="str">
        <f t="shared" si="187"/>
        <v/>
      </c>
      <c r="AR211" s="31">
        <f t="shared" si="188"/>
        <v>0</v>
      </c>
      <c r="AS211" s="21">
        <f t="shared" si="189"/>
        <v>0</v>
      </c>
      <c r="AT211" s="62" t="str">
        <f t="shared" si="190"/>
        <v/>
      </c>
      <c r="AU211" s="84">
        <f t="shared" si="191"/>
        <v>0</v>
      </c>
      <c r="AV211" s="32">
        <f t="shared" si="192"/>
        <v>0</v>
      </c>
      <c r="AW211" s="85" t="str">
        <f t="shared" si="193"/>
        <v/>
      </c>
      <c r="AX211" s="86" t="str">
        <f t="shared" si="194"/>
        <v/>
      </c>
    </row>
    <row r="212" spans="1:50" x14ac:dyDescent="0.2">
      <c r="A212" s="29" t="str">
        <f t="shared" si="153"/>
        <v/>
      </c>
      <c r="B212" s="32" t="str">
        <f t="shared" si="154"/>
        <v/>
      </c>
      <c r="C212" s="35"/>
      <c r="D212" s="33" t="str">
        <f t="shared" si="155"/>
        <v/>
      </c>
      <c r="E212" s="22" t="str">
        <f t="shared" si="156"/>
        <v/>
      </c>
      <c r="F212" s="23" t="str">
        <f t="shared" si="157"/>
        <v/>
      </c>
      <c r="G212" s="23"/>
      <c r="H212" s="22"/>
      <c r="I212" s="23"/>
      <c r="J212" s="18"/>
      <c r="K212" s="13" t="str">
        <f t="shared" si="158"/>
        <v/>
      </c>
      <c r="L212" s="28" t="str">
        <f t="shared" si="117"/>
        <v/>
      </c>
      <c r="M212" s="10" t="str">
        <f t="shared" si="159"/>
        <v/>
      </c>
      <c r="N212" s="17" t="str">
        <f t="shared" si="160"/>
        <v/>
      </c>
      <c r="O212" s="39" t="str">
        <f t="shared" si="161"/>
        <v/>
      </c>
      <c r="P212" s="41" t="str">
        <f t="shared" si="162"/>
        <v/>
      </c>
      <c r="Q212" s="9" t="str">
        <f t="shared" si="163"/>
        <v/>
      </c>
      <c r="R212" s="14">
        <f t="shared" si="164"/>
        <v>0</v>
      </c>
      <c r="S212" s="61" t="str">
        <f t="shared" si="165"/>
        <v/>
      </c>
      <c r="T212" s="14">
        <f t="shared" si="166"/>
        <v>0</v>
      </c>
      <c r="U212" s="58" t="str">
        <f t="shared" si="167"/>
        <v/>
      </c>
      <c r="V212" s="14">
        <f t="shared" si="168"/>
        <v>0</v>
      </c>
      <c r="W212" s="58" t="str">
        <f t="shared" si="169"/>
        <v/>
      </c>
      <c r="X212" s="14">
        <f t="shared" si="170"/>
        <v>0</v>
      </c>
      <c r="Y212" s="58" t="str">
        <f t="shared" si="171"/>
        <v/>
      </c>
      <c r="Z212" s="31">
        <f t="shared" si="172"/>
        <v>0</v>
      </c>
      <c r="AA212" s="21">
        <f t="shared" si="173"/>
        <v>0</v>
      </c>
      <c r="AB212" s="58" t="str">
        <f t="shared" si="174"/>
        <v/>
      </c>
      <c r="AC212" s="630">
        <f t="shared" si="115"/>
        <v>0</v>
      </c>
      <c r="AD212" s="627"/>
      <c r="AE212" s="21">
        <f t="shared" si="175"/>
        <v>0</v>
      </c>
      <c r="AF212" s="58" t="str">
        <f t="shared" si="176"/>
        <v/>
      </c>
      <c r="AG212" s="21">
        <f t="shared" si="177"/>
        <v>0</v>
      </c>
      <c r="AH212" s="58" t="str">
        <f t="shared" si="178"/>
        <v/>
      </c>
      <c r="AI212" s="21">
        <f t="shared" si="179"/>
        <v>0</v>
      </c>
      <c r="AJ212" s="58" t="str">
        <f t="shared" si="180"/>
        <v/>
      </c>
      <c r="AK212" s="31">
        <f t="shared" si="181"/>
        <v>0</v>
      </c>
      <c r="AL212" s="21">
        <f t="shared" si="182"/>
        <v>0</v>
      </c>
      <c r="AM212" s="62" t="str">
        <f t="shared" si="183"/>
        <v/>
      </c>
      <c r="AN212" s="21">
        <f t="shared" si="184"/>
        <v>0</v>
      </c>
      <c r="AO212" s="62" t="str">
        <f t="shared" si="185"/>
        <v/>
      </c>
      <c r="AP212" s="21">
        <f t="shared" si="186"/>
        <v>0</v>
      </c>
      <c r="AQ212" s="62" t="str">
        <f t="shared" si="187"/>
        <v/>
      </c>
      <c r="AR212" s="31">
        <f t="shared" si="188"/>
        <v>0</v>
      </c>
      <c r="AS212" s="21">
        <f t="shared" si="189"/>
        <v>0</v>
      </c>
      <c r="AT212" s="62" t="str">
        <f t="shared" si="190"/>
        <v/>
      </c>
      <c r="AU212" s="84">
        <f t="shared" si="191"/>
        <v>0</v>
      </c>
      <c r="AV212" s="32">
        <f t="shared" si="192"/>
        <v>0</v>
      </c>
      <c r="AW212" s="85" t="str">
        <f t="shared" si="193"/>
        <v/>
      </c>
      <c r="AX212" s="86" t="str">
        <f t="shared" si="194"/>
        <v/>
      </c>
    </row>
    <row r="213" spans="1:50" x14ac:dyDescent="0.2">
      <c r="A213" s="29" t="str">
        <f t="shared" si="153"/>
        <v/>
      </c>
      <c r="B213" s="32" t="str">
        <f t="shared" si="154"/>
        <v/>
      </c>
      <c r="C213" s="35"/>
      <c r="D213" s="33" t="str">
        <f t="shared" si="155"/>
        <v/>
      </c>
      <c r="E213" s="22" t="str">
        <f t="shared" si="156"/>
        <v/>
      </c>
      <c r="F213" s="23" t="str">
        <f t="shared" si="157"/>
        <v/>
      </c>
      <c r="G213" s="23"/>
      <c r="H213" s="22"/>
      <c r="I213" s="23"/>
      <c r="J213" s="18"/>
      <c r="K213" s="13" t="str">
        <f t="shared" si="158"/>
        <v/>
      </c>
      <c r="L213" s="28" t="str">
        <f t="shared" si="117"/>
        <v/>
      </c>
      <c r="M213" s="10" t="str">
        <f t="shared" si="159"/>
        <v/>
      </c>
      <c r="N213" s="17" t="str">
        <f t="shared" si="160"/>
        <v/>
      </c>
      <c r="O213" s="39" t="str">
        <f t="shared" si="161"/>
        <v/>
      </c>
      <c r="P213" s="41" t="str">
        <f t="shared" si="162"/>
        <v/>
      </c>
      <c r="Q213" s="9" t="str">
        <f t="shared" si="163"/>
        <v/>
      </c>
      <c r="R213" s="14">
        <f t="shared" si="164"/>
        <v>0</v>
      </c>
      <c r="S213" s="61" t="str">
        <f t="shared" si="165"/>
        <v/>
      </c>
      <c r="T213" s="14">
        <f t="shared" si="166"/>
        <v>0</v>
      </c>
      <c r="U213" s="58" t="str">
        <f t="shared" si="167"/>
        <v/>
      </c>
      <c r="V213" s="14">
        <f t="shared" si="168"/>
        <v>0</v>
      </c>
      <c r="W213" s="58" t="str">
        <f t="shared" si="169"/>
        <v/>
      </c>
      <c r="X213" s="14">
        <f t="shared" si="170"/>
        <v>0</v>
      </c>
      <c r="Y213" s="58" t="str">
        <f t="shared" si="171"/>
        <v/>
      </c>
      <c r="Z213" s="31">
        <f t="shared" si="172"/>
        <v>0</v>
      </c>
      <c r="AA213" s="21">
        <f t="shared" si="173"/>
        <v>0</v>
      </c>
      <c r="AB213" s="58" t="str">
        <f t="shared" si="174"/>
        <v/>
      </c>
      <c r="AC213" s="630">
        <f t="shared" ref="AC213:AC276" si="195">COUNTIF(G213:J213,100)</f>
        <v>0</v>
      </c>
      <c r="AD213" s="627"/>
      <c r="AE213" s="21">
        <f t="shared" si="175"/>
        <v>0</v>
      </c>
      <c r="AF213" s="58" t="str">
        <f t="shared" si="176"/>
        <v/>
      </c>
      <c r="AG213" s="21">
        <f t="shared" si="177"/>
        <v>0</v>
      </c>
      <c r="AH213" s="58" t="str">
        <f t="shared" si="178"/>
        <v/>
      </c>
      <c r="AI213" s="21">
        <f t="shared" si="179"/>
        <v>0</v>
      </c>
      <c r="AJ213" s="58" t="str">
        <f t="shared" si="180"/>
        <v/>
      </c>
      <c r="AK213" s="31">
        <f t="shared" si="181"/>
        <v>0</v>
      </c>
      <c r="AL213" s="21">
        <f t="shared" si="182"/>
        <v>0</v>
      </c>
      <c r="AM213" s="62" t="str">
        <f t="shared" si="183"/>
        <v/>
      </c>
      <c r="AN213" s="21">
        <f t="shared" si="184"/>
        <v>0</v>
      </c>
      <c r="AO213" s="62" t="str">
        <f t="shared" si="185"/>
        <v/>
      </c>
      <c r="AP213" s="21">
        <f t="shared" si="186"/>
        <v>0</v>
      </c>
      <c r="AQ213" s="62" t="str">
        <f t="shared" si="187"/>
        <v/>
      </c>
      <c r="AR213" s="31">
        <f t="shared" si="188"/>
        <v>0</v>
      </c>
      <c r="AS213" s="21">
        <f t="shared" si="189"/>
        <v>0</v>
      </c>
      <c r="AT213" s="62" t="str">
        <f t="shared" si="190"/>
        <v/>
      </c>
      <c r="AU213" s="84">
        <f t="shared" si="191"/>
        <v>0</v>
      </c>
      <c r="AV213" s="32">
        <f t="shared" si="192"/>
        <v>0</v>
      </c>
      <c r="AW213" s="85" t="str">
        <f t="shared" si="193"/>
        <v/>
      </c>
      <c r="AX213" s="86" t="str">
        <f t="shared" si="194"/>
        <v/>
      </c>
    </row>
    <row r="214" spans="1:50" x14ac:dyDescent="0.2">
      <c r="A214" s="29" t="str">
        <f t="shared" si="153"/>
        <v/>
      </c>
      <c r="B214" s="32" t="str">
        <f t="shared" si="154"/>
        <v/>
      </c>
      <c r="C214" s="35"/>
      <c r="D214" s="33" t="str">
        <f t="shared" si="155"/>
        <v/>
      </c>
      <c r="E214" s="22" t="str">
        <f t="shared" si="156"/>
        <v/>
      </c>
      <c r="F214" s="23" t="str">
        <f t="shared" si="157"/>
        <v/>
      </c>
      <c r="G214" s="23"/>
      <c r="H214" s="22"/>
      <c r="I214" s="23"/>
      <c r="J214" s="18"/>
      <c r="K214" s="13" t="str">
        <f t="shared" si="158"/>
        <v/>
      </c>
      <c r="L214" s="28" t="str">
        <f t="shared" ref="L214:L277" si="196">IF($N$4="M",IF(A214="","",IF(K214=26,(A214+B214+Q214)*C214*0.02739,IF(K214=24,(A214+B214+Q214)*C214*0.02739,IF(K214=22,(A214+B214+Q214)*C214*0.0333,IF(K214=20,(A214+B214+Q214)*C214*0.0393,IF(K214=18,(A214+B214+Q214)*C214*0.0511,IF(K214=16,(A214+B214+Q214)*C214*0.0628))))))),IF(A214="","",IF(K214=26,(A214+B214+Q214)*C214*0.211,IF(K214=24,(A214+B214+Q214)*C214*0.211,IF(K214=22,(A214+B214+Q214)*C214*0.258,IF(K214=20,(A214+B214+Q214)*C214*0.304,IF(K214=18,(A214+B214+Q214)*C214*0.395,IF(K214=16,(A214+B214+Q214)*C214*0.487))))))))</f>
        <v/>
      </c>
      <c r="M214" s="10" t="str">
        <f t="shared" si="159"/>
        <v/>
      </c>
      <c r="N214" s="17" t="str">
        <f t="shared" si="160"/>
        <v/>
      </c>
      <c r="O214" s="39" t="str">
        <f t="shared" si="161"/>
        <v/>
      </c>
      <c r="P214" s="41" t="str">
        <f t="shared" si="162"/>
        <v/>
      </c>
      <c r="Q214" s="9" t="str">
        <f t="shared" si="163"/>
        <v/>
      </c>
      <c r="R214" s="14">
        <f t="shared" si="164"/>
        <v>0</v>
      </c>
      <c r="S214" s="61" t="str">
        <f t="shared" si="165"/>
        <v/>
      </c>
      <c r="T214" s="14">
        <f t="shared" si="166"/>
        <v>0</v>
      </c>
      <c r="U214" s="58" t="str">
        <f t="shared" si="167"/>
        <v/>
      </c>
      <c r="V214" s="14">
        <f t="shared" si="168"/>
        <v>0</v>
      </c>
      <c r="W214" s="58" t="str">
        <f t="shared" si="169"/>
        <v/>
      </c>
      <c r="X214" s="14">
        <f t="shared" si="170"/>
        <v>0</v>
      </c>
      <c r="Y214" s="58" t="str">
        <f t="shared" si="171"/>
        <v/>
      </c>
      <c r="Z214" s="31">
        <f t="shared" si="172"/>
        <v>0</v>
      </c>
      <c r="AA214" s="21">
        <f t="shared" si="173"/>
        <v>0</v>
      </c>
      <c r="AB214" s="58" t="str">
        <f t="shared" si="174"/>
        <v/>
      </c>
      <c r="AC214" s="630">
        <f t="shared" si="195"/>
        <v>0</v>
      </c>
      <c r="AD214" s="627"/>
      <c r="AE214" s="21">
        <f t="shared" si="175"/>
        <v>0</v>
      </c>
      <c r="AF214" s="58" t="str">
        <f t="shared" si="176"/>
        <v/>
      </c>
      <c r="AG214" s="21">
        <f t="shared" si="177"/>
        <v>0</v>
      </c>
      <c r="AH214" s="58" t="str">
        <f t="shared" si="178"/>
        <v/>
      </c>
      <c r="AI214" s="21">
        <f t="shared" si="179"/>
        <v>0</v>
      </c>
      <c r="AJ214" s="58" t="str">
        <f t="shared" si="180"/>
        <v/>
      </c>
      <c r="AK214" s="31">
        <f t="shared" si="181"/>
        <v>0</v>
      </c>
      <c r="AL214" s="21">
        <f t="shared" si="182"/>
        <v>0</v>
      </c>
      <c r="AM214" s="62" t="str">
        <f t="shared" si="183"/>
        <v/>
      </c>
      <c r="AN214" s="21">
        <f t="shared" si="184"/>
        <v>0</v>
      </c>
      <c r="AO214" s="62" t="str">
        <f t="shared" si="185"/>
        <v/>
      </c>
      <c r="AP214" s="21">
        <f t="shared" si="186"/>
        <v>0</v>
      </c>
      <c r="AQ214" s="62" t="str">
        <f t="shared" si="187"/>
        <v/>
      </c>
      <c r="AR214" s="31">
        <f t="shared" si="188"/>
        <v>0</v>
      </c>
      <c r="AS214" s="21">
        <f t="shared" si="189"/>
        <v>0</v>
      </c>
      <c r="AT214" s="62" t="str">
        <f t="shared" si="190"/>
        <v/>
      </c>
      <c r="AU214" s="84">
        <f t="shared" si="191"/>
        <v>0</v>
      </c>
      <c r="AV214" s="32">
        <f t="shared" si="192"/>
        <v>0</v>
      </c>
      <c r="AW214" s="85" t="str">
        <f t="shared" si="193"/>
        <v/>
      </c>
      <c r="AX214" s="86" t="str">
        <f t="shared" si="194"/>
        <v/>
      </c>
    </row>
    <row r="215" spans="1:50" x14ac:dyDescent="0.2">
      <c r="A215" s="29" t="str">
        <f t="shared" si="153"/>
        <v/>
      </c>
      <c r="B215" s="32" t="str">
        <f t="shared" si="154"/>
        <v/>
      </c>
      <c r="C215" s="35"/>
      <c r="D215" s="33" t="str">
        <f t="shared" si="155"/>
        <v/>
      </c>
      <c r="E215" s="22" t="str">
        <f t="shared" si="156"/>
        <v/>
      </c>
      <c r="F215" s="23" t="str">
        <f t="shared" si="157"/>
        <v/>
      </c>
      <c r="G215" s="23"/>
      <c r="H215" s="22"/>
      <c r="I215" s="23"/>
      <c r="J215" s="18"/>
      <c r="K215" s="13" t="str">
        <f t="shared" si="158"/>
        <v/>
      </c>
      <c r="L215" s="28" t="str">
        <f t="shared" si="196"/>
        <v/>
      </c>
      <c r="M215" s="10" t="str">
        <f t="shared" si="159"/>
        <v/>
      </c>
      <c r="N215" s="17" t="str">
        <f t="shared" si="160"/>
        <v/>
      </c>
      <c r="O215" s="39" t="str">
        <f t="shared" si="161"/>
        <v/>
      </c>
      <c r="P215" s="41" t="str">
        <f t="shared" si="162"/>
        <v/>
      </c>
      <c r="Q215" s="9" t="str">
        <f t="shared" si="163"/>
        <v/>
      </c>
      <c r="R215" s="14">
        <f t="shared" si="164"/>
        <v>0</v>
      </c>
      <c r="S215" s="61" t="str">
        <f t="shared" si="165"/>
        <v/>
      </c>
      <c r="T215" s="14">
        <f t="shared" si="166"/>
        <v>0</v>
      </c>
      <c r="U215" s="58" t="str">
        <f t="shared" si="167"/>
        <v/>
      </c>
      <c r="V215" s="14">
        <f t="shared" si="168"/>
        <v>0</v>
      </c>
      <c r="W215" s="58" t="str">
        <f t="shared" si="169"/>
        <v/>
      </c>
      <c r="X215" s="14">
        <f t="shared" si="170"/>
        <v>0</v>
      </c>
      <c r="Y215" s="58" t="str">
        <f t="shared" si="171"/>
        <v/>
      </c>
      <c r="Z215" s="31">
        <f t="shared" si="172"/>
        <v>0</v>
      </c>
      <c r="AA215" s="21">
        <f t="shared" si="173"/>
        <v>0</v>
      </c>
      <c r="AB215" s="58" t="str">
        <f t="shared" si="174"/>
        <v/>
      </c>
      <c r="AC215" s="630">
        <f t="shared" si="195"/>
        <v>0</v>
      </c>
      <c r="AD215" s="627"/>
      <c r="AE215" s="21">
        <f t="shared" si="175"/>
        <v>0</v>
      </c>
      <c r="AF215" s="58" t="str">
        <f t="shared" si="176"/>
        <v/>
      </c>
      <c r="AG215" s="21">
        <f t="shared" si="177"/>
        <v>0</v>
      </c>
      <c r="AH215" s="58" t="str">
        <f t="shared" si="178"/>
        <v/>
      </c>
      <c r="AI215" s="21">
        <f t="shared" si="179"/>
        <v>0</v>
      </c>
      <c r="AJ215" s="58" t="str">
        <f t="shared" si="180"/>
        <v/>
      </c>
      <c r="AK215" s="31">
        <f t="shared" si="181"/>
        <v>0</v>
      </c>
      <c r="AL215" s="21">
        <f t="shared" si="182"/>
        <v>0</v>
      </c>
      <c r="AM215" s="62" t="str">
        <f t="shared" si="183"/>
        <v/>
      </c>
      <c r="AN215" s="21">
        <f t="shared" si="184"/>
        <v>0</v>
      </c>
      <c r="AO215" s="62" t="str">
        <f t="shared" si="185"/>
        <v/>
      </c>
      <c r="AP215" s="21">
        <f t="shared" si="186"/>
        <v>0</v>
      </c>
      <c r="AQ215" s="62" t="str">
        <f t="shared" si="187"/>
        <v/>
      </c>
      <c r="AR215" s="31">
        <f t="shared" si="188"/>
        <v>0</v>
      </c>
      <c r="AS215" s="21">
        <f t="shared" si="189"/>
        <v>0</v>
      </c>
      <c r="AT215" s="62" t="str">
        <f t="shared" si="190"/>
        <v/>
      </c>
      <c r="AU215" s="84">
        <f t="shared" si="191"/>
        <v>0</v>
      </c>
      <c r="AV215" s="32">
        <f t="shared" si="192"/>
        <v>0</v>
      </c>
      <c r="AW215" s="85" t="str">
        <f t="shared" si="193"/>
        <v/>
      </c>
      <c r="AX215" s="86" t="str">
        <f t="shared" si="194"/>
        <v/>
      </c>
    </row>
    <row r="216" spans="1:50" x14ac:dyDescent="0.2">
      <c r="A216" s="29" t="str">
        <f t="shared" si="153"/>
        <v/>
      </c>
      <c r="B216" s="32" t="str">
        <f t="shared" si="154"/>
        <v/>
      </c>
      <c r="C216" s="35"/>
      <c r="D216" s="33" t="str">
        <f t="shared" si="155"/>
        <v/>
      </c>
      <c r="E216" s="22" t="str">
        <f t="shared" si="156"/>
        <v/>
      </c>
      <c r="F216" s="23" t="str">
        <f t="shared" si="157"/>
        <v/>
      </c>
      <c r="G216" s="23"/>
      <c r="H216" s="22"/>
      <c r="I216" s="23"/>
      <c r="J216" s="18"/>
      <c r="K216" s="13" t="str">
        <f t="shared" si="158"/>
        <v/>
      </c>
      <c r="L216" s="28" t="str">
        <f t="shared" si="196"/>
        <v/>
      </c>
      <c r="M216" s="10" t="str">
        <f t="shared" si="159"/>
        <v/>
      </c>
      <c r="N216" s="17" t="str">
        <f t="shared" si="160"/>
        <v/>
      </c>
      <c r="O216" s="39" t="str">
        <f t="shared" si="161"/>
        <v/>
      </c>
      <c r="P216" s="41" t="str">
        <f t="shared" si="162"/>
        <v/>
      </c>
      <c r="Q216" s="9" t="str">
        <f t="shared" si="163"/>
        <v/>
      </c>
      <c r="R216" s="14">
        <f t="shared" si="164"/>
        <v>0</v>
      </c>
      <c r="S216" s="61" t="str">
        <f t="shared" si="165"/>
        <v/>
      </c>
      <c r="T216" s="14">
        <f t="shared" si="166"/>
        <v>0</v>
      </c>
      <c r="U216" s="58" t="str">
        <f t="shared" si="167"/>
        <v/>
      </c>
      <c r="V216" s="14">
        <f t="shared" si="168"/>
        <v>0</v>
      </c>
      <c r="W216" s="58" t="str">
        <f t="shared" si="169"/>
        <v/>
      </c>
      <c r="X216" s="14">
        <f t="shared" si="170"/>
        <v>0</v>
      </c>
      <c r="Y216" s="58" t="str">
        <f t="shared" si="171"/>
        <v/>
      </c>
      <c r="Z216" s="31">
        <f t="shared" si="172"/>
        <v>0</v>
      </c>
      <c r="AA216" s="21">
        <f t="shared" si="173"/>
        <v>0</v>
      </c>
      <c r="AB216" s="58" t="str">
        <f t="shared" si="174"/>
        <v/>
      </c>
      <c r="AC216" s="630">
        <f t="shared" si="195"/>
        <v>0</v>
      </c>
      <c r="AD216" s="627"/>
      <c r="AE216" s="21">
        <f t="shared" si="175"/>
        <v>0</v>
      </c>
      <c r="AF216" s="58" t="str">
        <f t="shared" si="176"/>
        <v/>
      </c>
      <c r="AG216" s="21">
        <f t="shared" si="177"/>
        <v>0</v>
      </c>
      <c r="AH216" s="58" t="str">
        <f t="shared" si="178"/>
        <v/>
      </c>
      <c r="AI216" s="21">
        <f t="shared" si="179"/>
        <v>0</v>
      </c>
      <c r="AJ216" s="58" t="str">
        <f t="shared" si="180"/>
        <v/>
      </c>
      <c r="AK216" s="31">
        <f t="shared" si="181"/>
        <v>0</v>
      </c>
      <c r="AL216" s="21">
        <f t="shared" si="182"/>
        <v>0</v>
      </c>
      <c r="AM216" s="62" t="str">
        <f t="shared" si="183"/>
        <v/>
      </c>
      <c r="AN216" s="21">
        <f t="shared" si="184"/>
        <v>0</v>
      </c>
      <c r="AO216" s="62" t="str">
        <f t="shared" si="185"/>
        <v/>
      </c>
      <c r="AP216" s="21">
        <f t="shared" si="186"/>
        <v>0</v>
      </c>
      <c r="AQ216" s="62" t="str">
        <f t="shared" si="187"/>
        <v/>
      </c>
      <c r="AR216" s="31">
        <f t="shared" si="188"/>
        <v>0</v>
      </c>
      <c r="AS216" s="21">
        <f t="shared" si="189"/>
        <v>0</v>
      </c>
      <c r="AT216" s="62" t="str">
        <f t="shared" si="190"/>
        <v/>
      </c>
      <c r="AU216" s="84">
        <f t="shared" si="191"/>
        <v>0</v>
      </c>
      <c r="AV216" s="32">
        <f t="shared" si="192"/>
        <v>0</v>
      </c>
      <c r="AW216" s="85" t="str">
        <f t="shared" si="193"/>
        <v/>
      </c>
      <c r="AX216" s="86" t="str">
        <f t="shared" si="194"/>
        <v/>
      </c>
    </row>
    <row r="217" spans="1:50" x14ac:dyDescent="0.2">
      <c r="A217" s="29" t="str">
        <f t="shared" si="153"/>
        <v/>
      </c>
      <c r="B217" s="32" t="str">
        <f t="shared" si="154"/>
        <v/>
      </c>
      <c r="C217" s="35"/>
      <c r="D217" s="33" t="str">
        <f t="shared" si="155"/>
        <v/>
      </c>
      <c r="E217" s="22" t="str">
        <f t="shared" si="156"/>
        <v/>
      </c>
      <c r="F217" s="23" t="str">
        <f t="shared" si="157"/>
        <v/>
      </c>
      <c r="G217" s="23"/>
      <c r="H217" s="22"/>
      <c r="I217" s="23"/>
      <c r="J217" s="18"/>
      <c r="K217" s="13" t="str">
        <f t="shared" si="158"/>
        <v/>
      </c>
      <c r="L217" s="28" t="str">
        <f t="shared" si="196"/>
        <v/>
      </c>
      <c r="M217" s="10" t="str">
        <f t="shared" si="159"/>
        <v/>
      </c>
      <c r="N217" s="17" t="str">
        <f t="shared" si="160"/>
        <v/>
      </c>
      <c r="O217" s="39" t="str">
        <f t="shared" si="161"/>
        <v/>
      </c>
      <c r="P217" s="41" t="str">
        <f t="shared" si="162"/>
        <v/>
      </c>
      <c r="Q217" s="9" t="str">
        <f t="shared" si="163"/>
        <v/>
      </c>
      <c r="R217" s="14">
        <f t="shared" si="164"/>
        <v>0</v>
      </c>
      <c r="S217" s="61" t="str">
        <f t="shared" si="165"/>
        <v/>
      </c>
      <c r="T217" s="14">
        <f t="shared" si="166"/>
        <v>0</v>
      </c>
      <c r="U217" s="58" t="str">
        <f t="shared" si="167"/>
        <v/>
      </c>
      <c r="V217" s="14">
        <f t="shared" si="168"/>
        <v>0</v>
      </c>
      <c r="W217" s="58" t="str">
        <f t="shared" si="169"/>
        <v/>
      </c>
      <c r="X217" s="14">
        <f t="shared" si="170"/>
        <v>0</v>
      </c>
      <c r="Y217" s="58" t="str">
        <f t="shared" si="171"/>
        <v/>
      </c>
      <c r="Z217" s="31">
        <f t="shared" si="172"/>
        <v>0</v>
      </c>
      <c r="AA217" s="21">
        <f t="shared" si="173"/>
        <v>0</v>
      </c>
      <c r="AB217" s="58" t="str">
        <f t="shared" si="174"/>
        <v/>
      </c>
      <c r="AC217" s="630">
        <f t="shared" si="195"/>
        <v>0</v>
      </c>
      <c r="AD217" s="627"/>
      <c r="AE217" s="21">
        <f t="shared" si="175"/>
        <v>0</v>
      </c>
      <c r="AF217" s="58" t="str">
        <f t="shared" si="176"/>
        <v/>
      </c>
      <c r="AG217" s="21">
        <f t="shared" si="177"/>
        <v>0</v>
      </c>
      <c r="AH217" s="58" t="str">
        <f t="shared" si="178"/>
        <v/>
      </c>
      <c r="AI217" s="21">
        <f t="shared" si="179"/>
        <v>0</v>
      </c>
      <c r="AJ217" s="58" t="str">
        <f t="shared" si="180"/>
        <v/>
      </c>
      <c r="AK217" s="31">
        <f t="shared" si="181"/>
        <v>0</v>
      </c>
      <c r="AL217" s="21">
        <f t="shared" si="182"/>
        <v>0</v>
      </c>
      <c r="AM217" s="62" t="str">
        <f t="shared" si="183"/>
        <v/>
      </c>
      <c r="AN217" s="21">
        <f t="shared" si="184"/>
        <v>0</v>
      </c>
      <c r="AO217" s="62" t="str">
        <f t="shared" si="185"/>
        <v/>
      </c>
      <c r="AP217" s="21">
        <f t="shared" si="186"/>
        <v>0</v>
      </c>
      <c r="AQ217" s="62" t="str">
        <f t="shared" si="187"/>
        <v/>
      </c>
      <c r="AR217" s="31">
        <f t="shared" si="188"/>
        <v>0</v>
      </c>
      <c r="AS217" s="21">
        <f t="shared" si="189"/>
        <v>0</v>
      </c>
      <c r="AT217" s="62" t="str">
        <f t="shared" si="190"/>
        <v/>
      </c>
      <c r="AU217" s="84">
        <f t="shared" si="191"/>
        <v>0</v>
      </c>
      <c r="AV217" s="32">
        <f t="shared" si="192"/>
        <v>0</v>
      </c>
      <c r="AW217" s="85" t="str">
        <f t="shared" si="193"/>
        <v/>
      </c>
      <c r="AX217" s="86" t="str">
        <f t="shared" si="194"/>
        <v/>
      </c>
    </row>
    <row r="218" spans="1:50" x14ac:dyDescent="0.2">
      <c r="A218" s="29" t="str">
        <f t="shared" si="153"/>
        <v/>
      </c>
      <c r="B218" s="32" t="str">
        <f t="shared" si="154"/>
        <v/>
      </c>
      <c r="C218" s="35"/>
      <c r="D218" s="33" t="str">
        <f t="shared" si="155"/>
        <v/>
      </c>
      <c r="E218" s="22" t="str">
        <f t="shared" si="156"/>
        <v/>
      </c>
      <c r="F218" s="23" t="str">
        <f t="shared" si="157"/>
        <v/>
      </c>
      <c r="G218" s="23"/>
      <c r="H218" s="22"/>
      <c r="I218" s="23"/>
      <c r="J218" s="18"/>
      <c r="K218" s="13" t="str">
        <f t="shared" si="158"/>
        <v/>
      </c>
      <c r="L218" s="28" t="str">
        <f t="shared" si="196"/>
        <v/>
      </c>
      <c r="M218" s="10" t="str">
        <f t="shared" si="159"/>
        <v/>
      </c>
      <c r="N218" s="17" t="str">
        <f t="shared" si="160"/>
        <v/>
      </c>
      <c r="O218" s="39" t="str">
        <f t="shared" si="161"/>
        <v/>
      </c>
      <c r="P218" s="41" t="str">
        <f t="shared" si="162"/>
        <v/>
      </c>
      <c r="Q218" s="9" t="str">
        <f t="shared" si="163"/>
        <v/>
      </c>
      <c r="R218" s="14">
        <f t="shared" si="164"/>
        <v>0</v>
      </c>
      <c r="S218" s="61" t="str">
        <f t="shared" si="165"/>
        <v/>
      </c>
      <c r="T218" s="14">
        <f t="shared" si="166"/>
        <v>0</v>
      </c>
      <c r="U218" s="58" t="str">
        <f t="shared" si="167"/>
        <v/>
      </c>
      <c r="V218" s="14">
        <f t="shared" si="168"/>
        <v>0</v>
      </c>
      <c r="W218" s="58" t="str">
        <f t="shared" si="169"/>
        <v/>
      </c>
      <c r="X218" s="14">
        <f t="shared" si="170"/>
        <v>0</v>
      </c>
      <c r="Y218" s="58" t="str">
        <f t="shared" si="171"/>
        <v/>
      </c>
      <c r="Z218" s="31">
        <f t="shared" si="172"/>
        <v>0</v>
      </c>
      <c r="AA218" s="21">
        <f t="shared" si="173"/>
        <v>0</v>
      </c>
      <c r="AB218" s="58" t="str">
        <f t="shared" si="174"/>
        <v/>
      </c>
      <c r="AC218" s="630">
        <f t="shared" si="195"/>
        <v>0</v>
      </c>
      <c r="AD218" s="627"/>
      <c r="AE218" s="21">
        <f t="shared" si="175"/>
        <v>0</v>
      </c>
      <c r="AF218" s="58" t="str">
        <f t="shared" si="176"/>
        <v/>
      </c>
      <c r="AG218" s="21">
        <f t="shared" si="177"/>
        <v>0</v>
      </c>
      <c r="AH218" s="58" t="str">
        <f t="shared" si="178"/>
        <v/>
      </c>
      <c r="AI218" s="21">
        <f t="shared" si="179"/>
        <v>0</v>
      </c>
      <c r="AJ218" s="58" t="str">
        <f t="shared" si="180"/>
        <v/>
      </c>
      <c r="AK218" s="31">
        <f t="shared" si="181"/>
        <v>0</v>
      </c>
      <c r="AL218" s="21">
        <f t="shared" si="182"/>
        <v>0</v>
      </c>
      <c r="AM218" s="62" t="str">
        <f t="shared" si="183"/>
        <v/>
      </c>
      <c r="AN218" s="21">
        <f t="shared" si="184"/>
        <v>0</v>
      </c>
      <c r="AO218" s="62" t="str">
        <f t="shared" si="185"/>
        <v/>
      </c>
      <c r="AP218" s="21">
        <f t="shared" si="186"/>
        <v>0</v>
      </c>
      <c r="AQ218" s="62" t="str">
        <f t="shared" si="187"/>
        <v/>
      </c>
      <c r="AR218" s="31">
        <f t="shared" si="188"/>
        <v>0</v>
      </c>
      <c r="AS218" s="21">
        <f t="shared" si="189"/>
        <v>0</v>
      </c>
      <c r="AT218" s="62" t="str">
        <f t="shared" si="190"/>
        <v/>
      </c>
      <c r="AU218" s="84">
        <f t="shared" si="191"/>
        <v>0</v>
      </c>
      <c r="AV218" s="32">
        <f t="shared" si="192"/>
        <v>0</v>
      </c>
      <c r="AW218" s="85" t="str">
        <f t="shared" si="193"/>
        <v/>
      </c>
      <c r="AX218" s="86" t="str">
        <f t="shared" si="194"/>
        <v/>
      </c>
    </row>
    <row r="219" spans="1:50" x14ac:dyDescent="0.2">
      <c r="A219" s="29" t="str">
        <f t="shared" si="153"/>
        <v/>
      </c>
      <c r="B219" s="32" t="str">
        <f t="shared" si="154"/>
        <v/>
      </c>
      <c r="C219" s="35"/>
      <c r="D219" s="33" t="str">
        <f t="shared" si="155"/>
        <v/>
      </c>
      <c r="E219" s="22" t="str">
        <f t="shared" si="156"/>
        <v/>
      </c>
      <c r="F219" s="23" t="str">
        <f t="shared" si="157"/>
        <v/>
      </c>
      <c r="G219" s="23"/>
      <c r="H219" s="22"/>
      <c r="I219" s="23"/>
      <c r="J219" s="18"/>
      <c r="K219" s="13" t="str">
        <f t="shared" si="158"/>
        <v/>
      </c>
      <c r="L219" s="28" t="str">
        <f t="shared" si="196"/>
        <v/>
      </c>
      <c r="M219" s="10" t="str">
        <f t="shared" si="159"/>
        <v/>
      </c>
      <c r="N219" s="17" t="str">
        <f t="shared" si="160"/>
        <v/>
      </c>
      <c r="O219" s="39" t="str">
        <f t="shared" si="161"/>
        <v/>
      </c>
      <c r="P219" s="41" t="str">
        <f t="shared" si="162"/>
        <v/>
      </c>
      <c r="Q219" s="9" t="str">
        <f t="shared" si="163"/>
        <v/>
      </c>
      <c r="R219" s="14">
        <f t="shared" si="164"/>
        <v>0</v>
      </c>
      <c r="S219" s="61" t="str">
        <f t="shared" si="165"/>
        <v/>
      </c>
      <c r="T219" s="14">
        <f t="shared" si="166"/>
        <v>0</v>
      </c>
      <c r="U219" s="58" t="str">
        <f t="shared" si="167"/>
        <v/>
      </c>
      <c r="V219" s="14">
        <f t="shared" si="168"/>
        <v>0</v>
      </c>
      <c r="W219" s="58" t="str">
        <f t="shared" si="169"/>
        <v/>
      </c>
      <c r="X219" s="14">
        <f t="shared" si="170"/>
        <v>0</v>
      </c>
      <c r="Y219" s="58" t="str">
        <f t="shared" si="171"/>
        <v/>
      </c>
      <c r="Z219" s="31">
        <f t="shared" si="172"/>
        <v>0</v>
      </c>
      <c r="AA219" s="21">
        <f t="shared" si="173"/>
        <v>0</v>
      </c>
      <c r="AB219" s="58" t="str">
        <f t="shared" si="174"/>
        <v/>
      </c>
      <c r="AC219" s="630">
        <f t="shared" si="195"/>
        <v>0</v>
      </c>
      <c r="AD219" s="627"/>
      <c r="AE219" s="21">
        <f t="shared" si="175"/>
        <v>0</v>
      </c>
      <c r="AF219" s="58" t="str">
        <f t="shared" si="176"/>
        <v/>
      </c>
      <c r="AG219" s="21">
        <f t="shared" si="177"/>
        <v>0</v>
      </c>
      <c r="AH219" s="58" t="str">
        <f t="shared" si="178"/>
        <v/>
      </c>
      <c r="AI219" s="21">
        <f t="shared" si="179"/>
        <v>0</v>
      </c>
      <c r="AJ219" s="58" t="str">
        <f t="shared" si="180"/>
        <v/>
      </c>
      <c r="AK219" s="31">
        <f t="shared" si="181"/>
        <v>0</v>
      </c>
      <c r="AL219" s="21">
        <f t="shared" si="182"/>
        <v>0</v>
      </c>
      <c r="AM219" s="62" t="str">
        <f t="shared" si="183"/>
        <v/>
      </c>
      <c r="AN219" s="21">
        <f t="shared" si="184"/>
        <v>0</v>
      </c>
      <c r="AO219" s="62" t="str">
        <f t="shared" si="185"/>
        <v/>
      </c>
      <c r="AP219" s="21">
        <f t="shared" si="186"/>
        <v>0</v>
      </c>
      <c r="AQ219" s="62" t="str">
        <f t="shared" si="187"/>
        <v/>
      </c>
      <c r="AR219" s="31">
        <f t="shared" si="188"/>
        <v>0</v>
      </c>
      <c r="AS219" s="21">
        <f t="shared" si="189"/>
        <v>0</v>
      </c>
      <c r="AT219" s="62" t="str">
        <f t="shared" si="190"/>
        <v/>
      </c>
      <c r="AU219" s="84">
        <f t="shared" si="191"/>
        <v>0</v>
      </c>
      <c r="AV219" s="32">
        <f t="shared" si="192"/>
        <v>0</v>
      </c>
      <c r="AW219" s="85" t="str">
        <f t="shared" si="193"/>
        <v/>
      </c>
      <c r="AX219" s="86" t="str">
        <f t="shared" si="194"/>
        <v/>
      </c>
    </row>
    <row r="220" spans="1:50" x14ac:dyDescent="0.2">
      <c r="A220" s="29" t="str">
        <f t="shared" si="153"/>
        <v/>
      </c>
      <c r="B220" s="32" t="str">
        <f t="shared" si="154"/>
        <v/>
      </c>
      <c r="C220" s="35"/>
      <c r="D220" s="33" t="str">
        <f t="shared" si="155"/>
        <v/>
      </c>
      <c r="E220" s="22" t="str">
        <f t="shared" si="156"/>
        <v/>
      </c>
      <c r="F220" s="23" t="str">
        <f t="shared" si="157"/>
        <v/>
      </c>
      <c r="G220" s="23"/>
      <c r="H220" s="22"/>
      <c r="I220" s="23"/>
      <c r="J220" s="18"/>
      <c r="K220" s="13" t="str">
        <f t="shared" si="158"/>
        <v/>
      </c>
      <c r="L220" s="28" t="str">
        <f t="shared" si="196"/>
        <v/>
      </c>
      <c r="M220" s="10" t="str">
        <f t="shared" si="159"/>
        <v/>
      </c>
      <c r="N220" s="17" t="str">
        <f t="shared" si="160"/>
        <v/>
      </c>
      <c r="O220" s="39" t="str">
        <f t="shared" si="161"/>
        <v/>
      </c>
      <c r="P220" s="41" t="str">
        <f t="shared" si="162"/>
        <v/>
      </c>
      <c r="Q220" s="9" t="str">
        <f t="shared" si="163"/>
        <v/>
      </c>
      <c r="R220" s="14">
        <f t="shared" si="164"/>
        <v>0</v>
      </c>
      <c r="S220" s="61" t="str">
        <f t="shared" si="165"/>
        <v/>
      </c>
      <c r="T220" s="14">
        <f t="shared" si="166"/>
        <v>0</v>
      </c>
      <c r="U220" s="58" t="str">
        <f t="shared" si="167"/>
        <v/>
      </c>
      <c r="V220" s="14">
        <f t="shared" si="168"/>
        <v>0</v>
      </c>
      <c r="W220" s="58" t="str">
        <f t="shared" si="169"/>
        <v/>
      </c>
      <c r="X220" s="14">
        <f t="shared" si="170"/>
        <v>0</v>
      </c>
      <c r="Y220" s="58" t="str">
        <f t="shared" si="171"/>
        <v/>
      </c>
      <c r="Z220" s="31">
        <f t="shared" si="172"/>
        <v>0</v>
      </c>
      <c r="AA220" s="21">
        <f t="shared" si="173"/>
        <v>0</v>
      </c>
      <c r="AB220" s="58" t="str">
        <f t="shared" si="174"/>
        <v/>
      </c>
      <c r="AC220" s="630">
        <f t="shared" si="195"/>
        <v>0</v>
      </c>
      <c r="AD220" s="627"/>
      <c r="AE220" s="21">
        <f t="shared" si="175"/>
        <v>0</v>
      </c>
      <c r="AF220" s="58" t="str">
        <f t="shared" si="176"/>
        <v/>
      </c>
      <c r="AG220" s="21">
        <f t="shared" si="177"/>
        <v>0</v>
      </c>
      <c r="AH220" s="58" t="str">
        <f t="shared" si="178"/>
        <v/>
      </c>
      <c r="AI220" s="21">
        <f t="shared" si="179"/>
        <v>0</v>
      </c>
      <c r="AJ220" s="58" t="str">
        <f t="shared" si="180"/>
        <v/>
      </c>
      <c r="AK220" s="31">
        <f t="shared" si="181"/>
        <v>0</v>
      </c>
      <c r="AL220" s="21">
        <f t="shared" si="182"/>
        <v>0</v>
      </c>
      <c r="AM220" s="62" t="str">
        <f t="shared" si="183"/>
        <v/>
      </c>
      <c r="AN220" s="21">
        <f t="shared" si="184"/>
        <v>0</v>
      </c>
      <c r="AO220" s="62" t="str">
        <f t="shared" si="185"/>
        <v/>
      </c>
      <c r="AP220" s="21">
        <f t="shared" si="186"/>
        <v>0</v>
      </c>
      <c r="AQ220" s="62" t="str">
        <f t="shared" si="187"/>
        <v/>
      </c>
      <c r="AR220" s="31">
        <f t="shared" si="188"/>
        <v>0</v>
      </c>
      <c r="AS220" s="21">
        <f t="shared" si="189"/>
        <v>0</v>
      </c>
      <c r="AT220" s="62" t="str">
        <f t="shared" si="190"/>
        <v/>
      </c>
      <c r="AU220" s="84">
        <f t="shared" si="191"/>
        <v>0</v>
      </c>
      <c r="AV220" s="32">
        <f t="shared" si="192"/>
        <v>0</v>
      </c>
      <c r="AW220" s="85" t="str">
        <f t="shared" si="193"/>
        <v/>
      </c>
      <c r="AX220" s="86" t="str">
        <f t="shared" si="194"/>
        <v/>
      </c>
    </row>
    <row r="221" spans="1:50" x14ac:dyDescent="0.2">
      <c r="A221" s="29" t="str">
        <f t="shared" si="153"/>
        <v/>
      </c>
      <c r="B221" s="32" t="str">
        <f t="shared" si="154"/>
        <v/>
      </c>
      <c r="C221" s="35"/>
      <c r="D221" s="33" t="str">
        <f t="shared" si="155"/>
        <v/>
      </c>
      <c r="E221" s="22" t="str">
        <f t="shared" si="156"/>
        <v/>
      </c>
      <c r="F221" s="23" t="str">
        <f t="shared" si="157"/>
        <v/>
      </c>
      <c r="G221" s="23"/>
      <c r="H221" s="22"/>
      <c r="I221" s="23"/>
      <c r="J221" s="18"/>
      <c r="K221" s="13" t="str">
        <f t="shared" si="158"/>
        <v/>
      </c>
      <c r="L221" s="28" t="str">
        <f t="shared" si="196"/>
        <v/>
      </c>
      <c r="M221" s="10" t="str">
        <f t="shared" si="159"/>
        <v/>
      </c>
      <c r="N221" s="17" t="str">
        <f t="shared" si="160"/>
        <v/>
      </c>
      <c r="O221" s="39" t="str">
        <f t="shared" si="161"/>
        <v/>
      </c>
      <c r="P221" s="41" t="str">
        <f t="shared" si="162"/>
        <v/>
      </c>
      <c r="Q221" s="9" t="str">
        <f t="shared" si="163"/>
        <v/>
      </c>
      <c r="R221" s="14">
        <f t="shared" si="164"/>
        <v>0</v>
      </c>
      <c r="S221" s="61" t="str">
        <f t="shared" si="165"/>
        <v/>
      </c>
      <c r="T221" s="14">
        <f t="shared" si="166"/>
        <v>0</v>
      </c>
      <c r="U221" s="58" t="str">
        <f t="shared" si="167"/>
        <v/>
      </c>
      <c r="V221" s="14">
        <f t="shared" si="168"/>
        <v>0</v>
      </c>
      <c r="W221" s="58" t="str">
        <f t="shared" si="169"/>
        <v/>
      </c>
      <c r="X221" s="14">
        <f t="shared" si="170"/>
        <v>0</v>
      </c>
      <c r="Y221" s="58" t="str">
        <f t="shared" si="171"/>
        <v/>
      </c>
      <c r="Z221" s="31">
        <f t="shared" si="172"/>
        <v>0</v>
      </c>
      <c r="AA221" s="21">
        <f t="shared" si="173"/>
        <v>0</v>
      </c>
      <c r="AB221" s="58" t="str">
        <f t="shared" si="174"/>
        <v/>
      </c>
      <c r="AC221" s="630">
        <f t="shared" si="195"/>
        <v>0</v>
      </c>
      <c r="AD221" s="627"/>
      <c r="AE221" s="21">
        <f t="shared" si="175"/>
        <v>0</v>
      </c>
      <c r="AF221" s="58" t="str">
        <f t="shared" si="176"/>
        <v/>
      </c>
      <c r="AG221" s="21">
        <f t="shared" si="177"/>
        <v>0</v>
      </c>
      <c r="AH221" s="58" t="str">
        <f t="shared" si="178"/>
        <v/>
      </c>
      <c r="AI221" s="21">
        <f t="shared" si="179"/>
        <v>0</v>
      </c>
      <c r="AJ221" s="58" t="str">
        <f t="shared" si="180"/>
        <v/>
      </c>
      <c r="AK221" s="31">
        <f t="shared" si="181"/>
        <v>0</v>
      </c>
      <c r="AL221" s="21">
        <f t="shared" si="182"/>
        <v>0</v>
      </c>
      <c r="AM221" s="62" t="str">
        <f t="shared" si="183"/>
        <v/>
      </c>
      <c r="AN221" s="21">
        <f t="shared" si="184"/>
        <v>0</v>
      </c>
      <c r="AO221" s="62" t="str">
        <f t="shared" si="185"/>
        <v/>
      </c>
      <c r="AP221" s="21">
        <f t="shared" si="186"/>
        <v>0</v>
      </c>
      <c r="AQ221" s="62" t="str">
        <f t="shared" si="187"/>
        <v/>
      </c>
      <c r="AR221" s="31">
        <f t="shared" si="188"/>
        <v>0</v>
      </c>
      <c r="AS221" s="21">
        <f t="shared" si="189"/>
        <v>0</v>
      </c>
      <c r="AT221" s="62" t="str">
        <f t="shared" si="190"/>
        <v/>
      </c>
      <c r="AU221" s="84">
        <f t="shared" si="191"/>
        <v>0</v>
      </c>
      <c r="AV221" s="32">
        <f t="shared" si="192"/>
        <v>0</v>
      </c>
      <c r="AW221" s="85" t="str">
        <f t="shared" si="193"/>
        <v/>
      </c>
      <c r="AX221" s="86" t="str">
        <f t="shared" si="194"/>
        <v/>
      </c>
    </row>
    <row r="222" spans="1:50" x14ac:dyDescent="0.2">
      <c r="A222" s="29" t="str">
        <f t="shared" si="153"/>
        <v/>
      </c>
      <c r="B222" s="32" t="str">
        <f t="shared" si="154"/>
        <v/>
      </c>
      <c r="C222" s="35"/>
      <c r="D222" s="33" t="str">
        <f t="shared" si="155"/>
        <v/>
      </c>
      <c r="E222" s="22" t="str">
        <f t="shared" si="156"/>
        <v/>
      </c>
      <c r="F222" s="23" t="str">
        <f t="shared" si="157"/>
        <v/>
      </c>
      <c r="G222" s="23"/>
      <c r="H222" s="22"/>
      <c r="I222" s="23"/>
      <c r="J222" s="18"/>
      <c r="K222" s="13" t="str">
        <f t="shared" si="158"/>
        <v/>
      </c>
      <c r="L222" s="28" t="str">
        <f t="shared" si="196"/>
        <v/>
      </c>
      <c r="M222" s="10" t="str">
        <f t="shared" si="159"/>
        <v/>
      </c>
      <c r="N222" s="17" t="str">
        <f t="shared" si="160"/>
        <v/>
      </c>
      <c r="O222" s="39" t="str">
        <f t="shared" si="161"/>
        <v/>
      </c>
      <c r="P222" s="41" t="str">
        <f t="shared" si="162"/>
        <v/>
      </c>
      <c r="Q222" s="9" t="str">
        <f t="shared" si="163"/>
        <v/>
      </c>
      <c r="R222" s="14">
        <f t="shared" si="164"/>
        <v>0</v>
      </c>
      <c r="S222" s="61" t="str">
        <f t="shared" si="165"/>
        <v/>
      </c>
      <c r="T222" s="14">
        <f t="shared" si="166"/>
        <v>0</v>
      </c>
      <c r="U222" s="58" t="str">
        <f t="shared" si="167"/>
        <v/>
      </c>
      <c r="V222" s="14">
        <f t="shared" si="168"/>
        <v>0</v>
      </c>
      <c r="W222" s="58" t="str">
        <f t="shared" si="169"/>
        <v/>
      </c>
      <c r="X222" s="14">
        <f t="shared" si="170"/>
        <v>0</v>
      </c>
      <c r="Y222" s="58" t="str">
        <f t="shared" si="171"/>
        <v/>
      </c>
      <c r="Z222" s="31">
        <f t="shared" si="172"/>
        <v>0</v>
      </c>
      <c r="AA222" s="21">
        <f t="shared" si="173"/>
        <v>0</v>
      </c>
      <c r="AB222" s="58" t="str">
        <f t="shared" si="174"/>
        <v/>
      </c>
      <c r="AC222" s="630">
        <f t="shared" si="195"/>
        <v>0</v>
      </c>
      <c r="AD222" s="627"/>
      <c r="AE222" s="21">
        <f t="shared" si="175"/>
        <v>0</v>
      </c>
      <c r="AF222" s="58" t="str">
        <f t="shared" si="176"/>
        <v/>
      </c>
      <c r="AG222" s="21">
        <f t="shared" si="177"/>
        <v>0</v>
      </c>
      <c r="AH222" s="58" t="str">
        <f t="shared" si="178"/>
        <v/>
      </c>
      <c r="AI222" s="21">
        <f t="shared" si="179"/>
        <v>0</v>
      </c>
      <c r="AJ222" s="58" t="str">
        <f t="shared" si="180"/>
        <v/>
      </c>
      <c r="AK222" s="31">
        <f t="shared" si="181"/>
        <v>0</v>
      </c>
      <c r="AL222" s="21">
        <f t="shared" si="182"/>
        <v>0</v>
      </c>
      <c r="AM222" s="62" t="str">
        <f t="shared" si="183"/>
        <v/>
      </c>
      <c r="AN222" s="21">
        <f t="shared" si="184"/>
        <v>0</v>
      </c>
      <c r="AO222" s="62" t="str">
        <f t="shared" si="185"/>
        <v/>
      </c>
      <c r="AP222" s="21">
        <f t="shared" si="186"/>
        <v>0</v>
      </c>
      <c r="AQ222" s="62" t="str">
        <f t="shared" si="187"/>
        <v/>
      </c>
      <c r="AR222" s="31">
        <f t="shared" si="188"/>
        <v>0</v>
      </c>
      <c r="AS222" s="21">
        <f t="shared" si="189"/>
        <v>0</v>
      </c>
      <c r="AT222" s="62" t="str">
        <f t="shared" si="190"/>
        <v/>
      </c>
      <c r="AU222" s="84">
        <f t="shared" si="191"/>
        <v>0</v>
      </c>
      <c r="AV222" s="32">
        <f t="shared" si="192"/>
        <v>0</v>
      </c>
      <c r="AW222" s="85" t="str">
        <f t="shared" si="193"/>
        <v/>
      </c>
      <c r="AX222" s="86" t="str">
        <f t="shared" si="194"/>
        <v/>
      </c>
    </row>
    <row r="223" spans="1:50" x14ac:dyDescent="0.2">
      <c r="A223" s="29" t="str">
        <f t="shared" si="153"/>
        <v/>
      </c>
      <c r="B223" s="32" t="str">
        <f t="shared" si="154"/>
        <v/>
      </c>
      <c r="C223" s="35"/>
      <c r="D223" s="33" t="str">
        <f t="shared" si="155"/>
        <v/>
      </c>
      <c r="E223" s="22" t="str">
        <f t="shared" si="156"/>
        <v/>
      </c>
      <c r="F223" s="23" t="str">
        <f t="shared" si="157"/>
        <v/>
      </c>
      <c r="G223" s="23"/>
      <c r="H223" s="22"/>
      <c r="I223" s="23"/>
      <c r="J223" s="18"/>
      <c r="K223" s="13" t="str">
        <f t="shared" si="158"/>
        <v/>
      </c>
      <c r="L223" s="28" t="str">
        <f t="shared" si="196"/>
        <v/>
      </c>
      <c r="M223" s="10" t="str">
        <f t="shared" si="159"/>
        <v/>
      </c>
      <c r="N223" s="17" t="str">
        <f t="shared" si="160"/>
        <v/>
      </c>
      <c r="O223" s="39" t="str">
        <f t="shared" si="161"/>
        <v/>
      </c>
      <c r="P223" s="41" t="str">
        <f t="shared" si="162"/>
        <v/>
      </c>
      <c r="Q223" s="9" t="str">
        <f t="shared" si="163"/>
        <v/>
      </c>
      <c r="R223" s="14">
        <f t="shared" si="164"/>
        <v>0</v>
      </c>
      <c r="S223" s="61" t="str">
        <f t="shared" si="165"/>
        <v/>
      </c>
      <c r="T223" s="14">
        <f t="shared" si="166"/>
        <v>0</v>
      </c>
      <c r="U223" s="58" t="str">
        <f t="shared" si="167"/>
        <v/>
      </c>
      <c r="V223" s="14">
        <f t="shared" si="168"/>
        <v>0</v>
      </c>
      <c r="W223" s="58" t="str">
        <f t="shared" si="169"/>
        <v/>
      </c>
      <c r="X223" s="14">
        <f t="shared" si="170"/>
        <v>0</v>
      </c>
      <c r="Y223" s="58" t="str">
        <f t="shared" si="171"/>
        <v/>
      </c>
      <c r="Z223" s="31">
        <f t="shared" si="172"/>
        <v>0</v>
      </c>
      <c r="AA223" s="21">
        <f t="shared" si="173"/>
        <v>0</v>
      </c>
      <c r="AB223" s="58" t="str">
        <f t="shared" si="174"/>
        <v/>
      </c>
      <c r="AC223" s="630">
        <f t="shared" si="195"/>
        <v>0</v>
      </c>
      <c r="AD223" s="627"/>
      <c r="AE223" s="21">
        <f t="shared" si="175"/>
        <v>0</v>
      </c>
      <c r="AF223" s="58" t="str">
        <f t="shared" si="176"/>
        <v/>
      </c>
      <c r="AG223" s="21">
        <f t="shared" si="177"/>
        <v>0</v>
      </c>
      <c r="AH223" s="58" t="str">
        <f t="shared" si="178"/>
        <v/>
      </c>
      <c r="AI223" s="21">
        <f t="shared" si="179"/>
        <v>0</v>
      </c>
      <c r="AJ223" s="58" t="str">
        <f t="shared" si="180"/>
        <v/>
      </c>
      <c r="AK223" s="31">
        <f t="shared" si="181"/>
        <v>0</v>
      </c>
      <c r="AL223" s="21">
        <f t="shared" si="182"/>
        <v>0</v>
      </c>
      <c r="AM223" s="62" t="str">
        <f t="shared" si="183"/>
        <v/>
      </c>
      <c r="AN223" s="21">
        <f t="shared" si="184"/>
        <v>0</v>
      </c>
      <c r="AO223" s="62" t="str">
        <f t="shared" si="185"/>
        <v/>
      </c>
      <c r="AP223" s="21">
        <f t="shared" si="186"/>
        <v>0</v>
      </c>
      <c r="AQ223" s="62" t="str">
        <f t="shared" si="187"/>
        <v/>
      </c>
      <c r="AR223" s="31">
        <f t="shared" si="188"/>
        <v>0</v>
      </c>
      <c r="AS223" s="21">
        <f t="shared" si="189"/>
        <v>0</v>
      </c>
      <c r="AT223" s="62" t="str">
        <f t="shared" si="190"/>
        <v/>
      </c>
      <c r="AU223" s="84">
        <f t="shared" si="191"/>
        <v>0</v>
      </c>
      <c r="AV223" s="32">
        <f t="shared" si="192"/>
        <v>0</v>
      </c>
      <c r="AW223" s="85" t="str">
        <f t="shared" si="193"/>
        <v/>
      </c>
      <c r="AX223" s="86" t="str">
        <f t="shared" si="194"/>
        <v/>
      </c>
    </row>
    <row r="224" spans="1:50" x14ac:dyDescent="0.2">
      <c r="A224" s="29" t="str">
        <f t="shared" si="153"/>
        <v/>
      </c>
      <c r="B224" s="32" t="str">
        <f t="shared" si="154"/>
        <v/>
      </c>
      <c r="C224" s="35"/>
      <c r="D224" s="33" t="str">
        <f t="shared" si="155"/>
        <v/>
      </c>
      <c r="E224" s="22" t="str">
        <f t="shared" si="156"/>
        <v/>
      </c>
      <c r="F224" s="23" t="str">
        <f t="shared" si="157"/>
        <v/>
      </c>
      <c r="G224" s="23"/>
      <c r="H224" s="22"/>
      <c r="I224" s="23"/>
      <c r="J224" s="18"/>
      <c r="K224" s="13" t="str">
        <f t="shared" si="158"/>
        <v/>
      </c>
      <c r="L224" s="28" t="str">
        <f t="shared" si="196"/>
        <v/>
      </c>
      <c r="M224" s="10" t="str">
        <f t="shared" si="159"/>
        <v/>
      </c>
      <c r="N224" s="17" t="str">
        <f t="shared" si="160"/>
        <v/>
      </c>
      <c r="O224" s="39" t="str">
        <f t="shared" si="161"/>
        <v/>
      </c>
      <c r="P224" s="41" t="str">
        <f t="shared" si="162"/>
        <v/>
      </c>
      <c r="Q224" s="9" t="str">
        <f t="shared" si="163"/>
        <v/>
      </c>
      <c r="R224" s="14">
        <f t="shared" si="164"/>
        <v>0</v>
      </c>
      <c r="S224" s="61" t="str">
        <f t="shared" si="165"/>
        <v/>
      </c>
      <c r="T224" s="14">
        <f t="shared" si="166"/>
        <v>0</v>
      </c>
      <c r="U224" s="58" t="str">
        <f t="shared" si="167"/>
        <v/>
      </c>
      <c r="V224" s="14">
        <f t="shared" si="168"/>
        <v>0</v>
      </c>
      <c r="W224" s="58" t="str">
        <f t="shared" si="169"/>
        <v/>
      </c>
      <c r="X224" s="14">
        <f t="shared" si="170"/>
        <v>0</v>
      </c>
      <c r="Y224" s="58" t="str">
        <f t="shared" si="171"/>
        <v/>
      </c>
      <c r="Z224" s="31">
        <f t="shared" si="172"/>
        <v>0</v>
      </c>
      <c r="AA224" s="21">
        <f t="shared" si="173"/>
        <v>0</v>
      </c>
      <c r="AB224" s="58" t="str">
        <f t="shared" si="174"/>
        <v/>
      </c>
      <c r="AC224" s="630">
        <f t="shared" si="195"/>
        <v>0</v>
      </c>
      <c r="AD224" s="627"/>
      <c r="AE224" s="21">
        <f t="shared" si="175"/>
        <v>0</v>
      </c>
      <c r="AF224" s="58" t="str">
        <f t="shared" si="176"/>
        <v/>
      </c>
      <c r="AG224" s="21">
        <f t="shared" si="177"/>
        <v>0</v>
      </c>
      <c r="AH224" s="58" t="str">
        <f t="shared" si="178"/>
        <v/>
      </c>
      <c r="AI224" s="21">
        <f t="shared" si="179"/>
        <v>0</v>
      </c>
      <c r="AJ224" s="58" t="str">
        <f t="shared" si="180"/>
        <v/>
      </c>
      <c r="AK224" s="31">
        <f t="shared" si="181"/>
        <v>0</v>
      </c>
      <c r="AL224" s="21">
        <f t="shared" si="182"/>
        <v>0</v>
      </c>
      <c r="AM224" s="62" t="str">
        <f t="shared" si="183"/>
        <v/>
      </c>
      <c r="AN224" s="21">
        <f t="shared" si="184"/>
        <v>0</v>
      </c>
      <c r="AO224" s="62" t="str">
        <f t="shared" si="185"/>
        <v/>
      </c>
      <c r="AP224" s="21">
        <f t="shared" si="186"/>
        <v>0</v>
      </c>
      <c r="AQ224" s="62" t="str">
        <f t="shared" si="187"/>
        <v/>
      </c>
      <c r="AR224" s="31">
        <f t="shared" si="188"/>
        <v>0</v>
      </c>
      <c r="AS224" s="21">
        <f t="shared" si="189"/>
        <v>0</v>
      </c>
      <c r="AT224" s="62" t="str">
        <f t="shared" si="190"/>
        <v/>
      </c>
      <c r="AU224" s="84">
        <f t="shared" si="191"/>
        <v>0</v>
      </c>
      <c r="AV224" s="32">
        <f t="shared" si="192"/>
        <v>0</v>
      </c>
      <c r="AW224" s="85" t="str">
        <f t="shared" si="193"/>
        <v/>
      </c>
      <c r="AX224" s="86" t="str">
        <f t="shared" si="194"/>
        <v/>
      </c>
    </row>
    <row r="225" spans="1:50" x14ac:dyDescent="0.2">
      <c r="A225" s="29" t="str">
        <f t="shared" si="153"/>
        <v/>
      </c>
      <c r="B225" s="32" t="str">
        <f t="shared" si="154"/>
        <v/>
      </c>
      <c r="C225" s="35"/>
      <c r="D225" s="33" t="str">
        <f t="shared" si="155"/>
        <v/>
      </c>
      <c r="E225" s="22" t="str">
        <f t="shared" si="156"/>
        <v/>
      </c>
      <c r="F225" s="23" t="str">
        <f t="shared" si="157"/>
        <v/>
      </c>
      <c r="G225" s="23"/>
      <c r="H225" s="22"/>
      <c r="I225" s="23"/>
      <c r="J225" s="18"/>
      <c r="K225" s="13" t="str">
        <f t="shared" si="158"/>
        <v/>
      </c>
      <c r="L225" s="28" t="str">
        <f t="shared" si="196"/>
        <v/>
      </c>
      <c r="M225" s="10" t="str">
        <f t="shared" si="159"/>
        <v/>
      </c>
      <c r="N225" s="17" t="str">
        <f t="shared" si="160"/>
        <v/>
      </c>
      <c r="O225" s="39" t="str">
        <f t="shared" si="161"/>
        <v/>
      </c>
      <c r="P225" s="41" t="str">
        <f t="shared" si="162"/>
        <v/>
      </c>
      <c r="Q225" s="9" t="str">
        <f t="shared" si="163"/>
        <v/>
      </c>
      <c r="R225" s="14">
        <f t="shared" si="164"/>
        <v>0</v>
      </c>
      <c r="S225" s="61" t="str">
        <f t="shared" si="165"/>
        <v/>
      </c>
      <c r="T225" s="14">
        <f t="shared" si="166"/>
        <v>0</v>
      </c>
      <c r="U225" s="58" t="str">
        <f t="shared" si="167"/>
        <v/>
      </c>
      <c r="V225" s="14">
        <f t="shared" si="168"/>
        <v>0</v>
      </c>
      <c r="W225" s="58" t="str">
        <f t="shared" si="169"/>
        <v/>
      </c>
      <c r="X225" s="14">
        <f t="shared" si="170"/>
        <v>0</v>
      </c>
      <c r="Y225" s="58" t="str">
        <f t="shared" si="171"/>
        <v/>
      </c>
      <c r="Z225" s="31">
        <f t="shared" si="172"/>
        <v>0</v>
      </c>
      <c r="AA225" s="21">
        <f t="shared" si="173"/>
        <v>0</v>
      </c>
      <c r="AB225" s="58" t="str">
        <f t="shared" si="174"/>
        <v/>
      </c>
      <c r="AC225" s="630">
        <f t="shared" si="195"/>
        <v>0</v>
      </c>
      <c r="AD225" s="627"/>
      <c r="AE225" s="21">
        <f t="shared" si="175"/>
        <v>0</v>
      </c>
      <c r="AF225" s="58" t="str">
        <f t="shared" si="176"/>
        <v/>
      </c>
      <c r="AG225" s="21">
        <f t="shared" si="177"/>
        <v>0</v>
      </c>
      <c r="AH225" s="58" t="str">
        <f t="shared" si="178"/>
        <v/>
      </c>
      <c r="AI225" s="21">
        <f t="shared" si="179"/>
        <v>0</v>
      </c>
      <c r="AJ225" s="58" t="str">
        <f t="shared" si="180"/>
        <v/>
      </c>
      <c r="AK225" s="31">
        <f t="shared" si="181"/>
        <v>0</v>
      </c>
      <c r="AL225" s="21">
        <f t="shared" si="182"/>
        <v>0</v>
      </c>
      <c r="AM225" s="62" t="str">
        <f t="shared" si="183"/>
        <v/>
      </c>
      <c r="AN225" s="21">
        <f t="shared" si="184"/>
        <v>0</v>
      </c>
      <c r="AO225" s="62" t="str">
        <f t="shared" si="185"/>
        <v/>
      </c>
      <c r="AP225" s="21">
        <f t="shared" si="186"/>
        <v>0</v>
      </c>
      <c r="AQ225" s="62" t="str">
        <f t="shared" si="187"/>
        <v/>
      </c>
      <c r="AR225" s="31">
        <f t="shared" si="188"/>
        <v>0</v>
      </c>
      <c r="AS225" s="21">
        <f t="shared" si="189"/>
        <v>0</v>
      </c>
      <c r="AT225" s="62" t="str">
        <f t="shared" si="190"/>
        <v/>
      </c>
      <c r="AU225" s="84">
        <f t="shared" si="191"/>
        <v>0</v>
      </c>
      <c r="AV225" s="32">
        <f t="shared" si="192"/>
        <v>0</v>
      </c>
      <c r="AW225" s="85" t="str">
        <f t="shared" si="193"/>
        <v/>
      </c>
      <c r="AX225" s="86" t="str">
        <f t="shared" si="194"/>
        <v/>
      </c>
    </row>
    <row r="226" spans="1:50" x14ac:dyDescent="0.2">
      <c r="A226" s="29" t="str">
        <f t="shared" si="153"/>
        <v/>
      </c>
      <c r="B226" s="32" t="str">
        <f t="shared" si="154"/>
        <v/>
      </c>
      <c r="C226" s="35"/>
      <c r="D226" s="33" t="str">
        <f t="shared" si="155"/>
        <v/>
      </c>
      <c r="E226" s="22" t="str">
        <f t="shared" si="156"/>
        <v/>
      </c>
      <c r="F226" s="23" t="str">
        <f t="shared" si="157"/>
        <v/>
      </c>
      <c r="G226" s="23"/>
      <c r="H226" s="22"/>
      <c r="I226" s="23"/>
      <c r="J226" s="18"/>
      <c r="K226" s="13" t="str">
        <f t="shared" si="158"/>
        <v/>
      </c>
      <c r="L226" s="28" t="str">
        <f t="shared" si="196"/>
        <v/>
      </c>
      <c r="M226" s="10" t="str">
        <f t="shared" si="159"/>
        <v/>
      </c>
      <c r="N226" s="17" t="str">
        <f t="shared" si="160"/>
        <v/>
      </c>
      <c r="O226" s="39" t="str">
        <f t="shared" si="161"/>
        <v/>
      </c>
      <c r="P226" s="41" t="str">
        <f t="shared" si="162"/>
        <v/>
      </c>
      <c r="Q226" s="9" t="str">
        <f t="shared" si="163"/>
        <v/>
      </c>
      <c r="R226" s="14">
        <f t="shared" si="164"/>
        <v>0</v>
      </c>
      <c r="S226" s="61" t="str">
        <f t="shared" si="165"/>
        <v/>
      </c>
      <c r="T226" s="14">
        <f t="shared" si="166"/>
        <v>0</v>
      </c>
      <c r="U226" s="58" t="str">
        <f t="shared" si="167"/>
        <v/>
      </c>
      <c r="V226" s="14">
        <f t="shared" si="168"/>
        <v>0</v>
      </c>
      <c r="W226" s="58" t="str">
        <f t="shared" si="169"/>
        <v/>
      </c>
      <c r="X226" s="14">
        <f t="shared" si="170"/>
        <v>0</v>
      </c>
      <c r="Y226" s="58" t="str">
        <f t="shared" si="171"/>
        <v/>
      </c>
      <c r="Z226" s="31">
        <f t="shared" si="172"/>
        <v>0</v>
      </c>
      <c r="AA226" s="21">
        <f t="shared" si="173"/>
        <v>0</v>
      </c>
      <c r="AB226" s="58" t="str">
        <f t="shared" si="174"/>
        <v/>
      </c>
      <c r="AC226" s="630">
        <f t="shared" si="195"/>
        <v>0</v>
      </c>
      <c r="AD226" s="627"/>
      <c r="AE226" s="21">
        <f t="shared" si="175"/>
        <v>0</v>
      </c>
      <c r="AF226" s="58" t="str">
        <f t="shared" si="176"/>
        <v/>
      </c>
      <c r="AG226" s="21">
        <f t="shared" si="177"/>
        <v>0</v>
      </c>
      <c r="AH226" s="58" t="str">
        <f t="shared" si="178"/>
        <v/>
      </c>
      <c r="AI226" s="21">
        <f t="shared" si="179"/>
        <v>0</v>
      </c>
      <c r="AJ226" s="58" t="str">
        <f t="shared" si="180"/>
        <v/>
      </c>
      <c r="AK226" s="31">
        <f t="shared" si="181"/>
        <v>0</v>
      </c>
      <c r="AL226" s="21">
        <f t="shared" si="182"/>
        <v>0</v>
      </c>
      <c r="AM226" s="62" t="str">
        <f t="shared" si="183"/>
        <v/>
      </c>
      <c r="AN226" s="21">
        <f t="shared" si="184"/>
        <v>0</v>
      </c>
      <c r="AO226" s="62" t="str">
        <f t="shared" si="185"/>
        <v/>
      </c>
      <c r="AP226" s="21">
        <f t="shared" si="186"/>
        <v>0</v>
      </c>
      <c r="AQ226" s="62" t="str">
        <f t="shared" si="187"/>
        <v/>
      </c>
      <c r="AR226" s="31">
        <f t="shared" si="188"/>
        <v>0</v>
      </c>
      <c r="AS226" s="21">
        <f t="shared" si="189"/>
        <v>0</v>
      </c>
      <c r="AT226" s="62" t="str">
        <f t="shared" si="190"/>
        <v/>
      </c>
      <c r="AU226" s="84">
        <f t="shared" si="191"/>
        <v>0</v>
      </c>
      <c r="AV226" s="32">
        <f t="shared" si="192"/>
        <v>0</v>
      </c>
      <c r="AW226" s="85" t="str">
        <f t="shared" si="193"/>
        <v/>
      </c>
      <c r="AX226" s="86" t="str">
        <f t="shared" si="194"/>
        <v/>
      </c>
    </row>
    <row r="227" spans="1:50" x14ac:dyDescent="0.2">
      <c r="A227" s="29" t="str">
        <f t="shared" si="153"/>
        <v/>
      </c>
      <c r="B227" s="32" t="str">
        <f t="shared" si="154"/>
        <v/>
      </c>
      <c r="C227" s="35"/>
      <c r="D227" s="33" t="str">
        <f t="shared" si="155"/>
        <v/>
      </c>
      <c r="E227" s="22" t="str">
        <f t="shared" si="156"/>
        <v/>
      </c>
      <c r="F227" s="23" t="str">
        <f t="shared" si="157"/>
        <v/>
      </c>
      <c r="G227" s="23"/>
      <c r="H227" s="22"/>
      <c r="I227" s="23"/>
      <c r="J227" s="18"/>
      <c r="K227" s="13" t="str">
        <f t="shared" si="158"/>
        <v/>
      </c>
      <c r="L227" s="28" t="str">
        <f t="shared" si="196"/>
        <v/>
      </c>
      <c r="M227" s="10" t="str">
        <f t="shared" si="159"/>
        <v/>
      </c>
      <c r="N227" s="17" t="str">
        <f t="shared" si="160"/>
        <v/>
      </c>
      <c r="O227" s="39" t="str">
        <f t="shared" si="161"/>
        <v/>
      </c>
      <c r="P227" s="41" t="str">
        <f t="shared" si="162"/>
        <v/>
      </c>
      <c r="Q227" s="9" t="str">
        <f t="shared" si="163"/>
        <v/>
      </c>
      <c r="R227" s="14">
        <f t="shared" si="164"/>
        <v>0</v>
      </c>
      <c r="S227" s="61" t="str">
        <f t="shared" si="165"/>
        <v/>
      </c>
      <c r="T227" s="14">
        <f t="shared" si="166"/>
        <v>0</v>
      </c>
      <c r="U227" s="58" t="str">
        <f t="shared" si="167"/>
        <v/>
      </c>
      <c r="V227" s="14">
        <f t="shared" si="168"/>
        <v>0</v>
      </c>
      <c r="W227" s="58" t="str">
        <f t="shared" si="169"/>
        <v/>
      </c>
      <c r="X227" s="14">
        <f t="shared" si="170"/>
        <v>0</v>
      </c>
      <c r="Y227" s="58" t="str">
        <f t="shared" si="171"/>
        <v/>
      </c>
      <c r="Z227" s="31">
        <f t="shared" si="172"/>
        <v>0</v>
      </c>
      <c r="AA227" s="21">
        <f t="shared" si="173"/>
        <v>0</v>
      </c>
      <c r="AB227" s="58" t="str">
        <f t="shared" si="174"/>
        <v/>
      </c>
      <c r="AC227" s="630">
        <f t="shared" si="195"/>
        <v>0</v>
      </c>
      <c r="AD227" s="627"/>
      <c r="AE227" s="21">
        <f t="shared" si="175"/>
        <v>0</v>
      </c>
      <c r="AF227" s="58" t="str">
        <f t="shared" si="176"/>
        <v/>
      </c>
      <c r="AG227" s="21">
        <f t="shared" si="177"/>
        <v>0</v>
      </c>
      <c r="AH227" s="58" t="str">
        <f t="shared" si="178"/>
        <v/>
      </c>
      <c r="AI227" s="21">
        <f t="shared" si="179"/>
        <v>0</v>
      </c>
      <c r="AJ227" s="58" t="str">
        <f t="shared" si="180"/>
        <v/>
      </c>
      <c r="AK227" s="31">
        <f t="shared" si="181"/>
        <v>0</v>
      </c>
      <c r="AL227" s="21">
        <f t="shared" si="182"/>
        <v>0</v>
      </c>
      <c r="AM227" s="62" t="str">
        <f t="shared" si="183"/>
        <v/>
      </c>
      <c r="AN227" s="21">
        <f t="shared" si="184"/>
        <v>0</v>
      </c>
      <c r="AO227" s="62" t="str">
        <f t="shared" si="185"/>
        <v/>
      </c>
      <c r="AP227" s="21">
        <f t="shared" si="186"/>
        <v>0</v>
      </c>
      <c r="AQ227" s="62" t="str">
        <f t="shared" si="187"/>
        <v/>
      </c>
      <c r="AR227" s="31">
        <f t="shared" si="188"/>
        <v>0</v>
      </c>
      <c r="AS227" s="21">
        <f t="shared" si="189"/>
        <v>0</v>
      </c>
      <c r="AT227" s="62" t="str">
        <f t="shared" si="190"/>
        <v/>
      </c>
      <c r="AU227" s="84">
        <f t="shared" si="191"/>
        <v>0</v>
      </c>
      <c r="AV227" s="32">
        <f t="shared" si="192"/>
        <v>0</v>
      </c>
      <c r="AW227" s="85" t="str">
        <f t="shared" si="193"/>
        <v/>
      </c>
      <c r="AX227" s="86" t="str">
        <f t="shared" si="194"/>
        <v/>
      </c>
    </row>
    <row r="228" spans="1:50" x14ac:dyDescent="0.2">
      <c r="A228" s="29" t="str">
        <f t="shared" si="153"/>
        <v/>
      </c>
      <c r="B228" s="32" t="str">
        <f t="shared" si="154"/>
        <v/>
      </c>
      <c r="C228" s="35"/>
      <c r="D228" s="33" t="str">
        <f t="shared" si="155"/>
        <v/>
      </c>
      <c r="E228" s="22" t="str">
        <f t="shared" si="156"/>
        <v/>
      </c>
      <c r="F228" s="23" t="str">
        <f t="shared" si="157"/>
        <v/>
      </c>
      <c r="G228" s="23"/>
      <c r="H228" s="22"/>
      <c r="I228" s="23"/>
      <c r="J228" s="18"/>
      <c r="K228" s="13" t="str">
        <f t="shared" si="158"/>
        <v/>
      </c>
      <c r="L228" s="28" t="str">
        <f t="shared" si="196"/>
        <v/>
      </c>
      <c r="M228" s="10" t="str">
        <f t="shared" si="159"/>
        <v/>
      </c>
      <c r="N228" s="17" t="str">
        <f t="shared" si="160"/>
        <v/>
      </c>
      <c r="O228" s="39" t="str">
        <f t="shared" si="161"/>
        <v/>
      </c>
      <c r="P228" s="41" t="str">
        <f t="shared" si="162"/>
        <v/>
      </c>
      <c r="Q228" s="9" t="str">
        <f t="shared" si="163"/>
        <v/>
      </c>
      <c r="R228" s="14">
        <f t="shared" si="164"/>
        <v>0</v>
      </c>
      <c r="S228" s="61" t="str">
        <f t="shared" si="165"/>
        <v/>
      </c>
      <c r="T228" s="14">
        <f t="shared" si="166"/>
        <v>0</v>
      </c>
      <c r="U228" s="58" t="str">
        <f t="shared" si="167"/>
        <v/>
      </c>
      <c r="V228" s="14">
        <f t="shared" si="168"/>
        <v>0</v>
      </c>
      <c r="W228" s="58" t="str">
        <f t="shared" si="169"/>
        <v/>
      </c>
      <c r="X228" s="14">
        <f t="shared" si="170"/>
        <v>0</v>
      </c>
      <c r="Y228" s="58" t="str">
        <f t="shared" si="171"/>
        <v/>
      </c>
      <c r="Z228" s="31">
        <f t="shared" si="172"/>
        <v>0</v>
      </c>
      <c r="AA228" s="21">
        <f t="shared" si="173"/>
        <v>0</v>
      </c>
      <c r="AB228" s="58" t="str">
        <f t="shared" si="174"/>
        <v/>
      </c>
      <c r="AC228" s="630">
        <f t="shared" si="195"/>
        <v>0</v>
      </c>
      <c r="AD228" s="627"/>
      <c r="AE228" s="21">
        <f t="shared" si="175"/>
        <v>0</v>
      </c>
      <c r="AF228" s="58" t="str">
        <f t="shared" si="176"/>
        <v/>
      </c>
      <c r="AG228" s="21">
        <f t="shared" si="177"/>
        <v>0</v>
      </c>
      <c r="AH228" s="58" t="str">
        <f t="shared" si="178"/>
        <v/>
      </c>
      <c r="AI228" s="21">
        <f t="shared" si="179"/>
        <v>0</v>
      </c>
      <c r="AJ228" s="58" t="str">
        <f t="shared" si="180"/>
        <v/>
      </c>
      <c r="AK228" s="31">
        <f t="shared" si="181"/>
        <v>0</v>
      </c>
      <c r="AL228" s="21">
        <f t="shared" si="182"/>
        <v>0</v>
      </c>
      <c r="AM228" s="62" t="str">
        <f t="shared" si="183"/>
        <v/>
      </c>
      <c r="AN228" s="21">
        <f t="shared" si="184"/>
        <v>0</v>
      </c>
      <c r="AO228" s="62" t="str">
        <f t="shared" si="185"/>
        <v/>
      </c>
      <c r="AP228" s="21">
        <f t="shared" si="186"/>
        <v>0</v>
      </c>
      <c r="AQ228" s="62" t="str">
        <f t="shared" si="187"/>
        <v/>
      </c>
      <c r="AR228" s="31">
        <f t="shared" si="188"/>
        <v>0</v>
      </c>
      <c r="AS228" s="21">
        <f t="shared" si="189"/>
        <v>0</v>
      </c>
      <c r="AT228" s="62" t="str">
        <f t="shared" si="190"/>
        <v/>
      </c>
      <c r="AU228" s="84">
        <f t="shared" si="191"/>
        <v>0</v>
      </c>
      <c r="AV228" s="32">
        <f t="shared" si="192"/>
        <v>0</v>
      </c>
      <c r="AW228" s="85" t="str">
        <f t="shared" si="193"/>
        <v/>
      </c>
      <c r="AX228" s="86" t="str">
        <f t="shared" si="194"/>
        <v/>
      </c>
    </row>
    <row r="229" spans="1:50" x14ac:dyDescent="0.2">
      <c r="A229" s="29" t="str">
        <f t="shared" si="153"/>
        <v/>
      </c>
      <c r="B229" s="32" t="str">
        <f t="shared" si="154"/>
        <v/>
      </c>
      <c r="C229" s="35"/>
      <c r="D229" s="33" t="str">
        <f t="shared" si="155"/>
        <v/>
      </c>
      <c r="E229" s="22" t="str">
        <f t="shared" si="156"/>
        <v/>
      </c>
      <c r="F229" s="23" t="str">
        <f t="shared" si="157"/>
        <v/>
      </c>
      <c r="G229" s="23"/>
      <c r="H229" s="22"/>
      <c r="I229" s="23"/>
      <c r="J229" s="18"/>
      <c r="K229" s="13" t="str">
        <f t="shared" si="158"/>
        <v/>
      </c>
      <c r="L229" s="28" t="str">
        <f t="shared" si="196"/>
        <v/>
      </c>
      <c r="M229" s="10" t="str">
        <f t="shared" si="159"/>
        <v/>
      </c>
      <c r="N229" s="17" t="str">
        <f t="shared" si="160"/>
        <v/>
      </c>
      <c r="O229" s="39" t="str">
        <f t="shared" si="161"/>
        <v/>
      </c>
      <c r="P229" s="41" t="str">
        <f t="shared" si="162"/>
        <v/>
      </c>
      <c r="Q229" s="9" t="str">
        <f t="shared" si="163"/>
        <v/>
      </c>
      <c r="R229" s="14">
        <f t="shared" si="164"/>
        <v>0</v>
      </c>
      <c r="S229" s="61" t="str">
        <f t="shared" si="165"/>
        <v/>
      </c>
      <c r="T229" s="14">
        <f t="shared" si="166"/>
        <v>0</v>
      </c>
      <c r="U229" s="58" t="str">
        <f t="shared" si="167"/>
        <v/>
      </c>
      <c r="V229" s="14">
        <f t="shared" si="168"/>
        <v>0</v>
      </c>
      <c r="W229" s="58" t="str">
        <f t="shared" si="169"/>
        <v/>
      </c>
      <c r="X229" s="14">
        <f t="shared" si="170"/>
        <v>0</v>
      </c>
      <c r="Y229" s="58" t="str">
        <f t="shared" si="171"/>
        <v/>
      </c>
      <c r="Z229" s="31">
        <f t="shared" si="172"/>
        <v>0</v>
      </c>
      <c r="AA229" s="21">
        <f t="shared" si="173"/>
        <v>0</v>
      </c>
      <c r="AB229" s="58" t="str">
        <f t="shared" si="174"/>
        <v/>
      </c>
      <c r="AC229" s="630">
        <f t="shared" si="195"/>
        <v>0</v>
      </c>
      <c r="AD229" s="627"/>
      <c r="AE229" s="21">
        <f t="shared" si="175"/>
        <v>0</v>
      </c>
      <c r="AF229" s="58" t="str">
        <f t="shared" si="176"/>
        <v/>
      </c>
      <c r="AG229" s="21">
        <f t="shared" si="177"/>
        <v>0</v>
      </c>
      <c r="AH229" s="58" t="str">
        <f t="shared" si="178"/>
        <v/>
      </c>
      <c r="AI229" s="21">
        <f t="shared" si="179"/>
        <v>0</v>
      </c>
      <c r="AJ229" s="58" t="str">
        <f t="shared" si="180"/>
        <v/>
      </c>
      <c r="AK229" s="31">
        <f t="shared" si="181"/>
        <v>0</v>
      </c>
      <c r="AL229" s="21">
        <f t="shared" si="182"/>
        <v>0</v>
      </c>
      <c r="AM229" s="62" t="str">
        <f t="shared" si="183"/>
        <v/>
      </c>
      <c r="AN229" s="21">
        <f t="shared" si="184"/>
        <v>0</v>
      </c>
      <c r="AO229" s="62" t="str">
        <f t="shared" si="185"/>
        <v/>
      </c>
      <c r="AP229" s="21">
        <f t="shared" si="186"/>
        <v>0</v>
      </c>
      <c r="AQ229" s="62" t="str">
        <f t="shared" si="187"/>
        <v/>
      </c>
      <c r="AR229" s="31">
        <f t="shared" si="188"/>
        <v>0</v>
      </c>
      <c r="AS229" s="21">
        <f t="shared" si="189"/>
        <v>0</v>
      </c>
      <c r="AT229" s="62" t="str">
        <f t="shared" si="190"/>
        <v/>
      </c>
      <c r="AU229" s="84">
        <f t="shared" si="191"/>
        <v>0</v>
      </c>
      <c r="AV229" s="32">
        <f t="shared" si="192"/>
        <v>0</v>
      </c>
      <c r="AW229" s="85" t="str">
        <f t="shared" si="193"/>
        <v/>
      </c>
      <c r="AX229" s="86" t="str">
        <f t="shared" si="194"/>
        <v/>
      </c>
    </row>
    <row r="230" spans="1:50" x14ac:dyDescent="0.2">
      <c r="A230" s="29" t="str">
        <f t="shared" si="153"/>
        <v/>
      </c>
      <c r="B230" s="32" t="str">
        <f t="shared" si="154"/>
        <v/>
      </c>
      <c r="C230" s="35"/>
      <c r="D230" s="33" t="str">
        <f t="shared" si="155"/>
        <v/>
      </c>
      <c r="E230" s="22" t="str">
        <f t="shared" si="156"/>
        <v/>
      </c>
      <c r="F230" s="23" t="str">
        <f t="shared" si="157"/>
        <v/>
      </c>
      <c r="G230" s="23"/>
      <c r="H230" s="22"/>
      <c r="I230" s="23"/>
      <c r="J230" s="18"/>
      <c r="K230" s="13" t="str">
        <f t="shared" si="158"/>
        <v/>
      </c>
      <c r="L230" s="28" t="str">
        <f t="shared" si="196"/>
        <v/>
      </c>
      <c r="M230" s="10" t="str">
        <f t="shared" si="159"/>
        <v/>
      </c>
      <c r="N230" s="17" t="str">
        <f t="shared" si="160"/>
        <v/>
      </c>
      <c r="O230" s="39" t="str">
        <f t="shared" si="161"/>
        <v/>
      </c>
      <c r="P230" s="41" t="str">
        <f t="shared" si="162"/>
        <v/>
      </c>
      <c r="Q230" s="9" t="str">
        <f t="shared" si="163"/>
        <v/>
      </c>
      <c r="R230" s="14">
        <f t="shared" si="164"/>
        <v>0</v>
      </c>
      <c r="S230" s="61" t="str">
        <f t="shared" si="165"/>
        <v/>
      </c>
      <c r="T230" s="14">
        <f t="shared" si="166"/>
        <v>0</v>
      </c>
      <c r="U230" s="58" t="str">
        <f t="shared" si="167"/>
        <v/>
      </c>
      <c r="V230" s="14">
        <f t="shared" si="168"/>
        <v>0</v>
      </c>
      <c r="W230" s="58" t="str">
        <f t="shared" si="169"/>
        <v/>
      </c>
      <c r="X230" s="14">
        <f t="shared" si="170"/>
        <v>0</v>
      </c>
      <c r="Y230" s="58" t="str">
        <f t="shared" si="171"/>
        <v/>
      </c>
      <c r="Z230" s="31">
        <f t="shared" si="172"/>
        <v>0</v>
      </c>
      <c r="AA230" s="21">
        <f t="shared" si="173"/>
        <v>0</v>
      </c>
      <c r="AB230" s="58" t="str">
        <f t="shared" si="174"/>
        <v/>
      </c>
      <c r="AC230" s="630">
        <f t="shared" si="195"/>
        <v>0</v>
      </c>
      <c r="AD230" s="627"/>
      <c r="AE230" s="21">
        <f t="shared" si="175"/>
        <v>0</v>
      </c>
      <c r="AF230" s="58" t="str">
        <f t="shared" si="176"/>
        <v/>
      </c>
      <c r="AG230" s="21">
        <f t="shared" si="177"/>
        <v>0</v>
      </c>
      <c r="AH230" s="58" t="str">
        <f t="shared" si="178"/>
        <v/>
      </c>
      <c r="AI230" s="21">
        <f t="shared" si="179"/>
        <v>0</v>
      </c>
      <c r="AJ230" s="58" t="str">
        <f t="shared" si="180"/>
        <v/>
      </c>
      <c r="AK230" s="31">
        <f t="shared" si="181"/>
        <v>0</v>
      </c>
      <c r="AL230" s="21">
        <f t="shared" si="182"/>
        <v>0</v>
      </c>
      <c r="AM230" s="62" t="str">
        <f t="shared" si="183"/>
        <v/>
      </c>
      <c r="AN230" s="21">
        <f t="shared" si="184"/>
        <v>0</v>
      </c>
      <c r="AO230" s="62" t="str">
        <f t="shared" si="185"/>
        <v/>
      </c>
      <c r="AP230" s="21">
        <f t="shared" si="186"/>
        <v>0</v>
      </c>
      <c r="AQ230" s="62" t="str">
        <f t="shared" si="187"/>
        <v/>
      </c>
      <c r="AR230" s="31">
        <f t="shared" si="188"/>
        <v>0</v>
      </c>
      <c r="AS230" s="21">
        <f t="shared" si="189"/>
        <v>0</v>
      </c>
      <c r="AT230" s="62" t="str">
        <f t="shared" si="190"/>
        <v/>
      </c>
      <c r="AU230" s="84">
        <f t="shared" si="191"/>
        <v>0</v>
      </c>
      <c r="AV230" s="32">
        <f t="shared" si="192"/>
        <v>0</v>
      </c>
      <c r="AW230" s="85" t="str">
        <f t="shared" si="193"/>
        <v/>
      </c>
      <c r="AX230" s="86" t="str">
        <f t="shared" si="194"/>
        <v/>
      </c>
    </row>
    <row r="231" spans="1:50" x14ac:dyDescent="0.2">
      <c r="A231" s="29" t="str">
        <f t="shared" ref="A231:A294" si="197">IF(A230="","",IF(C231="","",A230))</f>
        <v/>
      </c>
      <c r="B231" s="32" t="str">
        <f t="shared" ref="B231:B294" si="198">IF(B230="","",IF(C231="","",B230))</f>
        <v/>
      </c>
      <c r="C231" s="35"/>
      <c r="D231" s="33" t="str">
        <f t="shared" ref="D231:D294" si="199">IF(A231="","",IF(D230="","",D230))</f>
        <v/>
      </c>
      <c r="E231" s="22" t="str">
        <f t="shared" ref="E231:E294" si="200">IF(A231="","",IF(E230="","",E230))</f>
        <v/>
      </c>
      <c r="F231" s="23" t="str">
        <f t="shared" ref="F231:F294" si="201">IF(A231="","",IF(F230="","",F230))</f>
        <v/>
      </c>
      <c r="G231" s="23"/>
      <c r="H231" s="22"/>
      <c r="I231" s="23"/>
      <c r="J231" s="18"/>
      <c r="K231" s="13" t="str">
        <f t="shared" ref="K231:K294" si="202">IF($N$4="M",IF(A231="","",IF(D231=6,16,IF(A231&lt;=$M$5,26,IF(A231&lt;=$M$6,24,IF(A231&lt;=$M$7,22,IF(A231&lt;=$M$8,20,18)))))),IF(A231="","",IF(D231=6,16,IF(A231&lt;=$P$5,26,IF(A231&lt;=$P$6,24,IF(A231&lt;=$P$7,22,IF(A231&lt;=$P$8,20,18)))))))</f>
        <v/>
      </c>
      <c r="L231" s="28" t="str">
        <f t="shared" si="196"/>
        <v/>
      </c>
      <c r="M231" s="10" t="str">
        <f t="shared" ref="M231:M294" si="203">IF(D231=1,0.5,IF(D231=2,"1 F",IF(D231=21,"1 R",IF(D231=3,2,""))))</f>
        <v/>
      </c>
      <c r="N231" s="17" t="str">
        <f t="shared" ref="N231:N294" si="204">IF(M231="","",IF($N$4="M",(A231+B231+Q231)*C231*0.022,(A231+B231+Q231)*C231*0.17))</f>
        <v/>
      </c>
      <c r="O231" s="39" t="str">
        <f t="shared" ref="O231:O294" si="205">IF(D231=4,1,IF(D231=5,2,""))</f>
        <v/>
      </c>
      <c r="P231" s="41" t="str">
        <f t="shared" ref="P231:P294" si="206">IF(O231="","",IF($N$4="M",IF(O231=1,(A231+B231+Q231)*C231*0.022*1.1,(A231+B231+Q231)*C231*0.022*1.15),IF(O231=1,(A231+B231+Q231)*C231*0.17*1.1,(A231+B231+Q231)*C231*0.17*1.15)))</f>
        <v/>
      </c>
      <c r="Q231" s="9" t="str">
        <f t="shared" ref="Q231:Q294" si="207">IF($N$4="M",IF(A231="","",IF(D231=1,50,IF(D231=2,100,IF(D231=21,100,IF(D231=3,200,0))))),IF(A231="","",IF(D231=1,2,IF(D231=2,4,IF(D231=21,4,IF(D231=3,8,0))))))</f>
        <v/>
      </c>
      <c r="R231" s="14">
        <f t="shared" ref="R231:R294" si="208">COUNTIF(G231:J231,7)</f>
        <v>0</v>
      </c>
      <c r="S231" s="61" t="str">
        <f t="shared" ref="S231:S294" si="209">IF(A231="","",IF($N$4="M",A231*B231*0.000011111*R231*1.5,A231*B231/144*R231*1.5))</f>
        <v/>
      </c>
      <c r="T231" s="14">
        <f t="shared" ref="T231:T294" si="210">COUNTIF(G231:J231,71)</f>
        <v>0</v>
      </c>
      <c r="U231" s="58" t="str">
        <f t="shared" ref="U231:U294" si="211">IF(A231="","",IF($N$4="M",A231*B231*0.000011111*T231*1.5,A231*B231/144*T231*1.5))</f>
        <v/>
      </c>
      <c r="V231" s="14">
        <f t="shared" ref="V231:V294" si="212">COUNTIF(G231:J231,8)</f>
        <v>0</v>
      </c>
      <c r="W231" s="58" t="str">
        <f t="shared" ref="W231:W294" si="213">IF(A231="","",IF($N$4="M",(A231+B231)*2*0.0032808*V231,(A231+B231)*2*V231/12))</f>
        <v/>
      </c>
      <c r="X231" s="14">
        <f t="shared" ref="X231:X294" si="214">COUNTIF(G231:J231,81)</f>
        <v>0</v>
      </c>
      <c r="Y231" s="58" t="str">
        <f t="shared" ref="Y231:Y294" si="215">IF(A231="","",IF($N$4="M",(A231+B231)*2*0.0032808*X231,(A231+B231)*2*X231/12))</f>
        <v/>
      </c>
      <c r="Z231" s="31">
        <f t="shared" ref="Z231:Z294" si="216">COUNTIF(G231:J231,9)</f>
        <v>0</v>
      </c>
      <c r="AA231" s="21">
        <f t="shared" ref="AA231:AA294" si="217">COUNTIF(G231:J231,10)</f>
        <v>0</v>
      </c>
      <c r="AB231" s="58" t="str">
        <f t="shared" ref="AB231:AB294" si="218">IF(A231="","",IF($N$4="M",(A231+B231)*2*0.0032808*AA231,(A231+B231)*2*AA231/12))</f>
        <v/>
      </c>
      <c r="AC231" s="630">
        <f t="shared" si="195"/>
        <v>0</v>
      </c>
      <c r="AD231" s="627"/>
      <c r="AE231" s="21">
        <f t="shared" ref="AE231:AE294" si="219">COUNTIF(G231:J231,11)</f>
        <v>0</v>
      </c>
      <c r="AF231" s="58" t="str">
        <f t="shared" ref="AF231:AF294" si="220">IF(A231="","",IF($N$4="M",A231*B231*0.000011111*AE231,A231*B231/144*AE231))</f>
        <v/>
      </c>
      <c r="AG231" s="21">
        <f t="shared" ref="AG231:AG294" si="221">COUNTIF(G231:J231,111)</f>
        <v>0</v>
      </c>
      <c r="AH231" s="58" t="str">
        <f t="shared" ref="AH231:AH294" si="222">IF(A231="","",IF($N$4="M",A231*B231*0.000011111*AG231,A231*B231/144*AG231))</f>
        <v/>
      </c>
      <c r="AI231" s="21">
        <f t="shared" ref="AI231:AI294" si="223">COUNTIF(G231:J231,12)</f>
        <v>0</v>
      </c>
      <c r="AJ231" s="58" t="str">
        <f t="shared" ref="AJ231:AJ294" si="224">IF(A231="","",IF($N$4="M",A231*B231*0.000011111*AI231,A231*B231/144*AI231))</f>
        <v/>
      </c>
      <c r="AK231" s="31">
        <f t="shared" ref="AK231:AK294" si="225">COUNTIF(G231:J231,13)</f>
        <v>0</v>
      </c>
      <c r="AL231" s="21">
        <f t="shared" ref="AL231:AL294" si="226">COUNTIF(G231:J231,131)</f>
        <v>0</v>
      </c>
      <c r="AM231" s="62" t="str">
        <f t="shared" ref="AM231:AM294" si="227">IF(A231="","",IF($N$4="M",A231*B231*0.000011111*AL231,A231*B231/144*AL231))</f>
        <v/>
      </c>
      <c r="AN231" s="21">
        <f t="shared" ref="AN231:AN294" si="228">COUNTIF(G231:J231,14)</f>
        <v>0</v>
      </c>
      <c r="AO231" s="62" t="str">
        <f t="shared" ref="AO231:AO294" si="229">IF(A231="","",IF($N$4="M",A231*B231*0.000011111*AN231,A231*B231/144*AN231))</f>
        <v/>
      </c>
      <c r="AP231" s="21">
        <f t="shared" ref="AP231:AP294" si="230">COUNTIF(G231:J231,141)</f>
        <v>0</v>
      </c>
      <c r="AQ231" s="62" t="str">
        <f t="shared" ref="AQ231:AQ294" si="231">IF(A231="","",IF($N$4="M",A231*B231*0.000011111*AP231,A231*B231/144*AP231))</f>
        <v/>
      </c>
      <c r="AR231" s="31">
        <f t="shared" ref="AR231:AR294" si="232">COUNTIF(G231:J231,15)</f>
        <v>0</v>
      </c>
      <c r="AS231" s="21">
        <f t="shared" ref="AS231:AS294" si="233">COUNTIF(G231:J231,16)</f>
        <v>0</v>
      </c>
      <c r="AT231" s="62" t="str">
        <f t="shared" ref="AT231:AT294" si="234">IF(A231="","",IF($N$4="M",A231*B231*0.000011111*AS231,A231*B231/144*AS231))</f>
        <v/>
      </c>
      <c r="AU231" s="84">
        <f t="shared" ref="AU231:AU294" si="235">IF(D231=61,C231,0)</f>
        <v>0</v>
      </c>
      <c r="AV231" s="32">
        <f t="shared" ref="AV231:AV294" si="236">IF(D231=61,L231,0)</f>
        <v>0</v>
      </c>
      <c r="AW231" s="85" t="str">
        <f t="shared" ref="AW231:AW294" si="237">IF(A231="","",(C231-AU231))</f>
        <v/>
      </c>
      <c r="AX231" s="86" t="str">
        <f t="shared" ref="AX231:AX294" si="238">IF(A231="","",(L231-AV231))</f>
        <v/>
      </c>
    </row>
    <row r="232" spans="1:50" x14ac:dyDescent="0.2">
      <c r="A232" s="29" t="str">
        <f t="shared" si="197"/>
        <v/>
      </c>
      <c r="B232" s="32" t="str">
        <f t="shared" si="198"/>
        <v/>
      </c>
      <c r="C232" s="35"/>
      <c r="D232" s="33" t="str">
        <f t="shared" si="199"/>
        <v/>
      </c>
      <c r="E232" s="22" t="str">
        <f t="shared" si="200"/>
        <v/>
      </c>
      <c r="F232" s="23" t="str">
        <f t="shared" si="201"/>
        <v/>
      </c>
      <c r="G232" s="23"/>
      <c r="H232" s="22"/>
      <c r="I232" s="23"/>
      <c r="J232" s="18"/>
      <c r="K232" s="13" t="str">
        <f t="shared" si="202"/>
        <v/>
      </c>
      <c r="L232" s="28" t="str">
        <f t="shared" si="196"/>
        <v/>
      </c>
      <c r="M232" s="10" t="str">
        <f t="shared" si="203"/>
        <v/>
      </c>
      <c r="N232" s="17" t="str">
        <f t="shared" si="204"/>
        <v/>
      </c>
      <c r="O232" s="39" t="str">
        <f t="shared" si="205"/>
        <v/>
      </c>
      <c r="P232" s="41" t="str">
        <f t="shared" si="206"/>
        <v/>
      </c>
      <c r="Q232" s="9" t="str">
        <f t="shared" si="207"/>
        <v/>
      </c>
      <c r="R232" s="14">
        <f t="shared" si="208"/>
        <v>0</v>
      </c>
      <c r="S232" s="61" t="str">
        <f t="shared" si="209"/>
        <v/>
      </c>
      <c r="T232" s="14">
        <f t="shared" si="210"/>
        <v>0</v>
      </c>
      <c r="U232" s="58" t="str">
        <f t="shared" si="211"/>
        <v/>
      </c>
      <c r="V232" s="14">
        <f t="shared" si="212"/>
        <v>0</v>
      </c>
      <c r="W232" s="58" t="str">
        <f t="shared" si="213"/>
        <v/>
      </c>
      <c r="X232" s="14">
        <f t="shared" si="214"/>
        <v>0</v>
      </c>
      <c r="Y232" s="58" t="str">
        <f t="shared" si="215"/>
        <v/>
      </c>
      <c r="Z232" s="31">
        <f t="shared" si="216"/>
        <v>0</v>
      </c>
      <c r="AA232" s="21">
        <f t="shared" si="217"/>
        <v>0</v>
      </c>
      <c r="AB232" s="58" t="str">
        <f t="shared" si="218"/>
        <v/>
      </c>
      <c r="AC232" s="630">
        <f t="shared" si="195"/>
        <v>0</v>
      </c>
      <c r="AD232" s="627"/>
      <c r="AE232" s="21">
        <f t="shared" si="219"/>
        <v>0</v>
      </c>
      <c r="AF232" s="58" t="str">
        <f t="shared" si="220"/>
        <v/>
      </c>
      <c r="AG232" s="21">
        <f t="shared" si="221"/>
        <v>0</v>
      </c>
      <c r="AH232" s="58" t="str">
        <f t="shared" si="222"/>
        <v/>
      </c>
      <c r="AI232" s="21">
        <f t="shared" si="223"/>
        <v>0</v>
      </c>
      <c r="AJ232" s="58" t="str">
        <f t="shared" si="224"/>
        <v/>
      </c>
      <c r="AK232" s="31">
        <f t="shared" si="225"/>
        <v>0</v>
      </c>
      <c r="AL232" s="21">
        <f t="shared" si="226"/>
        <v>0</v>
      </c>
      <c r="AM232" s="62" t="str">
        <f t="shared" si="227"/>
        <v/>
      </c>
      <c r="AN232" s="21">
        <f t="shared" si="228"/>
        <v>0</v>
      </c>
      <c r="AO232" s="62" t="str">
        <f t="shared" si="229"/>
        <v/>
      </c>
      <c r="AP232" s="21">
        <f t="shared" si="230"/>
        <v>0</v>
      </c>
      <c r="AQ232" s="62" t="str">
        <f t="shared" si="231"/>
        <v/>
      </c>
      <c r="AR232" s="31">
        <f t="shared" si="232"/>
        <v>0</v>
      </c>
      <c r="AS232" s="21">
        <f t="shared" si="233"/>
        <v>0</v>
      </c>
      <c r="AT232" s="62" t="str">
        <f t="shared" si="234"/>
        <v/>
      </c>
      <c r="AU232" s="84">
        <f t="shared" si="235"/>
        <v>0</v>
      </c>
      <c r="AV232" s="32">
        <f t="shared" si="236"/>
        <v>0</v>
      </c>
      <c r="AW232" s="85" t="str">
        <f t="shared" si="237"/>
        <v/>
      </c>
      <c r="AX232" s="86" t="str">
        <f t="shared" si="238"/>
        <v/>
      </c>
    </row>
    <row r="233" spans="1:50" x14ac:dyDescent="0.2">
      <c r="A233" s="29" t="str">
        <f t="shared" si="197"/>
        <v/>
      </c>
      <c r="B233" s="32" t="str">
        <f t="shared" si="198"/>
        <v/>
      </c>
      <c r="C233" s="35"/>
      <c r="D233" s="33" t="str">
        <f t="shared" si="199"/>
        <v/>
      </c>
      <c r="E233" s="22" t="str">
        <f t="shared" si="200"/>
        <v/>
      </c>
      <c r="F233" s="23" t="str">
        <f t="shared" si="201"/>
        <v/>
      </c>
      <c r="G233" s="23"/>
      <c r="H233" s="22"/>
      <c r="I233" s="23"/>
      <c r="J233" s="18"/>
      <c r="K233" s="13" t="str">
        <f t="shared" si="202"/>
        <v/>
      </c>
      <c r="L233" s="28" t="str">
        <f t="shared" si="196"/>
        <v/>
      </c>
      <c r="M233" s="10" t="str">
        <f t="shared" si="203"/>
        <v/>
      </c>
      <c r="N233" s="17" t="str">
        <f t="shared" si="204"/>
        <v/>
      </c>
      <c r="O233" s="39" t="str">
        <f t="shared" si="205"/>
        <v/>
      </c>
      <c r="P233" s="41" t="str">
        <f t="shared" si="206"/>
        <v/>
      </c>
      <c r="Q233" s="9" t="str">
        <f t="shared" si="207"/>
        <v/>
      </c>
      <c r="R233" s="14">
        <f t="shared" si="208"/>
        <v>0</v>
      </c>
      <c r="S233" s="61" t="str">
        <f t="shared" si="209"/>
        <v/>
      </c>
      <c r="T233" s="14">
        <f t="shared" si="210"/>
        <v>0</v>
      </c>
      <c r="U233" s="58" t="str">
        <f t="shared" si="211"/>
        <v/>
      </c>
      <c r="V233" s="14">
        <f t="shared" si="212"/>
        <v>0</v>
      </c>
      <c r="W233" s="58" t="str">
        <f t="shared" si="213"/>
        <v/>
      </c>
      <c r="X233" s="14">
        <f t="shared" si="214"/>
        <v>0</v>
      </c>
      <c r="Y233" s="58" t="str">
        <f t="shared" si="215"/>
        <v/>
      </c>
      <c r="Z233" s="31">
        <f t="shared" si="216"/>
        <v>0</v>
      </c>
      <c r="AA233" s="21">
        <f t="shared" si="217"/>
        <v>0</v>
      </c>
      <c r="AB233" s="58" t="str">
        <f t="shared" si="218"/>
        <v/>
      </c>
      <c r="AC233" s="630">
        <f t="shared" si="195"/>
        <v>0</v>
      </c>
      <c r="AD233" s="627"/>
      <c r="AE233" s="21">
        <f t="shared" si="219"/>
        <v>0</v>
      </c>
      <c r="AF233" s="58" t="str">
        <f t="shared" si="220"/>
        <v/>
      </c>
      <c r="AG233" s="21">
        <f t="shared" si="221"/>
        <v>0</v>
      </c>
      <c r="AH233" s="58" t="str">
        <f t="shared" si="222"/>
        <v/>
      </c>
      <c r="AI233" s="21">
        <f t="shared" si="223"/>
        <v>0</v>
      </c>
      <c r="AJ233" s="58" t="str">
        <f t="shared" si="224"/>
        <v/>
      </c>
      <c r="AK233" s="31">
        <f t="shared" si="225"/>
        <v>0</v>
      </c>
      <c r="AL233" s="21">
        <f t="shared" si="226"/>
        <v>0</v>
      </c>
      <c r="AM233" s="62" t="str">
        <f t="shared" si="227"/>
        <v/>
      </c>
      <c r="AN233" s="21">
        <f t="shared" si="228"/>
        <v>0</v>
      </c>
      <c r="AO233" s="62" t="str">
        <f t="shared" si="229"/>
        <v/>
      </c>
      <c r="AP233" s="21">
        <f t="shared" si="230"/>
        <v>0</v>
      </c>
      <c r="AQ233" s="62" t="str">
        <f t="shared" si="231"/>
        <v/>
      </c>
      <c r="AR233" s="31">
        <f t="shared" si="232"/>
        <v>0</v>
      </c>
      <c r="AS233" s="21">
        <f t="shared" si="233"/>
        <v>0</v>
      </c>
      <c r="AT233" s="62" t="str">
        <f t="shared" si="234"/>
        <v/>
      </c>
      <c r="AU233" s="84">
        <f t="shared" si="235"/>
        <v>0</v>
      </c>
      <c r="AV233" s="32">
        <f t="shared" si="236"/>
        <v>0</v>
      </c>
      <c r="AW233" s="85" t="str">
        <f t="shared" si="237"/>
        <v/>
      </c>
      <c r="AX233" s="86" t="str">
        <f t="shared" si="238"/>
        <v/>
      </c>
    </row>
    <row r="234" spans="1:50" x14ac:dyDescent="0.2">
      <c r="A234" s="29" t="str">
        <f t="shared" si="197"/>
        <v/>
      </c>
      <c r="B234" s="32" t="str">
        <f t="shared" si="198"/>
        <v/>
      </c>
      <c r="C234" s="35"/>
      <c r="D234" s="33" t="str">
        <f t="shared" si="199"/>
        <v/>
      </c>
      <c r="E234" s="22" t="str">
        <f t="shared" si="200"/>
        <v/>
      </c>
      <c r="F234" s="23" t="str">
        <f t="shared" si="201"/>
        <v/>
      </c>
      <c r="G234" s="23"/>
      <c r="H234" s="22"/>
      <c r="I234" s="23"/>
      <c r="J234" s="18"/>
      <c r="K234" s="13" t="str">
        <f t="shared" si="202"/>
        <v/>
      </c>
      <c r="L234" s="28" t="str">
        <f t="shared" si="196"/>
        <v/>
      </c>
      <c r="M234" s="10" t="str">
        <f t="shared" si="203"/>
        <v/>
      </c>
      <c r="N234" s="17" t="str">
        <f t="shared" si="204"/>
        <v/>
      </c>
      <c r="O234" s="39" t="str">
        <f t="shared" si="205"/>
        <v/>
      </c>
      <c r="P234" s="41" t="str">
        <f t="shared" si="206"/>
        <v/>
      </c>
      <c r="Q234" s="9" t="str">
        <f t="shared" si="207"/>
        <v/>
      </c>
      <c r="R234" s="14">
        <f t="shared" si="208"/>
        <v>0</v>
      </c>
      <c r="S234" s="61" t="str">
        <f t="shared" si="209"/>
        <v/>
      </c>
      <c r="T234" s="14">
        <f t="shared" si="210"/>
        <v>0</v>
      </c>
      <c r="U234" s="58" t="str">
        <f t="shared" si="211"/>
        <v/>
      </c>
      <c r="V234" s="14">
        <f t="shared" si="212"/>
        <v>0</v>
      </c>
      <c r="W234" s="58" t="str">
        <f t="shared" si="213"/>
        <v/>
      </c>
      <c r="X234" s="14">
        <f t="shared" si="214"/>
        <v>0</v>
      </c>
      <c r="Y234" s="58" t="str">
        <f t="shared" si="215"/>
        <v/>
      </c>
      <c r="Z234" s="31">
        <f t="shared" si="216"/>
        <v>0</v>
      </c>
      <c r="AA234" s="21">
        <f t="shared" si="217"/>
        <v>0</v>
      </c>
      <c r="AB234" s="58" t="str">
        <f t="shared" si="218"/>
        <v/>
      </c>
      <c r="AC234" s="630">
        <f t="shared" si="195"/>
        <v>0</v>
      </c>
      <c r="AD234" s="627"/>
      <c r="AE234" s="21">
        <f t="shared" si="219"/>
        <v>0</v>
      </c>
      <c r="AF234" s="58" t="str">
        <f t="shared" si="220"/>
        <v/>
      </c>
      <c r="AG234" s="21">
        <f t="shared" si="221"/>
        <v>0</v>
      </c>
      <c r="AH234" s="58" t="str">
        <f t="shared" si="222"/>
        <v/>
      </c>
      <c r="AI234" s="21">
        <f t="shared" si="223"/>
        <v>0</v>
      </c>
      <c r="AJ234" s="58" t="str">
        <f t="shared" si="224"/>
        <v/>
      </c>
      <c r="AK234" s="31">
        <f t="shared" si="225"/>
        <v>0</v>
      </c>
      <c r="AL234" s="21">
        <f t="shared" si="226"/>
        <v>0</v>
      </c>
      <c r="AM234" s="62" t="str">
        <f t="shared" si="227"/>
        <v/>
      </c>
      <c r="AN234" s="21">
        <f t="shared" si="228"/>
        <v>0</v>
      </c>
      <c r="AO234" s="62" t="str">
        <f t="shared" si="229"/>
        <v/>
      </c>
      <c r="AP234" s="21">
        <f t="shared" si="230"/>
        <v>0</v>
      </c>
      <c r="AQ234" s="62" t="str">
        <f t="shared" si="231"/>
        <v/>
      </c>
      <c r="AR234" s="31">
        <f t="shared" si="232"/>
        <v>0</v>
      </c>
      <c r="AS234" s="21">
        <f t="shared" si="233"/>
        <v>0</v>
      </c>
      <c r="AT234" s="62" t="str">
        <f t="shared" si="234"/>
        <v/>
      </c>
      <c r="AU234" s="84">
        <f t="shared" si="235"/>
        <v>0</v>
      </c>
      <c r="AV234" s="32">
        <f t="shared" si="236"/>
        <v>0</v>
      </c>
      <c r="AW234" s="85" t="str">
        <f t="shared" si="237"/>
        <v/>
      </c>
      <c r="AX234" s="86" t="str">
        <f t="shared" si="238"/>
        <v/>
      </c>
    </row>
    <row r="235" spans="1:50" x14ac:dyDescent="0.2">
      <c r="A235" s="29" t="str">
        <f t="shared" si="197"/>
        <v/>
      </c>
      <c r="B235" s="32" t="str">
        <f t="shared" si="198"/>
        <v/>
      </c>
      <c r="C235" s="35"/>
      <c r="D235" s="33" t="str">
        <f t="shared" si="199"/>
        <v/>
      </c>
      <c r="E235" s="22" t="str">
        <f t="shared" si="200"/>
        <v/>
      </c>
      <c r="F235" s="23" t="str">
        <f t="shared" si="201"/>
        <v/>
      </c>
      <c r="G235" s="23"/>
      <c r="H235" s="22"/>
      <c r="I235" s="23"/>
      <c r="J235" s="18"/>
      <c r="K235" s="13" t="str">
        <f t="shared" si="202"/>
        <v/>
      </c>
      <c r="L235" s="28" t="str">
        <f t="shared" si="196"/>
        <v/>
      </c>
      <c r="M235" s="10" t="str">
        <f t="shared" si="203"/>
        <v/>
      </c>
      <c r="N235" s="17" t="str">
        <f t="shared" si="204"/>
        <v/>
      </c>
      <c r="O235" s="39" t="str">
        <f t="shared" si="205"/>
        <v/>
      </c>
      <c r="P235" s="41" t="str">
        <f t="shared" si="206"/>
        <v/>
      </c>
      <c r="Q235" s="9" t="str">
        <f t="shared" si="207"/>
        <v/>
      </c>
      <c r="R235" s="14">
        <f t="shared" si="208"/>
        <v>0</v>
      </c>
      <c r="S235" s="61" t="str">
        <f t="shared" si="209"/>
        <v/>
      </c>
      <c r="T235" s="14">
        <f t="shared" si="210"/>
        <v>0</v>
      </c>
      <c r="U235" s="58" t="str">
        <f t="shared" si="211"/>
        <v/>
      </c>
      <c r="V235" s="14">
        <f t="shared" si="212"/>
        <v>0</v>
      </c>
      <c r="W235" s="58" t="str">
        <f t="shared" si="213"/>
        <v/>
      </c>
      <c r="X235" s="14">
        <f t="shared" si="214"/>
        <v>0</v>
      </c>
      <c r="Y235" s="58" t="str">
        <f t="shared" si="215"/>
        <v/>
      </c>
      <c r="Z235" s="31">
        <f t="shared" si="216"/>
        <v>0</v>
      </c>
      <c r="AA235" s="21">
        <f t="shared" si="217"/>
        <v>0</v>
      </c>
      <c r="AB235" s="58" t="str">
        <f t="shared" si="218"/>
        <v/>
      </c>
      <c r="AC235" s="630">
        <f t="shared" si="195"/>
        <v>0</v>
      </c>
      <c r="AD235" s="627"/>
      <c r="AE235" s="21">
        <f t="shared" si="219"/>
        <v>0</v>
      </c>
      <c r="AF235" s="58" t="str">
        <f t="shared" si="220"/>
        <v/>
      </c>
      <c r="AG235" s="21">
        <f t="shared" si="221"/>
        <v>0</v>
      </c>
      <c r="AH235" s="58" t="str">
        <f t="shared" si="222"/>
        <v/>
      </c>
      <c r="AI235" s="21">
        <f t="shared" si="223"/>
        <v>0</v>
      </c>
      <c r="AJ235" s="58" t="str">
        <f t="shared" si="224"/>
        <v/>
      </c>
      <c r="AK235" s="31">
        <f t="shared" si="225"/>
        <v>0</v>
      </c>
      <c r="AL235" s="21">
        <f t="shared" si="226"/>
        <v>0</v>
      </c>
      <c r="AM235" s="62" t="str">
        <f t="shared" si="227"/>
        <v/>
      </c>
      <c r="AN235" s="21">
        <f t="shared" si="228"/>
        <v>0</v>
      </c>
      <c r="AO235" s="62" t="str">
        <f t="shared" si="229"/>
        <v/>
      </c>
      <c r="AP235" s="21">
        <f t="shared" si="230"/>
        <v>0</v>
      </c>
      <c r="AQ235" s="62" t="str">
        <f t="shared" si="231"/>
        <v/>
      </c>
      <c r="AR235" s="31">
        <f t="shared" si="232"/>
        <v>0</v>
      </c>
      <c r="AS235" s="21">
        <f t="shared" si="233"/>
        <v>0</v>
      </c>
      <c r="AT235" s="62" t="str">
        <f t="shared" si="234"/>
        <v/>
      </c>
      <c r="AU235" s="84">
        <f t="shared" si="235"/>
        <v>0</v>
      </c>
      <c r="AV235" s="32">
        <f t="shared" si="236"/>
        <v>0</v>
      </c>
      <c r="AW235" s="85" t="str">
        <f t="shared" si="237"/>
        <v/>
      </c>
      <c r="AX235" s="86" t="str">
        <f t="shared" si="238"/>
        <v/>
      </c>
    </row>
    <row r="236" spans="1:50" x14ac:dyDescent="0.2">
      <c r="A236" s="29" t="str">
        <f t="shared" si="197"/>
        <v/>
      </c>
      <c r="B236" s="32" t="str">
        <f t="shared" si="198"/>
        <v/>
      </c>
      <c r="C236" s="35"/>
      <c r="D236" s="33" t="str">
        <f t="shared" si="199"/>
        <v/>
      </c>
      <c r="E236" s="22" t="str">
        <f t="shared" si="200"/>
        <v/>
      </c>
      <c r="F236" s="23" t="str">
        <f t="shared" si="201"/>
        <v/>
      </c>
      <c r="G236" s="23"/>
      <c r="H236" s="22"/>
      <c r="I236" s="23"/>
      <c r="J236" s="18"/>
      <c r="K236" s="13" t="str">
        <f t="shared" si="202"/>
        <v/>
      </c>
      <c r="L236" s="28" t="str">
        <f t="shared" si="196"/>
        <v/>
      </c>
      <c r="M236" s="10" t="str">
        <f t="shared" si="203"/>
        <v/>
      </c>
      <c r="N236" s="17" t="str">
        <f t="shared" si="204"/>
        <v/>
      </c>
      <c r="O236" s="39" t="str">
        <f t="shared" si="205"/>
        <v/>
      </c>
      <c r="P236" s="41" t="str">
        <f t="shared" si="206"/>
        <v/>
      </c>
      <c r="Q236" s="9" t="str">
        <f t="shared" si="207"/>
        <v/>
      </c>
      <c r="R236" s="14">
        <f t="shared" si="208"/>
        <v>0</v>
      </c>
      <c r="S236" s="61" t="str">
        <f t="shared" si="209"/>
        <v/>
      </c>
      <c r="T236" s="14">
        <f t="shared" si="210"/>
        <v>0</v>
      </c>
      <c r="U236" s="58" t="str">
        <f t="shared" si="211"/>
        <v/>
      </c>
      <c r="V236" s="14">
        <f t="shared" si="212"/>
        <v>0</v>
      </c>
      <c r="W236" s="58" t="str">
        <f t="shared" si="213"/>
        <v/>
      </c>
      <c r="X236" s="14">
        <f t="shared" si="214"/>
        <v>0</v>
      </c>
      <c r="Y236" s="58" t="str">
        <f t="shared" si="215"/>
        <v/>
      </c>
      <c r="Z236" s="31">
        <f t="shared" si="216"/>
        <v>0</v>
      </c>
      <c r="AA236" s="21">
        <f t="shared" si="217"/>
        <v>0</v>
      </c>
      <c r="AB236" s="58" t="str">
        <f t="shared" si="218"/>
        <v/>
      </c>
      <c r="AC236" s="630">
        <f t="shared" si="195"/>
        <v>0</v>
      </c>
      <c r="AD236" s="627"/>
      <c r="AE236" s="21">
        <f t="shared" si="219"/>
        <v>0</v>
      </c>
      <c r="AF236" s="58" t="str">
        <f t="shared" si="220"/>
        <v/>
      </c>
      <c r="AG236" s="21">
        <f t="shared" si="221"/>
        <v>0</v>
      </c>
      <c r="AH236" s="58" t="str">
        <f t="shared" si="222"/>
        <v/>
      </c>
      <c r="AI236" s="21">
        <f t="shared" si="223"/>
        <v>0</v>
      </c>
      <c r="AJ236" s="58" t="str">
        <f t="shared" si="224"/>
        <v/>
      </c>
      <c r="AK236" s="31">
        <f t="shared" si="225"/>
        <v>0</v>
      </c>
      <c r="AL236" s="21">
        <f t="shared" si="226"/>
        <v>0</v>
      </c>
      <c r="AM236" s="62" t="str">
        <f t="shared" si="227"/>
        <v/>
      </c>
      <c r="AN236" s="21">
        <f t="shared" si="228"/>
        <v>0</v>
      </c>
      <c r="AO236" s="62" t="str">
        <f t="shared" si="229"/>
        <v/>
      </c>
      <c r="AP236" s="21">
        <f t="shared" si="230"/>
        <v>0</v>
      </c>
      <c r="AQ236" s="62" t="str">
        <f t="shared" si="231"/>
        <v/>
      </c>
      <c r="AR236" s="31">
        <f t="shared" si="232"/>
        <v>0</v>
      </c>
      <c r="AS236" s="21">
        <f t="shared" si="233"/>
        <v>0</v>
      </c>
      <c r="AT236" s="62" t="str">
        <f t="shared" si="234"/>
        <v/>
      </c>
      <c r="AU236" s="84">
        <f t="shared" si="235"/>
        <v>0</v>
      </c>
      <c r="AV236" s="32">
        <f t="shared" si="236"/>
        <v>0</v>
      </c>
      <c r="AW236" s="85" t="str">
        <f t="shared" si="237"/>
        <v/>
      </c>
      <c r="AX236" s="86" t="str">
        <f t="shared" si="238"/>
        <v/>
      </c>
    </row>
    <row r="237" spans="1:50" x14ac:dyDescent="0.2">
      <c r="A237" s="29" t="str">
        <f t="shared" si="197"/>
        <v/>
      </c>
      <c r="B237" s="32" t="str">
        <f t="shared" si="198"/>
        <v/>
      </c>
      <c r="C237" s="35"/>
      <c r="D237" s="33" t="str">
        <f t="shared" si="199"/>
        <v/>
      </c>
      <c r="E237" s="22" t="str">
        <f t="shared" si="200"/>
        <v/>
      </c>
      <c r="F237" s="23" t="str">
        <f t="shared" si="201"/>
        <v/>
      </c>
      <c r="G237" s="23"/>
      <c r="H237" s="22"/>
      <c r="I237" s="23"/>
      <c r="J237" s="18"/>
      <c r="K237" s="13" t="str">
        <f t="shared" si="202"/>
        <v/>
      </c>
      <c r="L237" s="28" t="str">
        <f t="shared" si="196"/>
        <v/>
      </c>
      <c r="M237" s="10" t="str">
        <f t="shared" si="203"/>
        <v/>
      </c>
      <c r="N237" s="17" t="str">
        <f t="shared" si="204"/>
        <v/>
      </c>
      <c r="O237" s="39" t="str">
        <f t="shared" si="205"/>
        <v/>
      </c>
      <c r="P237" s="41" t="str">
        <f t="shared" si="206"/>
        <v/>
      </c>
      <c r="Q237" s="9" t="str">
        <f t="shared" si="207"/>
        <v/>
      </c>
      <c r="R237" s="14">
        <f t="shared" si="208"/>
        <v>0</v>
      </c>
      <c r="S237" s="61" t="str">
        <f t="shared" si="209"/>
        <v/>
      </c>
      <c r="T237" s="14">
        <f t="shared" si="210"/>
        <v>0</v>
      </c>
      <c r="U237" s="58" t="str">
        <f t="shared" si="211"/>
        <v/>
      </c>
      <c r="V237" s="14">
        <f t="shared" si="212"/>
        <v>0</v>
      </c>
      <c r="W237" s="58" t="str">
        <f t="shared" si="213"/>
        <v/>
      </c>
      <c r="X237" s="14">
        <f t="shared" si="214"/>
        <v>0</v>
      </c>
      <c r="Y237" s="58" t="str">
        <f t="shared" si="215"/>
        <v/>
      </c>
      <c r="Z237" s="31">
        <f t="shared" si="216"/>
        <v>0</v>
      </c>
      <c r="AA237" s="21">
        <f t="shared" si="217"/>
        <v>0</v>
      </c>
      <c r="AB237" s="58" t="str">
        <f t="shared" si="218"/>
        <v/>
      </c>
      <c r="AC237" s="630">
        <f t="shared" si="195"/>
        <v>0</v>
      </c>
      <c r="AD237" s="627"/>
      <c r="AE237" s="21">
        <f t="shared" si="219"/>
        <v>0</v>
      </c>
      <c r="AF237" s="58" t="str">
        <f t="shared" si="220"/>
        <v/>
      </c>
      <c r="AG237" s="21">
        <f t="shared" si="221"/>
        <v>0</v>
      </c>
      <c r="AH237" s="58" t="str">
        <f t="shared" si="222"/>
        <v/>
      </c>
      <c r="AI237" s="21">
        <f t="shared" si="223"/>
        <v>0</v>
      </c>
      <c r="AJ237" s="58" t="str">
        <f t="shared" si="224"/>
        <v/>
      </c>
      <c r="AK237" s="31">
        <f t="shared" si="225"/>
        <v>0</v>
      </c>
      <c r="AL237" s="21">
        <f t="shared" si="226"/>
        <v>0</v>
      </c>
      <c r="AM237" s="62" t="str">
        <f t="shared" si="227"/>
        <v/>
      </c>
      <c r="AN237" s="21">
        <f t="shared" si="228"/>
        <v>0</v>
      </c>
      <c r="AO237" s="62" t="str">
        <f t="shared" si="229"/>
        <v/>
      </c>
      <c r="AP237" s="21">
        <f t="shared" si="230"/>
        <v>0</v>
      </c>
      <c r="AQ237" s="62" t="str">
        <f t="shared" si="231"/>
        <v/>
      </c>
      <c r="AR237" s="31">
        <f t="shared" si="232"/>
        <v>0</v>
      </c>
      <c r="AS237" s="21">
        <f t="shared" si="233"/>
        <v>0</v>
      </c>
      <c r="AT237" s="62" t="str">
        <f t="shared" si="234"/>
        <v/>
      </c>
      <c r="AU237" s="84">
        <f t="shared" si="235"/>
        <v>0</v>
      </c>
      <c r="AV237" s="32">
        <f t="shared" si="236"/>
        <v>0</v>
      </c>
      <c r="AW237" s="85" t="str">
        <f t="shared" si="237"/>
        <v/>
      </c>
      <c r="AX237" s="86" t="str">
        <f t="shared" si="238"/>
        <v/>
      </c>
    </row>
    <row r="238" spans="1:50" x14ac:dyDescent="0.2">
      <c r="A238" s="29" t="str">
        <f t="shared" si="197"/>
        <v/>
      </c>
      <c r="B238" s="32" t="str">
        <f t="shared" si="198"/>
        <v/>
      </c>
      <c r="C238" s="35"/>
      <c r="D238" s="33" t="str">
        <f t="shared" si="199"/>
        <v/>
      </c>
      <c r="E238" s="22" t="str">
        <f t="shared" si="200"/>
        <v/>
      </c>
      <c r="F238" s="23" t="str">
        <f t="shared" si="201"/>
        <v/>
      </c>
      <c r="G238" s="23"/>
      <c r="H238" s="22"/>
      <c r="I238" s="23"/>
      <c r="J238" s="18"/>
      <c r="K238" s="13" t="str">
        <f t="shared" si="202"/>
        <v/>
      </c>
      <c r="L238" s="28" t="str">
        <f t="shared" si="196"/>
        <v/>
      </c>
      <c r="M238" s="10" t="str">
        <f t="shared" si="203"/>
        <v/>
      </c>
      <c r="N238" s="17" t="str">
        <f t="shared" si="204"/>
        <v/>
      </c>
      <c r="O238" s="39" t="str">
        <f t="shared" si="205"/>
        <v/>
      </c>
      <c r="P238" s="41" t="str">
        <f t="shared" si="206"/>
        <v/>
      </c>
      <c r="Q238" s="9" t="str">
        <f t="shared" si="207"/>
        <v/>
      </c>
      <c r="R238" s="14">
        <f t="shared" si="208"/>
        <v>0</v>
      </c>
      <c r="S238" s="61" t="str">
        <f t="shared" si="209"/>
        <v/>
      </c>
      <c r="T238" s="14">
        <f t="shared" si="210"/>
        <v>0</v>
      </c>
      <c r="U238" s="58" t="str">
        <f t="shared" si="211"/>
        <v/>
      </c>
      <c r="V238" s="14">
        <f t="shared" si="212"/>
        <v>0</v>
      </c>
      <c r="W238" s="58" t="str">
        <f t="shared" si="213"/>
        <v/>
      </c>
      <c r="X238" s="14">
        <f t="shared" si="214"/>
        <v>0</v>
      </c>
      <c r="Y238" s="58" t="str">
        <f t="shared" si="215"/>
        <v/>
      </c>
      <c r="Z238" s="31">
        <f t="shared" si="216"/>
        <v>0</v>
      </c>
      <c r="AA238" s="21">
        <f t="shared" si="217"/>
        <v>0</v>
      </c>
      <c r="AB238" s="58" t="str">
        <f t="shared" si="218"/>
        <v/>
      </c>
      <c r="AC238" s="630">
        <f t="shared" si="195"/>
        <v>0</v>
      </c>
      <c r="AD238" s="627"/>
      <c r="AE238" s="21">
        <f t="shared" si="219"/>
        <v>0</v>
      </c>
      <c r="AF238" s="58" t="str">
        <f t="shared" si="220"/>
        <v/>
      </c>
      <c r="AG238" s="21">
        <f t="shared" si="221"/>
        <v>0</v>
      </c>
      <c r="AH238" s="58" t="str">
        <f t="shared" si="222"/>
        <v/>
      </c>
      <c r="AI238" s="21">
        <f t="shared" si="223"/>
        <v>0</v>
      </c>
      <c r="AJ238" s="58" t="str">
        <f t="shared" si="224"/>
        <v/>
      </c>
      <c r="AK238" s="31">
        <f t="shared" si="225"/>
        <v>0</v>
      </c>
      <c r="AL238" s="21">
        <f t="shared" si="226"/>
        <v>0</v>
      </c>
      <c r="AM238" s="62" t="str">
        <f t="shared" si="227"/>
        <v/>
      </c>
      <c r="AN238" s="21">
        <f t="shared" si="228"/>
        <v>0</v>
      </c>
      <c r="AO238" s="62" t="str">
        <f t="shared" si="229"/>
        <v/>
      </c>
      <c r="AP238" s="21">
        <f t="shared" si="230"/>
        <v>0</v>
      </c>
      <c r="AQ238" s="62" t="str">
        <f t="shared" si="231"/>
        <v/>
      </c>
      <c r="AR238" s="31">
        <f t="shared" si="232"/>
        <v>0</v>
      </c>
      <c r="AS238" s="21">
        <f t="shared" si="233"/>
        <v>0</v>
      </c>
      <c r="AT238" s="62" t="str">
        <f t="shared" si="234"/>
        <v/>
      </c>
      <c r="AU238" s="84">
        <f t="shared" si="235"/>
        <v>0</v>
      </c>
      <c r="AV238" s="32">
        <f t="shared" si="236"/>
        <v>0</v>
      </c>
      <c r="AW238" s="85" t="str">
        <f t="shared" si="237"/>
        <v/>
      </c>
      <c r="AX238" s="86" t="str">
        <f t="shared" si="238"/>
        <v/>
      </c>
    </row>
    <row r="239" spans="1:50" x14ac:dyDescent="0.2">
      <c r="A239" s="29" t="str">
        <f t="shared" si="197"/>
        <v/>
      </c>
      <c r="B239" s="32" t="str">
        <f t="shared" si="198"/>
        <v/>
      </c>
      <c r="C239" s="35"/>
      <c r="D239" s="33" t="str">
        <f t="shared" si="199"/>
        <v/>
      </c>
      <c r="E239" s="22" t="str">
        <f t="shared" si="200"/>
        <v/>
      </c>
      <c r="F239" s="23" t="str">
        <f t="shared" si="201"/>
        <v/>
      </c>
      <c r="G239" s="23"/>
      <c r="H239" s="22"/>
      <c r="I239" s="23"/>
      <c r="J239" s="18"/>
      <c r="K239" s="13" t="str">
        <f t="shared" si="202"/>
        <v/>
      </c>
      <c r="L239" s="28" t="str">
        <f t="shared" si="196"/>
        <v/>
      </c>
      <c r="M239" s="10" t="str">
        <f t="shared" si="203"/>
        <v/>
      </c>
      <c r="N239" s="17" t="str">
        <f t="shared" si="204"/>
        <v/>
      </c>
      <c r="O239" s="39" t="str">
        <f t="shared" si="205"/>
        <v/>
      </c>
      <c r="P239" s="41" t="str">
        <f t="shared" si="206"/>
        <v/>
      </c>
      <c r="Q239" s="9" t="str">
        <f t="shared" si="207"/>
        <v/>
      </c>
      <c r="R239" s="14">
        <f t="shared" si="208"/>
        <v>0</v>
      </c>
      <c r="S239" s="61" t="str">
        <f t="shared" si="209"/>
        <v/>
      </c>
      <c r="T239" s="14">
        <f t="shared" si="210"/>
        <v>0</v>
      </c>
      <c r="U239" s="58" t="str">
        <f t="shared" si="211"/>
        <v/>
      </c>
      <c r="V239" s="14">
        <f t="shared" si="212"/>
        <v>0</v>
      </c>
      <c r="W239" s="58" t="str">
        <f t="shared" si="213"/>
        <v/>
      </c>
      <c r="X239" s="14">
        <f t="shared" si="214"/>
        <v>0</v>
      </c>
      <c r="Y239" s="58" t="str">
        <f t="shared" si="215"/>
        <v/>
      </c>
      <c r="Z239" s="31">
        <f t="shared" si="216"/>
        <v>0</v>
      </c>
      <c r="AA239" s="21">
        <f t="shared" si="217"/>
        <v>0</v>
      </c>
      <c r="AB239" s="58" t="str">
        <f t="shared" si="218"/>
        <v/>
      </c>
      <c r="AC239" s="630">
        <f t="shared" si="195"/>
        <v>0</v>
      </c>
      <c r="AD239" s="627"/>
      <c r="AE239" s="21">
        <f t="shared" si="219"/>
        <v>0</v>
      </c>
      <c r="AF239" s="58" t="str">
        <f t="shared" si="220"/>
        <v/>
      </c>
      <c r="AG239" s="21">
        <f t="shared" si="221"/>
        <v>0</v>
      </c>
      <c r="AH239" s="58" t="str">
        <f t="shared" si="222"/>
        <v/>
      </c>
      <c r="AI239" s="21">
        <f t="shared" si="223"/>
        <v>0</v>
      </c>
      <c r="AJ239" s="58" t="str">
        <f t="shared" si="224"/>
        <v/>
      </c>
      <c r="AK239" s="31">
        <f t="shared" si="225"/>
        <v>0</v>
      </c>
      <c r="AL239" s="21">
        <f t="shared" si="226"/>
        <v>0</v>
      </c>
      <c r="AM239" s="62" t="str">
        <f t="shared" si="227"/>
        <v/>
      </c>
      <c r="AN239" s="21">
        <f t="shared" si="228"/>
        <v>0</v>
      </c>
      <c r="AO239" s="62" t="str">
        <f t="shared" si="229"/>
        <v/>
      </c>
      <c r="AP239" s="21">
        <f t="shared" si="230"/>
        <v>0</v>
      </c>
      <c r="AQ239" s="62" t="str">
        <f t="shared" si="231"/>
        <v/>
      </c>
      <c r="AR239" s="31">
        <f t="shared" si="232"/>
        <v>0</v>
      </c>
      <c r="AS239" s="21">
        <f t="shared" si="233"/>
        <v>0</v>
      </c>
      <c r="AT239" s="62" t="str">
        <f t="shared" si="234"/>
        <v/>
      </c>
      <c r="AU239" s="84">
        <f t="shared" si="235"/>
        <v>0</v>
      </c>
      <c r="AV239" s="32">
        <f t="shared" si="236"/>
        <v>0</v>
      </c>
      <c r="AW239" s="85" t="str">
        <f t="shared" si="237"/>
        <v/>
      </c>
      <c r="AX239" s="86" t="str">
        <f t="shared" si="238"/>
        <v/>
      </c>
    </row>
    <row r="240" spans="1:50" x14ac:dyDescent="0.2">
      <c r="A240" s="29" t="str">
        <f t="shared" si="197"/>
        <v/>
      </c>
      <c r="B240" s="32" t="str">
        <f t="shared" si="198"/>
        <v/>
      </c>
      <c r="C240" s="35"/>
      <c r="D240" s="33" t="str">
        <f t="shared" si="199"/>
        <v/>
      </c>
      <c r="E240" s="22" t="str">
        <f t="shared" si="200"/>
        <v/>
      </c>
      <c r="F240" s="23" t="str">
        <f t="shared" si="201"/>
        <v/>
      </c>
      <c r="G240" s="23"/>
      <c r="H240" s="22"/>
      <c r="I240" s="23"/>
      <c r="J240" s="18"/>
      <c r="K240" s="13" t="str">
        <f t="shared" si="202"/>
        <v/>
      </c>
      <c r="L240" s="28" t="str">
        <f t="shared" si="196"/>
        <v/>
      </c>
      <c r="M240" s="10" t="str">
        <f t="shared" si="203"/>
        <v/>
      </c>
      <c r="N240" s="17" t="str">
        <f t="shared" si="204"/>
        <v/>
      </c>
      <c r="O240" s="39" t="str">
        <f t="shared" si="205"/>
        <v/>
      </c>
      <c r="P240" s="41" t="str">
        <f t="shared" si="206"/>
        <v/>
      </c>
      <c r="Q240" s="9" t="str">
        <f t="shared" si="207"/>
        <v/>
      </c>
      <c r="R240" s="14">
        <f t="shared" si="208"/>
        <v>0</v>
      </c>
      <c r="S240" s="61" t="str">
        <f t="shared" si="209"/>
        <v/>
      </c>
      <c r="T240" s="14">
        <f t="shared" si="210"/>
        <v>0</v>
      </c>
      <c r="U240" s="58" t="str">
        <f t="shared" si="211"/>
        <v/>
      </c>
      <c r="V240" s="14">
        <f t="shared" si="212"/>
        <v>0</v>
      </c>
      <c r="W240" s="58" t="str">
        <f t="shared" si="213"/>
        <v/>
      </c>
      <c r="X240" s="14">
        <f t="shared" si="214"/>
        <v>0</v>
      </c>
      <c r="Y240" s="58" t="str">
        <f t="shared" si="215"/>
        <v/>
      </c>
      <c r="Z240" s="31">
        <f t="shared" si="216"/>
        <v>0</v>
      </c>
      <c r="AA240" s="21">
        <f t="shared" si="217"/>
        <v>0</v>
      </c>
      <c r="AB240" s="58" t="str">
        <f t="shared" si="218"/>
        <v/>
      </c>
      <c r="AC240" s="630">
        <f t="shared" si="195"/>
        <v>0</v>
      </c>
      <c r="AD240" s="627"/>
      <c r="AE240" s="21">
        <f t="shared" si="219"/>
        <v>0</v>
      </c>
      <c r="AF240" s="58" t="str">
        <f t="shared" si="220"/>
        <v/>
      </c>
      <c r="AG240" s="21">
        <f t="shared" si="221"/>
        <v>0</v>
      </c>
      <c r="AH240" s="58" t="str">
        <f t="shared" si="222"/>
        <v/>
      </c>
      <c r="AI240" s="21">
        <f t="shared" si="223"/>
        <v>0</v>
      </c>
      <c r="AJ240" s="58" t="str">
        <f t="shared" si="224"/>
        <v/>
      </c>
      <c r="AK240" s="31">
        <f t="shared" si="225"/>
        <v>0</v>
      </c>
      <c r="AL240" s="21">
        <f t="shared" si="226"/>
        <v>0</v>
      </c>
      <c r="AM240" s="62" t="str">
        <f t="shared" si="227"/>
        <v/>
      </c>
      <c r="AN240" s="21">
        <f t="shared" si="228"/>
        <v>0</v>
      </c>
      <c r="AO240" s="62" t="str">
        <f t="shared" si="229"/>
        <v/>
      </c>
      <c r="AP240" s="21">
        <f t="shared" si="230"/>
        <v>0</v>
      </c>
      <c r="AQ240" s="62" t="str">
        <f t="shared" si="231"/>
        <v/>
      </c>
      <c r="AR240" s="31">
        <f t="shared" si="232"/>
        <v>0</v>
      </c>
      <c r="AS240" s="21">
        <f t="shared" si="233"/>
        <v>0</v>
      </c>
      <c r="AT240" s="62" t="str">
        <f t="shared" si="234"/>
        <v/>
      </c>
      <c r="AU240" s="84">
        <f t="shared" si="235"/>
        <v>0</v>
      </c>
      <c r="AV240" s="32">
        <f t="shared" si="236"/>
        <v>0</v>
      </c>
      <c r="AW240" s="85" t="str">
        <f t="shared" si="237"/>
        <v/>
      </c>
      <c r="AX240" s="86" t="str">
        <f t="shared" si="238"/>
        <v/>
      </c>
    </row>
    <row r="241" spans="1:50" x14ac:dyDescent="0.2">
      <c r="A241" s="29" t="str">
        <f t="shared" si="197"/>
        <v/>
      </c>
      <c r="B241" s="32" t="str">
        <f t="shared" si="198"/>
        <v/>
      </c>
      <c r="C241" s="35"/>
      <c r="D241" s="33" t="str">
        <f t="shared" si="199"/>
        <v/>
      </c>
      <c r="E241" s="22" t="str">
        <f t="shared" si="200"/>
        <v/>
      </c>
      <c r="F241" s="23" t="str">
        <f t="shared" si="201"/>
        <v/>
      </c>
      <c r="G241" s="23"/>
      <c r="H241" s="22"/>
      <c r="I241" s="23"/>
      <c r="J241" s="18"/>
      <c r="K241" s="13" t="str">
        <f t="shared" si="202"/>
        <v/>
      </c>
      <c r="L241" s="28" t="str">
        <f t="shared" si="196"/>
        <v/>
      </c>
      <c r="M241" s="10" t="str">
        <f t="shared" si="203"/>
        <v/>
      </c>
      <c r="N241" s="17" t="str">
        <f t="shared" si="204"/>
        <v/>
      </c>
      <c r="O241" s="39" t="str">
        <f t="shared" si="205"/>
        <v/>
      </c>
      <c r="P241" s="41" t="str">
        <f t="shared" si="206"/>
        <v/>
      </c>
      <c r="Q241" s="9" t="str">
        <f t="shared" si="207"/>
        <v/>
      </c>
      <c r="R241" s="14">
        <f t="shared" si="208"/>
        <v>0</v>
      </c>
      <c r="S241" s="61" t="str">
        <f t="shared" si="209"/>
        <v/>
      </c>
      <c r="T241" s="14">
        <f t="shared" si="210"/>
        <v>0</v>
      </c>
      <c r="U241" s="58" t="str">
        <f t="shared" si="211"/>
        <v/>
      </c>
      <c r="V241" s="14">
        <f t="shared" si="212"/>
        <v>0</v>
      </c>
      <c r="W241" s="58" t="str">
        <f t="shared" si="213"/>
        <v/>
      </c>
      <c r="X241" s="14">
        <f t="shared" si="214"/>
        <v>0</v>
      </c>
      <c r="Y241" s="58" t="str">
        <f t="shared" si="215"/>
        <v/>
      </c>
      <c r="Z241" s="31">
        <f t="shared" si="216"/>
        <v>0</v>
      </c>
      <c r="AA241" s="21">
        <f t="shared" si="217"/>
        <v>0</v>
      </c>
      <c r="AB241" s="58" t="str">
        <f t="shared" si="218"/>
        <v/>
      </c>
      <c r="AC241" s="630">
        <f t="shared" si="195"/>
        <v>0</v>
      </c>
      <c r="AD241" s="627"/>
      <c r="AE241" s="21">
        <f t="shared" si="219"/>
        <v>0</v>
      </c>
      <c r="AF241" s="58" t="str">
        <f t="shared" si="220"/>
        <v/>
      </c>
      <c r="AG241" s="21">
        <f t="shared" si="221"/>
        <v>0</v>
      </c>
      <c r="AH241" s="58" t="str">
        <f t="shared" si="222"/>
        <v/>
      </c>
      <c r="AI241" s="21">
        <f t="shared" si="223"/>
        <v>0</v>
      </c>
      <c r="AJ241" s="58" t="str">
        <f t="shared" si="224"/>
        <v/>
      </c>
      <c r="AK241" s="31">
        <f t="shared" si="225"/>
        <v>0</v>
      </c>
      <c r="AL241" s="21">
        <f t="shared" si="226"/>
        <v>0</v>
      </c>
      <c r="AM241" s="62" t="str">
        <f t="shared" si="227"/>
        <v/>
      </c>
      <c r="AN241" s="21">
        <f t="shared" si="228"/>
        <v>0</v>
      </c>
      <c r="AO241" s="62" t="str">
        <f t="shared" si="229"/>
        <v/>
      </c>
      <c r="AP241" s="21">
        <f t="shared" si="230"/>
        <v>0</v>
      </c>
      <c r="AQ241" s="62" t="str">
        <f t="shared" si="231"/>
        <v/>
      </c>
      <c r="AR241" s="31">
        <f t="shared" si="232"/>
        <v>0</v>
      </c>
      <c r="AS241" s="21">
        <f t="shared" si="233"/>
        <v>0</v>
      </c>
      <c r="AT241" s="62" t="str">
        <f t="shared" si="234"/>
        <v/>
      </c>
      <c r="AU241" s="84">
        <f t="shared" si="235"/>
        <v>0</v>
      </c>
      <c r="AV241" s="32">
        <f t="shared" si="236"/>
        <v>0</v>
      </c>
      <c r="AW241" s="85" t="str">
        <f t="shared" si="237"/>
        <v/>
      </c>
      <c r="AX241" s="86" t="str">
        <f t="shared" si="238"/>
        <v/>
      </c>
    </row>
    <row r="242" spans="1:50" x14ac:dyDescent="0.2">
      <c r="A242" s="29" t="str">
        <f t="shared" si="197"/>
        <v/>
      </c>
      <c r="B242" s="32" t="str">
        <f t="shared" si="198"/>
        <v/>
      </c>
      <c r="C242" s="35"/>
      <c r="D242" s="33" t="str">
        <f t="shared" si="199"/>
        <v/>
      </c>
      <c r="E242" s="22" t="str">
        <f t="shared" si="200"/>
        <v/>
      </c>
      <c r="F242" s="23" t="str">
        <f t="shared" si="201"/>
        <v/>
      </c>
      <c r="G242" s="23"/>
      <c r="H242" s="22"/>
      <c r="I242" s="23"/>
      <c r="J242" s="18"/>
      <c r="K242" s="13" t="str">
        <f t="shared" si="202"/>
        <v/>
      </c>
      <c r="L242" s="28" t="str">
        <f t="shared" si="196"/>
        <v/>
      </c>
      <c r="M242" s="10" t="str">
        <f t="shared" si="203"/>
        <v/>
      </c>
      <c r="N242" s="17" t="str">
        <f t="shared" si="204"/>
        <v/>
      </c>
      <c r="O242" s="39" t="str">
        <f t="shared" si="205"/>
        <v/>
      </c>
      <c r="P242" s="41" t="str">
        <f t="shared" si="206"/>
        <v/>
      </c>
      <c r="Q242" s="9" t="str">
        <f t="shared" si="207"/>
        <v/>
      </c>
      <c r="R242" s="14">
        <f t="shared" si="208"/>
        <v>0</v>
      </c>
      <c r="S242" s="61" t="str">
        <f t="shared" si="209"/>
        <v/>
      </c>
      <c r="T242" s="14">
        <f t="shared" si="210"/>
        <v>0</v>
      </c>
      <c r="U242" s="58" t="str">
        <f t="shared" si="211"/>
        <v/>
      </c>
      <c r="V242" s="14">
        <f t="shared" si="212"/>
        <v>0</v>
      </c>
      <c r="W242" s="58" t="str">
        <f t="shared" si="213"/>
        <v/>
      </c>
      <c r="X242" s="14">
        <f t="shared" si="214"/>
        <v>0</v>
      </c>
      <c r="Y242" s="58" t="str">
        <f t="shared" si="215"/>
        <v/>
      </c>
      <c r="Z242" s="31">
        <f t="shared" si="216"/>
        <v>0</v>
      </c>
      <c r="AA242" s="21">
        <f t="shared" si="217"/>
        <v>0</v>
      </c>
      <c r="AB242" s="58" t="str">
        <f t="shared" si="218"/>
        <v/>
      </c>
      <c r="AC242" s="630">
        <f t="shared" si="195"/>
        <v>0</v>
      </c>
      <c r="AD242" s="627"/>
      <c r="AE242" s="21">
        <f t="shared" si="219"/>
        <v>0</v>
      </c>
      <c r="AF242" s="58" t="str">
        <f t="shared" si="220"/>
        <v/>
      </c>
      <c r="AG242" s="21">
        <f t="shared" si="221"/>
        <v>0</v>
      </c>
      <c r="AH242" s="58" t="str">
        <f t="shared" si="222"/>
        <v/>
      </c>
      <c r="AI242" s="21">
        <f t="shared" si="223"/>
        <v>0</v>
      </c>
      <c r="AJ242" s="58" t="str">
        <f t="shared" si="224"/>
        <v/>
      </c>
      <c r="AK242" s="31">
        <f t="shared" si="225"/>
        <v>0</v>
      </c>
      <c r="AL242" s="21">
        <f t="shared" si="226"/>
        <v>0</v>
      </c>
      <c r="AM242" s="62" t="str">
        <f t="shared" si="227"/>
        <v/>
      </c>
      <c r="AN242" s="21">
        <f t="shared" si="228"/>
        <v>0</v>
      </c>
      <c r="AO242" s="62" t="str">
        <f t="shared" si="229"/>
        <v/>
      </c>
      <c r="AP242" s="21">
        <f t="shared" si="230"/>
        <v>0</v>
      </c>
      <c r="AQ242" s="62" t="str">
        <f t="shared" si="231"/>
        <v/>
      </c>
      <c r="AR242" s="31">
        <f t="shared" si="232"/>
        <v>0</v>
      </c>
      <c r="AS242" s="21">
        <f t="shared" si="233"/>
        <v>0</v>
      </c>
      <c r="AT242" s="62" t="str">
        <f t="shared" si="234"/>
        <v/>
      </c>
      <c r="AU242" s="84">
        <f t="shared" si="235"/>
        <v>0</v>
      </c>
      <c r="AV242" s="32">
        <f t="shared" si="236"/>
        <v>0</v>
      </c>
      <c r="AW242" s="85" t="str">
        <f t="shared" si="237"/>
        <v/>
      </c>
      <c r="AX242" s="86" t="str">
        <f t="shared" si="238"/>
        <v/>
      </c>
    </row>
    <row r="243" spans="1:50" x14ac:dyDescent="0.2">
      <c r="A243" s="29" t="str">
        <f t="shared" si="197"/>
        <v/>
      </c>
      <c r="B243" s="32" t="str">
        <f t="shared" si="198"/>
        <v/>
      </c>
      <c r="C243" s="35"/>
      <c r="D243" s="33" t="str">
        <f t="shared" si="199"/>
        <v/>
      </c>
      <c r="E243" s="22" t="str">
        <f t="shared" si="200"/>
        <v/>
      </c>
      <c r="F243" s="23" t="str">
        <f t="shared" si="201"/>
        <v/>
      </c>
      <c r="G243" s="23"/>
      <c r="H243" s="22"/>
      <c r="I243" s="23"/>
      <c r="J243" s="18"/>
      <c r="K243" s="13" t="str">
        <f t="shared" si="202"/>
        <v/>
      </c>
      <c r="L243" s="28" t="str">
        <f t="shared" si="196"/>
        <v/>
      </c>
      <c r="M243" s="10" t="str">
        <f t="shared" si="203"/>
        <v/>
      </c>
      <c r="N243" s="17" t="str">
        <f t="shared" si="204"/>
        <v/>
      </c>
      <c r="O243" s="39" t="str">
        <f t="shared" si="205"/>
        <v/>
      </c>
      <c r="P243" s="41" t="str">
        <f t="shared" si="206"/>
        <v/>
      </c>
      <c r="Q243" s="9" t="str">
        <f t="shared" si="207"/>
        <v/>
      </c>
      <c r="R243" s="14">
        <f t="shared" si="208"/>
        <v>0</v>
      </c>
      <c r="S243" s="61" t="str">
        <f t="shared" si="209"/>
        <v/>
      </c>
      <c r="T243" s="14">
        <f t="shared" si="210"/>
        <v>0</v>
      </c>
      <c r="U243" s="58" t="str">
        <f t="shared" si="211"/>
        <v/>
      </c>
      <c r="V243" s="14">
        <f t="shared" si="212"/>
        <v>0</v>
      </c>
      <c r="W243" s="58" t="str">
        <f t="shared" si="213"/>
        <v/>
      </c>
      <c r="X243" s="14">
        <f t="shared" si="214"/>
        <v>0</v>
      </c>
      <c r="Y243" s="58" t="str">
        <f t="shared" si="215"/>
        <v/>
      </c>
      <c r="Z243" s="31">
        <f t="shared" si="216"/>
        <v>0</v>
      </c>
      <c r="AA243" s="21">
        <f t="shared" si="217"/>
        <v>0</v>
      </c>
      <c r="AB243" s="58" t="str">
        <f t="shared" si="218"/>
        <v/>
      </c>
      <c r="AC243" s="630">
        <f t="shared" si="195"/>
        <v>0</v>
      </c>
      <c r="AD243" s="627"/>
      <c r="AE243" s="21">
        <f t="shared" si="219"/>
        <v>0</v>
      </c>
      <c r="AF243" s="58" t="str">
        <f t="shared" si="220"/>
        <v/>
      </c>
      <c r="AG243" s="21">
        <f t="shared" si="221"/>
        <v>0</v>
      </c>
      <c r="AH243" s="58" t="str">
        <f t="shared" si="222"/>
        <v/>
      </c>
      <c r="AI243" s="21">
        <f t="shared" si="223"/>
        <v>0</v>
      </c>
      <c r="AJ243" s="58" t="str">
        <f t="shared" si="224"/>
        <v/>
      </c>
      <c r="AK243" s="31">
        <f t="shared" si="225"/>
        <v>0</v>
      </c>
      <c r="AL243" s="21">
        <f t="shared" si="226"/>
        <v>0</v>
      </c>
      <c r="AM243" s="62" t="str">
        <f t="shared" si="227"/>
        <v/>
      </c>
      <c r="AN243" s="21">
        <f t="shared" si="228"/>
        <v>0</v>
      </c>
      <c r="AO243" s="62" t="str">
        <f t="shared" si="229"/>
        <v/>
      </c>
      <c r="AP243" s="21">
        <f t="shared" si="230"/>
        <v>0</v>
      </c>
      <c r="AQ243" s="62" t="str">
        <f t="shared" si="231"/>
        <v/>
      </c>
      <c r="AR243" s="31">
        <f t="shared" si="232"/>
        <v>0</v>
      </c>
      <c r="AS243" s="21">
        <f t="shared" si="233"/>
        <v>0</v>
      </c>
      <c r="AT243" s="62" t="str">
        <f t="shared" si="234"/>
        <v/>
      </c>
      <c r="AU243" s="84">
        <f t="shared" si="235"/>
        <v>0</v>
      </c>
      <c r="AV243" s="32">
        <f t="shared" si="236"/>
        <v>0</v>
      </c>
      <c r="AW243" s="85" t="str">
        <f t="shared" si="237"/>
        <v/>
      </c>
      <c r="AX243" s="86" t="str">
        <f t="shared" si="238"/>
        <v/>
      </c>
    </row>
    <row r="244" spans="1:50" x14ac:dyDescent="0.2">
      <c r="A244" s="29" t="str">
        <f t="shared" si="197"/>
        <v/>
      </c>
      <c r="B244" s="32" t="str">
        <f t="shared" si="198"/>
        <v/>
      </c>
      <c r="C244" s="35"/>
      <c r="D244" s="33" t="str">
        <f t="shared" si="199"/>
        <v/>
      </c>
      <c r="E244" s="22" t="str">
        <f t="shared" si="200"/>
        <v/>
      </c>
      <c r="F244" s="23" t="str">
        <f t="shared" si="201"/>
        <v/>
      </c>
      <c r="G244" s="23"/>
      <c r="H244" s="22"/>
      <c r="I244" s="23"/>
      <c r="J244" s="18"/>
      <c r="K244" s="13" t="str">
        <f t="shared" si="202"/>
        <v/>
      </c>
      <c r="L244" s="28" t="str">
        <f t="shared" si="196"/>
        <v/>
      </c>
      <c r="M244" s="10" t="str">
        <f t="shared" si="203"/>
        <v/>
      </c>
      <c r="N244" s="17" t="str">
        <f t="shared" si="204"/>
        <v/>
      </c>
      <c r="O244" s="39" t="str">
        <f t="shared" si="205"/>
        <v/>
      </c>
      <c r="P244" s="41" t="str">
        <f t="shared" si="206"/>
        <v/>
      </c>
      <c r="Q244" s="9" t="str">
        <f t="shared" si="207"/>
        <v/>
      </c>
      <c r="R244" s="14">
        <f t="shared" si="208"/>
        <v>0</v>
      </c>
      <c r="S244" s="61" t="str">
        <f t="shared" si="209"/>
        <v/>
      </c>
      <c r="T244" s="14">
        <f t="shared" si="210"/>
        <v>0</v>
      </c>
      <c r="U244" s="58" t="str">
        <f t="shared" si="211"/>
        <v/>
      </c>
      <c r="V244" s="14">
        <f t="shared" si="212"/>
        <v>0</v>
      </c>
      <c r="W244" s="58" t="str">
        <f t="shared" si="213"/>
        <v/>
      </c>
      <c r="X244" s="14">
        <f t="shared" si="214"/>
        <v>0</v>
      </c>
      <c r="Y244" s="58" t="str">
        <f t="shared" si="215"/>
        <v/>
      </c>
      <c r="Z244" s="31">
        <f t="shared" si="216"/>
        <v>0</v>
      </c>
      <c r="AA244" s="21">
        <f t="shared" si="217"/>
        <v>0</v>
      </c>
      <c r="AB244" s="58" t="str">
        <f t="shared" si="218"/>
        <v/>
      </c>
      <c r="AC244" s="630">
        <f t="shared" si="195"/>
        <v>0</v>
      </c>
      <c r="AD244" s="627"/>
      <c r="AE244" s="21">
        <f t="shared" si="219"/>
        <v>0</v>
      </c>
      <c r="AF244" s="58" t="str">
        <f t="shared" si="220"/>
        <v/>
      </c>
      <c r="AG244" s="21">
        <f t="shared" si="221"/>
        <v>0</v>
      </c>
      <c r="AH244" s="58" t="str">
        <f t="shared" si="222"/>
        <v/>
      </c>
      <c r="AI244" s="21">
        <f t="shared" si="223"/>
        <v>0</v>
      </c>
      <c r="AJ244" s="58" t="str">
        <f t="shared" si="224"/>
        <v/>
      </c>
      <c r="AK244" s="31">
        <f t="shared" si="225"/>
        <v>0</v>
      </c>
      <c r="AL244" s="21">
        <f t="shared" si="226"/>
        <v>0</v>
      </c>
      <c r="AM244" s="62" t="str">
        <f t="shared" si="227"/>
        <v/>
      </c>
      <c r="AN244" s="21">
        <f t="shared" si="228"/>
        <v>0</v>
      </c>
      <c r="AO244" s="62" t="str">
        <f t="shared" si="229"/>
        <v/>
      </c>
      <c r="AP244" s="21">
        <f t="shared" si="230"/>
        <v>0</v>
      </c>
      <c r="AQ244" s="62" t="str">
        <f t="shared" si="231"/>
        <v/>
      </c>
      <c r="AR244" s="31">
        <f t="shared" si="232"/>
        <v>0</v>
      </c>
      <c r="AS244" s="21">
        <f t="shared" si="233"/>
        <v>0</v>
      </c>
      <c r="AT244" s="62" t="str">
        <f t="shared" si="234"/>
        <v/>
      </c>
      <c r="AU244" s="84">
        <f t="shared" si="235"/>
        <v>0</v>
      </c>
      <c r="AV244" s="32">
        <f t="shared" si="236"/>
        <v>0</v>
      </c>
      <c r="AW244" s="85" t="str">
        <f t="shared" si="237"/>
        <v/>
      </c>
      <c r="AX244" s="86" t="str">
        <f t="shared" si="238"/>
        <v/>
      </c>
    </row>
    <row r="245" spans="1:50" x14ac:dyDescent="0.2">
      <c r="A245" s="29" t="str">
        <f t="shared" si="197"/>
        <v/>
      </c>
      <c r="B245" s="32" t="str">
        <f t="shared" si="198"/>
        <v/>
      </c>
      <c r="C245" s="35"/>
      <c r="D245" s="33" t="str">
        <f t="shared" si="199"/>
        <v/>
      </c>
      <c r="E245" s="22" t="str">
        <f t="shared" si="200"/>
        <v/>
      </c>
      <c r="F245" s="23" t="str">
        <f t="shared" si="201"/>
        <v/>
      </c>
      <c r="G245" s="23"/>
      <c r="H245" s="22"/>
      <c r="I245" s="23"/>
      <c r="J245" s="18"/>
      <c r="K245" s="13" t="str">
        <f t="shared" si="202"/>
        <v/>
      </c>
      <c r="L245" s="28" t="str">
        <f t="shared" si="196"/>
        <v/>
      </c>
      <c r="M245" s="10" t="str">
        <f t="shared" si="203"/>
        <v/>
      </c>
      <c r="N245" s="17" t="str">
        <f t="shared" si="204"/>
        <v/>
      </c>
      <c r="O245" s="39" t="str">
        <f t="shared" si="205"/>
        <v/>
      </c>
      <c r="P245" s="41" t="str">
        <f t="shared" si="206"/>
        <v/>
      </c>
      <c r="Q245" s="9" t="str">
        <f t="shared" si="207"/>
        <v/>
      </c>
      <c r="R245" s="14">
        <f t="shared" si="208"/>
        <v>0</v>
      </c>
      <c r="S245" s="61" t="str">
        <f t="shared" si="209"/>
        <v/>
      </c>
      <c r="T245" s="14">
        <f t="shared" si="210"/>
        <v>0</v>
      </c>
      <c r="U245" s="58" t="str">
        <f t="shared" si="211"/>
        <v/>
      </c>
      <c r="V245" s="14">
        <f t="shared" si="212"/>
        <v>0</v>
      </c>
      <c r="W245" s="58" t="str">
        <f t="shared" si="213"/>
        <v/>
      </c>
      <c r="X245" s="14">
        <f t="shared" si="214"/>
        <v>0</v>
      </c>
      <c r="Y245" s="58" t="str">
        <f t="shared" si="215"/>
        <v/>
      </c>
      <c r="Z245" s="31">
        <f t="shared" si="216"/>
        <v>0</v>
      </c>
      <c r="AA245" s="21">
        <f t="shared" si="217"/>
        <v>0</v>
      </c>
      <c r="AB245" s="58" t="str">
        <f t="shared" si="218"/>
        <v/>
      </c>
      <c r="AC245" s="630">
        <f t="shared" si="195"/>
        <v>0</v>
      </c>
      <c r="AD245" s="627"/>
      <c r="AE245" s="21">
        <f t="shared" si="219"/>
        <v>0</v>
      </c>
      <c r="AF245" s="58" t="str">
        <f t="shared" si="220"/>
        <v/>
      </c>
      <c r="AG245" s="21">
        <f t="shared" si="221"/>
        <v>0</v>
      </c>
      <c r="AH245" s="58" t="str">
        <f t="shared" si="222"/>
        <v/>
      </c>
      <c r="AI245" s="21">
        <f t="shared" si="223"/>
        <v>0</v>
      </c>
      <c r="AJ245" s="58" t="str">
        <f t="shared" si="224"/>
        <v/>
      </c>
      <c r="AK245" s="31">
        <f t="shared" si="225"/>
        <v>0</v>
      </c>
      <c r="AL245" s="21">
        <f t="shared" si="226"/>
        <v>0</v>
      </c>
      <c r="AM245" s="62" t="str">
        <f t="shared" si="227"/>
        <v/>
      </c>
      <c r="AN245" s="21">
        <f t="shared" si="228"/>
        <v>0</v>
      </c>
      <c r="AO245" s="62" t="str">
        <f t="shared" si="229"/>
        <v/>
      </c>
      <c r="AP245" s="21">
        <f t="shared" si="230"/>
        <v>0</v>
      </c>
      <c r="AQ245" s="62" t="str">
        <f t="shared" si="231"/>
        <v/>
      </c>
      <c r="AR245" s="31">
        <f t="shared" si="232"/>
        <v>0</v>
      </c>
      <c r="AS245" s="21">
        <f t="shared" si="233"/>
        <v>0</v>
      </c>
      <c r="AT245" s="62" t="str">
        <f t="shared" si="234"/>
        <v/>
      </c>
      <c r="AU245" s="84">
        <f t="shared" si="235"/>
        <v>0</v>
      </c>
      <c r="AV245" s="32">
        <f t="shared" si="236"/>
        <v>0</v>
      </c>
      <c r="AW245" s="85" t="str">
        <f t="shared" si="237"/>
        <v/>
      </c>
      <c r="AX245" s="86" t="str">
        <f t="shared" si="238"/>
        <v/>
      </c>
    </row>
    <row r="246" spans="1:50" x14ac:dyDescent="0.2">
      <c r="A246" s="29" t="str">
        <f t="shared" si="197"/>
        <v/>
      </c>
      <c r="B246" s="32" t="str">
        <f t="shared" si="198"/>
        <v/>
      </c>
      <c r="C246" s="35"/>
      <c r="D246" s="33" t="str">
        <f t="shared" si="199"/>
        <v/>
      </c>
      <c r="E246" s="22" t="str">
        <f t="shared" si="200"/>
        <v/>
      </c>
      <c r="F246" s="23" t="str">
        <f t="shared" si="201"/>
        <v/>
      </c>
      <c r="G246" s="23"/>
      <c r="H246" s="22"/>
      <c r="I246" s="23"/>
      <c r="J246" s="18"/>
      <c r="K246" s="13" t="str">
        <f t="shared" si="202"/>
        <v/>
      </c>
      <c r="L246" s="28" t="str">
        <f t="shared" si="196"/>
        <v/>
      </c>
      <c r="M246" s="10" t="str">
        <f t="shared" si="203"/>
        <v/>
      </c>
      <c r="N246" s="17" t="str">
        <f t="shared" si="204"/>
        <v/>
      </c>
      <c r="O246" s="39" t="str">
        <f t="shared" si="205"/>
        <v/>
      </c>
      <c r="P246" s="41" t="str">
        <f t="shared" si="206"/>
        <v/>
      </c>
      <c r="Q246" s="9" t="str">
        <f t="shared" si="207"/>
        <v/>
      </c>
      <c r="R246" s="14">
        <f t="shared" si="208"/>
        <v>0</v>
      </c>
      <c r="S246" s="61" t="str">
        <f t="shared" si="209"/>
        <v/>
      </c>
      <c r="T246" s="14">
        <f t="shared" si="210"/>
        <v>0</v>
      </c>
      <c r="U246" s="58" t="str">
        <f t="shared" si="211"/>
        <v/>
      </c>
      <c r="V246" s="14">
        <f t="shared" si="212"/>
        <v>0</v>
      </c>
      <c r="W246" s="58" t="str">
        <f t="shared" si="213"/>
        <v/>
      </c>
      <c r="X246" s="14">
        <f t="shared" si="214"/>
        <v>0</v>
      </c>
      <c r="Y246" s="58" t="str">
        <f t="shared" si="215"/>
        <v/>
      </c>
      <c r="Z246" s="31">
        <f t="shared" si="216"/>
        <v>0</v>
      </c>
      <c r="AA246" s="21">
        <f t="shared" si="217"/>
        <v>0</v>
      </c>
      <c r="AB246" s="58" t="str">
        <f t="shared" si="218"/>
        <v/>
      </c>
      <c r="AC246" s="630">
        <f t="shared" si="195"/>
        <v>0</v>
      </c>
      <c r="AD246" s="627"/>
      <c r="AE246" s="21">
        <f t="shared" si="219"/>
        <v>0</v>
      </c>
      <c r="AF246" s="58" t="str">
        <f t="shared" si="220"/>
        <v/>
      </c>
      <c r="AG246" s="21">
        <f t="shared" si="221"/>
        <v>0</v>
      </c>
      <c r="AH246" s="58" t="str">
        <f t="shared" si="222"/>
        <v/>
      </c>
      <c r="AI246" s="21">
        <f t="shared" si="223"/>
        <v>0</v>
      </c>
      <c r="AJ246" s="58" t="str">
        <f t="shared" si="224"/>
        <v/>
      </c>
      <c r="AK246" s="31">
        <f t="shared" si="225"/>
        <v>0</v>
      </c>
      <c r="AL246" s="21">
        <f t="shared" si="226"/>
        <v>0</v>
      </c>
      <c r="AM246" s="62" t="str">
        <f t="shared" si="227"/>
        <v/>
      </c>
      <c r="AN246" s="21">
        <f t="shared" si="228"/>
        <v>0</v>
      </c>
      <c r="AO246" s="62" t="str">
        <f t="shared" si="229"/>
        <v/>
      </c>
      <c r="AP246" s="21">
        <f t="shared" si="230"/>
        <v>0</v>
      </c>
      <c r="AQ246" s="62" t="str">
        <f t="shared" si="231"/>
        <v/>
      </c>
      <c r="AR246" s="31">
        <f t="shared" si="232"/>
        <v>0</v>
      </c>
      <c r="AS246" s="21">
        <f t="shared" si="233"/>
        <v>0</v>
      </c>
      <c r="AT246" s="62" t="str">
        <f t="shared" si="234"/>
        <v/>
      </c>
      <c r="AU246" s="84">
        <f t="shared" si="235"/>
        <v>0</v>
      </c>
      <c r="AV246" s="32">
        <f t="shared" si="236"/>
        <v>0</v>
      </c>
      <c r="AW246" s="85" t="str">
        <f t="shared" si="237"/>
        <v/>
      </c>
      <c r="AX246" s="86" t="str">
        <f t="shared" si="238"/>
        <v/>
      </c>
    </row>
    <row r="247" spans="1:50" x14ac:dyDescent="0.2">
      <c r="A247" s="29" t="str">
        <f t="shared" si="197"/>
        <v/>
      </c>
      <c r="B247" s="32" t="str">
        <f t="shared" si="198"/>
        <v/>
      </c>
      <c r="C247" s="35"/>
      <c r="D247" s="33" t="str">
        <f t="shared" si="199"/>
        <v/>
      </c>
      <c r="E247" s="22" t="str">
        <f t="shared" si="200"/>
        <v/>
      </c>
      <c r="F247" s="23" t="str">
        <f t="shared" si="201"/>
        <v/>
      </c>
      <c r="G247" s="23"/>
      <c r="H247" s="22"/>
      <c r="I247" s="23"/>
      <c r="J247" s="18"/>
      <c r="K247" s="13" t="str">
        <f t="shared" si="202"/>
        <v/>
      </c>
      <c r="L247" s="28" t="str">
        <f t="shared" si="196"/>
        <v/>
      </c>
      <c r="M247" s="10" t="str">
        <f t="shared" si="203"/>
        <v/>
      </c>
      <c r="N247" s="17" t="str">
        <f t="shared" si="204"/>
        <v/>
      </c>
      <c r="O247" s="39" t="str">
        <f t="shared" si="205"/>
        <v/>
      </c>
      <c r="P247" s="41" t="str">
        <f t="shared" si="206"/>
        <v/>
      </c>
      <c r="Q247" s="9" t="str">
        <f t="shared" si="207"/>
        <v/>
      </c>
      <c r="R247" s="14">
        <f t="shared" si="208"/>
        <v>0</v>
      </c>
      <c r="S247" s="61" t="str">
        <f t="shared" si="209"/>
        <v/>
      </c>
      <c r="T247" s="14">
        <f t="shared" si="210"/>
        <v>0</v>
      </c>
      <c r="U247" s="58" t="str">
        <f t="shared" si="211"/>
        <v/>
      </c>
      <c r="V247" s="14">
        <f t="shared" si="212"/>
        <v>0</v>
      </c>
      <c r="W247" s="58" t="str">
        <f t="shared" si="213"/>
        <v/>
      </c>
      <c r="X247" s="14">
        <f t="shared" si="214"/>
        <v>0</v>
      </c>
      <c r="Y247" s="58" t="str">
        <f t="shared" si="215"/>
        <v/>
      </c>
      <c r="Z247" s="31">
        <f t="shared" si="216"/>
        <v>0</v>
      </c>
      <c r="AA247" s="21">
        <f t="shared" si="217"/>
        <v>0</v>
      </c>
      <c r="AB247" s="58" t="str">
        <f t="shared" si="218"/>
        <v/>
      </c>
      <c r="AC247" s="630">
        <f t="shared" si="195"/>
        <v>0</v>
      </c>
      <c r="AD247" s="627"/>
      <c r="AE247" s="21">
        <f t="shared" si="219"/>
        <v>0</v>
      </c>
      <c r="AF247" s="58" t="str">
        <f t="shared" si="220"/>
        <v/>
      </c>
      <c r="AG247" s="21">
        <f t="shared" si="221"/>
        <v>0</v>
      </c>
      <c r="AH247" s="58" t="str">
        <f t="shared" si="222"/>
        <v/>
      </c>
      <c r="AI247" s="21">
        <f t="shared" si="223"/>
        <v>0</v>
      </c>
      <c r="AJ247" s="58" t="str">
        <f t="shared" si="224"/>
        <v/>
      </c>
      <c r="AK247" s="31">
        <f t="shared" si="225"/>
        <v>0</v>
      </c>
      <c r="AL247" s="21">
        <f t="shared" si="226"/>
        <v>0</v>
      </c>
      <c r="AM247" s="62" t="str">
        <f t="shared" si="227"/>
        <v/>
      </c>
      <c r="AN247" s="21">
        <f t="shared" si="228"/>
        <v>0</v>
      </c>
      <c r="AO247" s="62" t="str">
        <f t="shared" si="229"/>
        <v/>
      </c>
      <c r="AP247" s="21">
        <f t="shared" si="230"/>
        <v>0</v>
      </c>
      <c r="AQ247" s="62" t="str">
        <f t="shared" si="231"/>
        <v/>
      </c>
      <c r="AR247" s="31">
        <f t="shared" si="232"/>
        <v>0</v>
      </c>
      <c r="AS247" s="21">
        <f t="shared" si="233"/>
        <v>0</v>
      </c>
      <c r="AT247" s="62" t="str">
        <f t="shared" si="234"/>
        <v/>
      </c>
      <c r="AU247" s="84">
        <f t="shared" si="235"/>
        <v>0</v>
      </c>
      <c r="AV247" s="32">
        <f t="shared" si="236"/>
        <v>0</v>
      </c>
      <c r="AW247" s="85" t="str">
        <f t="shared" si="237"/>
        <v/>
      </c>
      <c r="AX247" s="86" t="str">
        <f t="shared" si="238"/>
        <v/>
      </c>
    </row>
    <row r="248" spans="1:50" x14ac:dyDescent="0.2">
      <c r="A248" s="29" t="str">
        <f t="shared" si="197"/>
        <v/>
      </c>
      <c r="B248" s="32" t="str">
        <f t="shared" si="198"/>
        <v/>
      </c>
      <c r="C248" s="35"/>
      <c r="D248" s="33" t="str">
        <f t="shared" si="199"/>
        <v/>
      </c>
      <c r="E248" s="22" t="str">
        <f t="shared" si="200"/>
        <v/>
      </c>
      <c r="F248" s="23" t="str">
        <f t="shared" si="201"/>
        <v/>
      </c>
      <c r="G248" s="23"/>
      <c r="H248" s="22"/>
      <c r="I248" s="23"/>
      <c r="J248" s="18"/>
      <c r="K248" s="13" t="str">
        <f t="shared" si="202"/>
        <v/>
      </c>
      <c r="L248" s="28" t="str">
        <f t="shared" si="196"/>
        <v/>
      </c>
      <c r="M248" s="10" t="str">
        <f t="shared" si="203"/>
        <v/>
      </c>
      <c r="N248" s="17" t="str">
        <f t="shared" si="204"/>
        <v/>
      </c>
      <c r="O248" s="39" t="str">
        <f t="shared" si="205"/>
        <v/>
      </c>
      <c r="P248" s="41" t="str">
        <f t="shared" si="206"/>
        <v/>
      </c>
      <c r="Q248" s="9" t="str">
        <f t="shared" si="207"/>
        <v/>
      </c>
      <c r="R248" s="14">
        <f t="shared" si="208"/>
        <v>0</v>
      </c>
      <c r="S248" s="61" t="str">
        <f t="shared" si="209"/>
        <v/>
      </c>
      <c r="T248" s="14">
        <f t="shared" si="210"/>
        <v>0</v>
      </c>
      <c r="U248" s="58" t="str">
        <f t="shared" si="211"/>
        <v/>
      </c>
      <c r="V248" s="14">
        <f t="shared" si="212"/>
        <v>0</v>
      </c>
      <c r="W248" s="58" t="str">
        <f t="shared" si="213"/>
        <v/>
      </c>
      <c r="X248" s="14">
        <f t="shared" si="214"/>
        <v>0</v>
      </c>
      <c r="Y248" s="58" t="str">
        <f t="shared" si="215"/>
        <v/>
      </c>
      <c r="Z248" s="31">
        <f t="shared" si="216"/>
        <v>0</v>
      </c>
      <c r="AA248" s="21">
        <f t="shared" si="217"/>
        <v>0</v>
      </c>
      <c r="AB248" s="58" t="str">
        <f t="shared" si="218"/>
        <v/>
      </c>
      <c r="AC248" s="630">
        <f t="shared" si="195"/>
        <v>0</v>
      </c>
      <c r="AD248" s="627"/>
      <c r="AE248" s="21">
        <f t="shared" si="219"/>
        <v>0</v>
      </c>
      <c r="AF248" s="58" t="str">
        <f t="shared" si="220"/>
        <v/>
      </c>
      <c r="AG248" s="21">
        <f t="shared" si="221"/>
        <v>0</v>
      </c>
      <c r="AH248" s="58" t="str">
        <f t="shared" si="222"/>
        <v/>
      </c>
      <c r="AI248" s="21">
        <f t="shared" si="223"/>
        <v>0</v>
      </c>
      <c r="AJ248" s="58" t="str">
        <f t="shared" si="224"/>
        <v/>
      </c>
      <c r="AK248" s="31">
        <f t="shared" si="225"/>
        <v>0</v>
      </c>
      <c r="AL248" s="21">
        <f t="shared" si="226"/>
        <v>0</v>
      </c>
      <c r="AM248" s="62" t="str">
        <f t="shared" si="227"/>
        <v/>
      </c>
      <c r="AN248" s="21">
        <f t="shared" si="228"/>
        <v>0</v>
      </c>
      <c r="AO248" s="62" t="str">
        <f t="shared" si="229"/>
        <v/>
      </c>
      <c r="AP248" s="21">
        <f t="shared" si="230"/>
        <v>0</v>
      </c>
      <c r="AQ248" s="62" t="str">
        <f t="shared" si="231"/>
        <v/>
      </c>
      <c r="AR248" s="31">
        <f t="shared" si="232"/>
        <v>0</v>
      </c>
      <c r="AS248" s="21">
        <f t="shared" si="233"/>
        <v>0</v>
      </c>
      <c r="AT248" s="62" t="str">
        <f t="shared" si="234"/>
        <v/>
      </c>
      <c r="AU248" s="84">
        <f t="shared" si="235"/>
        <v>0</v>
      </c>
      <c r="AV248" s="32">
        <f t="shared" si="236"/>
        <v>0</v>
      </c>
      <c r="AW248" s="85" t="str">
        <f t="shared" si="237"/>
        <v/>
      </c>
      <c r="AX248" s="86" t="str">
        <f t="shared" si="238"/>
        <v/>
      </c>
    </row>
    <row r="249" spans="1:50" x14ac:dyDescent="0.2">
      <c r="A249" s="29" t="str">
        <f t="shared" si="197"/>
        <v/>
      </c>
      <c r="B249" s="32" t="str">
        <f t="shared" si="198"/>
        <v/>
      </c>
      <c r="C249" s="35"/>
      <c r="D249" s="33" t="str">
        <f t="shared" si="199"/>
        <v/>
      </c>
      <c r="E249" s="22" t="str">
        <f t="shared" si="200"/>
        <v/>
      </c>
      <c r="F249" s="23" t="str">
        <f t="shared" si="201"/>
        <v/>
      </c>
      <c r="G249" s="23"/>
      <c r="H249" s="22"/>
      <c r="I249" s="23"/>
      <c r="J249" s="18"/>
      <c r="K249" s="13" t="str">
        <f t="shared" si="202"/>
        <v/>
      </c>
      <c r="L249" s="28" t="str">
        <f t="shared" si="196"/>
        <v/>
      </c>
      <c r="M249" s="10" t="str">
        <f t="shared" si="203"/>
        <v/>
      </c>
      <c r="N249" s="17" t="str">
        <f t="shared" si="204"/>
        <v/>
      </c>
      <c r="O249" s="39" t="str">
        <f t="shared" si="205"/>
        <v/>
      </c>
      <c r="P249" s="41" t="str">
        <f t="shared" si="206"/>
        <v/>
      </c>
      <c r="Q249" s="9" t="str">
        <f t="shared" si="207"/>
        <v/>
      </c>
      <c r="R249" s="14">
        <f t="shared" si="208"/>
        <v>0</v>
      </c>
      <c r="S249" s="61" t="str">
        <f t="shared" si="209"/>
        <v/>
      </c>
      <c r="T249" s="14">
        <f t="shared" si="210"/>
        <v>0</v>
      </c>
      <c r="U249" s="58" t="str">
        <f t="shared" si="211"/>
        <v/>
      </c>
      <c r="V249" s="14">
        <f t="shared" si="212"/>
        <v>0</v>
      </c>
      <c r="W249" s="58" t="str">
        <f t="shared" si="213"/>
        <v/>
      </c>
      <c r="X249" s="14">
        <f t="shared" si="214"/>
        <v>0</v>
      </c>
      <c r="Y249" s="58" t="str">
        <f t="shared" si="215"/>
        <v/>
      </c>
      <c r="Z249" s="31">
        <f t="shared" si="216"/>
        <v>0</v>
      </c>
      <c r="AA249" s="21">
        <f t="shared" si="217"/>
        <v>0</v>
      </c>
      <c r="AB249" s="58" t="str">
        <f t="shared" si="218"/>
        <v/>
      </c>
      <c r="AC249" s="630">
        <f t="shared" si="195"/>
        <v>0</v>
      </c>
      <c r="AD249" s="627"/>
      <c r="AE249" s="21">
        <f t="shared" si="219"/>
        <v>0</v>
      </c>
      <c r="AF249" s="58" t="str">
        <f t="shared" si="220"/>
        <v/>
      </c>
      <c r="AG249" s="21">
        <f t="shared" si="221"/>
        <v>0</v>
      </c>
      <c r="AH249" s="58" t="str">
        <f t="shared" si="222"/>
        <v/>
      </c>
      <c r="AI249" s="21">
        <f t="shared" si="223"/>
        <v>0</v>
      </c>
      <c r="AJ249" s="58" t="str">
        <f t="shared" si="224"/>
        <v/>
      </c>
      <c r="AK249" s="31">
        <f t="shared" si="225"/>
        <v>0</v>
      </c>
      <c r="AL249" s="21">
        <f t="shared" si="226"/>
        <v>0</v>
      </c>
      <c r="AM249" s="62" t="str">
        <f t="shared" si="227"/>
        <v/>
      </c>
      <c r="AN249" s="21">
        <f t="shared" si="228"/>
        <v>0</v>
      </c>
      <c r="AO249" s="62" t="str">
        <f t="shared" si="229"/>
        <v/>
      </c>
      <c r="AP249" s="21">
        <f t="shared" si="230"/>
        <v>0</v>
      </c>
      <c r="AQ249" s="62" t="str">
        <f t="shared" si="231"/>
        <v/>
      </c>
      <c r="AR249" s="31">
        <f t="shared" si="232"/>
        <v>0</v>
      </c>
      <c r="AS249" s="21">
        <f t="shared" si="233"/>
        <v>0</v>
      </c>
      <c r="AT249" s="62" t="str">
        <f t="shared" si="234"/>
        <v/>
      </c>
      <c r="AU249" s="84">
        <f t="shared" si="235"/>
        <v>0</v>
      </c>
      <c r="AV249" s="32">
        <f t="shared" si="236"/>
        <v>0</v>
      </c>
      <c r="AW249" s="85" t="str">
        <f t="shared" si="237"/>
        <v/>
      </c>
      <c r="AX249" s="86" t="str">
        <f t="shared" si="238"/>
        <v/>
      </c>
    </row>
    <row r="250" spans="1:50" x14ac:dyDescent="0.2">
      <c r="A250" s="29" t="str">
        <f t="shared" si="197"/>
        <v/>
      </c>
      <c r="B250" s="32" t="str">
        <f t="shared" si="198"/>
        <v/>
      </c>
      <c r="C250" s="35"/>
      <c r="D250" s="33" t="str">
        <f t="shared" si="199"/>
        <v/>
      </c>
      <c r="E250" s="22" t="str">
        <f t="shared" si="200"/>
        <v/>
      </c>
      <c r="F250" s="23" t="str">
        <f t="shared" si="201"/>
        <v/>
      </c>
      <c r="G250" s="23"/>
      <c r="H250" s="22"/>
      <c r="I250" s="23"/>
      <c r="J250" s="18"/>
      <c r="K250" s="13" t="str">
        <f t="shared" si="202"/>
        <v/>
      </c>
      <c r="L250" s="28" t="str">
        <f t="shared" si="196"/>
        <v/>
      </c>
      <c r="M250" s="10" t="str">
        <f t="shared" si="203"/>
        <v/>
      </c>
      <c r="N250" s="17" t="str">
        <f t="shared" si="204"/>
        <v/>
      </c>
      <c r="O250" s="39" t="str">
        <f t="shared" si="205"/>
        <v/>
      </c>
      <c r="P250" s="41" t="str">
        <f t="shared" si="206"/>
        <v/>
      </c>
      <c r="Q250" s="9" t="str">
        <f t="shared" si="207"/>
        <v/>
      </c>
      <c r="R250" s="14">
        <f t="shared" si="208"/>
        <v>0</v>
      </c>
      <c r="S250" s="61" t="str">
        <f t="shared" si="209"/>
        <v/>
      </c>
      <c r="T250" s="14">
        <f t="shared" si="210"/>
        <v>0</v>
      </c>
      <c r="U250" s="58" t="str">
        <f t="shared" si="211"/>
        <v/>
      </c>
      <c r="V250" s="14">
        <f t="shared" si="212"/>
        <v>0</v>
      </c>
      <c r="W250" s="58" t="str">
        <f t="shared" si="213"/>
        <v/>
      </c>
      <c r="X250" s="14">
        <f t="shared" si="214"/>
        <v>0</v>
      </c>
      <c r="Y250" s="58" t="str">
        <f t="shared" si="215"/>
        <v/>
      </c>
      <c r="Z250" s="31">
        <f t="shared" si="216"/>
        <v>0</v>
      </c>
      <c r="AA250" s="21">
        <f t="shared" si="217"/>
        <v>0</v>
      </c>
      <c r="AB250" s="58" t="str">
        <f t="shared" si="218"/>
        <v/>
      </c>
      <c r="AC250" s="630">
        <f t="shared" si="195"/>
        <v>0</v>
      </c>
      <c r="AD250" s="627"/>
      <c r="AE250" s="21">
        <f t="shared" si="219"/>
        <v>0</v>
      </c>
      <c r="AF250" s="58" t="str">
        <f t="shared" si="220"/>
        <v/>
      </c>
      <c r="AG250" s="21">
        <f t="shared" si="221"/>
        <v>0</v>
      </c>
      <c r="AH250" s="58" t="str">
        <f t="shared" si="222"/>
        <v/>
      </c>
      <c r="AI250" s="21">
        <f t="shared" si="223"/>
        <v>0</v>
      </c>
      <c r="AJ250" s="58" t="str">
        <f t="shared" si="224"/>
        <v/>
      </c>
      <c r="AK250" s="31">
        <f t="shared" si="225"/>
        <v>0</v>
      </c>
      <c r="AL250" s="21">
        <f t="shared" si="226"/>
        <v>0</v>
      </c>
      <c r="AM250" s="62" t="str">
        <f t="shared" si="227"/>
        <v/>
      </c>
      <c r="AN250" s="21">
        <f t="shared" si="228"/>
        <v>0</v>
      </c>
      <c r="AO250" s="62" t="str">
        <f t="shared" si="229"/>
        <v/>
      </c>
      <c r="AP250" s="21">
        <f t="shared" si="230"/>
        <v>0</v>
      </c>
      <c r="AQ250" s="62" t="str">
        <f t="shared" si="231"/>
        <v/>
      </c>
      <c r="AR250" s="31">
        <f t="shared" si="232"/>
        <v>0</v>
      </c>
      <c r="AS250" s="21">
        <f t="shared" si="233"/>
        <v>0</v>
      </c>
      <c r="AT250" s="62" t="str">
        <f t="shared" si="234"/>
        <v/>
      </c>
      <c r="AU250" s="84">
        <f t="shared" si="235"/>
        <v>0</v>
      </c>
      <c r="AV250" s="32">
        <f t="shared" si="236"/>
        <v>0</v>
      </c>
      <c r="AW250" s="85" t="str">
        <f t="shared" si="237"/>
        <v/>
      </c>
      <c r="AX250" s="86" t="str">
        <f t="shared" si="238"/>
        <v/>
      </c>
    </row>
    <row r="251" spans="1:50" x14ac:dyDescent="0.2">
      <c r="A251" s="29" t="str">
        <f t="shared" si="197"/>
        <v/>
      </c>
      <c r="B251" s="32" t="str">
        <f t="shared" si="198"/>
        <v/>
      </c>
      <c r="C251" s="35"/>
      <c r="D251" s="33" t="str">
        <f t="shared" si="199"/>
        <v/>
      </c>
      <c r="E251" s="22" t="str">
        <f t="shared" si="200"/>
        <v/>
      </c>
      <c r="F251" s="23" t="str">
        <f t="shared" si="201"/>
        <v/>
      </c>
      <c r="G251" s="23"/>
      <c r="H251" s="22"/>
      <c r="I251" s="23"/>
      <c r="J251" s="18"/>
      <c r="K251" s="13" t="str">
        <f t="shared" si="202"/>
        <v/>
      </c>
      <c r="L251" s="28" t="str">
        <f t="shared" si="196"/>
        <v/>
      </c>
      <c r="M251" s="10" t="str">
        <f t="shared" si="203"/>
        <v/>
      </c>
      <c r="N251" s="17" t="str">
        <f t="shared" si="204"/>
        <v/>
      </c>
      <c r="O251" s="39" t="str">
        <f t="shared" si="205"/>
        <v/>
      </c>
      <c r="P251" s="41" t="str">
        <f t="shared" si="206"/>
        <v/>
      </c>
      <c r="Q251" s="9" t="str">
        <f t="shared" si="207"/>
        <v/>
      </c>
      <c r="R251" s="14">
        <f t="shared" si="208"/>
        <v>0</v>
      </c>
      <c r="S251" s="61" t="str">
        <f t="shared" si="209"/>
        <v/>
      </c>
      <c r="T251" s="14">
        <f t="shared" si="210"/>
        <v>0</v>
      </c>
      <c r="U251" s="58" t="str">
        <f t="shared" si="211"/>
        <v/>
      </c>
      <c r="V251" s="14">
        <f t="shared" si="212"/>
        <v>0</v>
      </c>
      <c r="W251" s="58" t="str">
        <f t="shared" si="213"/>
        <v/>
      </c>
      <c r="X251" s="14">
        <f t="shared" si="214"/>
        <v>0</v>
      </c>
      <c r="Y251" s="58" t="str">
        <f t="shared" si="215"/>
        <v/>
      </c>
      <c r="Z251" s="31">
        <f t="shared" si="216"/>
        <v>0</v>
      </c>
      <c r="AA251" s="21">
        <f t="shared" si="217"/>
        <v>0</v>
      </c>
      <c r="AB251" s="58" t="str">
        <f t="shared" si="218"/>
        <v/>
      </c>
      <c r="AC251" s="630">
        <f t="shared" si="195"/>
        <v>0</v>
      </c>
      <c r="AD251" s="627"/>
      <c r="AE251" s="21">
        <f t="shared" si="219"/>
        <v>0</v>
      </c>
      <c r="AF251" s="58" t="str">
        <f t="shared" si="220"/>
        <v/>
      </c>
      <c r="AG251" s="21">
        <f t="shared" si="221"/>
        <v>0</v>
      </c>
      <c r="AH251" s="58" t="str">
        <f t="shared" si="222"/>
        <v/>
      </c>
      <c r="AI251" s="21">
        <f t="shared" si="223"/>
        <v>0</v>
      </c>
      <c r="AJ251" s="58" t="str">
        <f t="shared" si="224"/>
        <v/>
      </c>
      <c r="AK251" s="31">
        <f t="shared" si="225"/>
        <v>0</v>
      </c>
      <c r="AL251" s="21">
        <f t="shared" si="226"/>
        <v>0</v>
      </c>
      <c r="AM251" s="62" t="str">
        <f t="shared" si="227"/>
        <v/>
      </c>
      <c r="AN251" s="21">
        <f t="shared" si="228"/>
        <v>0</v>
      </c>
      <c r="AO251" s="62" t="str">
        <f t="shared" si="229"/>
        <v/>
      </c>
      <c r="AP251" s="21">
        <f t="shared" si="230"/>
        <v>0</v>
      </c>
      <c r="AQ251" s="62" t="str">
        <f t="shared" si="231"/>
        <v/>
      </c>
      <c r="AR251" s="31">
        <f t="shared" si="232"/>
        <v>0</v>
      </c>
      <c r="AS251" s="21">
        <f t="shared" si="233"/>
        <v>0</v>
      </c>
      <c r="AT251" s="62" t="str">
        <f t="shared" si="234"/>
        <v/>
      </c>
      <c r="AU251" s="84">
        <f t="shared" si="235"/>
        <v>0</v>
      </c>
      <c r="AV251" s="32">
        <f t="shared" si="236"/>
        <v>0</v>
      </c>
      <c r="AW251" s="85" t="str">
        <f t="shared" si="237"/>
        <v/>
      </c>
      <c r="AX251" s="86" t="str">
        <f t="shared" si="238"/>
        <v/>
      </c>
    </row>
    <row r="252" spans="1:50" x14ac:dyDescent="0.2">
      <c r="A252" s="29" t="str">
        <f t="shared" si="197"/>
        <v/>
      </c>
      <c r="B252" s="32" t="str">
        <f t="shared" si="198"/>
        <v/>
      </c>
      <c r="C252" s="35"/>
      <c r="D252" s="33" t="str">
        <f t="shared" si="199"/>
        <v/>
      </c>
      <c r="E252" s="22" t="str">
        <f t="shared" si="200"/>
        <v/>
      </c>
      <c r="F252" s="23" t="str">
        <f t="shared" si="201"/>
        <v/>
      </c>
      <c r="G252" s="23"/>
      <c r="H252" s="22"/>
      <c r="I252" s="23"/>
      <c r="J252" s="18"/>
      <c r="K252" s="13" t="str">
        <f t="shared" si="202"/>
        <v/>
      </c>
      <c r="L252" s="28" t="str">
        <f t="shared" si="196"/>
        <v/>
      </c>
      <c r="M252" s="10" t="str">
        <f t="shared" si="203"/>
        <v/>
      </c>
      <c r="N252" s="17" t="str">
        <f t="shared" si="204"/>
        <v/>
      </c>
      <c r="O252" s="39" t="str">
        <f t="shared" si="205"/>
        <v/>
      </c>
      <c r="P252" s="41" t="str">
        <f t="shared" si="206"/>
        <v/>
      </c>
      <c r="Q252" s="9" t="str">
        <f t="shared" si="207"/>
        <v/>
      </c>
      <c r="R252" s="14">
        <f t="shared" si="208"/>
        <v>0</v>
      </c>
      <c r="S252" s="61" t="str">
        <f t="shared" si="209"/>
        <v/>
      </c>
      <c r="T252" s="14">
        <f t="shared" si="210"/>
        <v>0</v>
      </c>
      <c r="U252" s="58" t="str">
        <f t="shared" si="211"/>
        <v/>
      </c>
      <c r="V252" s="14">
        <f t="shared" si="212"/>
        <v>0</v>
      </c>
      <c r="W252" s="58" t="str">
        <f t="shared" si="213"/>
        <v/>
      </c>
      <c r="X252" s="14">
        <f t="shared" si="214"/>
        <v>0</v>
      </c>
      <c r="Y252" s="58" t="str">
        <f t="shared" si="215"/>
        <v/>
      </c>
      <c r="Z252" s="31">
        <f t="shared" si="216"/>
        <v>0</v>
      </c>
      <c r="AA252" s="21">
        <f t="shared" si="217"/>
        <v>0</v>
      </c>
      <c r="AB252" s="58" t="str">
        <f t="shared" si="218"/>
        <v/>
      </c>
      <c r="AC252" s="630">
        <f t="shared" si="195"/>
        <v>0</v>
      </c>
      <c r="AD252" s="627"/>
      <c r="AE252" s="21">
        <f t="shared" si="219"/>
        <v>0</v>
      </c>
      <c r="AF252" s="58" t="str">
        <f t="shared" si="220"/>
        <v/>
      </c>
      <c r="AG252" s="21">
        <f t="shared" si="221"/>
        <v>0</v>
      </c>
      <c r="AH252" s="58" t="str">
        <f t="shared" si="222"/>
        <v/>
      </c>
      <c r="AI252" s="21">
        <f t="shared" si="223"/>
        <v>0</v>
      </c>
      <c r="AJ252" s="58" t="str">
        <f t="shared" si="224"/>
        <v/>
      </c>
      <c r="AK252" s="31">
        <f t="shared" si="225"/>
        <v>0</v>
      </c>
      <c r="AL252" s="21">
        <f t="shared" si="226"/>
        <v>0</v>
      </c>
      <c r="AM252" s="62" t="str">
        <f t="shared" si="227"/>
        <v/>
      </c>
      <c r="AN252" s="21">
        <f t="shared" si="228"/>
        <v>0</v>
      </c>
      <c r="AO252" s="62" t="str">
        <f t="shared" si="229"/>
        <v/>
      </c>
      <c r="AP252" s="21">
        <f t="shared" si="230"/>
        <v>0</v>
      </c>
      <c r="AQ252" s="62" t="str">
        <f t="shared" si="231"/>
        <v/>
      </c>
      <c r="AR252" s="31">
        <f t="shared" si="232"/>
        <v>0</v>
      </c>
      <c r="AS252" s="21">
        <f t="shared" si="233"/>
        <v>0</v>
      </c>
      <c r="AT252" s="62" t="str">
        <f t="shared" si="234"/>
        <v/>
      </c>
      <c r="AU252" s="84">
        <f t="shared" si="235"/>
        <v>0</v>
      </c>
      <c r="AV252" s="32">
        <f t="shared" si="236"/>
        <v>0</v>
      </c>
      <c r="AW252" s="85" t="str">
        <f t="shared" si="237"/>
        <v/>
      </c>
      <c r="AX252" s="86" t="str">
        <f t="shared" si="238"/>
        <v/>
      </c>
    </row>
    <row r="253" spans="1:50" x14ac:dyDescent="0.2">
      <c r="A253" s="29" t="str">
        <f t="shared" si="197"/>
        <v/>
      </c>
      <c r="B253" s="32" t="str">
        <f t="shared" si="198"/>
        <v/>
      </c>
      <c r="C253" s="35"/>
      <c r="D253" s="33" t="str">
        <f t="shared" si="199"/>
        <v/>
      </c>
      <c r="E253" s="22" t="str">
        <f t="shared" si="200"/>
        <v/>
      </c>
      <c r="F253" s="23" t="str">
        <f t="shared" si="201"/>
        <v/>
      </c>
      <c r="G253" s="23"/>
      <c r="H253" s="22"/>
      <c r="I253" s="23"/>
      <c r="J253" s="18"/>
      <c r="K253" s="13" t="str">
        <f t="shared" si="202"/>
        <v/>
      </c>
      <c r="L253" s="28" t="str">
        <f t="shared" si="196"/>
        <v/>
      </c>
      <c r="M253" s="10" t="str">
        <f t="shared" si="203"/>
        <v/>
      </c>
      <c r="N253" s="17" t="str">
        <f t="shared" si="204"/>
        <v/>
      </c>
      <c r="O253" s="39" t="str">
        <f t="shared" si="205"/>
        <v/>
      </c>
      <c r="P253" s="41" t="str">
        <f t="shared" si="206"/>
        <v/>
      </c>
      <c r="Q253" s="9" t="str">
        <f t="shared" si="207"/>
        <v/>
      </c>
      <c r="R253" s="14">
        <f t="shared" si="208"/>
        <v>0</v>
      </c>
      <c r="S253" s="61" t="str">
        <f t="shared" si="209"/>
        <v/>
      </c>
      <c r="T253" s="14">
        <f t="shared" si="210"/>
        <v>0</v>
      </c>
      <c r="U253" s="58" t="str">
        <f t="shared" si="211"/>
        <v/>
      </c>
      <c r="V253" s="14">
        <f t="shared" si="212"/>
        <v>0</v>
      </c>
      <c r="W253" s="58" t="str">
        <f t="shared" si="213"/>
        <v/>
      </c>
      <c r="X253" s="14">
        <f t="shared" si="214"/>
        <v>0</v>
      </c>
      <c r="Y253" s="58" t="str">
        <f t="shared" si="215"/>
        <v/>
      </c>
      <c r="Z253" s="31">
        <f t="shared" si="216"/>
        <v>0</v>
      </c>
      <c r="AA253" s="21">
        <f t="shared" si="217"/>
        <v>0</v>
      </c>
      <c r="AB253" s="58" t="str">
        <f t="shared" si="218"/>
        <v/>
      </c>
      <c r="AC253" s="630">
        <f t="shared" si="195"/>
        <v>0</v>
      </c>
      <c r="AD253" s="627"/>
      <c r="AE253" s="21">
        <f t="shared" si="219"/>
        <v>0</v>
      </c>
      <c r="AF253" s="58" t="str">
        <f t="shared" si="220"/>
        <v/>
      </c>
      <c r="AG253" s="21">
        <f t="shared" si="221"/>
        <v>0</v>
      </c>
      <c r="AH253" s="58" t="str">
        <f t="shared" si="222"/>
        <v/>
      </c>
      <c r="AI253" s="21">
        <f t="shared" si="223"/>
        <v>0</v>
      </c>
      <c r="AJ253" s="58" t="str">
        <f t="shared" si="224"/>
        <v/>
      </c>
      <c r="AK253" s="31">
        <f t="shared" si="225"/>
        <v>0</v>
      </c>
      <c r="AL253" s="21">
        <f t="shared" si="226"/>
        <v>0</v>
      </c>
      <c r="AM253" s="62" t="str">
        <f t="shared" si="227"/>
        <v/>
      </c>
      <c r="AN253" s="21">
        <f t="shared" si="228"/>
        <v>0</v>
      </c>
      <c r="AO253" s="62" t="str">
        <f t="shared" si="229"/>
        <v/>
      </c>
      <c r="AP253" s="21">
        <f t="shared" si="230"/>
        <v>0</v>
      </c>
      <c r="AQ253" s="62" t="str">
        <f t="shared" si="231"/>
        <v/>
      </c>
      <c r="AR253" s="31">
        <f t="shared" si="232"/>
        <v>0</v>
      </c>
      <c r="AS253" s="21">
        <f t="shared" si="233"/>
        <v>0</v>
      </c>
      <c r="AT253" s="62" t="str">
        <f t="shared" si="234"/>
        <v/>
      </c>
      <c r="AU253" s="84">
        <f t="shared" si="235"/>
        <v>0</v>
      </c>
      <c r="AV253" s="32">
        <f t="shared" si="236"/>
        <v>0</v>
      </c>
      <c r="AW253" s="85" t="str">
        <f t="shared" si="237"/>
        <v/>
      </c>
      <c r="AX253" s="86" t="str">
        <f t="shared" si="238"/>
        <v/>
      </c>
    </row>
    <row r="254" spans="1:50" x14ac:dyDescent="0.2">
      <c r="A254" s="29" t="str">
        <f t="shared" si="197"/>
        <v/>
      </c>
      <c r="B254" s="32" t="str">
        <f t="shared" si="198"/>
        <v/>
      </c>
      <c r="C254" s="35"/>
      <c r="D254" s="33" t="str">
        <f t="shared" si="199"/>
        <v/>
      </c>
      <c r="E254" s="22" t="str">
        <f t="shared" si="200"/>
        <v/>
      </c>
      <c r="F254" s="23" t="str">
        <f t="shared" si="201"/>
        <v/>
      </c>
      <c r="G254" s="23"/>
      <c r="H254" s="22"/>
      <c r="I254" s="23"/>
      <c r="J254" s="18"/>
      <c r="K254" s="13" t="str">
        <f t="shared" si="202"/>
        <v/>
      </c>
      <c r="L254" s="28" t="str">
        <f t="shared" si="196"/>
        <v/>
      </c>
      <c r="M254" s="10" t="str">
        <f t="shared" si="203"/>
        <v/>
      </c>
      <c r="N254" s="17" t="str">
        <f t="shared" si="204"/>
        <v/>
      </c>
      <c r="O254" s="39" t="str">
        <f t="shared" si="205"/>
        <v/>
      </c>
      <c r="P254" s="41" t="str">
        <f t="shared" si="206"/>
        <v/>
      </c>
      <c r="Q254" s="9" t="str">
        <f t="shared" si="207"/>
        <v/>
      </c>
      <c r="R254" s="14">
        <f t="shared" si="208"/>
        <v>0</v>
      </c>
      <c r="S254" s="61" t="str">
        <f t="shared" si="209"/>
        <v/>
      </c>
      <c r="T254" s="14">
        <f t="shared" si="210"/>
        <v>0</v>
      </c>
      <c r="U254" s="58" t="str">
        <f t="shared" si="211"/>
        <v/>
      </c>
      <c r="V254" s="14">
        <f t="shared" si="212"/>
        <v>0</v>
      </c>
      <c r="W254" s="58" t="str">
        <f t="shared" si="213"/>
        <v/>
      </c>
      <c r="X254" s="14">
        <f t="shared" si="214"/>
        <v>0</v>
      </c>
      <c r="Y254" s="58" t="str">
        <f t="shared" si="215"/>
        <v/>
      </c>
      <c r="Z254" s="31">
        <f t="shared" si="216"/>
        <v>0</v>
      </c>
      <c r="AA254" s="21">
        <f t="shared" si="217"/>
        <v>0</v>
      </c>
      <c r="AB254" s="58" t="str">
        <f t="shared" si="218"/>
        <v/>
      </c>
      <c r="AC254" s="630">
        <f t="shared" si="195"/>
        <v>0</v>
      </c>
      <c r="AD254" s="627"/>
      <c r="AE254" s="21">
        <f t="shared" si="219"/>
        <v>0</v>
      </c>
      <c r="AF254" s="58" t="str">
        <f t="shared" si="220"/>
        <v/>
      </c>
      <c r="AG254" s="21">
        <f t="shared" si="221"/>
        <v>0</v>
      </c>
      <c r="AH254" s="58" t="str">
        <f t="shared" si="222"/>
        <v/>
      </c>
      <c r="AI254" s="21">
        <f t="shared" si="223"/>
        <v>0</v>
      </c>
      <c r="AJ254" s="58" t="str">
        <f t="shared" si="224"/>
        <v/>
      </c>
      <c r="AK254" s="31">
        <f t="shared" si="225"/>
        <v>0</v>
      </c>
      <c r="AL254" s="21">
        <f t="shared" si="226"/>
        <v>0</v>
      </c>
      <c r="AM254" s="62" t="str">
        <f t="shared" si="227"/>
        <v/>
      </c>
      <c r="AN254" s="21">
        <f t="shared" si="228"/>
        <v>0</v>
      </c>
      <c r="AO254" s="62" t="str">
        <f t="shared" si="229"/>
        <v/>
      </c>
      <c r="AP254" s="21">
        <f t="shared" si="230"/>
        <v>0</v>
      </c>
      <c r="AQ254" s="62" t="str">
        <f t="shared" si="231"/>
        <v/>
      </c>
      <c r="AR254" s="31">
        <f t="shared" si="232"/>
        <v>0</v>
      </c>
      <c r="AS254" s="21">
        <f t="shared" si="233"/>
        <v>0</v>
      </c>
      <c r="AT254" s="62" t="str">
        <f t="shared" si="234"/>
        <v/>
      </c>
      <c r="AU254" s="84">
        <f t="shared" si="235"/>
        <v>0</v>
      </c>
      <c r="AV254" s="32">
        <f t="shared" si="236"/>
        <v>0</v>
      </c>
      <c r="AW254" s="85" t="str">
        <f t="shared" si="237"/>
        <v/>
      </c>
      <c r="AX254" s="86" t="str">
        <f t="shared" si="238"/>
        <v/>
      </c>
    </row>
    <row r="255" spans="1:50" x14ac:dyDescent="0.2">
      <c r="A255" s="29" t="str">
        <f t="shared" si="197"/>
        <v/>
      </c>
      <c r="B255" s="32" t="str">
        <f t="shared" si="198"/>
        <v/>
      </c>
      <c r="C255" s="35"/>
      <c r="D255" s="33" t="str">
        <f t="shared" si="199"/>
        <v/>
      </c>
      <c r="E255" s="22" t="str">
        <f t="shared" si="200"/>
        <v/>
      </c>
      <c r="F255" s="23" t="str">
        <f t="shared" si="201"/>
        <v/>
      </c>
      <c r="G255" s="23"/>
      <c r="H255" s="22"/>
      <c r="I255" s="23"/>
      <c r="J255" s="18"/>
      <c r="K255" s="13" t="str">
        <f t="shared" si="202"/>
        <v/>
      </c>
      <c r="L255" s="28" t="str">
        <f t="shared" si="196"/>
        <v/>
      </c>
      <c r="M255" s="10" t="str">
        <f t="shared" si="203"/>
        <v/>
      </c>
      <c r="N255" s="17" t="str">
        <f t="shared" si="204"/>
        <v/>
      </c>
      <c r="O255" s="39" t="str">
        <f t="shared" si="205"/>
        <v/>
      </c>
      <c r="P255" s="41" t="str">
        <f t="shared" si="206"/>
        <v/>
      </c>
      <c r="Q255" s="9" t="str">
        <f t="shared" si="207"/>
        <v/>
      </c>
      <c r="R255" s="14">
        <f t="shared" si="208"/>
        <v>0</v>
      </c>
      <c r="S255" s="61" t="str">
        <f t="shared" si="209"/>
        <v/>
      </c>
      <c r="T255" s="14">
        <f t="shared" si="210"/>
        <v>0</v>
      </c>
      <c r="U255" s="58" t="str">
        <f t="shared" si="211"/>
        <v/>
      </c>
      <c r="V255" s="14">
        <f t="shared" si="212"/>
        <v>0</v>
      </c>
      <c r="W255" s="58" t="str">
        <f t="shared" si="213"/>
        <v/>
      </c>
      <c r="X255" s="14">
        <f t="shared" si="214"/>
        <v>0</v>
      </c>
      <c r="Y255" s="58" t="str">
        <f t="shared" si="215"/>
        <v/>
      </c>
      <c r="Z255" s="31">
        <f t="shared" si="216"/>
        <v>0</v>
      </c>
      <c r="AA255" s="21">
        <f t="shared" si="217"/>
        <v>0</v>
      </c>
      <c r="AB255" s="58" t="str">
        <f t="shared" si="218"/>
        <v/>
      </c>
      <c r="AC255" s="630">
        <f t="shared" si="195"/>
        <v>0</v>
      </c>
      <c r="AD255" s="627"/>
      <c r="AE255" s="21">
        <f t="shared" si="219"/>
        <v>0</v>
      </c>
      <c r="AF255" s="58" t="str">
        <f t="shared" si="220"/>
        <v/>
      </c>
      <c r="AG255" s="21">
        <f t="shared" si="221"/>
        <v>0</v>
      </c>
      <c r="AH255" s="58" t="str">
        <f t="shared" si="222"/>
        <v/>
      </c>
      <c r="AI255" s="21">
        <f t="shared" si="223"/>
        <v>0</v>
      </c>
      <c r="AJ255" s="58" t="str">
        <f t="shared" si="224"/>
        <v/>
      </c>
      <c r="AK255" s="31">
        <f t="shared" si="225"/>
        <v>0</v>
      </c>
      <c r="AL255" s="21">
        <f t="shared" si="226"/>
        <v>0</v>
      </c>
      <c r="AM255" s="62" t="str">
        <f t="shared" si="227"/>
        <v/>
      </c>
      <c r="AN255" s="21">
        <f t="shared" si="228"/>
        <v>0</v>
      </c>
      <c r="AO255" s="62" t="str">
        <f t="shared" si="229"/>
        <v/>
      </c>
      <c r="AP255" s="21">
        <f t="shared" si="230"/>
        <v>0</v>
      </c>
      <c r="AQ255" s="62" t="str">
        <f t="shared" si="231"/>
        <v/>
      </c>
      <c r="AR255" s="31">
        <f t="shared" si="232"/>
        <v>0</v>
      </c>
      <c r="AS255" s="21">
        <f t="shared" si="233"/>
        <v>0</v>
      </c>
      <c r="AT255" s="62" t="str">
        <f t="shared" si="234"/>
        <v/>
      </c>
      <c r="AU255" s="84">
        <f t="shared" si="235"/>
        <v>0</v>
      </c>
      <c r="AV255" s="32">
        <f t="shared" si="236"/>
        <v>0</v>
      </c>
      <c r="AW255" s="85" t="str">
        <f t="shared" si="237"/>
        <v/>
      </c>
      <c r="AX255" s="86" t="str">
        <f t="shared" si="238"/>
        <v/>
      </c>
    </row>
    <row r="256" spans="1:50" x14ac:dyDescent="0.2">
      <c r="A256" s="29" t="str">
        <f t="shared" si="197"/>
        <v/>
      </c>
      <c r="B256" s="32" t="str">
        <f t="shared" si="198"/>
        <v/>
      </c>
      <c r="C256" s="35"/>
      <c r="D256" s="33" t="str">
        <f t="shared" si="199"/>
        <v/>
      </c>
      <c r="E256" s="22" t="str">
        <f t="shared" si="200"/>
        <v/>
      </c>
      <c r="F256" s="23" t="str">
        <f t="shared" si="201"/>
        <v/>
      </c>
      <c r="G256" s="23"/>
      <c r="H256" s="22"/>
      <c r="I256" s="23"/>
      <c r="J256" s="18"/>
      <c r="K256" s="13" t="str">
        <f t="shared" si="202"/>
        <v/>
      </c>
      <c r="L256" s="28" t="str">
        <f t="shared" si="196"/>
        <v/>
      </c>
      <c r="M256" s="10" t="str">
        <f t="shared" si="203"/>
        <v/>
      </c>
      <c r="N256" s="17" t="str">
        <f t="shared" si="204"/>
        <v/>
      </c>
      <c r="O256" s="39" t="str">
        <f t="shared" si="205"/>
        <v/>
      </c>
      <c r="P256" s="41" t="str">
        <f t="shared" si="206"/>
        <v/>
      </c>
      <c r="Q256" s="9" t="str">
        <f t="shared" si="207"/>
        <v/>
      </c>
      <c r="R256" s="14">
        <f t="shared" si="208"/>
        <v>0</v>
      </c>
      <c r="S256" s="61" t="str">
        <f t="shared" si="209"/>
        <v/>
      </c>
      <c r="T256" s="14">
        <f t="shared" si="210"/>
        <v>0</v>
      </c>
      <c r="U256" s="58" t="str">
        <f t="shared" si="211"/>
        <v/>
      </c>
      <c r="V256" s="14">
        <f t="shared" si="212"/>
        <v>0</v>
      </c>
      <c r="W256" s="58" t="str">
        <f t="shared" si="213"/>
        <v/>
      </c>
      <c r="X256" s="14">
        <f t="shared" si="214"/>
        <v>0</v>
      </c>
      <c r="Y256" s="58" t="str">
        <f t="shared" si="215"/>
        <v/>
      </c>
      <c r="Z256" s="31">
        <f t="shared" si="216"/>
        <v>0</v>
      </c>
      <c r="AA256" s="21">
        <f t="shared" si="217"/>
        <v>0</v>
      </c>
      <c r="AB256" s="58" t="str">
        <f t="shared" si="218"/>
        <v/>
      </c>
      <c r="AC256" s="630">
        <f t="shared" si="195"/>
        <v>0</v>
      </c>
      <c r="AD256" s="627"/>
      <c r="AE256" s="21">
        <f t="shared" si="219"/>
        <v>0</v>
      </c>
      <c r="AF256" s="58" t="str">
        <f t="shared" si="220"/>
        <v/>
      </c>
      <c r="AG256" s="21">
        <f t="shared" si="221"/>
        <v>0</v>
      </c>
      <c r="AH256" s="58" t="str">
        <f t="shared" si="222"/>
        <v/>
      </c>
      <c r="AI256" s="21">
        <f t="shared" si="223"/>
        <v>0</v>
      </c>
      <c r="AJ256" s="58" t="str">
        <f t="shared" si="224"/>
        <v/>
      </c>
      <c r="AK256" s="31">
        <f t="shared" si="225"/>
        <v>0</v>
      </c>
      <c r="AL256" s="21">
        <f t="shared" si="226"/>
        <v>0</v>
      </c>
      <c r="AM256" s="62" t="str">
        <f t="shared" si="227"/>
        <v/>
      </c>
      <c r="AN256" s="21">
        <f t="shared" si="228"/>
        <v>0</v>
      </c>
      <c r="AO256" s="62" t="str">
        <f t="shared" si="229"/>
        <v/>
      </c>
      <c r="AP256" s="21">
        <f t="shared" si="230"/>
        <v>0</v>
      </c>
      <c r="AQ256" s="62" t="str">
        <f t="shared" si="231"/>
        <v/>
      </c>
      <c r="AR256" s="31">
        <f t="shared" si="232"/>
        <v>0</v>
      </c>
      <c r="AS256" s="21">
        <f t="shared" si="233"/>
        <v>0</v>
      </c>
      <c r="AT256" s="62" t="str">
        <f t="shared" si="234"/>
        <v/>
      </c>
      <c r="AU256" s="84">
        <f t="shared" si="235"/>
        <v>0</v>
      </c>
      <c r="AV256" s="32">
        <f t="shared" si="236"/>
        <v>0</v>
      </c>
      <c r="AW256" s="85" t="str">
        <f t="shared" si="237"/>
        <v/>
      </c>
      <c r="AX256" s="86" t="str">
        <f t="shared" si="238"/>
        <v/>
      </c>
    </row>
    <row r="257" spans="1:50" x14ac:dyDescent="0.2">
      <c r="A257" s="29" t="str">
        <f t="shared" si="197"/>
        <v/>
      </c>
      <c r="B257" s="32" t="str">
        <f t="shared" si="198"/>
        <v/>
      </c>
      <c r="C257" s="35"/>
      <c r="D257" s="33" t="str">
        <f t="shared" si="199"/>
        <v/>
      </c>
      <c r="E257" s="22" t="str">
        <f t="shared" si="200"/>
        <v/>
      </c>
      <c r="F257" s="23" t="str">
        <f t="shared" si="201"/>
        <v/>
      </c>
      <c r="G257" s="23"/>
      <c r="H257" s="22"/>
      <c r="I257" s="23"/>
      <c r="J257" s="18"/>
      <c r="K257" s="13" t="str">
        <f t="shared" si="202"/>
        <v/>
      </c>
      <c r="L257" s="28" t="str">
        <f t="shared" si="196"/>
        <v/>
      </c>
      <c r="M257" s="10" t="str">
        <f t="shared" si="203"/>
        <v/>
      </c>
      <c r="N257" s="17" t="str">
        <f t="shared" si="204"/>
        <v/>
      </c>
      <c r="O257" s="39" t="str">
        <f t="shared" si="205"/>
        <v/>
      </c>
      <c r="P257" s="41" t="str">
        <f t="shared" si="206"/>
        <v/>
      </c>
      <c r="Q257" s="9" t="str">
        <f t="shared" si="207"/>
        <v/>
      </c>
      <c r="R257" s="14">
        <f t="shared" si="208"/>
        <v>0</v>
      </c>
      <c r="S257" s="61" t="str">
        <f t="shared" si="209"/>
        <v/>
      </c>
      <c r="T257" s="14">
        <f t="shared" si="210"/>
        <v>0</v>
      </c>
      <c r="U257" s="58" t="str">
        <f t="shared" si="211"/>
        <v/>
      </c>
      <c r="V257" s="14">
        <f t="shared" si="212"/>
        <v>0</v>
      </c>
      <c r="W257" s="58" t="str">
        <f t="shared" si="213"/>
        <v/>
      </c>
      <c r="X257" s="14">
        <f t="shared" si="214"/>
        <v>0</v>
      </c>
      <c r="Y257" s="58" t="str">
        <f t="shared" si="215"/>
        <v/>
      </c>
      <c r="Z257" s="31">
        <f t="shared" si="216"/>
        <v>0</v>
      </c>
      <c r="AA257" s="21">
        <f t="shared" si="217"/>
        <v>0</v>
      </c>
      <c r="AB257" s="58" t="str">
        <f t="shared" si="218"/>
        <v/>
      </c>
      <c r="AC257" s="630">
        <f t="shared" si="195"/>
        <v>0</v>
      </c>
      <c r="AD257" s="627"/>
      <c r="AE257" s="21">
        <f t="shared" si="219"/>
        <v>0</v>
      </c>
      <c r="AF257" s="58" t="str">
        <f t="shared" si="220"/>
        <v/>
      </c>
      <c r="AG257" s="21">
        <f t="shared" si="221"/>
        <v>0</v>
      </c>
      <c r="AH257" s="58" t="str">
        <f t="shared" si="222"/>
        <v/>
      </c>
      <c r="AI257" s="21">
        <f t="shared" si="223"/>
        <v>0</v>
      </c>
      <c r="AJ257" s="58" t="str">
        <f t="shared" si="224"/>
        <v/>
      </c>
      <c r="AK257" s="31">
        <f t="shared" si="225"/>
        <v>0</v>
      </c>
      <c r="AL257" s="21">
        <f t="shared" si="226"/>
        <v>0</v>
      </c>
      <c r="AM257" s="62" t="str">
        <f t="shared" si="227"/>
        <v/>
      </c>
      <c r="AN257" s="21">
        <f t="shared" si="228"/>
        <v>0</v>
      </c>
      <c r="AO257" s="62" t="str">
        <f t="shared" si="229"/>
        <v/>
      </c>
      <c r="AP257" s="21">
        <f t="shared" si="230"/>
        <v>0</v>
      </c>
      <c r="AQ257" s="62" t="str">
        <f t="shared" si="231"/>
        <v/>
      </c>
      <c r="AR257" s="31">
        <f t="shared" si="232"/>
        <v>0</v>
      </c>
      <c r="AS257" s="21">
        <f t="shared" si="233"/>
        <v>0</v>
      </c>
      <c r="AT257" s="62" t="str">
        <f t="shared" si="234"/>
        <v/>
      </c>
      <c r="AU257" s="84">
        <f t="shared" si="235"/>
        <v>0</v>
      </c>
      <c r="AV257" s="32">
        <f t="shared" si="236"/>
        <v>0</v>
      </c>
      <c r="AW257" s="85" t="str">
        <f t="shared" si="237"/>
        <v/>
      </c>
      <c r="AX257" s="86" t="str">
        <f t="shared" si="238"/>
        <v/>
      </c>
    </row>
    <row r="258" spans="1:50" x14ac:dyDescent="0.2">
      <c r="A258" s="29" t="str">
        <f t="shared" si="197"/>
        <v/>
      </c>
      <c r="B258" s="32" t="str">
        <f t="shared" si="198"/>
        <v/>
      </c>
      <c r="C258" s="35"/>
      <c r="D258" s="33" t="str">
        <f t="shared" si="199"/>
        <v/>
      </c>
      <c r="E258" s="22" t="str">
        <f t="shared" si="200"/>
        <v/>
      </c>
      <c r="F258" s="23" t="str">
        <f t="shared" si="201"/>
        <v/>
      </c>
      <c r="G258" s="23"/>
      <c r="H258" s="22"/>
      <c r="I258" s="23"/>
      <c r="J258" s="18"/>
      <c r="K258" s="13" t="str">
        <f t="shared" si="202"/>
        <v/>
      </c>
      <c r="L258" s="28" t="str">
        <f t="shared" si="196"/>
        <v/>
      </c>
      <c r="M258" s="10" t="str">
        <f t="shared" si="203"/>
        <v/>
      </c>
      <c r="N258" s="17" t="str">
        <f t="shared" si="204"/>
        <v/>
      </c>
      <c r="O258" s="39" t="str">
        <f t="shared" si="205"/>
        <v/>
      </c>
      <c r="P258" s="41" t="str">
        <f t="shared" si="206"/>
        <v/>
      </c>
      <c r="Q258" s="9" t="str">
        <f t="shared" si="207"/>
        <v/>
      </c>
      <c r="R258" s="14">
        <f t="shared" si="208"/>
        <v>0</v>
      </c>
      <c r="S258" s="61" t="str">
        <f t="shared" si="209"/>
        <v/>
      </c>
      <c r="T258" s="14">
        <f t="shared" si="210"/>
        <v>0</v>
      </c>
      <c r="U258" s="58" t="str">
        <f t="shared" si="211"/>
        <v/>
      </c>
      <c r="V258" s="14">
        <f t="shared" si="212"/>
        <v>0</v>
      </c>
      <c r="W258" s="58" t="str">
        <f t="shared" si="213"/>
        <v/>
      </c>
      <c r="X258" s="14">
        <f t="shared" si="214"/>
        <v>0</v>
      </c>
      <c r="Y258" s="58" t="str">
        <f t="shared" si="215"/>
        <v/>
      </c>
      <c r="Z258" s="31">
        <f t="shared" si="216"/>
        <v>0</v>
      </c>
      <c r="AA258" s="21">
        <f t="shared" si="217"/>
        <v>0</v>
      </c>
      <c r="AB258" s="58" t="str">
        <f t="shared" si="218"/>
        <v/>
      </c>
      <c r="AC258" s="630">
        <f t="shared" si="195"/>
        <v>0</v>
      </c>
      <c r="AD258" s="627"/>
      <c r="AE258" s="21">
        <f t="shared" si="219"/>
        <v>0</v>
      </c>
      <c r="AF258" s="58" t="str">
        <f t="shared" si="220"/>
        <v/>
      </c>
      <c r="AG258" s="21">
        <f t="shared" si="221"/>
        <v>0</v>
      </c>
      <c r="AH258" s="58" t="str">
        <f t="shared" si="222"/>
        <v/>
      </c>
      <c r="AI258" s="21">
        <f t="shared" si="223"/>
        <v>0</v>
      </c>
      <c r="AJ258" s="58" t="str">
        <f t="shared" si="224"/>
        <v/>
      </c>
      <c r="AK258" s="31">
        <f t="shared" si="225"/>
        <v>0</v>
      </c>
      <c r="AL258" s="21">
        <f t="shared" si="226"/>
        <v>0</v>
      </c>
      <c r="AM258" s="62" t="str">
        <f t="shared" si="227"/>
        <v/>
      </c>
      <c r="AN258" s="21">
        <f t="shared" si="228"/>
        <v>0</v>
      </c>
      <c r="AO258" s="62" t="str">
        <f t="shared" si="229"/>
        <v/>
      </c>
      <c r="AP258" s="21">
        <f t="shared" si="230"/>
        <v>0</v>
      </c>
      <c r="AQ258" s="62" t="str">
        <f t="shared" si="231"/>
        <v/>
      </c>
      <c r="AR258" s="31">
        <f t="shared" si="232"/>
        <v>0</v>
      </c>
      <c r="AS258" s="21">
        <f t="shared" si="233"/>
        <v>0</v>
      </c>
      <c r="AT258" s="62" t="str">
        <f t="shared" si="234"/>
        <v/>
      </c>
      <c r="AU258" s="84">
        <f t="shared" si="235"/>
        <v>0</v>
      </c>
      <c r="AV258" s="32">
        <f t="shared" si="236"/>
        <v>0</v>
      </c>
      <c r="AW258" s="85" t="str">
        <f t="shared" si="237"/>
        <v/>
      </c>
      <c r="AX258" s="86" t="str">
        <f t="shared" si="238"/>
        <v/>
      </c>
    </row>
    <row r="259" spans="1:50" x14ac:dyDescent="0.2">
      <c r="A259" s="29" t="str">
        <f t="shared" si="197"/>
        <v/>
      </c>
      <c r="B259" s="32" t="str">
        <f t="shared" si="198"/>
        <v/>
      </c>
      <c r="C259" s="35"/>
      <c r="D259" s="33" t="str">
        <f t="shared" si="199"/>
        <v/>
      </c>
      <c r="E259" s="22" t="str">
        <f t="shared" si="200"/>
        <v/>
      </c>
      <c r="F259" s="23" t="str">
        <f t="shared" si="201"/>
        <v/>
      </c>
      <c r="G259" s="23"/>
      <c r="H259" s="22"/>
      <c r="I259" s="23"/>
      <c r="J259" s="18"/>
      <c r="K259" s="13" t="str">
        <f t="shared" si="202"/>
        <v/>
      </c>
      <c r="L259" s="28" t="str">
        <f t="shared" si="196"/>
        <v/>
      </c>
      <c r="M259" s="10" t="str">
        <f t="shared" si="203"/>
        <v/>
      </c>
      <c r="N259" s="17" t="str">
        <f t="shared" si="204"/>
        <v/>
      </c>
      <c r="O259" s="39" t="str">
        <f t="shared" si="205"/>
        <v/>
      </c>
      <c r="P259" s="41" t="str">
        <f t="shared" si="206"/>
        <v/>
      </c>
      <c r="Q259" s="9" t="str">
        <f t="shared" si="207"/>
        <v/>
      </c>
      <c r="R259" s="14">
        <f t="shared" si="208"/>
        <v>0</v>
      </c>
      <c r="S259" s="61" t="str">
        <f t="shared" si="209"/>
        <v/>
      </c>
      <c r="T259" s="14">
        <f t="shared" si="210"/>
        <v>0</v>
      </c>
      <c r="U259" s="58" t="str">
        <f t="shared" si="211"/>
        <v/>
      </c>
      <c r="V259" s="14">
        <f t="shared" si="212"/>
        <v>0</v>
      </c>
      <c r="W259" s="58" t="str">
        <f t="shared" si="213"/>
        <v/>
      </c>
      <c r="X259" s="14">
        <f t="shared" si="214"/>
        <v>0</v>
      </c>
      <c r="Y259" s="58" t="str">
        <f t="shared" si="215"/>
        <v/>
      </c>
      <c r="Z259" s="31">
        <f t="shared" si="216"/>
        <v>0</v>
      </c>
      <c r="AA259" s="21">
        <f t="shared" si="217"/>
        <v>0</v>
      </c>
      <c r="AB259" s="58" t="str">
        <f t="shared" si="218"/>
        <v/>
      </c>
      <c r="AC259" s="630">
        <f t="shared" si="195"/>
        <v>0</v>
      </c>
      <c r="AD259" s="627"/>
      <c r="AE259" s="21">
        <f t="shared" si="219"/>
        <v>0</v>
      </c>
      <c r="AF259" s="58" t="str">
        <f t="shared" si="220"/>
        <v/>
      </c>
      <c r="AG259" s="21">
        <f t="shared" si="221"/>
        <v>0</v>
      </c>
      <c r="AH259" s="58" t="str">
        <f t="shared" si="222"/>
        <v/>
      </c>
      <c r="AI259" s="21">
        <f t="shared" si="223"/>
        <v>0</v>
      </c>
      <c r="AJ259" s="58" t="str">
        <f t="shared" si="224"/>
        <v/>
      </c>
      <c r="AK259" s="31">
        <f t="shared" si="225"/>
        <v>0</v>
      </c>
      <c r="AL259" s="21">
        <f t="shared" si="226"/>
        <v>0</v>
      </c>
      <c r="AM259" s="62" t="str">
        <f t="shared" si="227"/>
        <v/>
      </c>
      <c r="AN259" s="21">
        <f t="shared" si="228"/>
        <v>0</v>
      </c>
      <c r="AO259" s="62" t="str">
        <f t="shared" si="229"/>
        <v/>
      </c>
      <c r="AP259" s="21">
        <f t="shared" si="230"/>
        <v>0</v>
      </c>
      <c r="AQ259" s="62" t="str">
        <f t="shared" si="231"/>
        <v/>
      </c>
      <c r="AR259" s="31">
        <f t="shared" si="232"/>
        <v>0</v>
      </c>
      <c r="AS259" s="21">
        <f t="shared" si="233"/>
        <v>0</v>
      </c>
      <c r="AT259" s="62" t="str">
        <f t="shared" si="234"/>
        <v/>
      </c>
      <c r="AU259" s="84">
        <f t="shared" si="235"/>
        <v>0</v>
      </c>
      <c r="AV259" s="32">
        <f t="shared" si="236"/>
        <v>0</v>
      </c>
      <c r="AW259" s="85" t="str">
        <f t="shared" si="237"/>
        <v/>
      </c>
      <c r="AX259" s="86" t="str">
        <f t="shared" si="238"/>
        <v/>
      </c>
    </row>
    <row r="260" spans="1:50" x14ac:dyDescent="0.2">
      <c r="A260" s="29" t="str">
        <f t="shared" si="197"/>
        <v/>
      </c>
      <c r="B260" s="32" t="str">
        <f t="shared" si="198"/>
        <v/>
      </c>
      <c r="C260" s="35"/>
      <c r="D260" s="33" t="str">
        <f t="shared" si="199"/>
        <v/>
      </c>
      <c r="E260" s="22" t="str">
        <f t="shared" si="200"/>
        <v/>
      </c>
      <c r="F260" s="23" t="str">
        <f t="shared" si="201"/>
        <v/>
      </c>
      <c r="G260" s="23"/>
      <c r="H260" s="22"/>
      <c r="I260" s="23"/>
      <c r="J260" s="18"/>
      <c r="K260" s="13" t="str">
        <f t="shared" si="202"/>
        <v/>
      </c>
      <c r="L260" s="28" t="str">
        <f t="shared" si="196"/>
        <v/>
      </c>
      <c r="M260" s="10" t="str">
        <f t="shared" si="203"/>
        <v/>
      </c>
      <c r="N260" s="17" t="str">
        <f t="shared" si="204"/>
        <v/>
      </c>
      <c r="O260" s="39" t="str">
        <f t="shared" si="205"/>
        <v/>
      </c>
      <c r="P260" s="41" t="str">
        <f t="shared" si="206"/>
        <v/>
      </c>
      <c r="Q260" s="9" t="str">
        <f t="shared" si="207"/>
        <v/>
      </c>
      <c r="R260" s="14">
        <f t="shared" si="208"/>
        <v>0</v>
      </c>
      <c r="S260" s="61" t="str">
        <f t="shared" si="209"/>
        <v/>
      </c>
      <c r="T260" s="14">
        <f t="shared" si="210"/>
        <v>0</v>
      </c>
      <c r="U260" s="58" t="str">
        <f t="shared" si="211"/>
        <v/>
      </c>
      <c r="V260" s="14">
        <f t="shared" si="212"/>
        <v>0</v>
      </c>
      <c r="W260" s="58" t="str">
        <f t="shared" si="213"/>
        <v/>
      </c>
      <c r="X260" s="14">
        <f t="shared" si="214"/>
        <v>0</v>
      </c>
      <c r="Y260" s="58" t="str">
        <f t="shared" si="215"/>
        <v/>
      </c>
      <c r="Z260" s="31">
        <f t="shared" si="216"/>
        <v>0</v>
      </c>
      <c r="AA260" s="21">
        <f t="shared" si="217"/>
        <v>0</v>
      </c>
      <c r="AB260" s="58" t="str">
        <f t="shared" si="218"/>
        <v/>
      </c>
      <c r="AC260" s="630">
        <f t="shared" si="195"/>
        <v>0</v>
      </c>
      <c r="AD260" s="627"/>
      <c r="AE260" s="21">
        <f t="shared" si="219"/>
        <v>0</v>
      </c>
      <c r="AF260" s="58" t="str">
        <f t="shared" si="220"/>
        <v/>
      </c>
      <c r="AG260" s="21">
        <f t="shared" si="221"/>
        <v>0</v>
      </c>
      <c r="AH260" s="58" t="str">
        <f t="shared" si="222"/>
        <v/>
      </c>
      <c r="AI260" s="21">
        <f t="shared" si="223"/>
        <v>0</v>
      </c>
      <c r="AJ260" s="58" t="str">
        <f t="shared" si="224"/>
        <v/>
      </c>
      <c r="AK260" s="31">
        <f t="shared" si="225"/>
        <v>0</v>
      </c>
      <c r="AL260" s="21">
        <f t="shared" si="226"/>
        <v>0</v>
      </c>
      <c r="AM260" s="62" t="str">
        <f t="shared" si="227"/>
        <v/>
      </c>
      <c r="AN260" s="21">
        <f t="shared" si="228"/>
        <v>0</v>
      </c>
      <c r="AO260" s="62" t="str">
        <f t="shared" si="229"/>
        <v/>
      </c>
      <c r="AP260" s="21">
        <f t="shared" si="230"/>
        <v>0</v>
      </c>
      <c r="AQ260" s="62" t="str">
        <f t="shared" si="231"/>
        <v/>
      </c>
      <c r="AR260" s="31">
        <f t="shared" si="232"/>
        <v>0</v>
      </c>
      <c r="AS260" s="21">
        <f t="shared" si="233"/>
        <v>0</v>
      </c>
      <c r="AT260" s="62" t="str">
        <f t="shared" si="234"/>
        <v/>
      </c>
      <c r="AU260" s="84">
        <f t="shared" si="235"/>
        <v>0</v>
      </c>
      <c r="AV260" s="32">
        <f t="shared" si="236"/>
        <v>0</v>
      </c>
      <c r="AW260" s="85" t="str">
        <f t="shared" si="237"/>
        <v/>
      </c>
      <c r="AX260" s="86" t="str">
        <f t="shared" si="238"/>
        <v/>
      </c>
    </row>
    <row r="261" spans="1:50" x14ac:dyDescent="0.2">
      <c r="A261" s="29" t="str">
        <f t="shared" si="197"/>
        <v/>
      </c>
      <c r="B261" s="32" t="str">
        <f t="shared" si="198"/>
        <v/>
      </c>
      <c r="C261" s="35"/>
      <c r="D261" s="33" t="str">
        <f t="shared" si="199"/>
        <v/>
      </c>
      <c r="E261" s="22" t="str">
        <f t="shared" si="200"/>
        <v/>
      </c>
      <c r="F261" s="23" t="str">
        <f t="shared" si="201"/>
        <v/>
      </c>
      <c r="G261" s="23"/>
      <c r="H261" s="22"/>
      <c r="I261" s="23"/>
      <c r="J261" s="18"/>
      <c r="K261" s="13" t="str">
        <f t="shared" si="202"/>
        <v/>
      </c>
      <c r="L261" s="28" t="str">
        <f t="shared" si="196"/>
        <v/>
      </c>
      <c r="M261" s="10" t="str">
        <f t="shared" si="203"/>
        <v/>
      </c>
      <c r="N261" s="17" t="str">
        <f t="shared" si="204"/>
        <v/>
      </c>
      <c r="O261" s="39" t="str">
        <f t="shared" si="205"/>
        <v/>
      </c>
      <c r="P261" s="41" t="str">
        <f t="shared" si="206"/>
        <v/>
      </c>
      <c r="Q261" s="9" t="str">
        <f t="shared" si="207"/>
        <v/>
      </c>
      <c r="R261" s="14">
        <f t="shared" si="208"/>
        <v>0</v>
      </c>
      <c r="S261" s="61" t="str">
        <f t="shared" si="209"/>
        <v/>
      </c>
      <c r="T261" s="14">
        <f t="shared" si="210"/>
        <v>0</v>
      </c>
      <c r="U261" s="58" t="str">
        <f t="shared" si="211"/>
        <v/>
      </c>
      <c r="V261" s="14">
        <f t="shared" si="212"/>
        <v>0</v>
      </c>
      <c r="W261" s="58" t="str">
        <f t="shared" si="213"/>
        <v/>
      </c>
      <c r="X261" s="14">
        <f t="shared" si="214"/>
        <v>0</v>
      </c>
      <c r="Y261" s="58" t="str">
        <f t="shared" si="215"/>
        <v/>
      </c>
      <c r="Z261" s="31">
        <f t="shared" si="216"/>
        <v>0</v>
      </c>
      <c r="AA261" s="21">
        <f t="shared" si="217"/>
        <v>0</v>
      </c>
      <c r="AB261" s="58" t="str">
        <f t="shared" si="218"/>
        <v/>
      </c>
      <c r="AC261" s="630">
        <f t="shared" si="195"/>
        <v>0</v>
      </c>
      <c r="AD261" s="627"/>
      <c r="AE261" s="21">
        <f t="shared" si="219"/>
        <v>0</v>
      </c>
      <c r="AF261" s="58" t="str">
        <f t="shared" si="220"/>
        <v/>
      </c>
      <c r="AG261" s="21">
        <f t="shared" si="221"/>
        <v>0</v>
      </c>
      <c r="AH261" s="58" t="str">
        <f t="shared" si="222"/>
        <v/>
      </c>
      <c r="AI261" s="21">
        <f t="shared" si="223"/>
        <v>0</v>
      </c>
      <c r="AJ261" s="58" t="str">
        <f t="shared" si="224"/>
        <v/>
      </c>
      <c r="AK261" s="31">
        <f t="shared" si="225"/>
        <v>0</v>
      </c>
      <c r="AL261" s="21">
        <f t="shared" si="226"/>
        <v>0</v>
      </c>
      <c r="AM261" s="62" t="str">
        <f t="shared" si="227"/>
        <v/>
      </c>
      <c r="AN261" s="21">
        <f t="shared" si="228"/>
        <v>0</v>
      </c>
      <c r="AO261" s="62" t="str">
        <f t="shared" si="229"/>
        <v/>
      </c>
      <c r="AP261" s="21">
        <f t="shared" si="230"/>
        <v>0</v>
      </c>
      <c r="AQ261" s="62" t="str">
        <f t="shared" si="231"/>
        <v/>
      </c>
      <c r="AR261" s="31">
        <f t="shared" si="232"/>
        <v>0</v>
      </c>
      <c r="AS261" s="21">
        <f t="shared" si="233"/>
        <v>0</v>
      </c>
      <c r="AT261" s="62" t="str">
        <f t="shared" si="234"/>
        <v/>
      </c>
      <c r="AU261" s="84">
        <f t="shared" si="235"/>
        <v>0</v>
      </c>
      <c r="AV261" s="32">
        <f t="shared" si="236"/>
        <v>0</v>
      </c>
      <c r="AW261" s="85" t="str">
        <f t="shared" si="237"/>
        <v/>
      </c>
      <c r="AX261" s="86" t="str">
        <f t="shared" si="238"/>
        <v/>
      </c>
    </row>
    <row r="262" spans="1:50" x14ac:dyDescent="0.2">
      <c r="A262" s="29" t="str">
        <f t="shared" si="197"/>
        <v/>
      </c>
      <c r="B262" s="32" t="str">
        <f t="shared" si="198"/>
        <v/>
      </c>
      <c r="C262" s="35"/>
      <c r="D262" s="33" t="str">
        <f t="shared" si="199"/>
        <v/>
      </c>
      <c r="E262" s="22" t="str">
        <f t="shared" si="200"/>
        <v/>
      </c>
      <c r="F262" s="23" t="str">
        <f t="shared" si="201"/>
        <v/>
      </c>
      <c r="G262" s="23"/>
      <c r="H262" s="22"/>
      <c r="I262" s="23"/>
      <c r="J262" s="18"/>
      <c r="K262" s="13" t="str">
        <f t="shared" si="202"/>
        <v/>
      </c>
      <c r="L262" s="28" t="str">
        <f t="shared" si="196"/>
        <v/>
      </c>
      <c r="M262" s="10" t="str">
        <f t="shared" si="203"/>
        <v/>
      </c>
      <c r="N262" s="17" t="str">
        <f t="shared" si="204"/>
        <v/>
      </c>
      <c r="O262" s="39" t="str">
        <f t="shared" si="205"/>
        <v/>
      </c>
      <c r="P262" s="41" t="str">
        <f t="shared" si="206"/>
        <v/>
      </c>
      <c r="Q262" s="9" t="str">
        <f t="shared" si="207"/>
        <v/>
      </c>
      <c r="R262" s="14">
        <f t="shared" si="208"/>
        <v>0</v>
      </c>
      <c r="S262" s="61" t="str">
        <f t="shared" si="209"/>
        <v/>
      </c>
      <c r="T262" s="14">
        <f t="shared" si="210"/>
        <v>0</v>
      </c>
      <c r="U262" s="58" t="str">
        <f t="shared" si="211"/>
        <v/>
      </c>
      <c r="V262" s="14">
        <f t="shared" si="212"/>
        <v>0</v>
      </c>
      <c r="W262" s="58" t="str">
        <f t="shared" si="213"/>
        <v/>
      </c>
      <c r="X262" s="14">
        <f t="shared" si="214"/>
        <v>0</v>
      </c>
      <c r="Y262" s="58" t="str">
        <f t="shared" si="215"/>
        <v/>
      </c>
      <c r="Z262" s="31">
        <f t="shared" si="216"/>
        <v>0</v>
      </c>
      <c r="AA262" s="21">
        <f t="shared" si="217"/>
        <v>0</v>
      </c>
      <c r="AB262" s="58" t="str">
        <f t="shared" si="218"/>
        <v/>
      </c>
      <c r="AC262" s="630">
        <f t="shared" si="195"/>
        <v>0</v>
      </c>
      <c r="AD262" s="627"/>
      <c r="AE262" s="21">
        <f t="shared" si="219"/>
        <v>0</v>
      </c>
      <c r="AF262" s="58" t="str">
        <f t="shared" si="220"/>
        <v/>
      </c>
      <c r="AG262" s="21">
        <f t="shared" si="221"/>
        <v>0</v>
      </c>
      <c r="AH262" s="58" t="str">
        <f t="shared" si="222"/>
        <v/>
      </c>
      <c r="AI262" s="21">
        <f t="shared" si="223"/>
        <v>0</v>
      </c>
      <c r="AJ262" s="58" t="str">
        <f t="shared" si="224"/>
        <v/>
      </c>
      <c r="AK262" s="31">
        <f t="shared" si="225"/>
        <v>0</v>
      </c>
      <c r="AL262" s="21">
        <f t="shared" si="226"/>
        <v>0</v>
      </c>
      <c r="AM262" s="62" t="str">
        <f t="shared" si="227"/>
        <v/>
      </c>
      <c r="AN262" s="21">
        <f t="shared" si="228"/>
        <v>0</v>
      </c>
      <c r="AO262" s="62" t="str">
        <f t="shared" si="229"/>
        <v/>
      </c>
      <c r="AP262" s="21">
        <f t="shared" si="230"/>
        <v>0</v>
      </c>
      <c r="AQ262" s="62" t="str">
        <f t="shared" si="231"/>
        <v/>
      </c>
      <c r="AR262" s="31">
        <f t="shared" si="232"/>
        <v>0</v>
      </c>
      <c r="AS262" s="21">
        <f t="shared" si="233"/>
        <v>0</v>
      </c>
      <c r="AT262" s="62" t="str">
        <f t="shared" si="234"/>
        <v/>
      </c>
      <c r="AU262" s="84">
        <f t="shared" si="235"/>
        <v>0</v>
      </c>
      <c r="AV262" s="32">
        <f t="shared" si="236"/>
        <v>0</v>
      </c>
      <c r="AW262" s="85" t="str">
        <f t="shared" si="237"/>
        <v/>
      </c>
      <c r="AX262" s="86" t="str">
        <f t="shared" si="238"/>
        <v/>
      </c>
    </row>
    <row r="263" spans="1:50" x14ac:dyDescent="0.2">
      <c r="A263" s="29" t="str">
        <f t="shared" si="197"/>
        <v/>
      </c>
      <c r="B263" s="32" t="str">
        <f t="shared" si="198"/>
        <v/>
      </c>
      <c r="C263" s="35"/>
      <c r="D263" s="33" t="str">
        <f t="shared" si="199"/>
        <v/>
      </c>
      <c r="E263" s="22" t="str">
        <f t="shared" si="200"/>
        <v/>
      </c>
      <c r="F263" s="23" t="str">
        <f t="shared" si="201"/>
        <v/>
      </c>
      <c r="G263" s="23"/>
      <c r="H263" s="22"/>
      <c r="I263" s="23"/>
      <c r="J263" s="18"/>
      <c r="K263" s="13" t="str">
        <f t="shared" si="202"/>
        <v/>
      </c>
      <c r="L263" s="28" t="str">
        <f t="shared" si="196"/>
        <v/>
      </c>
      <c r="M263" s="10" t="str">
        <f t="shared" si="203"/>
        <v/>
      </c>
      <c r="N263" s="17" t="str">
        <f t="shared" si="204"/>
        <v/>
      </c>
      <c r="O263" s="39" t="str">
        <f t="shared" si="205"/>
        <v/>
      </c>
      <c r="P263" s="41" t="str">
        <f t="shared" si="206"/>
        <v/>
      </c>
      <c r="Q263" s="9" t="str">
        <f t="shared" si="207"/>
        <v/>
      </c>
      <c r="R263" s="14">
        <f t="shared" si="208"/>
        <v>0</v>
      </c>
      <c r="S263" s="61" t="str">
        <f t="shared" si="209"/>
        <v/>
      </c>
      <c r="T263" s="14">
        <f t="shared" si="210"/>
        <v>0</v>
      </c>
      <c r="U263" s="58" t="str">
        <f t="shared" si="211"/>
        <v/>
      </c>
      <c r="V263" s="14">
        <f t="shared" si="212"/>
        <v>0</v>
      </c>
      <c r="W263" s="58" t="str">
        <f t="shared" si="213"/>
        <v/>
      </c>
      <c r="X263" s="14">
        <f t="shared" si="214"/>
        <v>0</v>
      </c>
      <c r="Y263" s="58" t="str">
        <f t="shared" si="215"/>
        <v/>
      </c>
      <c r="Z263" s="31">
        <f t="shared" si="216"/>
        <v>0</v>
      </c>
      <c r="AA263" s="21">
        <f t="shared" si="217"/>
        <v>0</v>
      </c>
      <c r="AB263" s="58" t="str">
        <f t="shared" si="218"/>
        <v/>
      </c>
      <c r="AC263" s="630">
        <f t="shared" si="195"/>
        <v>0</v>
      </c>
      <c r="AD263" s="627"/>
      <c r="AE263" s="21">
        <f t="shared" si="219"/>
        <v>0</v>
      </c>
      <c r="AF263" s="58" t="str">
        <f t="shared" si="220"/>
        <v/>
      </c>
      <c r="AG263" s="21">
        <f t="shared" si="221"/>
        <v>0</v>
      </c>
      <c r="AH263" s="58" t="str">
        <f t="shared" si="222"/>
        <v/>
      </c>
      <c r="AI263" s="21">
        <f t="shared" si="223"/>
        <v>0</v>
      </c>
      <c r="AJ263" s="58" t="str">
        <f t="shared" si="224"/>
        <v/>
      </c>
      <c r="AK263" s="31">
        <f t="shared" si="225"/>
        <v>0</v>
      </c>
      <c r="AL263" s="21">
        <f t="shared" si="226"/>
        <v>0</v>
      </c>
      <c r="AM263" s="62" t="str">
        <f t="shared" si="227"/>
        <v/>
      </c>
      <c r="AN263" s="21">
        <f t="shared" si="228"/>
        <v>0</v>
      </c>
      <c r="AO263" s="62" t="str">
        <f t="shared" si="229"/>
        <v/>
      </c>
      <c r="AP263" s="21">
        <f t="shared" si="230"/>
        <v>0</v>
      </c>
      <c r="AQ263" s="62" t="str">
        <f t="shared" si="231"/>
        <v/>
      </c>
      <c r="AR263" s="31">
        <f t="shared" si="232"/>
        <v>0</v>
      </c>
      <c r="AS263" s="21">
        <f t="shared" si="233"/>
        <v>0</v>
      </c>
      <c r="AT263" s="62" t="str">
        <f t="shared" si="234"/>
        <v/>
      </c>
      <c r="AU263" s="84">
        <f t="shared" si="235"/>
        <v>0</v>
      </c>
      <c r="AV263" s="32">
        <f t="shared" si="236"/>
        <v>0</v>
      </c>
      <c r="AW263" s="85" t="str">
        <f t="shared" si="237"/>
        <v/>
      </c>
      <c r="AX263" s="86" t="str">
        <f t="shared" si="238"/>
        <v/>
      </c>
    </row>
    <row r="264" spans="1:50" x14ac:dyDescent="0.2">
      <c r="A264" s="29" t="str">
        <f t="shared" si="197"/>
        <v/>
      </c>
      <c r="B264" s="32" t="str">
        <f t="shared" si="198"/>
        <v/>
      </c>
      <c r="C264" s="35"/>
      <c r="D264" s="33" t="str">
        <f t="shared" si="199"/>
        <v/>
      </c>
      <c r="E264" s="22" t="str">
        <f t="shared" si="200"/>
        <v/>
      </c>
      <c r="F264" s="23" t="str">
        <f t="shared" si="201"/>
        <v/>
      </c>
      <c r="G264" s="23"/>
      <c r="H264" s="22"/>
      <c r="I264" s="23"/>
      <c r="J264" s="18"/>
      <c r="K264" s="13" t="str">
        <f t="shared" si="202"/>
        <v/>
      </c>
      <c r="L264" s="28" t="str">
        <f t="shared" si="196"/>
        <v/>
      </c>
      <c r="M264" s="10" t="str">
        <f t="shared" si="203"/>
        <v/>
      </c>
      <c r="N264" s="17" t="str">
        <f t="shared" si="204"/>
        <v/>
      </c>
      <c r="O264" s="39" t="str">
        <f t="shared" si="205"/>
        <v/>
      </c>
      <c r="P264" s="41" t="str">
        <f t="shared" si="206"/>
        <v/>
      </c>
      <c r="Q264" s="9" t="str">
        <f t="shared" si="207"/>
        <v/>
      </c>
      <c r="R264" s="14">
        <f t="shared" si="208"/>
        <v>0</v>
      </c>
      <c r="S264" s="61" t="str">
        <f t="shared" si="209"/>
        <v/>
      </c>
      <c r="T264" s="14">
        <f t="shared" si="210"/>
        <v>0</v>
      </c>
      <c r="U264" s="58" t="str">
        <f t="shared" si="211"/>
        <v/>
      </c>
      <c r="V264" s="14">
        <f t="shared" si="212"/>
        <v>0</v>
      </c>
      <c r="W264" s="58" t="str">
        <f t="shared" si="213"/>
        <v/>
      </c>
      <c r="X264" s="14">
        <f t="shared" si="214"/>
        <v>0</v>
      </c>
      <c r="Y264" s="58" t="str">
        <f t="shared" si="215"/>
        <v/>
      </c>
      <c r="Z264" s="31">
        <f t="shared" si="216"/>
        <v>0</v>
      </c>
      <c r="AA264" s="21">
        <f t="shared" si="217"/>
        <v>0</v>
      </c>
      <c r="AB264" s="58" t="str">
        <f t="shared" si="218"/>
        <v/>
      </c>
      <c r="AC264" s="630">
        <f t="shared" si="195"/>
        <v>0</v>
      </c>
      <c r="AD264" s="627"/>
      <c r="AE264" s="21">
        <f t="shared" si="219"/>
        <v>0</v>
      </c>
      <c r="AF264" s="58" t="str">
        <f t="shared" si="220"/>
        <v/>
      </c>
      <c r="AG264" s="21">
        <f t="shared" si="221"/>
        <v>0</v>
      </c>
      <c r="AH264" s="58" t="str">
        <f t="shared" si="222"/>
        <v/>
      </c>
      <c r="AI264" s="21">
        <f t="shared" si="223"/>
        <v>0</v>
      </c>
      <c r="AJ264" s="58" t="str">
        <f t="shared" si="224"/>
        <v/>
      </c>
      <c r="AK264" s="31">
        <f t="shared" si="225"/>
        <v>0</v>
      </c>
      <c r="AL264" s="21">
        <f t="shared" si="226"/>
        <v>0</v>
      </c>
      <c r="AM264" s="62" t="str">
        <f t="shared" si="227"/>
        <v/>
      </c>
      <c r="AN264" s="21">
        <f t="shared" si="228"/>
        <v>0</v>
      </c>
      <c r="AO264" s="62" t="str">
        <f t="shared" si="229"/>
        <v/>
      </c>
      <c r="AP264" s="21">
        <f t="shared" si="230"/>
        <v>0</v>
      </c>
      <c r="AQ264" s="62" t="str">
        <f t="shared" si="231"/>
        <v/>
      </c>
      <c r="AR264" s="31">
        <f t="shared" si="232"/>
        <v>0</v>
      </c>
      <c r="AS264" s="21">
        <f t="shared" si="233"/>
        <v>0</v>
      </c>
      <c r="AT264" s="62" t="str">
        <f t="shared" si="234"/>
        <v/>
      </c>
      <c r="AU264" s="84">
        <f t="shared" si="235"/>
        <v>0</v>
      </c>
      <c r="AV264" s="32">
        <f t="shared" si="236"/>
        <v>0</v>
      </c>
      <c r="AW264" s="85" t="str">
        <f t="shared" si="237"/>
        <v/>
      </c>
      <c r="AX264" s="86" t="str">
        <f t="shared" si="238"/>
        <v/>
      </c>
    </row>
    <row r="265" spans="1:50" x14ac:dyDescent="0.2">
      <c r="A265" s="29" t="str">
        <f t="shared" si="197"/>
        <v/>
      </c>
      <c r="B265" s="32" t="str">
        <f t="shared" si="198"/>
        <v/>
      </c>
      <c r="C265" s="35"/>
      <c r="D265" s="33" t="str">
        <f t="shared" si="199"/>
        <v/>
      </c>
      <c r="E265" s="22" t="str">
        <f t="shared" si="200"/>
        <v/>
      </c>
      <c r="F265" s="23" t="str">
        <f t="shared" si="201"/>
        <v/>
      </c>
      <c r="G265" s="23"/>
      <c r="H265" s="22"/>
      <c r="I265" s="23"/>
      <c r="J265" s="18"/>
      <c r="K265" s="13" t="str">
        <f t="shared" si="202"/>
        <v/>
      </c>
      <c r="L265" s="28" t="str">
        <f t="shared" si="196"/>
        <v/>
      </c>
      <c r="M265" s="10" t="str">
        <f t="shared" si="203"/>
        <v/>
      </c>
      <c r="N265" s="17" t="str">
        <f t="shared" si="204"/>
        <v/>
      </c>
      <c r="O265" s="39" t="str">
        <f t="shared" si="205"/>
        <v/>
      </c>
      <c r="P265" s="41" t="str">
        <f t="shared" si="206"/>
        <v/>
      </c>
      <c r="Q265" s="9" t="str">
        <f t="shared" si="207"/>
        <v/>
      </c>
      <c r="R265" s="14">
        <f t="shared" si="208"/>
        <v>0</v>
      </c>
      <c r="S265" s="61" t="str">
        <f t="shared" si="209"/>
        <v/>
      </c>
      <c r="T265" s="14">
        <f t="shared" si="210"/>
        <v>0</v>
      </c>
      <c r="U265" s="58" t="str">
        <f t="shared" si="211"/>
        <v/>
      </c>
      <c r="V265" s="14">
        <f t="shared" si="212"/>
        <v>0</v>
      </c>
      <c r="W265" s="58" t="str">
        <f t="shared" si="213"/>
        <v/>
      </c>
      <c r="X265" s="14">
        <f t="shared" si="214"/>
        <v>0</v>
      </c>
      <c r="Y265" s="58" t="str">
        <f t="shared" si="215"/>
        <v/>
      </c>
      <c r="Z265" s="31">
        <f t="shared" si="216"/>
        <v>0</v>
      </c>
      <c r="AA265" s="21">
        <f t="shared" si="217"/>
        <v>0</v>
      </c>
      <c r="AB265" s="58" t="str">
        <f t="shared" si="218"/>
        <v/>
      </c>
      <c r="AC265" s="630">
        <f t="shared" si="195"/>
        <v>0</v>
      </c>
      <c r="AD265" s="627"/>
      <c r="AE265" s="21">
        <f t="shared" si="219"/>
        <v>0</v>
      </c>
      <c r="AF265" s="58" t="str">
        <f t="shared" si="220"/>
        <v/>
      </c>
      <c r="AG265" s="21">
        <f t="shared" si="221"/>
        <v>0</v>
      </c>
      <c r="AH265" s="58" t="str">
        <f t="shared" si="222"/>
        <v/>
      </c>
      <c r="AI265" s="21">
        <f t="shared" si="223"/>
        <v>0</v>
      </c>
      <c r="AJ265" s="58" t="str">
        <f t="shared" si="224"/>
        <v/>
      </c>
      <c r="AK265" s="31">
        <f t="shared" si="225"/>
        <v>0</v>
      </c>
      <c r="AL265" s="21">
        <f t="shared" si="226"/>
        <v>0</v>
      </c>
      <c r="AM265" s="62" t="str">
        <f t="shared" si="227"/>
        <v/>
      </c>
      <c r="AN265" s="21">
        <f t="shared" si="228"/>
        <v>0</v>
      </c>
      <c r="AO265" s="62" t="str">
        <f t="shared" si="229"/>
        <v/>
      </c>
      <c r="AP265" s="21">
        <f t="shared" si="230"/>
        <v>0</v>
      </c>
      <c r="AQ265" s="62" t="str">
        <f t="shared" si="231"/>
        <v/>
      </c>
      <c r="AR265" s="31">
        <f t="shared" si="232"/>
        <v>0</v>
      </c>
      <c r="AS265" s="21">
        <f t="shared" si="233"/>
        <v>0</v>
      </c>
      <c r="AT265" s="62" t="str">
        <f t="shared" si="234"/>
        <v/>
      </c>
      <c r="AU265" s="84">
        <f t="shared" si="235"/>
        <v>0</v>
      </c>
      <c r="AV265" s="32">
        <f t="shared" si="236"/>
        <v>0</v>
      </c>
      <c r="AW265" s="85" t="str">
        <f t="shared" si="237"/>
        <v/>
      </c>
      <c r="AX265" s="86" t="str">
        <f t="shared" si="238"/>
        <v/>
      </c>
    </row>
    <row r="266" spans="1:50" x14ac:dyDescent="0.2">
      <c r="A266" s="29" t="str">
        <f t="shared" si="197"/>
        <v/>
      </c>
      <c r="B266" s="32" t="str">
        <f t="shared" si="198"/>
        <v/>
      </c>
      <c r="C266" s="35"/>
      <c r="D266" s="33" t="str">
        <f t="shared" si="199"/>
        <v/>
      </c>
      <c r="E266" s="22" t="str">
        <f t="shared" si="200"/>
        <v/>
      </c>
      <c r="F266" s="23" t="str">
        <f t="shared" si="201"/>
        <v/>
      </c>
      <c r="G266" s="23"/>
      <c r="H266" s="22"/>
      <c r="I266" s="23"/>
      <c r="J266" s="18"/>
      <c r="K266" s="13" t="str">
        <f t="shared" si="202"/>
        <v/>
      </c>
      <c r="L266" s="28" t="str">
        <f t="shared" si="196"/>
        <v/>
      </c>
      <c r="M266" s="10" t="str">
        <f t="shared" si="203"/>
        <v/>
      </c>
      <c r="N266" s="17" t="str">
        <f t="shared" si="204"/>
        <v/>
      </c>
      <c r="O266" s="39" t="str">
        <f t="shared" si="205"/>
        <v/>
      </c>
      <c r="P266" s="41" t="str">
        <f t="shared" si="206"/>
        <v/>
      </c>
      <c r="Q266" s="9" t="str">
        <f t="shared" si="207"/>
        <v/>
      </c>
      <c r="R266" s="14">
        <f t="shared" si="208"/>
        <v>0</v>
      </c>
      <c r="S266" s="61" t="str">
        <f t="shared" si="209"/>
        <v/>
      </c>
      <c r="T266" s="14">
        <f t="shared" si="210"/>
        <v>0</v>
      </c>
      <c r="U266" s="58" t="str">
        <f t="shared" si="211"/>
        <v/>
      </c>
      <c r="V266" s="14">
        <f t="shared" si="212"/>
        <v>0</v>
      </c>
      <c r="W266" s="58" t="str">
        <f t="shared" si="213"/>
        <v/>
      </c>
      <c r="X266" s="14">
        <f t="shared" si="214"/>
        <v>0</v>
      </c>
      <c r="Y266" s="58" t="str">
        <f t="shared" si="215"/>
        <v/>
      </c>
      <c r="Z266" s="31">
        <f t="shared" si="216"/>
        <v>0</v>
      </c>
      <c r="AA266" s="21">
        <f t="shared" si="217"/>
        <v>0</v>
      </c>
      <c r="AB266" s="58" t="str">
        <f t="shared" si="218"/>
        <v/>
      </c>
      <c r="AC266" s="630">
        <f t="shared" si="195"/>
        <v>0</v>
      </c>
      <c r="AD266" s="627"/>
      <c r="AE266" s="21">
        <f t="shared" si="219"/>
        <v>0</v>
      </c>
      <c r="AF266" s="58" t="str">
        <f t="shared" si="220"/>
        <v/>
      </c>
      <c r="AG266" s="21">
        <f t="shared" si="221"/>
        <v>0</v>
      </c>
      <c r="AH266" s="58" t="str">
        <f t="shared" si="222"/>
        <v/>
      </c>
      <c r="AI266" s="21">
        <f t="shared" si="223"/>
        <v>0</v>
      </c>
      <c r="AJ266" s="58" t="str">
        <f t="shared" si="224"/>
        <v/>
      </c>
      <c r="AK266" s="31">
        <f t="shared" si="225"/>
        <v>0</v>
      </c>
      <c r="AL266" s="21">
        <f t="shared" si="226"/>
        <v>0</v>
      </c>
      <c r="AM266" s="62" t="str">
        <f t="shared" si="227"/>
        <v/>
      </c>
      <c r="AN266" s="21">
        <f t="shared" si="228"/>
        <v>0</v>
      </c>
      <c r="AO266" s="62" t="str">
        <f t="shared" si="229"/>
        <v/>
      </c>
      <c r="AP266" s="21">
        <f t="shared" si="230"/>
        <v>0</v>
      </c>
      <c r="AQ266" s="62" t="str">
        <f t="shared" si="231"/>
        <v/>
      </c>
      <c r="AR266" s="31">
        <f t="shared" si="232"/>
        <v>0</v>
      </c>
      <c r="AS266" s="21">
        <f t="shared" si="233"/>
        <v>0</v>
      </c>
      <c r="AT266" s="62" t="str">
        <f t="shared" si="234"/>
        <v/>
      </c>
      <c r="AU266" s="84">
        <f t="shared" si="235"/>
        <v>0</v>
      </c>
      <c r="AV266" s="32">
        <f t="shared" si="236"/>
        <v>0</v>
      </c>
      <c r="AW266" s="85" t="str">
        <f t="shared" si="237"/>
        <v/>
      </c>
      <c r="AX266" s="86" t="str">
        <f t="shared" si="238"/>
        <v/>
      </c>
    </row>
    <row r="267" spans="1:50" x14ac:dyDescent="0.2">
      <c r="A267" s="29" t="str">
        <f t="shared" si="197"/>
        <v/>
      </c>
      <c r="B267" s="32" t="str">
        <f t="shared" si="198"/>
        <v/>
      </c>
      <c r="C267" s="35"/>
      <c r="D267" s="33" t="str">
        <f t="shared" si="199"/>
        <v/>
      </c>
      <c r="E267" s="22" t="str">
        <f t="shared" si="200"/>
        <v/>
      </c>
      <c r="F267" s="23" t="str">
        <f t="shared" si="201"/>
        <v/>
      </c>
      <c r="G267" s="23"/>
      <c r="H267" s="22"/>
      <c r="I267" s="23"/>
      <c r="J267" s="18"/>
      <c r="K267" s="13" t="str">
        <f t="shared" si="202"/>
        <v/>
      </c>
      <c r="L267" s="28" t="str">
        <f t="shared" si="196"/>
        <v/>
      </c>
      <c r="M267" s="10" t="str">
        <f t="shared" si="203"/>
        <v/>
      </c>
      <c r="N267" s="17" t="str">
        <f t="shared" si="204"/>
        <v/>
      </c>
      <c r="O267" s="39" t="str">
        <f t="shared" si="205"/>
        <v/>
      </c>
      <c r="P267" s="41" t="str">
        <f t="shared" si="206"/>
        <v/>
      </c>
      <c r="Q267" s="9" t="str">
        <f t="shared" si="207"/>
        <v/>
      </c>
      <c r="R267" s="14">
        <f t="shared" si="208"/>
        <v>0</v>
      </c>
      <c r="S267" s="61" t="str">
        <f t="shared" si="209"/>
        <v/>
      </c>
      <c r="T267" s="14">
        <f t="shared" si="210"/>
        <v>0</v>
      </c>
      <c r="U267" s="58" t="str">
        <f t="shared" si="211"/>
        <v/>
      </c>
      <c r="V267" s="14">
        <f t="shared" si="212"/>
        <v>0</v>
      </c>
      <c r="W267" s="58" t="str">
        <f t="shared" si="213"/>
        <v/>
      </c>
      <c r="X267" s="14">
        <f t="shared" si="214"/>
        <v>0</v>
      </c>
      <c r="Y267" s="58" t="str">
        <f t="shared" si="215"/>
        <v/>
      </c>
      <c r="Z267" s="31">
        <f t="shared" si="216"/>
        <v>0</v>
      </c>
      <c r="AA267" s="21">
        <f t="shared" si="217"/>
        <v>0</v>
      </c>
      <c r="AB267" s="58" t="str">
        <f t="shared" si="218"/>
        <v/>
      </c>
      <c r="AC267" s="630">
        <f t="shared" si="195"/>
        <v>0</v>
      </c>
      <c r="AD267" s="627"/>
      <c r="AE267" s="21">
        <f t="shared" si="219"/>
        <v>0</v>
      </c>
      <c r="AF267" s="58" t="str">
        <f t="shared" si="220"/>
        <v/>
      </c>
      <c r="AG267" s="21">
        <f t="shared" si="221"/>
        <v>0</v>
      </c>
      <c r="AH267" s="58" t="str">
        <f t="shared" si="222"/>
        <v/>
      </c>
      <c r="AI267" s="21">
        <f t="shared" si="223"/>
        <v>0</v>
      </c>
      <c r="AJ267" s="58" t="str">
        <f t="shared" si="224"/>
        <v/>
      </c>
      <c r="AK267" s="31">
        <f t="shared" si="225"/>
        <v>0</v>
      </c>
      <c r="AL267" s="21">
        <f t="shared" si="226"/>
        <v>0</v>
      </c>
      <c r="AM267" s="62" t="str">
        <f t="shared" si="227"/>
        <v/>
      </c>
      <c r="AN267" s="21">
        <f t="shared" si="228"/>
        <v>0</v>
      </c>
      <c r="AO267" s="62" t="str">
        <f t="shared" si="229"/>
        <v/>
      </c>
      <c r="AP267" s="21">
        <f t="shared" si="230"/>
        <v>0</v>
      </c>
      <c r="AQ267" s="62" t="str">
        <f t="shared" si="231"/>
        <v/>
      </c>
      <c r="AR267" s="31">
        <f t="shared" si="232"/>
        <v>0</v>
      </c>
      <c r="AS267" s="21">
        <f t="shared" si="233"/>
        <v>0</v>
      </c>
      <c r="AT267" s="62" t="str">
        <f t="shared" si="234"/>
        <v/>
      </c>
      <c r="AU267" s="84">
        <f t="shared" si="235"/>
        <v>0</v>
      </c>
      <c r="AV267" s="32">
        <f t="shared" si="236"/>
        <v>0</v>
      </c>
      <c r="AW267" s="85" t="str">
        <f t="shared" si="237"/>
        <v/>
      </c>
      <c r="AX267" s="86" t="str">
        <f t="shared" si="238"/>
        <v/>
      </c>
    </row>
    <row r="268" spans="1:50" x14ac:dyDescent="0.2">
      <c r="A268" s="29" t="str">
        <f t="shared" si="197"/>
        <v/>
      </c>
      <c r="B268" s="32" t="str">
        <f t="shared" si="198"/>
        <v/>
      </c>
      <c r="C268" s="35"/>
      <c r="D268" s="33" t="str">
        <f t="shared" si="199"/>
        <v/>
      </c>
      <c r="E268" s="22" t="str">
        <f t="shared" si="200"/>
        <v/>
      </c>
      <c r="F268" s="23" t="str">
        <f t="shared" si="201"/>
        <v/>
      </c>
      <c r="G268" s="23"/>
      <c r="H268" s="22"/>
      <c r="I268" s="23"/>
      <c r="J268" s="18"/>
      <c r="K268" s="13" t="str">
        <f t="shared" si="202"/>
        <v/>
      </c>
      <c r="L268" s="28" t="str">
        <f t="shared" si="196"/>
        <v/>
      </c>
      <c r="M268" s="10" t="str">
        <f t="shared" si="203"/>
        <v/>
      </c>
      <c r="N268" s="17" t="str">
        <f t="shared" si="204"/>
        <v/>
      </c>
      <c r="O268" s="39" t="str">
        <f t="shared" si="205"/>
        <v/>
      </c>
      <c r="P268" s="41" t="str">
        <f t="shared" si="206"/>
        <v/>
      </c>
      <c r="Q268" s="9" t="str">
        <f t="shared" si="207"/>
        <v/>
      </c>
      <c r="R268" s="14">
        <f t="shared" si="208"/>
        <v>0</v>
      </c>
      <c r="S268" s="61" t="str">
        <f t="shared" si="209"/>
        <v/>
      </c>
      <c r="T268" s="14">
        <f t="shared" si="210"/>
        <v>0</v>
      </c>
      <c r="U268" s="58" t="str">
        <f t="shared" si="211"/>
        <v/>
      </c>
      <c r="V268" s="14">
        <f t="shared" si="212"/>
        <v>0</v>
      </c>
      <c r="W268" s="58" t="str">
        <f t="shared" si="213"/>
        <v/>
      </c>
      <c r="X268" s="14">
        <f t="shared" si="214"/>
        <v>0</v>
      </c>
      <c r="Y268" s="58" t="str">
        <f t="shared" si="215"/>
        <v/>
      </c>
      <c r="Z268" s="31">
        <f t="shared" si="216"/>
        <v>0</v>
      </c>
      <c r="AA268" s="21">
        <f t="shared" si="217"/>
        <v>0</v>
      </c>
      <c r="AB268" s="58" t="str">
        <f t="shared" si="218"/>
        <v/>
      </c>
      <c r="AC268" s="630">
        <f t="shared" si="195"/>
        <v>0</v>
      </c>
      <c r="AD268" s="627"/>
      <c r="AE268" s="21">
        <f t="shared" si="219"/>
        <v>0</v>
      </c>
      <c r="AF268" s="58" t="str">
        <f t="shared" si="220"/>
        <v/>
      </c>
      <c r="AG268" s="21">
        <f t="shared" si="221"/>
        <v>0</v>
      </c>
      <c r="AH268" s="58" t="str">
        <f t="shared" si="222"/>
        <v/>
      </c>
      <c r="AI268" s="21">
        <f t="shared" si="223"/>
        <v>0</v>
      </c>
      <c r="AJ268" s="58" t="str">
        <f t="shared" si="224"/>
        <v/>
      </c>
      <c r="AK268" s="31">
        <f t="shared" si="225"/>
        <v>0</v>
      </c>
      <c r="AL268" s="21">
        <f t="shared" si="226"/>
        <v>0</v>
      </c>
      <c r="AM268" s="62" t="str">
        <f t="shared" si="227"/>
        <v/>
      </c>
      <c r="AN268" s="21">
        <f t="shared" si="228"/>
        <v>0</v>
      </c>
      <c r="AO268" s="62" t="str">
        <f t="shared" si="229"/>
        <v/>
      </c>
      <c r="AP268" s="21">
        <f t="shared" si="230"/>
        <v>0</v>
      </c>
      <c r="AQ268" s="62" t="str">
        <f t="shared" si="231"/>
        <v/>
      </c>
      <c r="AR268" s="31">
        <f t="shared" si="232"/>
        <v>0</v>
      </c>
      <c r="AS268" s="21">
        <f t="shared" si="233"/>
        <v>0</v>
      </c>
      <c r="AT268" s="62" t="str">
        <f t="shared" si="234"/>
        <v/>
      </c>
      <c r="AU268" s="84">
        <f t="shared" si="235"/>
        <v>0</v>
      </c>
      <c r="AV268" s="32">
        <f t="shared" si="236"/>
        <v>0</v>
      </c>
      <c r="AW268" s="85" t="str">
        <f t="shared" si="237"/>
        <v/>
      </c>
      <c r="AX268" s="86" t="str">
        <f t="shared" si="238"/>
        <v/>
      </c>
    </row>
    <row r="269" spans="1:50" x14ac:dyDescent="0.2">
      <c r="A269" s="29" t="str">
        <f t="shared" si="197"/>
        <v/>
      </c>
      <c r="B269" s="32" t="str">
        <f t="shared" si="198"/>
        <v/>
      </c>
      <c r="C269" s="35"/>
      <c r="D269" s="33" t="str">
        <f t="shared" si="199"/>
        <v/>
      </c>
      <c r="E269" s="22" t="str">
        <f t="shared" si="200"/>
        <v/>
      </c>
      <c r="F269" s="23" t="str">
        <f t="shared" si="201"/>
        <v/>
      </c>
      <c r="G269" s="23"/>
      <c r="H269" s="22"/>
      <c r="I269" s="23"/>
      <c r="J269" s="18"/>
      <c r="K269" s="13" t="str">
        <f t="shared" si="202"/>
        <v/>
      </c>
      <c r="L269" s="28" t="str">
        <f t="shared" si="196"/>
        <v/>
      </c>
      <c r="M269" s="10" t="str">
        <f t="shared" si="203"/>
        <v/>
      </c>
      <c r="N269" s="17" t="str">
        <f t="shared" si="204"/>
        <v/>
      </c>
      <c r="O269" s="39" t="str">
        <f t="shared" si="205"/>
        <v/>
      </c>
      <c r="P269" s="41" t="str">
        <f t="shared" si="206"/>
        <v/>
      </c>
      <c r="Q269" s="9" t="str">
        <f t="shared" si="207"/>
        <v/>
      </c>
      <c r="R269" s="14">
        <f t="shared" si="208"/>
        <v>0</v>
      </c>
      <c r="S269" s="61" t="str">
        <f t="shared" si="209"/>
        <v/>
      </c>
      <c r="T269" s="14">
        <f t="shared" si="210"/>
        <v>0</v>
      </c>
      <c r="U269" s="58" t="str">
        <f t="shared" si="211"/>
        <v/>
      </c>
      <c r="V269" s="14">
        <f t="shared" si="212"/>
        <v>0</v>
      </c>
      <c r="W269" s="58" t="str">
        <f t="shared" si="213"/>
        <v/>
      </c>
      <c r="X269" s="14">
        <f t="shared" si="214"/>
        <v>0</v>
      </c>
      <c r="Y269" s="58" t="str">
        <f t="shared" si="215"/>
        <v/>
      </c>
      <c r="Z269" s="31">
        <f t="shared" si="216"/>
        <v>0</v>
      </c>
      <c r="AA269" s="21">
        <f t="shared" si="217"/>
        <v>0</v>
      </c>
      <c r="AB269" s="58" t="str">
        <f t="shared" si="218"/>
        <v/>
      </c>
      <c r="AC269" s="630">
        <f t="shared" si="195"/>
        <v>0</v>
      </c>
      <c r="AD269" s="627"/>
      <c r="AE269" s="21">
        <f t="shared" si="219"/>
        <v>0</v>
      </c>
      <c r="AF269" s="58" t="str">
        <f t="shared" si="220"/>
        <v/>
      </c>
      <c r="AG269" s="21">
        <f t="shared" si="221"/>
        <v>0</v>
      </c>
      <c r="AH269" s="58" t="str">
        <f t="shared" si="222"/>
        <v/>
      </c>
      <c r="AI269" s="21">
        <f t="shared" si="223"/>
        <v>0</v>
      </c>
      <c r="AJ269" s="58" t="str">
        <f t="shared" si="224"/>
        <v/>
      </c>
      <c r="AK269" s="31">
        <f t="shared" si="225"/>
        <v>0</v>
      </c>
      <c r="AL269" s="21">
        <f t="shared" si="226"/>
        <v>0</v>
      </c>
      <c r="AM269" s="62" t="str">
        <f t="shared" si="227"/>
        <v/>
      </c>
      <c r="AN269" s="21">
        <f t="shared" si="228"/>
        <v>0</v>
      </c>
      <c r="AO269" s="62" t="str">
        <f t="shared" si="229"/>
        <v/>
      </c>
      <c r="AP269" s="21">
        <f t="shared" si="230"/>
        <v>0</v>
      </c>
      <c r="AQ269" s="62" t="str">
        <f t="shared" si="231"/>
        <v/>
      </c>
      <c r="AR269" s="31">
        <f t="shared" si="232"/>
        <v>0</v>
      </c>
      <c r="AS269" s="21">
        <f t="shared" si="233"/>
        <v>0</v>
      </c>
      <c r="AT269" s="62" t="str">
        <f t="shared" si="234"/>
        <v/>
      </c>
      <c r="AU269" s="84">
        <f t="shared" si="235"/>
        <v>0</v>
      </c>
      <c r="AV269" s="32">
        <f t="shared" si="236"/>
        <v>0</v>
      </c>
      <c r="AW269" s="85" t="str">
        <f t="shared" si="237"/>
        <v/>
      </c>
      <c r="AX269" s="86" t="str">
        <f t="shared" si="238"/>
        <v/>
      </c>
    </row>
    <row r="270" spans="1:50" x14ac:dyDescent="0.2">
      <c r="A270" s="29" t="str">
        <f t="shared" si="197"/>
        <v/>
      </c>
      <c r="B270" s="32" t="str">
        <f t="shared" si="198"/>
        <v/>
      </c>
      <c r="C270" s="35"/>
      <c r="D270" s="33" t="str">
        <f t="shared" si="199"/>
        <v/>
      </c>
      <c r="E270" s="22" t="str">
        <f t="shared" si="200"/>
        <v/>
      </c>
      <c r="F270" s="23" t="str">
        <f t="shared" si="201"/>
        <v/>
      </c>
      <c r="G270" s="23"/>
      <c r="H270" s="22"/>
      <c r="I270" s="23"/>
      <c r="J270" s="18"/>
      <c r="K270" s="13" t="str">
        <f t="shared" si="202"/>
        <v/>
      </c>
      <c r="L270" s="28" t="str">
        <f t="shared" si="196"/>
        <v/>
      </c>
      <c r="M270" s="10" t="str">
        <f t="shared" si="203"/>
        <v/>
      </c>
      <c r="N270" s="17" t="str">
        <f t="shared" si="204"/>
        <v/>
      </c>
      <c r="O270" s="39" t="str">
        <f t="shared" si="205"/>
        <v/>
      </c>
      <c r="P270" s="41" t="str">
        <f t="shared" si="206"/>
        <v/>
      </c>
      <c r="Q270" s="9" t="str">
        <f t="shared" si="207"/>
        <v/>
      </c>
      <c r="R270" s="14">
        <f t="shared" si="208"/>
        <v>0</v>
      </c>
      <c r="S270" s="61" t="str">
        <f t="shared" si="209"/>
        <v/>
      </c>
      <c r="T270" s="14">
        <f t="shared" si="210"/>
        <v>0</v>
      </c>
      <c r="U270" s="58" t="str">
        <f t="shared" si="211"/>
        <v/>
      </c>
      <c r="V270" s="14">
        <f t="shared" si="212"/>
        <v>0</v>
      </c>
      <c r="W270" s="58" t="str">
        <f t="shared" si="213"/>
        <v/>
      </c>
      <c r="X270" s="14">
        <f t="shared" si="214"/>
        <v>0</v>
      </c>
      <c r="Y270" s="58" t="str">
        <f t="shared" si="215"/>
        <v/>
      </c>
      <c r="Z270" s="31">
        <f t="shared" si="216"/>
        <v>0</v>
      </c>
      <c r="AA270" s="21">
        <f t="shared" si="217"/>
        <v>0</v>
      </c>
      <c r="AB270" s="58" t="str">
        <f t="shared" si="218"/>
        <v/>
      </c>
      <c r="AC270" s="630">
        <f t="shared" si="195"/>
        <v>0</v>
      </c>
      <c r="AD270" s="627"/>
      <c r="AE270" s="21">
        <f t="shared" si="219"/>
        <v>0</v>
      </c>
      <c r="AF270" s="58" t="str">
        <f t="shared" si="220"/>
        <v/>
      </c>
      <c r="AG270" s="21">
        <f t="shared" si="221"/>
        <v>0</v>
      </c>
      <c r="AH270" s="58" t="str">
        <f t="shared" si="222"/>
        <v/>
      </c>
      <c r="AI270" s="21">
        <f t="shared" si="223"/>
        <v>0</v>
      </c>
      <c r="AJ270" s="58" t="str">
        <f t="shared" si="224"/>
        <v/>
      </c>
      <c r="AK270" s="31">
        <f t="shared" si="225"/>
        <v>0</v>
      </c>
      <c r="AL270" s="21">
        <f t="shared" si="226"/>
        <v>0</v>
      </c>
      <c r="AM270" s="62" t="str">
        <f t="shared" si="227"/>
        <v/>
      </c>
      <c r="AN270" s="21">
        <f t="shared" si="228"/>
        <v>0</v>
      </c>
      <c r="AO270" s="62" t="str">
        <f t="shared" si="229"/>
        <v/>
      </c>
      <c r="AP270" s="21">
        <f t="shared" si="230"/>
        <v>0</v>
      </c>
      <c r="AQ270" s="62" t="str">
        <f t="shared" si="231"/>
        <v/>
      </c>
      <c r="AR270" s="31">
        <f t="shared" si="232"/>
        <v>0</v>
      </c>
      <c r="AS270" s="21">
        <f t="shared" si="233"/>
        <v>0</v>
      </c>
      <c r="AT270" s="62" t="str">
        <f t="shared" si="234"/>
        <v/>
      </c>
      <c r="AU270" s="84">
        <f t="shared" si="235"/>
        <v>0</v>
      </c>
      <c r="AV270" s="32">
        <f t="shared" si="236"/>
        <v>0</v>
      </c>
      <c r="AW270" s="85" t="str">
        <f t="shared" si="237"/>
        <v/>
      </c>
      <c r="AX270" s="86" t="str">
        <f t="shared" si="238"/>
        <v/>
      </c>
    </row>
    <row r="271" spans="1:50" x14ac:dyDescent="0.2">
      <c r="A271" s="29" t="str">
        <f t="shared" si="197"/>
        <v/>
      </c>
      <c r="B271" s="32" t="str">
        <f t="shared" si="198"/>
        <v/>
      </c>
      <c r="C271" s="35"/>
      <c r="D271" s="33" t="str">
        <f t="shared" si="199"/>
        <v/>
      </c>
      <c r="E271" s="22" t="str">
        <f t="shared" si="200"/>
        <v/>
      </c>
      <c r="F271" s="23" t="str">
        <f t="shared" si="201"/>
        <v/>
      </c>
      <c r="G271" s="23"/>
      <c r="H271" s="22"/>
      <c r="I271" s="23"/>
      <c r="J271" s="18"/>
      <c r="K271" s="13" t="str">
        <f t="shared" si="202"/>
        <v/>
      </c>
      <c r="L271" s="28" t="str">
        <f t="shared" si="196"/>
        <v/>
      </c>
      <c r="M271" s="10" t="str">
        <f t="shared" si="203"/>
        <v/>
      </c>
      <c r="N271" s="17" t="str">
        <f t="shared" si="204"/>
        <v/>
      </c>
      <c r="O271" s="39" t="str">
        <f t="shared" si="205"/>
        <v/>
      </c>
      <c r="P271" s="41" t="str">
        <f t="shared" si="206"/>
        <v/>
      </c>
      <c r="Q271" s="9" t="str">
        <f t="shared" si="207"/>
        <v/>
      </c>
      <c r="R271" s="14">
        <f t="shared" si="208"/>
        <v>0</v>
      </c>
      <c r="S271" s="61" t="str">
        <f t="shared" si="209"/>
        <v/>
      </c>
      <c r="T271" s="14">
        <f t="shared" si="210"/>
        <v>0</v>
      </c>
      <c r="U271" s="58" t="str">
        <f t="shared" si="211"/>
        <v/>
      </c>
      <c r="V271" s="14">
        <f t="shared" si="212"/>
        <v>0</v>
      </c>
      <c r="W271" s="58" t="str">
        <f t="shared" si="213"/>
        <v/>
      </c>
      <c r="X271" s="14">
        <f t="shared" si="214"/>
        <v>0</v>
      </c>
      <c r="Y271" s="58" t="str">
        <f t="shared" si="215"/>
        <v/>
      </c>
      <c r="Z271" s="31">
        <f t="shared" si="216"/>
        <v>0</v>
      </c>
      <c r="AA271" s="21">
        <f t="shared" si="217"/>
        <v>0</v>
      </c>
      <c r="AB271" s="58" t="str">
        <f t="shared" si="218"/>
        <v/>
      </c>
      <c r="AC271" s="630">
        <f t="shared" si="195"/>
        <v>0</v>
      </c>
      <c r="AD271" s="627"/>
      <c r="AE271" s="21">
        <f t="shared" si="219"/>
        <v>0</v>
      </c>
      <c r="AF271" s="58" t="str">
        <f t="shared" si="220"/>
        <v/>
      </c>
      <c r="AG271" s="21">
        <f t="shared" si="221"/>
        <v>0</v>
      </c>
      <c r="AH271" s="58" t="str">
        <f t="shared" si="222"/>
        <v/>
      </c>
      <c r="AI271" s="21">
        <f t="shared" si="223"/>
        <v>0</v>
      </c>
      <c r="AJ271" s="58" t="str">
        <f t="shared" si="224"/>
        <v/>
      </c>
      <c r="AK271" s="31">
        <f t="shared" si="225"/>
        <v>0</v>
      </c>
      <c r="AL271" s="21">
        <f t="shared" si="226"/>
        <v>0</v>
      </c>
      <c r="AM271" s="62" t="str">
        <f t="shared" si="227"/>
        <v/>
      </c>
      <c r="AN271" s="21">
        <f t="shared" si="228"/>
        <v>0</v>
      </c>
      <c r="AO271" s="62" t="str">
        <f t="shared" si="229"/>
        <v/>
      </c>
      <c r="AP271" s="21">
        <f t="shared" si="230"/>
        <v>0</v>
      </c>
      <c r="AQ271" s="62" t="str">
        <f t="shared" si="231"/>
        <v/>
      </c>
      <c r="AR271" s="31">
        <f t="shared" si="232"/>
        <v>0</v>
      </c>
      <c r="AS271" s="21">
        <f t="shared" si="233"/>
        <v>0</v>
      </c>
      <c r="AT271" s="62" t="str">
        <f t="shared" si="234"/>
        <v/>
      </c>
      <c r="AU271" s="84">
        <f t="shared" si="235"/>
        <v>0</v>
      </c>
      <c r="AV271" s="32">
        <f t="shared" si="236"/>
        <v>0</v>
      </c>
      <c r="AW271" s="85" t="str">
        <f t="shared" si="237"/>
        <v/>
      </c>
      <c r="AX271" s="86" t="str">
        <f t="shared" si="238"/>
        <v/>
      </c>
    </row>
    <row r="272" spans="1:50" x14ac:dyDescent="0.2">
      <c r="A272" s="29" t="str">
        <f t="shared" si="197"/>
        <v/>
      </c>
      <c r="B272" s="32" t="str">
        <f t="shared" si="198"/>
        <v/>
      </c>
      <c r="C272" s="35"/>
      <c r="D272" s="33" t="str">
        <f t="shared" si="199"/>
        <v/>
      </c>
      <c r="E272" s="22" t="str">
        <f t="shared" si="200"/>
        <v/>
      </c>
      <c r="F272" s="23" t="str">
        <f t="shared" si="201"/>
        <v/>
      </c>
      <c r="G272" s="23"/>
      <c r="H272" s="22"/>
      <c r="I272" s="23"/>
      <c r="J272" s="18"/>
      <c r="K272" s="13" t="str">
        <f t="shared" si="202"/>
        <v/>
      </c>
      <c r="L272" s="28" t="str">
        <f t="shared" si="196"/>
        <v/>
      </c>
      <c r="M272" s="10" t="str">
        <f t="shared" si="203"/>
        <v/>
      </c>
      <c r="N272" s="17" t="str">
        <f t="shared" si="204"/>
        <v/>
      </c>
      <c r="O272" s="39" t="str">
        <f t="shared" si="205"/>
        <v/>
      </c>
      <c r="P272" s="41" t="str">
        <f t="shared" si="206"/>
        <v/>
      </c>
      <c r="Q272" s="9" t="str">
        <f t="shared" si="207"/>
        <v/>
      </c>
      <c r="R272" s="14">
        <f t="shared" si="208"/>
        <v>0</v>
      </c>
      <c r="S272" s="61" t="str">
        <f t="shared" si="209"/>
        <v/>
      </c>
      <c r="T272" s="14">
        <f t="shared" si="210"/>
        <v>0</v>
      </c>
      <c r="U272" s="58" t="str">
        <f t="shared" si="211"/>
        <v/>
      </c>
      <c r="V272" s="14">
        <f t="shared" si="212"/>
        <v>0</v>
      </c>
      <c r="W272" s="58" t="str">
        <f t="shared" si="213"/>
        <v/>
      </c>
      <c r="X272" s="14">
        <f t="shared" si="214"/>
        <v>0</v>
      </c>
      <c r="Y272" s="58" t="str">
        <f t="shared" si="215"/>
        <v/>
      </c>
      <c r="Z272" s="31">
        <f t="shared" si="216"/>
        <v>0</v>
      </c>
      <c r="AA272" s="21">
        <f t="shared" si="217"/>
        <v>0</v>
      </c>
      <c r="AB272" s="58" t="str">
        <f t="shared" si="218"/>
        <v/>
      </c>
      <c r="AC272" s="630">
        <f t="shared" si="195"/>
        <v>0</v>
      </c>
      <c r="AD272" s="627"/>
      <c r="AE272" s="21">
        <f t="shared" si="219"/>
        <v>0</v>
      </c>
      <c r="AF272" s="58" t="str">
        <f t="shared" si="220"/>
        <v/>
      </c>
      <c r="AG272" s="21">
        <f t="shared" si="221"/>
        <v>0</v>
      </c>
      <c r="AH272" s="58" t="str">
        <f t="shared" si="222"/>
        <v/>
      </c>
      <c r="AI272" s="21">
        <f t="shared" si="223"/>
        <v>0</v>
      </c>
      <c r="AJ272" s="58" t="str">
        <f t="shared" si="224"/>
        <v/>
      </c>
      <c r="AK272" s="31">
        <f t="shared" si="225"/>
        <v>0</v>
      </c>
      <c r="AL272" s="21">
        <f t="shared" si="226"/>
        <v>0</v>
      </c>
      <c r="AM272" s="62" t="str">
        <f t="shared" si="227"/>
        <v/>
      </c>
      <c r="AN272" s="21">
        <f t="shared" si="228"/>
        <v>0</v>
      </c>
      <c r="AO272" s="62" t="str">
        <f t="shared" si="229"/>
        <v/>
      </c>
      <c r="AP272" s="21">
        <f t="shared" si="230"/>
        <v>0</v>
      </c>
      <c r="AQ272" s="62" t="str">
        <f t="shared" si="231"/>
        <v/>
      </c>
      <c r="AR272" s="31">
        <f t="shared" si="232"/>
        <v>0</v>
      </c>
      <c r="AS272" s="21">
        <f t="shared" si="233"/>
        <v>0</v>
      </c>
      <c r="AT272" s="62" t="str">
        <f t="shared" si="234"/>
        <v/>
      </c>
      <c r="AU272" s="84">
        <f t="shared" si="235"/>
        <v>0</v>
      </c>
      <c r="AV272" s="32">
        <f t="shared" si="236"/>
        <v>0</v>
      </c>
      <c r="AW272" s="85" t="str">
        <f t="shared" si="237"/>
        <v/>
      </c>
      <c r="AX272" s="86" t="str">
        <f t="shared" si="238"/>
        <v/>
      </c>
    </row>
    <row r="273" spans="1:50" x14ac:dyDescent="0.2">
      <c r="A273" s="29" t="str">
        <f t="shared" si="197"/>
        <v/>
      </c>
      <c r="B273" s="32" t="str">
        <f t="shared" si="198"/>
        <v/>
      </c>
      <c r="C273" s="35"/>
      <c r="D273" s="33" t="str">
        <f t="shared" si="199"/>
        <v/>
      </c>
      <c r="E273" s="22" t="str">
        <f t="shared" si="200"/>
        <v/>
      </c>
      <c r="F273" s="23" t="str">
        <f t="shared" si="201"/>
        <v/>
      </c>
      <c r="G273" s="23"/>
      <c r="H273" s="22"/>
      <c r="I273" s="23"/>
      <c r="J273" s="18"/>
      <c r="K273" s="13" t="str">
        <f t="shared" si="202"/>
        <v/>
      </c>
      <c r="L273" s="28" t="str">
        <f t="shared" si="196"/>
        <v/>
      </c>
      <c r="M273" s="10" t="str">
        <f t="shared" si="203"/>
        <v/>
      </c>
      <c r="N273" s="17" t="str">
        <f t="shared" si="204"/>
        <v/>
      </c>
      <c r="O273" s="39" t="str">
        <f t="shared" si="205"/>
        <v/>
      </c>
      <c r="P273" s="41" t="str">
        <f t="shared" si="206"/>
        <v/>
      </c>
      <c r="Q273" s="9" t="str">
        <f t="shared" si="207"/>
        <v/>
      </c>
      <c r="R273" s="14">
        <f t="shared" si="208"/>
        <v>0</v>
      </c>
      <c r="S273" s="61" t="str">
        <f t="shared" si="209"/>
        <v/>
      </c>
      <c r="T273" s="14">
        <f t="shared" si="210"/>
        <v>0</v>
      </c>
      <c r="U273" s="58" t="str">
        <f t="shared" si="211"/>
        <v/>
      </c>
      <c r="V273" s="14">
        <f t="shared" si="212"/>
        <v>0</v>
      </c>
      <c r="W273" s="58" t="str">
        <f t="shared" si="213"/>
        <v/>
      </c>
      <c r="X273" s="14">
        <f t="shared" si="214"/>
        <v>0</v>
      </c>
      <c r="Y273" s="58" t="str">
        <f t="shared" si="215"/>
        <v/>
      </c>
      <c r="Z273" s="31">
        <f t="shared" si="216"/>
        <v>0</v>
      </c>
      <c r="AA273" s="21">
        <f t="shared" si="217"/>
        <v>0</v>
      </c>
      <c r="AB273" s="58" t="str">
        <f t="shared" si="218"/>
        <v/>
      </c>
      <c r="AC273" s="630">
        <f t="shared" si="195"/>
        <v>0</v>
      </c>
      <c r="AD273" s="627"/>
      <c r="AE273" s="21">
        <f t="shared" si="219"/>
        <v>0</v>
      </c>
      <c r="AF273" s="58" t="str">
        <f t="shared" si="220"/>
        <v/>
      </c>
      <c r="AG273" s="21">
        <f t="shared" si="221"/>
        <v>0</v>
      </c>
      <c r="AH273" s="58" t="str">
        <f t="shared" si="222"/>
        <v/>
      </c>
      <c r="AI273" s="21">
        <f t="shared" si="223"/>
        <v>0</v>
      </c>
      <c r="AJ273" s="58" t="str">
        <f t="shared" si="224"/>
        <v/>
      </c>
      <c r="AK273" s="31">
        <f t="shared" si="225"/>
        <v>0</v>
      </c>
      <c r="AL273" s="21">
        <f t="shared" si="226"/>
        <v>0</v>
      </c>
      <c r="AM273" s="62" t="str">
        <f t="shared" si="227"/>
        <v/>
      </c>
      <c r="AN273" s="21">
        <f t="shared" si="228"/>
        <v>0</v>
      </c>
      <c r="AO273" s="62" t="str">
        <f t="shared" si="229"/>
        <v/>
      </c>
      <c r="AP273" s="21">
        <f t="shared" si="230"/>
        <v>0</v>
      </c>
      <c r="AQ273" s="62" t="str">
        <f t="shared" si="231"/>
        <v/>
      </c>
      <c r="AR273" s="31">
        <f t="shared" si="232"/>
        <v>0</v>
      </c>
      <c r="AS273" s="21">
        <f t="shared" si="233"/>
        <v>0</v>
      </c>
      <c r="AT273" s="62" t="str">
        <f t="shared" si="234"/>
        <v/>
      </c>
      <c r="AU273" s="84">
        <f t="shared" si="235"/>
        <v>0</v>
      </c>
      <c r="AV273" s="32">
        <f t="shared" si="236"/>
        <v>0</v>
      </c>
      <c r="AW273" s="85" t="str">
        <f t="shared" si="237"/>
        <v/>
      </c>
      <c r="AX273" s="86" t="str">
        <f t="shared" si="238"/>
        <v/>
      </c>
    </row>
    <row r="274" spans="1:50" x14ac:dyDescent="0.2">
      <c r="A274" s="29" t="str">
        <f t="shared" si="197"/>
        <v/>
      </c>
      <c r="B274" s="32" t="str">
        <f t="shared" si="198"/>
        <v/>
      </c>
      <c r="C274" s="35"/>
      <c r="D274" s="33" t="str">
        <f t="shared" si="199"/>
        <v/>
      </c>
      <c r="E274" s="22" t="str">
        <f t="shared" si="200"/>
        <v/>
      </c>
      <c r="F274" s="23" t="str">
        <f t="shared" si="201"/>
        <v/>
      </c>
      <c r="G274" s="23"/>
      <c r="H274" s="22"/>
      <c r="I274" s="23"/>
      <c r="J274" s="18"/>
      <c r="K274" s="13" t="str">
        <f t="shared" si="202"/>
        <v/>
      </c>
      <c r="L274" s="28" t="str">
        <f t="shared" si="196"/>
        <v/>
      </c>
      <c r="M274" s="10" t="str">
        <f t="shared" si="203"/>
        <v/>
      </c>
      <c r="N274" s="17" t="str">
        <f t="shared" si="204"/>
        <v/>
      </c>
      <c r="O274" s="39" t="str">
        <f t="shared" si="205"/>
        <v/>
      </c>
      <c r="P274" s="41" t="str">
        <f t="shared" si="206"/>
        <v/>
      </c>
      <c r="Q274" s="9" t="str">
        <f t="shared" si="207"/>
        <v/>
      </c>
      <c r="R274" s="14">
        <f t="shared" si="208"/>
        <v>0</v>
      </c>
      <c r="S274" s="61" t="str">
        <f t="shared" si="209"/>
        <v/>
      </c>
      <c r="T274" s="14">
        <f t="shared" si="210"/>
        <v>0</v>
      </c>
      <c r="U274" s="58" t="str">
        <f t="shared" si="211"/>
        <v/>
      </c>
      <c r="V274" s="14">
        <f t="shared" si="212"/>
        <v>0</v>
      </c>
      <c r="W274" s="58" t="str">
        <f t="shared" si="213"/>
        <v/>
      </c>
      <c r="X274" s="14">
        <f t="shared" si="214"/>
        <v>0</v>
      </c>
      <c r="Y274" s="58" t="str">
        <f t="shared" si="215"/>
        <v/>
      </c>
      <c r="Z274" s="31">
        <f t="shared" si="216"/>
        <v>0</v>
      </c>
      <c r="AA274" s="21">
        <f t="shared" si="217"/>
        <v>0</v>
      </c>
      <c r="AB274" s="58" t="str">
        <f t="shared" si="218"/>
        <v/>
      </c>
      <c r="AC274" s="630">
        <f t="shared" si="195"/>
        <v>0</v>
      </c>
      <c r="AD274" s="627"/>
      <c r="AE274" s="21">
        <f t="shared" si="219"/>
        <v>0</v>
      </c>
      <c r="AF274" s="58" t="str">
        <f t="shared" si="220"/>
        <v/>
      </c>
      <c r="AG274" s="21">
        <f t="shared" si="221"/>
        <v>0</v>
      </c>
      <c r="AH274" s="58" t="str">
        <f t="shared" si="222"/>
        <v/>
      </c>
      <c r="AI274" s="21">
        <f t="shared" si="223"/>
        <v>0</v>
      </c>
      <c r="AJ274" s="58" t="str">
        <f t="shared" si="224"/>
        <v/>
      </c>
      <c r="AK274" s="31">
        <f t="shared" si="225"/>
        <v>0</v>
      </c>
      <c r="AL274" s="21">
        <f t="shared" si="226"/>
        <v>0</v>
      </c>
      <c r="AM274" s="62" t="str">
        <f t="shared" si="227"/>
        <v/>
      </c>
      <c r="AN274" s="21">
        <f t="shared" si="228"/>
        <v>0</v>
      </c>
      <c r="AO274" s="62" t="str">
        <f t="shared" si="229"/>
        <v/>
      </c>
      <c r="AP274" s="21">
        <f t="shared" si="230"/>
        <v>0</v>
      </c>
      <c r="AQ274" s="62" t="str">
        <f t="shared" si="231"/>
        <v/>
      </c>
      <c r="AR274" s="31">
        <f t="shared" si="232"/>
        <v>0</v>
      </c>
      <c r="AS274" s="21">
        <f t="shared" si="233"/>
        <v>0</v>
      </c>
      <c r="AT274" s="62" t="str">
        <f t="shared" si="234"/>
        <v/>
      </c>
      <c r="AU274" s="84">
        <f t="shared" si="235"/>
        <v>0</v>
      </c>
      <c r="AV274" s="32">
        <f t="shared" si="236"/>
        <v>0</v>
      </c>
      <c r="AW274" s="85" t="str">
        <f t="shared" si="237"/>
        <v/>
      </c>
      <c r="AX274" s="86" t="str">
        <f t="shared" si="238"/>
        <v/>
      </c>
    </row>
    <row r="275" spans="1:50" x14ac:dyDescent="0.2">
      <c r="A275" s="29" t="str">
        <f t="shared" si="197"/>
        <v/>
      </c>
      <c r="B275" s="32" t="str">
        <f t="shared" si="198"/>
        <v/>
      </c>
      <c r="C275" s="35"/>
      <c r="D275" s="33" t="str">
        <f t="shared" si="199"/>
        <v/>
      </c>
      <c r="E275" s="22" t="str">
        <f t="shared" si="200"/>
        <v/>
      </c>
      <c r="F275" s="23" t="str">
        <f t="shared" si="201"/>
        <v/>
      </c>
      <c r="G275" s="23"/>
      <c r="H275" s="22"/>
      <c r="I275" s="23"/>
      <c r="J275" s="18"/>
      <c r="K275" s="13" t="str">
        <f t="shared" si="202"/>
        <v/>
      </c>
      <c r="L275" s="28" t="str">
        <f t="shared" si="196"/>
        <v/>
      </c>
      <c r="M275" s="10" t="str">
        <f t="shared" si="203"/>
        <v/>
      </c>
      <c r="N275" s="17" t="str">
        <f t="shared" si="204"/>
        <v/>
      </c>
      <c r="O275" s="39" t="str">
        <f t="shared" si="205"/>
        <v/>
      </c>
      <c r="P275" s="41" t="str">
        <f t="shared" si="206"/>
        <v/>
      </c>
      <c r="Q275" s="9" t="str">
        <f t="shared" si="207"/>
        <v/>
      </c>
      <c r="R275" s="14">
        <f t="shared" si="208"/>
        <v>0</v>
      </c>
      <c r="S275" s="61" t="str">
        <f t="shared" si="209"/>
        <v/>
      </c>
      <c r="T275" s="14">
        <f t="shared" si="210"/>
        <v>0</v>
      </c>
      <c r="U275" s="58" t="str">
        <f t="shared" si="211"/>
        <v/>
      </c>
      <c r="V275" s="14">
        <f t="shared" si="212"/>
        <v>0</v>
      </c>
      <c r="W275" s="58" t="str">
        <f t="shared" si="213"/>
        <v/>
      </c>
      <c r="X275" s="14">
        <f t="shared" si="214"/>
        <v>0</v>
      </c>
      <c r="Y275" s="58" t="str">
        <f t="shared" si="215"/>
        <v/>
      </c>
      <c r="Z275" s="31">
        <f t="shared" si="216"/>
        <v>0</v>
      </c>
      <c r="AA275" s="21">
        <f t="shared" si="217"/>
        <v>0</v>
      </c>
      <c r="AB275" s="58" t="str">
        <f t="shared" si="218"/>
        <v/>
      </c>
      <c r="AC275" s="630">
        <f t="shared" si="195"/>
        <v>0</v>
      </c>
      <c r="AD275" s="627"/>
      <c r="AE275" s="21">
        <f t="shared" si="219"/>
        <v>0</v>
      </c>
      <c r="AF275" s="58" t="str">
        <f t="shared" si="220"/>
        <v/>
      </c>
      <c r="AG275" s="21">
        <f t="shared" si="221"/>
        <v>0</v>
      </c>
      <c r="AH275" s="58" t="str">
        <f t="shared" si="222"/>
        <v/>
      </c>
      <c r="AI275" s="21">
        <f t="shared" si="223"/>
        <v>0</v>
      </c>
      <c r="AJ275" s="58" t="str">
        <f t="shared" si="224"/>
        <v/>
      </c>
      <c r="AK275" s="31">
        <f t="shared" si="225"/>
        <v>0</v>
      </c>
      <c r="AL275" s="21">
        <f t="shared" si="226"/>
        <v>0</v>
      </c>
      <c r="AM275" s="62" t="str">
        <f t="shared" si="227"/>
        <v/>
      </c>
      <c r="AN275" s="21">
        <f t="shared" si="228"/>
        <v>0</v>
      </c>
      <c r="AO275" s="62" t="str">
        <f t="shared" si="229"/>
        <v/>
      </c>
      <c r="AP275" s="21">
        <f t="shared" si="230"/>
        <v>0</v>
      </c>
      <c r="AQ275" s="62" t="str">
        <f t="shared" si="231"/>
        <v/>
      </c>
      <c r="AR275" s="31">
        <f t="shared" si="232"/>
        <v>0</v>
      </c>
      <c r="AS275" s="21">
        <f t="shared" si="233"/>
        <v>0</v>
      </c>
      <c r="AT275" s="62" t="str">
        <f t="shared" si="234"/>
        <v/>
      </c>
      <c r="AU275" s="84">
        <f t="shared" si="235"/>
        <v>0</v>
      </c>
      <c r="AV275" s="32">
        <f t="shared" si="236"/>
        <v>0</v>
      </c>
      <c r="AW275" s="85" t="str">
        <f t="shared" si="237"/>
        <v/>
      </c>
      <c r="AX275" s="86" t="str">
        <f t="shared" si="238"/>
        <v/>
      </c>
    </row>
    <row r="276" spans="1:50" x14ac:dyDescent="0.2">
      <c r="A276" s="29" t="str">
        <f t="shared" si="197"/>
        <v/>
      </c>
      <c r="B276" s="32" t="str">
        <f t="shared" si="198"/>
        <v/>
      </c>
      <c r="C276" s="35"/>
      <c r="D276" s="33" t="str">
        <f t="shared" si="199"/>
        <v/>
      </c>
      <c r="E276" s="22" t="str">
        <f t="shared" si="200"/>
        <v/>
      </c>
      <c r="F276" s="23" t="str">
        <f t="shared" si="201"/>
        <v/>
      </c>
      <c r="G276" s="23"/>
      <c r="H276" s="22"/>
      <c r="I276" s="23"/>
      <c r="J276" s="18"/>
      <c r="K276" s="13" t="str">
        <f t="shared" si="202"/>
        <v/>
      </c>
      <c r="L276" s="28" t="str">
        <f t="shared" si="196"/>
        <v/>
      </c>
      <c r="M276" s="10" t="str">
        <f t="shared" si="203"/>
        <v/>
      </c>
      <c r="N276" s="17" t="str">
        <f t="shared" si="204"/>
        <v/>
      </c>
      <c r="O276" s="39" t="str">
        <f t="shared" si="205"/>
        <v/>
      </c>
      <c r="P276" s="41" t="str">
        <f t="shared" si="206"/>
        <v/>
      </c>
      <c r="Q276" s="9" t="str">
        <f t="shared" si="207"/>
        <v/>
      </c>
      <c r="R276" s="14">
        <f t="shared" si="208"/>
        <v>0</v>
      </c>
      <c r="S276" s="61" t="str">
        <f t="shared" si="209"/>
        <v/>
      </c>
      <c r="T276" s="14">
        <f t="shared" si="210"/>
        <v>0</v>
      </c>
      <c r="U276" s="58" t="str">
        <f t="shared" si="211"/>
        <v/>
      </c>
      <c r="V276" s="14">
        <f t="shared" si="212"/>
        <v>0</v>
      </c>
      <c r="W276" s="58" t="str">
        <f t="shared" si="213"/>
        <v/>
      </c>
      <c r="X276" s="14">
        <f t="shared" si="214"/>
        <v>0</v>
      </c>
      <c r="Y276" s="58" t="str">
        <f t="shared" si="215"/>
        <v/>
      </c>
      <c r="Z276" s="31">
        <f t="shared" si="216"/>
        <v>0</v>
      </c>
      <c r="AA276" s="21">
        <f t="shared" si="217"/>
        <v>0</v>
      </c>
      <c r="AB276" s="58" t="str">
        <f t="shared" si="218"/>
        <v/>
      </c>
      <c r="AC276" s="630">
        <f t="shared" si="195"/>
        <v>0</v>
      </c>
      <c r="AD276" s="627"/>
      <c r="AE276" s="21">
        <f t="shared" si="219"/>
        <v>0</v>
      </c>
      <c r="AF276" s="58" t="str">
        <f t="shared" si="220"/>
        <v/>
      </c>
      <c r="AG276" s="21">
        <f t="shared" si="221"/>
        <v>0</v>
      </c>
      <c r="AH276" s="58" t="str">
        <f t="shared" si="222"/>
        <v/>
      </c>
      <c r="AI276" s="21">
        <f t="shared" si="223"/>
        <v>0</v>
      </c>
      <c r="AJ276" s="58" t="str">
        <f t="shared" si="224"/>
        <v/>
      </c>
      <c r="AK276" s="31">
        <f t="shared" si="225"/>
        <v>0</v>
      </c>
      <c r="AL276" s="21">
        <f t="shared" si="226"/>
        <v>0</v>
      </c>
      <c r="AM276" s="62" t="str">
        <f t="shared" si="227"/>
        <v/>
      </c>
      <c r="AN276" s="21">
        <f t="shared" si="228"/>
        <v>0</v>
      </c>
      <c r="AO276" s="62" t="str">
        <f t="shared" si="229"/>
        <v/>
      </c>
      <c r="AP276" s="21">
        <f t="shared" si="230"/>
        <v>0</v>
      </c>
      <c r="AQ276" s="62" t="str">
        <f t="shared" si="231"/>
        <v/>
      </c>
      <c r="AR276" s="31">
        <f t="shared" si="232"/>
        <v>0</v>
      </c>
      <c r="AS276" s="21">
        <f t="shared" si="233"/>
        <v>0</v>
      </c>
      <c r="AT276" s="62" t="str">
        <f t="shared" si="234"/>
        <v/>
      </c>
      <c r="AU276" s="84">
        <f t="shared" si="235"/>
        <v>0</v>
      </c>
      <c r="AV276" s="32">
        <f t="shared" si="236"/>
        <v>0</v>
      </c>
      <c r="AW276" s="85" t="str">
        <f t="shared" si="237"/>
        <v/>
      </c>
      <c r="AX276" s="86" t="str">
        <f t="shared" si="238"/>
        <v/>
      </c>
    </row>
    <row r="277" spans="1:50" x14ac:dyDescent="0.2">
      <c r="A277" s="29" t="str">
        <f t="shared" si="197"/>
        <v/>
      </c>
      <c r="B277" s="32" t="str">
        <f t="shared" si="198"/>
        <v/>
      </c>
      <c r="C277" s="35"/>
      <c r="D277" s="33" t="str">
        <f t="shared" si="199"/>
        <v/>
      </c>
      <c r="E277" s="22" t="str">
        <f t="shared" si="200"/>
        <v/>
      </c>
      <c r="F277" s="23" t="str">
        <f t="shared" si="201"/>
        <v/>
      </c>
      <c r="G277" s="23"/>
      <c r="H277" s="22"/>
      <c r="I277" s="23"/>
      <c r="J277" s="18"/>
      <c r="K277" s="13" t="str">
        <f t="shared" si="202"/>
        <v/>
      </c>
      <c r="L277" s="28" t="str">
        <f t="shared" si="196"/>
        <v/>
      </c>
      <c r="M277" s="10" t="str">
        <f t="shared" si="203"/>
        <v/>
      </c>
      <c r="N277" s="17" t="str">
        <f t="shared" si="204"/>
        <v/>
      </c>
      <c r="O277" s="39" t="str">
        <f t="shared" si="205"/>
        <v/>
      </c>
      <c r="P277" s="41" t="str">
        <f t="shared" si="206"/>
        <v/>
      </c>
      <c r="Q277" s="9" t="str">
        <f t="shared" si="207"/>
        <v/>
      </c>
      <c r="R277" s="14">
        <f t="shared" si="208"/>
        <v>0</v>
      </c>
      <c r="S277" s="61" t="str">
        <f t="shared" si="209"/>
        <v/>
      </c>
      <c r="T277" s="14">
        <f t="shared" si="210"/>
        <v>0</v>
      </c>
      <c r="U277" s="58" t="str">
        <f t="shared" si="211"/>
        <v/>
      </c>
      <c r="V277" s="14">
        <f t="shared" si="212"/>
        <v>0</v>
      </c>
      <c r="W277" s="58" t="str">
        <f t="shared" si="213"/>
        <v/>
      </c>
      <c r="X277" s="14">
        <f t="shared" si="214"/>
        <v>0</v>
      </c>
      <c r="Y277" s="58" t="str">
        <f t="shared" si="215"/>
        <v/>
      </c>
      <c r="Z277" s="31">
        <f t="shared" si="216"/>
        <v>0</v>
      </c>
      <c r="AA277" s="21">
        <f t="shared" si="217"/>
        <v>0</v>
      </c>
      <c r="AB277" s="58" t="str">
        <f t="shared" si="218"/>
        <v/>
      </c>
      <c r="AC277" s="630">
        <f t="shared" ref="AC277:AC340" si="239">COUNTIF(G277:J277,100)</f>
        <v>0</v>
      </c>
      <c r="AD277" s="627"/>
      <c r="AE277" s="21">
        <f t="shared" si="219"/>
        <v>0</v>
      </c>
      <c r="AF277" s="58" t="str">
        <f t="shared" si="220"/>
        <v/>
      </c>
      <c r="AG277" s="21">
        <f t="shared" si="221"/>
        <v>0</v>
      </c>
      <c r="AH277" s="58" t="str">
        <f t="shared" si="222"/>
        <v/>
      </c>
      <c r="AI277" s="21">
        <f t="shared" si="223"/>
        <v>0</v>
      </c>
      <c r="AJ277" s="58" t="str">
        <f t="shared" si="224"/>
        <v/>
      </c>
      <c r="AK277" s="31">
        <f t="shared" si="225"/>
        <v>0</v>
      </c>
      <c r="AL277" s="21">
        <f t="shared" si="226"/>
        <v>0</v>
      </c>
      <c r="AM277" s="62" t="str">
        <f t="shared" si="227"/>
        <v/>
      </c>
      <c r="AN277" s="21">
        <f t="shared" si="228"/>
        <v>0</v>
      </c>
      <c r="AO277" s="62" t="str">
        <f t="shared" si="229"/>
        <v/>
      </c>
      <c r="AP277" s="21">
        <f t="shared" si="230"/>
        <v>0</v>
      </c>
      <c r="AQ277" s="62" t="str">
        <f t="shared" si="231"/>
        <v/>
      </c>
      <c r="AR277" s="31">
        <f t="shared" si="232"/>
        <v>0</v>
      </c>
      <c r="AS277" s="21">
        <f t="shared" si="233"/>
        <v>0</v>
      </c>
      <c r="AT277" s="62" t="str">
        <f t="shared" si="234"/>
        <v/>
      </c>
      <c r="AU277" s="84">
        <f t="shared" si="235"/>
        <v>0</v>
      </c>
      <c r="AV277" s="32">
        <f t="shared" si="236"/>
        <v>0</v>
      </c>
      <c r="AW277" s="85" t="str">
        <f t="shared" si="237"/>
        <v/>
      </c>
      <c r="AX277" s="86" t="str">
        <f t="shared" si="238"/>
        <v/>
      </c>
    </row>
    <row r="278" spans="1:50" x14ac:dyDescent="0.2">
      <c r="A278" s="29" t="str">
        <f t="shared" si="197"/>
        <v/>
      </c>
      <c r="B278" s="32" t="str">
        <f t="shared" si="198"/>
        <v/>
      </c>
      <c r="C278" s="35"/>
      <c r="D278" s="33" t="str">
        <f t="shared" si="199"/>
        <v/>
      </c>
      <c r="E278" s="22" t="str">
        <f t="shared" si="200"/>
        <v/>
      </c>
      <c r="F278" s="23" t="str">
        <f t="shared" si="201"/>
        <v/>
      </c>
      <c r="G278" s="23"/>
      <c r="H278" s="22"/>
      <c r="I278" s="23"/>
      <c r="J278" s="18"/>
      <c r="K278" s="13" t="str">
        <f t="shared" si="202"/>
        <v/>
      </c>
      <c r="L278" s="28" t="str">
        <f t="shared" ref="L278:L341" si="240">IF($N$4="M",IF(A278="","",IF(K278=26,(A278+B278+Q278)*C278*0.02739,IF(K278=24,(A278+B278+Q278)*C278*0.02739,IF(K278=22,(A278+B278+Q278)*C278*0.0333,IF(K278=20,(A278+B278+Q278)*C278*0.0393,IF(K278=18,(A278+B278+Q278)*C278*0.0511,IF(K278=16,(A278+B278+Q278)*C278*0.0628))))))),IF(A278="","",IF(K278=26,(A278+B278+Q278)*C278*0.211,IF(K278=24,(A278+B278+Q278)*C278*0.211,IF(K278=22,(A278+B278+Q278)*C278*0.258,IF(K278=20,(A278+B278+Q278)*C278*0.304,IF(K278=18,(A278+B278+Q278)*C278*0.395,IF(K278=16,(A278+B278+Q278)*C278*0.487))))))))</f>
        <v/>
      </c>
      <c r="M278" s="10" t="str">
        <f t="shared" si="203"/>
        <v/>
      </c>
      <c r="N278" s="17" t="str">
        <f t="shared" si="204"/>
        <v/>
      </c>
      <c r="O278" s="39" t="str">
        <f t="shared" si="205"/>
        <v/>
      </c>
      <c r="P278" s="41" t="str">
        <f t="shared" si="206"/>
        <v/>
      </c>
      <c r="Q278" s="9" t="str">
        <f t="shared" si="207"/>
        <v/>
      </c>
      <c r="R278" s="14">
        <f t="shared" si="208"/>
        <v>0</v>
      </c>
      <c r="S278" s="61" t="str">
        <f t="shared" si="209"/>
        <v/>
      </c>
      <c r="T278" s="14">
        <f t="shared" si="210"/>
        <v>0</v>
      </c>
      <c r="U278" s="58" t="str">
        <f t="shared" si="211"/>
        <v/>
      </c>
      <c r="V278" s="14">
        <f t="shared" si="212"/>
        <v>0</v>
      </c>
      <c r="W278" s="58" t="str">
        <f t="shared" si="213"/>
        <v/>
      </c>
      <c r="X278" s="14">
        <f t="shared" si="214"/>
        <v>0</v>
      </c>
      <c r="Y278" s="58" t="str">
        <f t="shared" si="215"/>
        <v/>
      </c>
      <c r="Z278" s="31">
        <f t="shared" si="216"/>
        <v>0</v>
      </c>
      <c r="AA278" s="21">
        <f t="shared" si="217"/>
        <v>0</v>
      </c>
      <c r="AB278" s="58" t="str">
        <f t="shared" si="218"/>
        <v/>
      </c>
      <c r="AC278" s="630">
        <f t="shared" si="239"/>
        <v>0</v>
      </c>
      <c r="AD278" s="627"/>
      <c r="AE278" s="21">
        <f t="shared" si="219"/>
        <v>0</v>
      </c>
      <c r="AF278" s="58" t="str">
        <f t="shared" si="220"/>
        <v/>
      </c>
      <c r="AG278" s="21">
        <f t="shared" si="221"/>
        <v>0</v>
      </c>
      <c r="AH278" s="58" t="str">
        <f t="shared" si="222"/>
        <v/>
      </c>
      <c r="AI278" s="21">
        <f t="shared" si="223"/>
        <v>0</v>
      </c>
      <c r="AJ278" s="58" t="str">
        <f t="shared" si="224"/>
        <v/>
      </c>
      <c r="AK278" s="31">
        <f t="shared" si="225"/>
        <v>0</v>
      </c>
      <c r="AL278" s="21">
        <f t="shared" si="226"/>
        <v>0</v>
      </c>
      <c r="AM278" s="62" t="str">
        <f t="shared" si="227"/>
        <v/>
      </c>
      <c r="AN278" s="21">
        <f t="shared" si="228"/>
        <v>0</v>
      </c>
      <c r="AO278" s="62" t="str">
        <f t="shared" si="229"/>
        <v/>
      </c>
      <c r="AP278" s="21">
        <f t="shared" si="230"/>
        <v>0</v>
      </c>
      <c r="AQ278" s="62" t="str">
        <f t="shared" si="231"/>
        <v/>
      </c>
      <c r="AR278" s="31">
        <f t="shared" si="232"/>
        <v>0</v>
      </c>
      <c r="AS278" s="21">
        <f t="shared" si="233"/>
        <v>0</v>
      </c>
      <c r="AT278" s="62" t="str">
        <f t="shared" si="234"/>
        <v/>
      </c>
      <c r="AU278" s="84">
        <f t="shared" si="235"/>
        <v>0</v>
      </c>
      <c r="AV278" s="32">
        <f t="shared" si="236"/>
        <v>0</v>
      </c>
      <c r="AW278" s="85" t="str">
        <f t="shared" si="237"/>
        <v/>
      </c>
      <c r="AX278" s="86" t="str">
        <f t="shared" si="238"/>
        <v/>
      </c>
    </row>
    <row r="279" spans="1:50" x14ac:dyDescent="0.2">
      <c r="A279" s="29" t="str">
        <f t="shared" si="197"/>
        <v/>
      </c>
      <c r="B279" s="32" t="str">
        <f t="shared" si="198"/>
        <v/>
      </c>
      <c r="C279" s="35"/>
      <c r="D279" s="33" t="str">
        <f t="shared" si="199"/>
        <v/>
      </c>
      <c r="E279" s="22" t="str">
        <f t="shared" si="200"/>
        <v/>
      </c>
      <c r="F279" s="23" t="str">
        <f t="shared" si="201"/>
        <v/>
      </c>
      <c r="G279" s="23"/>
      <c r="H279" s="22"/>
      <c r="I279" s="23"/>
      <c r="J279" s="18"/>
      <c r="K279" s="13" t="str">
        <f t="shared" si="202"/>
        <v/>
      </c>
      <c r="L279" s="28" t="str">
        <f t="shared" si="240"/>
        <v/>
      </c>
      <c r="M279" s="10" t="str">
        <f t="shared" si="203"/>
        <v/>
      </c>
      <c r="N279" s="17" t="str">
        <f t="shared" si="204"/>
        <v/>
      </c>
      <c r="O279" s="39" t="str">
        <f t="shared" si="205"/>
        <v/>
      </c>
      <c r="P279" s="41" t="str">
        <f t="shared" si="206"/>
        <v/>
      </c>
      <c r="Q279" s="9" t="str">
        <f t="shared" si="207"/>
        <v/>
      </c>
      <c r="R279" s="14">
        <f t="shared" si="208"/>
        <v>0</v>
      </c>
      <c r="S279" s="61" t="str">
        <f t="shared" si="209"/>
        <v/>
      </c>
      <c r="T279" s="14">
        <f t="shared" si="210"/>
        <v>0</v>
      </c>
      <c r="U279" s="58" t="str">
        <f t="shared" si="211"/>
        <v/>
      </c>
      <c r="V279" s="14">
        <f t="shared" si="212"/>
        <v>0</v>
      </c>
      <c r="W279" s="58" t="str">
        <f t="shared" si="213"/>
        <v/>
      </c>
      <c r="X279" s="14">
        <f t="shared" si="214"/>
        <v>0</v>
      </c>
      <c r="Y279" s="58" t="str">
        <f t="shared" si="215"/>
        <v/>
      </c>
      <c r="Z279" s="31">
        <f t="shared" si="216"/>
        <v>0</v>
      </c>
      <c r="AA279" s="21">
        <f t="shared" si="217"/>
        <v>0</v>
      </c>
      <c r="AB279" s="58" t="str">
        <f t="shared" si="218"/>
        <v/>
      </c>
      <c r="AC279" s="630">
        <f t="shared" si="239"/>
        <v>0</v>
      </c>
      <c r="AD279" s="627"/>
      <c r="AE279" s="21">
        <f t="shared" si="219"/>
        <v>0</v>
      </c>
      <c r="AF279" s="58" t="str">
        <f t="shared" si="220"/>
        <v/>
      </c>
      <c r="AG279" s="21">
        <f t="shared" si="221"/>
        <v>0</v>
      </c>
      <c r="AH279" s="58" t="str">
        <f t="shared" si="222"/>
        <v/>
      </c>
      <c r="AI279" s="21">
        <f t="shared" si="223"/>
        <v>0</v>
      </c>
      <c r="AJ279" s="58" t="str">
        <f t="shared" si="224"/>
        <v/>
      </c>
      <c r="AK279" s="31">
        <f t="shared" si="225"/>
        <v>0</v>
      </c>
      <c r="AL279" s="21">
        <f t="shared" si="226"/>
        <v>0</v>
      </c>
      <c r="AM279" s="62" t="str">
        <f t="shared" si="227"/>
        <v/>
      </c>
      <c r="AN279" s="21">
        <f t="shared" si="228"/>
        <v>0</v>
      </c>
      <c r="AO279" s="62" t="str">
        <f t="shared" si="229"/>
        <v/>
      </c>
      <c r="AP279" s="21">
        <f t="shared" si="230"/>
        <v>0</v>
      </c>
      <c r="AQ279" s="62" t="str">
        <f t="shared" si="231"/>
        <v/>
      </c>
      <c r="AR279" s="31">
        <f t="shared" si="232"/>
        <v>0</v>
      </c>
      <c r="AS279" s="21">
        <f t="shared" si="233"/>
        <v>0</v>
      </c>
      <c r="AT279" s="62" t="str">
        <f t="shared" si="234"/>
        <v/>
      </c>
      <c r="AU279" s="84">
        <f t="shared" si="235"/>
        <v>0</v>
      </c>
      <c r="AV279" s="32">
        <f t="shared" si="236"/>
        <v>0</v>
      </c>
      <c r="AW279" s="85" t="str">
        <f t="shared" si="237"/>
        <v/>
      </c>
      <c r="AX279" s="86" t="str">
        <f t="shared" si="238"/>
        <v/>
      </c>
    </row>
    <row r="280" spans="1:50" x14ac:dyDescent="0.2">
      <c r="A280" s="29" t="str">
        <f t="shared" si="197"/>
        <v/>
      </c>
      <c r="B280" s="32" t="str">
        <f t="shared" si="198"/>
        <v/>
      </c>
      <c r="C280" s="35"/>
      <c r="D280" s="33" t="str">
        <f t="shared" si="199"/>
        <v/>
      </c>
      <c r="E280" s="22" t="str">
        <f t="shared" si="200"/>
        <v/>
      </c>
      <c r="F280" s="23" t="str">
        <f t="shared" si="201"/>
        <v/>
      </c>
      <c r="G280" s="23"/>
      <c r="H280" s="22"/>
      <c r="I280" s="23"/>
      <c r="J280" s="18"/>
      <c r="K280" s="13" t="str">
        <f t="shared" si="202"/>
        <v/>
      </c>
      <c r="L280" s="28" t="str">
        <f t="shared" si="240"/>
        <v/>
      </c>
      <c r="M280" s="10" t="str">
        <f t="shared" si="203"/>
        <v/>
      </c>
      <c r="N280" s="17" t="str">
        <f t="shared" si="204"/>
        <v/>
      </c>
      <c r="O280" s="39" t="str">
        <f t="shared" si="205"/>
        <v/>
      </c>
      <c r="P280" s="41" t="str">
        <f t="shared" si="206"/>
        <v/>
      </c>
      <c r="Q280" s="9" t="str">
        <f t="shared" si="207"/>
        <v/>
      </c>
      <c r="R280" s="14">
        <f t="shared" si="208"/>
        <v>0</v>
      </c>
      <c r="S280" s="61" t="str">
        <f t="shared" si="209"/>
        <v/>
      </c>
      <c r="T280" s="14">
        <f t="shared" si="210"/>
        <v>0</v>
      </c>
      <c r="U280" s="58" t="str">
        <f t="shared" si="211"/>
        <v/>
      </c>
      <c r="V280" s="14">
        <f t="shared" si="212"/>
        <v>0</v>
      </c>
      <c r="W280" s="58" t="str">
        <f t="shared" si="213"/>
        <v/>
      </c>
      <c r="X280" s="14">
        <f t="shared" si="214"/>
        <v>0</v>
      </c>
      <c r="Y280" s="58" t="str">
        <f t="shared" si="215"/>
        <v/>
      </c>
      <c r="Z280" s="31">
        <f t="shared" si="216"/>
        <v>0</v>
      </c>
      <c r="AA280" s="21">
        <f t="shared" si="217"/>
        <v>0</v>
      </c>
      <c r="AB280" s="58" t="str">
        <f t="shared" si="218"/>
        <v/>
      </c>
      <c r="AC280" s="630">
        <f t="shared" si="239"/>
        <v>0</v>
      </c>
      <c r="AD280" s="627"/>
      <c r="AE280" s="21">
        <f t="shared" si="219"/>
        <v>0</v>
      </c>
      <c r="AF280" s="58" t="str">
        <f t="shared" si="220"/>
        <v/>
      </c>
      <c r="AG280" s="21">
        <f t="shared" si="221"/>
        <v>0</v>
      </c>
      <c r="AH280" s="58" t="str">
        <f t="shared" si="222"/>
        <v/>
      </c>
      <c r="AI280" s="21">
        <f t="shared" si="223"/>
        <v>0</v>
      </c>
      <c r="AJ280" s="58" t="str">
        <f t="shared" si="224"/>
        <v/>
      </c>
      <c r="AK280" s="31">
        <f t="shared" si="225"/>
        <v>0</v>
      </c>
      <c r="AL280" s="21">
        <f t="shared" si="226"/>
        <v>0</v>
      </c>
      <c r="AM280" s="62" t="str">
        <f t="shared" si="227"/>
        <v/>
      </c>
      <c r="AN280" s="21">
        <f t="shared" si="228"/>
        <v>0</v>
      </c>
      <c r="AO280" s="62" t="str">
        <f t="shared" si="229"/>
        <v/>
      </c>
      <c r="AP280" s="21">
        <f t="shared" si="230"/>
        <v>0</v>
      </c>
      <c r="AQ280" s="62" t="str">
        <f t="shared" si="231"/>
        <v/>
      </c>
      <c r="AR280" s="31">
        <f t="shared" si="232"/>
        <v>0</v>
      </c>
      <c r="AS280" s="21">
        <f t="shared" si="233"/>
        <v>0</v>
      </c>
      <c r="AT280" s="62" t="str">
        <f t="shared" si="234"/>
        <v/>
      </c>
      <c r="AU280" s="84">
        <f t="shared" si="235"/>
        <v>0</v>
      </c>
      <c r="AV280" s="32">
        <f t="shared" si="236"/>
        <v>0</v>
      </c>
      <c r="AW280" s="85" t="str">
        <f t="shared" si="237"/>
        <v/>
      </c>
      <c r="AX280" s="86" t="str">
        <f t="shared" si="238"/>
        <v/>
      </c>
    </row>
    <row r="281" spans="1:50" x14ac:dyDescent="0.2">
      <c r="A281" s="29" t="str">
        <f t="shared" si="197"/>
        <v/>
      </c>
      <c r="B281" s="32" t="str">
        <f t="shared" si="198"/>
        <v/>
      </c>
      <c r="C281" s="35"/>
      <c r="D281" s="33" t="str">
        <f t="shared" si="199"/>
        <v/>
      </c>
      <c r="E281" s="22" t="str">
        <f t="shared" si="200"/>
        <v/>
      </c>
      <c r="F281" s="23" t="str">
        <f t="shared" si="201"/>
        <v/>
      </c>
      <c r="G281" s="23"/>
      <c r="H281" s="22"/>
      <c r="I281" s="23"/>
      <c r="J281" s="18"/>
      <c r="K281" s="13" t="str">
        <f t="shared" si="202"/>
        <v/>
      </c>
      <c r="L281" s="28" t="str">
        <f t="shared" si="240"/>
        <v/>
      </c>
      <c r="M281" s="10" t="str">
        <f t="shared" si="203"/>
        <v/>
      </c>
      <c r="N281" s="17" t="str">
        <f t="shared" si="204"/>
        <v/>
      </c>
      <c r="O281" s="39" t="str">
        <f t="shared" si="205"/>
        <v/>
      </c>
      <c r="P281" s="41" t="str">
        <f t="shared" si="206"/>
        <v/>
      </c>
      <c r="Q281" s="9" t="str">
        <f t="shared" si="207"/>
        <v/>
      </c>
      <c r="R281" s="14">
        <f t="shared" si="208"/>
        <v>0</v>
      </c>
      <c r="S281" s="61" t="str">
        <f t="shared" si="209"/>
        <v/>
      </c>
      <c r="T281" s="14">
        <f t="shared" si="210"/>
        <v>0</v>
      </c>
      <c r="U281" s="58" t="str">
        <f t="shared" si="211"/>
        <v/>
      </c>
      <c r="V281" s="14">
        <f t="shared" si="212"/>
        <v>0</v>
      </c>
      <c r="W281" s="58" t="str">
        <f t="shared" si="213"/>
        <v/>
      </c>
      <c r="X281" s="14">
        <f t="shared" si="214"/>
        <v>0</v>
      </c>
      <c r="Y281" s="58" t="str">
        <f t="shared" si="215"/>
        <v/>
      </c>
      <c r="Z281" s="31">
        <f t="shared" si="216"/>
        <v>0</v>
      </c>
      <c r="AA281" s="21">
        <f t="shared" si="217"/>
        <v>0</v>
      </c>
      <c r="AB281" s="58" t="str">
        <f t="shared" si="218"/>
        <v/>
      </c>
      <c r="AC281" s="630">
        <f t="shared" si="239"/>
        <v>0</v>
      </c>
      <c r="AD281" s="627"/>
      <c r="AE281" s="21">
        <f t="shared" si="219"/>
        <v>0</v>
      </c>
      <c r="AF281" s="58" t="str">
        <f t="shared" si="220"/>
        <v/>
      </c>
      <c r="AG281" s="21">
        <f t="shared" si="221"/>
        <v>0</v>
      </c>
      <c r="AH281" s="58" t="str">
        <f t="shared" si="222"/>
        <v/>
      </c>
      <c r="AI281" s="21">
        <f t="shared" si="223"/>
        <v>0</v>
      </c>
      <c r="AJ281" s="58" t="str">
        <f t="shared" si="224"/>
        <v/>
      </c>
      <c r="AK281" s="31">
        <f t="shared" si="225"/>
        <v>0</v>
      </c>
      <c r="AL281" s="21">
        <f t="shared" si="226"/>
        <v>0</v>
      </c>
      <c r="AM281" s="62" t="str">
        <f t="shared" si="227"/>
        <v/>
      </c>
      <c r="AN281" s="21">
        <f t="shared" si="228"/>
        <v>0</v>
      </c>
      <c r="AO281" s="62" t="str">
        <f t="shared" si="229"/>
        <v/>
      </c>
      <c r="AP281" s="21">
        <f t="shared" si="230"/>
        <v>0</v>
      </c>
      <c r="AQ281" s="62" t="str">
        <f t="shared" si="231"/>
        <v/>
      </c>
      <c r="AR281" s="31">
        <f t="shared" si="232"/>
        <v>0</v>
      </c>
      <c r="AS281" s="21">
        <f t="shared" si="233"/>
        <v>0</v>
      </c>
      <c r="AT281" s="62" t="str">
        <f t="shared" si="234"/>
        <v/>
      </c>
      <c r="AU281" s="84">
        <f t="shared" si="235"/>
        <v>0</v>
      </c>
      <c r="AV281" s="32">
        <f t="shared" si="236"/>
        <v>0</v>
      </c>
      <c r="AW281" s="85" t="str">
        <f t="shared" si="237"/>
        <v/>
      </c>
      <c r="AX281" s="86" t="str">
        <f t="shared" si="238"/>
        <v/>
      </c>
    </row>
    <row r="282" spans="1:50" x14ac:dyDescent="0.2">
      <c r="A282" s="29" t="str">
        <f t="shared" si="197"/>
        <v/>
      </c>
      <c r="B282" s="32" t="str">
        <f t="shared" si="198"/>
        <v/>
      </c>
      <c r="C282" s="35"/>
      <c r="D282" s="33" t="str">
        <f t="shared" si="199"/>
        <v/>
      </c>
      <c r="E282" s="22" t="str">
        <f t="shared" si="200"/>
        <v/>
      </c>
      <c r="F282" s="23" t="str">
        <f t="shared" si="201"/>
        <v/>
      </c>
      <c r="G282" s="23"/>
      <c r="H282" s="22"/>
      <c r="I282" s="23"/>
      <c r="J282" s="18"/>
      <c r="K282" s="13" t="str">
        <f t="shared" si="202"/>
        <v/>
      </c>
      <c r="L282" s="28" t="str">
        <f t="shared" si="240"/>
        <v/>
      </c>
      <c r="M282" s="10" t="str">
        <f t="shared" si="203"/>
        <v/>
      </c>
      <c r="N282" s="17" t="str">
        <f t="shared" si="204"/>
        <v/>
      </c>
      <c r="O282" s="39" t="str">
        <f t="shared" si="205"/>
        <v/>
      </c>
      <c r="P282" s="41" t="str">
        <f t="shared" si="206"/>
        <v/>
      </c>
      <c r="Q282" s="9" t="str">
        <f t="shared" si="207"/>
        <v/>
      </c>
      <c r="R282" s="14">
        <f t="shared" si="208"/>
        <v>0</v>
      </c>
      <c r="S282" s="61" t="str">
        <f t="shared" si="209"/>
        <v/>
      </c>
      <c r="T282" s="14">
        <f t="shared" si="210"/>
        <v>0</v>
      </c>
      <c r="U282" s="58" t="str">
        <f t="shared" si="211"/>
        <v/>
      </c>
      <c r="V282" s="14">
        <f t="shared" si="212"/>
        <v>0</v>
      </c>
      <c r="W282" s="58" t="str">
        <f t="shared" si="213"/>
        <v/>
      </c>
      <c r="X282" s="14">
        <f t="shared" si="214"/>
        <v>0</v>
      </c>
      <c r="Y282" s="58" t="str">
        <f t="shared" si="215"/>
        <v/>
      </c>
      <c r="Z282" s="31">
        <f t="shared" si="216"/>
        <v>0</v>
      </c>
      <c r="AA282" s="21">
        <f t="shared" si="217"/>
        <v>0</v>
      </c>
      <c r="AB282" s="58" t="str">
        <f t="shared" si="218"/>
        <v/>
      </c>
      <c r="AC282" s="630">
        <f t="shared" si="239"/>
        <v>0</v>
      </c>
      <c r="AD282" s="627"/>
      <c r="AE282" s="21">
        <f t="shared" si="219"/>
        <v>0</v>
      </c>
      <c r="AF282" s="58" t="str">
        <f t="shared" si="220"/>
        <v/>
      </c>
      <c r="AG282" s="21">
        <f t="shared" si="221"/>
        <v>0</v>
      </c>
      <c r="AH282" s="58" t="str">
        <f t="shared" si="222"/>
        <v/>
      </c>
      <c r="AI282" s="21">
        <f t="shared" si="223"/>
        <v>0</v>
      </c>
      <c r="AJ282" s="58" t="str">
        <f t="shared" si="224"/>
        <v/>
      </c>
      <c r="AK282" s="31">
        <f t="shared" si="225"/>
        <v>0</v>
      </c>
      <c r="AL282" s="21">
        <f t="shared" si="226"/>
        <v>0</v>
      </c>
      <c r="AM282" s="62" t="str">
        <f t="shared" si="227"/>
        <v/>
      </c>
      <c r="AN282" s="21">
        <f t="shared" si="228"/>
        <v>0</v>
      </c>
      <c r="AO282" s="62" t="str">
        <f t="shared" si="229"/>
        <v/>
      </c>
      <c r="AP282" s="21">
        <f t="shared" si="230"/>
        <v>0</v>
      </c>
      <c r="AQ282" s="62" t="str">
        <f t="shared" si="231"/>
        <v/>
      </c>
      <c r="AR282" s="31">
        <f t="shared" si="232"/>
        <v>0</v>
      </c>
      <c r="AS282" s="21">
        <f t="shared" si="233"/>
        <v>0</v>
      </c>
      <c r="AT282" s="62" t="str">
        <f t="shared" si="234"/>
        <v/>
      </c>
      <c r="AU282" s="84">
        <f t="shared" si="235"/>
        <v>0</v>
      </c>
      <c r="AV282" s="32">
        <f t="shared" si="236"/>
        <v>0</v>
      </c>
      <c r="AW282" s="85" t="str">
        <f t="shared" si="237"/>
        <v/>
      </c>
      <c r="AX282" s="86" t="str">
        <f t="shared" si="238"/>
        <v/>
      </c>
    </row>
    <row r="283" spans="1:50" x14ac:dyDescent="0.2">
      <c r="A283" s="29" t="str">
        <f t="shared" si="197"/>
        <v/>
      </c>
      <c r="B283" s="32" t="str">
        <f t="shared" si="198"/>
        <v/>
      </c>
      <c r="C283" s="35"/>
      <c r="D283" s="33" t="str">
        <f t="shared" si="199"/>
        <v/>
      </c>
      <c r="E283" s="22" t="str">
        <f t="shared" si="200"/>
        <v/>
      </c>
      <c r="F283" s="23" t="str">
        <f t="shared" si="201"/>
        <v/>
      </c>
      <c r="G283" s="23"/>
      <c r="H283" s="22"/>
      <c r="I283" s="23"/>
      <c r="J283" s="18"/>
      <c r="K283" s="13" t="str">
        <f t="shared" si="202"/>
        <v/>
      </c>
      <c r="L283" s="28" t="str">
        <f t="shared" si="240"/>
        <v/>
      </c>
      <c r="M283" s="10" t="str">
        <f t="shared" si="203"/>
        <v/>
      </c>
      <c r="N283" s="17" t="str">
        <f t="shared" si="204"/>
        <v/>
      </c>
      <c r="O283" s="39" t="str">
        <f t="shared" si="205"/>
        <v/>
      </c>
      <c r="P283" s="41" t="str">
        <f t="shared" si="206"/>
        <v/>
      </c>
      <c r="Q283" s="9" t="str">
        <f t="shared" si="207"/>
        <v/>
      </c>
      <c r="R283" s="14">
        <f t="shared" si="208"/>
        <v>0</v>
      </c>
      <c r="S283" s="61" t="str">
        <f t="shared" si="209"/>
        <v/>
      </c>
      <c r="T283" s="14">
        <f t="shared" si="210"/>
        <v>0</v>
      </c>
      <c r="U283" s="58" t="str">
        <f t="shared" si="211"/>
        <v/>
      </c>
      <c r="V283" s="14">
        <f t="shared" si="212"/>
        <v>0</v>
      </c>
      <c r="W283" s="58" t="str">
        <f t="shared" si="213"/>
        <v/>
      </c>
      <c r="X283" s="14">
        <f t="shared" si="214"/>
        <v>0</v>
      </c>
      <c r="Y283" s="58" t="str">
        <f t="shared" si="215"/>
        <v/>
      </c>
      <c r="Z283" s="31">
        <f t="shared" si="216"/>
        <v>0</v>
      </c>
      <c r="AA283" s="21">
        <f t="shared" si="217"/>
        <v>0</v>
      </c>
      <c r="AB283" s="58" t="str">
        <f t="shared" si="218"/>
        <v/>
      </c>
      <c r="AC283" s="630">
        <f t="shared" si="239"/>
        <v>0</v>
      </c>
      <c r="AD283" s="627"/>
      <c r="AE283" s="21">
        <f t="shared" si="219"/>
        <v>0</v>
      </c>
      <c r="AF283" s="58" t="str">
        <f t="shared" si="220"/>
        <v/>
      </c>
      <c r="AG283" s="21">
        <f t="shared" si="221"/>
        <v>0</v>
      </c>
      <c r="AH283" s="58" t="str">
        <f t="shared" si="222"/>
        <v/>
      </c>
      <c r="AI283" s="21">
        <f t="shared" si="223"/>
        <v>0</v>
      </c>
      <c r="AJ283" s="58" t="str">
        <f t="shared" si="224"/>
        <v/>
      </c>
      <c r="AK283" s="31">
        <f t="shared" si="225"/>
        <v>0</v>
      </c>
      <c r="AL283" s="21">
        <f t="shared" si="226"/>
        <v>0</v>
      </c>
      <c r="AM283" s="62" t="str">
        <f t="shared" si="227"/>
        <v/>
      </c>
      <c r="AN283" s="21">
        <f t="shared" si="228"/>
        <v>0</v>
      </c>
      <c r="AO283" s="62" t="str">
        <f t="shared" si="229"/>
        <v/>
      </c>
      <c r="AP283" s="21">
        <f t="shared" si="230"/>
        <v>0</v>
      </c>
      <c r="AQ283" s="62" t="str">
        <f t="shared" si="231"/>
        <v/>
      </c>
      <c r="AR283" s="31">
        <f t="shared" si="232"/>
        <v>0</v>
      </c>
      <c r="AS283" s="21">
        <f t="shared" si="233"/>
        <v>0</v>
      </c>
      <c r="AT283" s="62" t="str">
        <f t="shared" si="234"/>
        <v/>
      </c>
      <c r="AU283" s="84">
        <f t="shared" si="235"/>
        <v>0</v>
      </c>
      <c r="AV283" s="32">
        <f t="shared" si="236"/>
        <v>0</v>
      </c>
      <c r="AW283" s="85" t="str">
        <f t="shared" si="237"/>
        <v/>
      </c>
      <c r="AX283" s="86" t="str">
        <f t="shared" si="238"/>
        <v/>
      </c>
    </row>
    <row r="284" spans="1:50" x14ac:dyDescent="0.2">
      <c r="A284" s="29" t="str">
        <f t="shared" si="197"/>
        <v/>
      </c>
      <c r="B284" s="32" t="str">
        <f t="shared" si="198"/>
        <v/>
      </c>
      <c r="C284" s="35"/>
      <c r="D284" s="33" t="str">
        <f t="shared" si="199"/>
        <v/>
      </c>
      <c r="E284" s="22" t="str">
        <f t="shared" si="200"/>
        <v/>
      </c>
      <c r="F284" s="23" t="str">
        <f t="shared" si="201"/>
        <v/>
      </c>
      <c r="G284" s="23"/>
      <c r="H284" s="22"/>
      <c r="I284" s="23"/>
      <c r="J284" s="18"/>
      <c r="K284" s="13" t="str">
        <f t="shared" si="202"/>
        <v/>
      </c>
      <c r="L284" s="28" t="str">
        <f t="shared" si="240"/>
        <v/>
      </c>
      <c r="M284" s="10" t="str">
        <f t="shared" si="203"/>
        <v/>
      </c>
      <c r="N284" s="17" t="str">
        <f t="shared" si="204"/>
        <v/>
      </c>
      <c r="O284" s="39" t="str">
        <f t="shared" si="205"/>
        <v/>
      </c>
      <c r="P284" s="41" t="str">
        <f t="shared" si="206"/>
        <v/>
      </c>
      <c r="Q284" s="9" t="str">
        <f t="shared" si="207"/>
        <v/>
      </c>
      <c r="R284" s="14">
        <f t="shared" si="208"/>
        <v>0</v>
      </c>
      <c r="S284" s="61" t="str">
        <f t="shared" si="209"/>
        <v/>
      </c>
      <c r="T284" s="14">
        <f t="shared" si="210"/>
        <v>0</v>
      </c>
      <c r="U284" s="58" t="str">
        <f t="shared" si="211"/>
        <v/>
      </c>
      <c r="V284" s="14">
        <f t="shared" si="212"/>
        <v>0</v>
      </c>
      <c r="W284" s="58" t="str">
        <f t="shared" si="213"/>
        <v/>
      </c>
      <c r="X284" s="14">
        <f t="shared" si="214"/>
        <v>0</v>
      </c>
      <c r="Y284" s="58" t="str">
        <f t="shared" si="215"/>
        <v/>
      </c>
      <c r="Z284" s="31">
        <f t="shared" si="216"/>
        <v>0</v>
      </c>
      <c r="AA284" s="21">
        <f t="shared" si="217"/>
        <v>0</v>
      </c>
      <c r="AB284" s="58" t="str">
        <f t="shared" si="218"/>
        <v/>
      </c>
      <c r="AC284" s="630">
        <f t="shared" si="239"/>
        <v>0</v>
      </c>
      <c r="AD284" s="627"/>
      <c r="AE284" s="21">
        <f t="shared" si="219"/>
        <v>0</v>
      </c>
      <c r="AF284" s="58" t="str">
        <f t="shared" si="220"/>
        <v/>
      </c>
      <c r="AG284" s="21">
        <f t="shared" si="221"/>
        <v>0</v>
      </c>
      <c r="AH284" s="58" t="str">
        <f t="shared" si="222"/>
        <v/>
      </c>
      <c r="AI284" s="21">
        <f t="shared" si="223"/>
        <v>0</v>
      </c>
      <c r="AJ284" s="58" t="str">
        <f t="shared" si="224"/>
        <v/>
      </c>
      <c r="AK284" s="31">
        <f t="shared" si="225"/>
        <v>0</v>
      </c>
      <c r="AL284" s="21">
        <f t="shared" si="226"/>
        <v>0</v>
      </c>
      <c r="AM284" s="62" t="str">
        <f t="shared" si="227"/>
        <v/>
      </c>
      <c r="AN284" s="21">
        <f t="shared" si="228"/>
        <v>0</v>
      </c>
      <c r="AO284" s="62" t="str">
        <f t="shared" si="229"/>
        <v/>
      </c>
      <c r="AP284" s="21">
        <f t="shared" si="230"/>
        <v>0</v>
      </c>
      <c r="AQ284" s="62" t="str">
        <f t="shared" si="231"/>
        <v/>
      </c>
      <c r="AR284" s="31">
        <f t="shared" si="232"/>
        <v>0</v>
      </c>
      <c r="AS284" s="21">
        <f t="shared" si="233"/>
        <v>0</v>
      </c>
      <c r="AT284" s="62" t="str">
        <f t="shared" si="234"/>
        <v/>
      </c>
      <c r="AU284" s="84">
        <f t="shared" si="235"/>
        <v>0</v>
      </c>
      <c r="AV284" s="32">
        <f t="shared" si="236"/>
        <v>0</v>
      </c>
      <c r="AW284" s="85" t="str">
        <f t="shared" si="237"/>
        <v/>
      </c>
      <c r="AX284" s="86" t="str">
        <f t="shared" si="238"/>
        <v/>
      </c>
    </row>
    <row r="285" spans="1:50" x14ac:dyDescent="0.2">
      <c r="A285" s="29" t="str">
        <f t="shared" si="197"/>
        <v/>
      </c>
      <c r="B285" s="32" t="str">
        <f t="shared" si="198"/>
        <v/>
      </c>
      <c r="C285" s="35"/>
      <c r="D285" s="33" t="str">
        <f t="shared" si="199"/>
        <v/>
      </c>
      <c r="E285" s="22" t="str">
        <f t="shared" si="200"/>
        <v/>
      </c>
      <c r="F285" s="23" t="str">
        <f t="shared" si="201"/>
        <v/>
      </c>
      <c r="G285" s="23"/>
      <c r="H285" s="22"/>
      <c r="I285" s="23"/>
      <c r="J285" s="18"/>
      <c r="K285" s="13" t="str">
        <f t="shared" si="202"/>
        <v/>
      </c>
      <c r="L285" s="28" t="str">
        <f t="shared" si="240"/>
        <v/>
      </c>
      <c r="M285" s="10" t="str">
        <f t="shared" si="203"/>
        <v/>
      </c>
      <c r="N285" s="17" t="str">
        <f t="shared" si="204"/>
        <v/>
      </c>
      <c r="O285" s="39" t="str">
        <f t="shared" si="205"/>
        <v/>
      </c>
      <c r="P285" s="41" t="str">
        <f t="shared" si="206"/>
        <v/>
      </c>
      <c r="Q285" s="9" t="str">
        <f t="shared" si="207"/>
        <v/>
      </c>
      <c r="R285" s="14">
        <f t="shared" si="208"/>
        <v>0</v>
      </c>
      <c r="S285" s="61" t="str">
        <f t="shared" si="209"/>
        <v/>
      </c>
      <c r="T285" s="14">
        <f t="shared" si="210"/>
        <v>0</v>
      </c>
      <c r="U285" s="58" t="str">
        <f t="shared" si="211"/>
        <v/>
      </c>
      <c r="V285" s="14">
        <f t="shared" si="212"/>
        <v>0</v>
      </c>
      <c r="W285" s="58" t="str">
        <f t="shared" si="213"/>
        <v/>
      </c>
      <c r="X285" s="14">
        <f t="shared" si="214"/>
        <v>0</v>
      </c>
      <c r="Y285" s="58" t="str">
        <f t="shared" si="215"/>
        <v/>
      </c>
      <c r="Z285" s="31">
        <f t="shared" si="216"/>
        <v>0</v>
      </c>
      <c r="AA285" s="21">
        <f t="shared" si="217"/>
        <v>0</v>
      </c>
      <c r="AB285" s="58" t="str">
        <f t="shared" si="218"/>
        <v/>
      </c>
      <c r="AC285" s="630">
        <f t="shared" si="239"/>
        <v>0</v>
      </c>
      <c r="AD285" s="627"/>
      <c r="AE285" s="21">
        <f t="shared" si="219"/>
        <v>0</v>
      </c>
      <c r="AF285" s="58" t="str">
        <f t="shared" si="220"/>
        <v/>
      </c>
      <c r="AG285" s="21">
        <f t="shared" si="221"/>
        <v>0</v>
      </c>
      <c r="AH285" s="58" t="str">
        <f t="shared" si="222"/>
        <v/>
      </c>
      <c r="AI285" s="21">
        <f t="shared" si="223"/>
        <v>0</v>
      </c>
      <c r="AJ285" s="58" t="str">
        <f t="shared" si="224"/>
        <v/>
      </c>
      <c r="AK285" s="31">
        <f t="shared" si="225"/>
        <v>0</v>
      </c>
      <c r="AL285" s="21">
        <f t="shared" si="226"/>
        <v>0</v>
      </c>
      <c r="AM285" s="62" t="str">
        <f t="shared" si="227"/>
        <v/>
      </c>
      <c r="AN285" s="21">
        <f t="shared" si="228"/>
        <v>0</v>
      </c>
      <c r="AO285" s="62" t="str">
        <f t="shared" si="229"/>
        <v/>
      </c>
      <c r="AP285" s="21">
        <f t="shared" si="230"/>
        <v>0</v>
      </c>
      <c r="AQ285" s="62" t="str">
        <f t="shared" si="231"/>
        <v/>
      </c>
      <c r="AR285" s="31">
        <f t="shared" si="232"/>
        <v>0</v>
      </c>
      <c r="AS285" s="21">
        <f t="shared" si="233"/>
        <v>0</v>
      </c>
      <c r="AT285" s="62" t="str">
        <f t="shared" si="234"/>
        <v/>
      </c>
      <c r="AU285" s="84">
        <f t="shared" si="235"/>
        <v>0</v>
      </c>
      <c r="AV285" s="32">
        <f t="shared" si="236"/>
        <v>0</v>
      </c>
      <c r="AW285" s="85" t="str">
        <f t="shared" si="237"/>
        <v/>
      </c>
      <c r="AX285" s="86" t="str">
        <f t="shared" si="238"/>
        <v/>
      </c>
    </row>
    <row r="286" spans="1:50" x14ac:dyDescent="0.2">
      <c r="A286" s="29" t="str">
        <f t="shared" si="197"/>
        <v/>
      </c>
      <c r="B286" s="32" t="str">
        <f t="shared" si="198"/>
        <v/>
      </c>
      <c r="C286" s="35"/>
      <c r="D286" s="33" t="str">
        <f t="shared" si="199"/>
        <v/>
      </c>
      <c r="E286" s="22" t="str">
        <f t="shared" si="200"/>
        <v/>
      </c>
      <c r="F286" s="23" t="str">
        <f t="shared" si="201"/>
        <v/>
      </c>
      <c r="G286" s="23"/>
      <c r="H286" s="22"/>
      <c r="I286" s="23"/>
      <c r="J286" s="18"/>
      <c r="K286" s="13" t="str">
        <f t="shared" si="202"/>
        <v/>
      </c>
      <c r="L286" s="28" t="str">
        <f t="shared" si="240"/>
        <v/>
      </c>
      <c r="M286" s="10" t="str">
        <f t="shared" si="203"/>
        <v/>
      </c>
      <c r="N286" s="17" t="str">
        <f t="shared" si="204"/>
        <v/>
      </c>
      <c r="O286" s="39" t="str">
        <f t="shared" si="205"/>
        <v/>
      </c>
      <c r="P286" s="41" t="str">
        <f t="shared" si="206"/>
        <v/>
      </c>
      <c r="Q286" s="9" t="str">
        <f t="shared" si="207"/>
        <v/>
      </c>
      <c r="R286" s="14">
        <f t="shared" si="208"/>
        <v>0</v>
      </c>
      <c r="S286" s="61" t="str">
        <f t="shared" si="209"/>
        <v/>
      </c>
      <c r="T286" s="14">
        <f t="shared" si="210"/>
        <v>0</v>
      </c>
      <c r="U286" s="58" t="str">
        <f t="shared" si="211"/>
        <v/>
      </c>
      <c r="V286" s="14">
        <f t="shared" si="212"/>
        <v>0</v>
      </c>
      <c r="W286" s="58" t="str">
        <f t="shared" si="213"/>
        <v/>
      </c>
      <c r="X286" s="14">
        <f t="shared" si="214"/>
        <v>0</v>
      </c>
      <c r="Y286" s="58" t="str">
        <f t="shared" si="215"/>
        <v/>
      </c>
      <c r="Z286" s="31">
        <f t="shared" si="216"/>
        <v>0</v>
      </c>
      <c r="AA286" s="21">
        <f t="shared" si="217"/>
        <v>0</v>
      </c>
      <c r="AB286" s="58" t="str">
        <f t="shared" si="218"/>
        <v/>
      </c>
      <c r="AC286" s="630">
        <f t="shared" si="239"/>
        <v>0</v>
      </c>
      <c r="AD286" s="627"/>
      <c r="AE286" s="21">
        <f t="shared" si="219"/>
        <v>0</v>
      </c>
      <c r="AF286" s="58" t="str">
        <f t="shared" si="220"/>
        <v/>
      </c>
      <c r="AG286" s="21">
        <f t="shared" si="221"/>
        <v>0</v>
      </c>
      <c r="AH286" s="58" t="str">
        <f t="shared" si="222"/>
        <v/>
      </c>
      <c r="AI286" s="21">
        <f t="shared" si="223"/>
        <v>0</v>
      </c>
      <c r="AJ286" s="58" t="str">
        <f t="shared" si="224"/>
        <v/>
      </c>
      <c r="AK286" s="31">
        <f t="shared" si="225"/>
        <v>0</v>
      </c>
      <c r="AL286" s="21">
        <f t="shared" si="226"/>
        <v>0</v>
      </c>
      <c r="AM286" s="62" t="str">
        <f t="shared" si="227"/>
        <v/>
      </c>
      <c r="AN286" s="21">
        <f t="shared" si="228"/>
        <v>0</v>
      </c>
      <c r="AO286" s="62" t="str">
        <f t="shared" si="229"/>
        <v/>
      </c>
      <c r="AP286" s="21">
        <f t="shared" si="230"/>
        <v>0</v>
      </c>
      <c r="AQ286" s="62" t="str">
        <f t="shared" si="231"/>
        <v/>
      </c>
      <c r="AR286" s="31">
        <f t="shared" si="232"/>
        <v>0</v>
      </c>
      <c r="AS286" s="21">
        <f t="shared" si="233"/>
        <v>0</v>
      </c>
      <c r="AT286" s="62" t="str">
        <f t="shared" si="234"/>
        <v/>
      </c>
      <c r="AU286" s="84">
        <f t="shared" si="235"/>
        <v>0</v>
      </c>
      <c r="AV286" s="32">
        <f t="shared" si="236"/>
        <v>0</v>
      </c>
      <c r="AW286" s="85" t="str">
        <f t="shared" si="237"/>
        <v/>
      </c>
      <c r="AX286" s="86" t="str">
        <f t="shared" si="238"/>
        <v/>
      </c>
    </row>
    <row r="287" spans="1:50" x14ac:dyDescent="0.2">
      <c r="A287" s="29" t="str">
        <f t="shared" si="197"/>
        <v/>
      </c>
      <c r="B287" s="32" t="str">
        <f t="shared" si="198"/>
        <v/>
      </c>
      <c r="C287" s="35"/>
      <c r="D287" s="33" t="str">
        <f t="shared" si="199"/>
        <v/>
      </c>
      <c r="E287" s="22" t="str">
        <f t="shared" si="200"/>
        <v/>
      </c>
      <c r="F287" s="23" t="str">
        <f t="shared" si="201"/>
        <v/>
      </c>
      <c r="G287" s="23"/>
      <c r="H287" s="22"/>
      <c r="I287" s="23"/>
      <c r="J287" s="18"/>
      <c r="K287" s="13" t="str">
        <f t="shared" si="202"/>
        <v/>
      </c>
      <c r="L287" s="28" t="str">
        <f t="shared" si="240"/>
        <v/>
      </c>
      <c r="M287" s="10" t="str">
        <f t="shared" si="203"/>
        <v/>
      </c>
      <c r="N287" s="17" t="str">
        <f t="shared" si="204"/>
        <v/>
      </c>
      <c r="O287" s="39" t="str">
        <f t="shared" si="205"/>
        <v/>
      </c>
      <c r="P287" s="41" t="str">
        <f t="shared" si="206"/>
        <v/>
      </c>
      <c r="Q287" s="9" t="str">
        <f t="shared" si="207"/>
        <v/>
      </c>
      <c r="R287" s="14">
        <f t="shared" si="208"/>
        <v>0</v>
      </c>
      <c r="S287" s="61" t="str">
        <f t="shared" si="209"/>
        <v/>
      </c>
      <c r="T287" s="14">
        <f t="shared" si="210"/>
        <v>0</v>
      </c>
      <c r="U287" s="58" t="str">
        <f t="shared" si="211"/>
        <v/>
      </c>
      <c r="V287" s="14">
        <f t="shared" si="212"/>
        <v>0</v>
      </c>
      <c r="W287" s="58" t="str">
        <f t="shared" si="213"/>
        <v/>
      </c>
      <c r="X287" s="14">
        <f t="shared" si="214"/>
        <v>0</v>
      </c>
      <c r="Y287" s="58" t="str">
        <f t="shared" si="215"/>
        <v/>
      </c>
      <c r="Z287" s="31">
        <f t="shared" si="216"/>
        <v>0</v>
      </c>
      <c r="AA287" s="21">
        <f t="shared" si="217"/>
        <v>0</v>
      </c>
      <c r="AB287" s="58" t="str">
        <f t="shared" si="218"/>
        <v/>
      </c>
      <c r="AC287" s="630">
        <f t="shared" si="239"/>
        <v>0</v>
      </c>
      <c r="AD287" s="627"/>
      <c r="AE287" s="21">
        <f t="shared" si="219"/>
        <v>0</v>
      </c>
      <c r="AF287" s="58" t="str">
        <f t="shared" si="220"/>
        <v/>
      </c>
      <c r="AG287" s="21">
        <f t="shared" si="221"/>
        <v>0</v>
      </c>
      <c r="AH287" s="58" t="str">
        <f t="shared" si="222"/>
        <v/>
      </c>
      <c r="AI287" s="21">
        <f t="shared" si="223"/>
        <v>0</v>
      </c>
      <c r="AJ287" s="58" t="str">
        <f t="shared" si="224"/>
        <v/>
      </c>
      <c r="AK287" s="31">
        <f t="shared" si="225"/>
        <v>0</v>
      </c>
      <c r="AL287" s="21">
        <f t="shared" si="226"/>
        <v>0</v>
      </c>
      <c r="AM287" s="62" t="str">
        <f t="shared" si="227"/>
        <v/>
      </c>
      <c r="AN287" s="21">
        <f t="shared" si="228"/>
        <v>0</v>
      </c>
      <c r="AO287" s="62" t="str">
        <f t="shared" si="229"/>
        <v/>
      </c>
      <c r="AP287" s="21">
        <f t="shared" si="230"/>
        <v>0</v>
      </c>
      <c r="AQ287" s="62" t="str">
        <f t="shared" si="231"/>
        <v/>
      </c>
      <c r="AR287" s="31">
        <f t="shared" si="232"/>
        <v>0</v>
      </c>
      <c r="AS287" s="21">
        <f t="shared" si="233"/>
        <v>0</v>
      </c>
      <c r="AT287" s="62" t="str">
        <f t="shared" si="234"/>
        <v/>
      </c>
      <c r="AU287" s="84">
        <f t="shared" si="235"/>
        <v>0</v>
      </c>
      <c r="AV287" s="32">
        <f t="shared" si="236"/>
        <v>0</v>
      </c>
      <c r="AW287" s="85" t="str">
        <f t="shared" si="237"/>
        <v/>
      </c>
      <c r="AX287" s="86" t="str">
        <f t="shared" si="238"/>
        <v/>
      </c>
    </row>
    <row r="288" spans="1:50" x14ac:dyDescent="0.2">
      <c r="A288" s="29" t="str">
        <f t="shared" si="197"/>
        <v/>
      </c>
      <c r="B288" s="32" t="str">
        <f t="shared" si="198"/>
        <v/>
      </c>
      <c r="C288" s="35"/>
      <c r="D288" s="33" t="str">
        <f t="shared" si="199"/>
        <v/>
      </c>
      <c r="E288" s="22" t="str">
        <f t="shared" si="200"/>
        <v/>
      </c>
      <c r="F288" s="23" t="str">
        <f t="shared" si="201"/>
        <v/>
      </c>
      <c r="G288" s="23"/>
      <c r="H288" s="22"/>
      <c r="I288" s="23"/>
      <c r="J288" s="18"/>
      <c r="K288" s="13" t="str">
        <f t="shared" si="202"/>
        <v/>
      </c>
      <c r="L288" s="28" t="str">
        <f t="shared" si="240"/>
        <v/>
      </c>
      <c r="M288" s="10" t="str">
        <f t="shared" si="203"/>
        <v/>
      </c>
      <c r="N288" s="17" t="str">
        <f t="shared" si="204"/>
        <v/>
      </c>
      <c r="O288" s="39" t="str">
        <f t="shared" si="205"/>
        <v/>
      </c>
      <c r="P288" s="41" t="str">
        <f t="shared" si="206"/>
        <v/>
      </c>
      <c r="Q288" s="9" t="str">
        <f t="shared" si="207"/>
        <v/>
      </c>
      <c r="R288" s="14">
        <f t="shared" si="208"/>
        <v>0</v>
      </c>
      <c r="S288" s="61" t="str">
        <f t="shared" si="209"/>
        <v/>
      </c>
      <c r="T288" s="14">
        <f t="shared" si="210"/>
        <v>0</v>
      </c>
      <c r="U288" s="58" t="str">
        <f t="shared" si="211"/>
        <v/>
      </c>
      <c r="V288" s="14">
        <f t="shared" si="212"/>
        <v>0</v>
      </c>
      <c r="W288" s="58" t="str">
        <f t="shared" si="213"/>
        <v/>
      </c>
      <c r="X288" s="14">
        <f t="shared" si="214"/>
        <v>0</v>
      </c>
      <c r="Y288" s="58" t="str">
        <f t="shared" si="215"/>
        <v/>
      </c>
      <c r="Z288" s="31">
        <f t="shared" si="216"/>
        <v>0</v>
      </c>
      <c r="AA288" s="21">
        <f t="shared" si="217"/>
        <v>0</v>
      </c>
      <c r="AB288" s="58" t="str">
        <f t="shared" si="218"/>
        <v/>
      </c>
      <c r="AC288" s="630">
        <f t="shared" si="239"/>
        <v>0</v>
      </c>
      <c r="AD288" s="627"/>
      <c r="AE288" s="21">
        <f t="shared" si="219"/>
        <v>0</v>
      </c>
      <c r="AF288" s="58" t="str">
        <f t="shared" si="220"/>
        <v/>
      </c>
      <c r="AG288" s="21">
        <f t="shared" si="221"/>
        <v>0</v>
      </c>
      <c r="AH288" s="58" t="str">
        <f t="shared" si="222"/>
        <v/>
      </c>
      <c r="AI288" s="21">
        <f t="shared" si="223"/>
        <v>0</v>
      </c>
      <c r="AJ288" s="58" t="str">
        <f t="shared" si="224"/>
        <v/>
      </c>
      <c r="AK288" s="31">
        <f t="shared" si="225"/>
        <v>0</v>
      </c>
      <c r="AL288" s="21">
        <f t="shared" si="226"/>
        <v>0</v>
      </c>
      <c r="AM288" s="62" t="str">
        <f t="shared" si="227"/>
        <v/>
      </c>
      <c r="AN288" s="21">
        <f t="shared" si="228"/>
        <v>0</v>
      </c>
      <c r="AO288" s="62" t="str">
        <f t="shared" si="229"/>
        <v/>
      </c>
      <c r="AP288" s="21">
        <f t="shared" si="230"/>
        <v>0</v>
      </c>
      <c r="AQ288" s="62" t="str">
        <f t="shared" si="231"/>
        <v/>
      </c>
      <c r="AR288" s="31">
        <f t="shared" si="232"/>
        <v>0</v>
      </c>
      <c r="AS288" s="21">
        <f t="shared" si="233"/>
        <v>0</v>
      </c>
      <c r="AT288" s="62" t="str">
        <f t="shared" si="234"/>
        <v/>
      </c>
      <c r="AU288" s="84">
        <f t="shared" si="235"/>
        <v>0</v>
      </c>
      <c r="AV288" s="32">
        <f t="shared" si="236"/>
        <v>0</v>
      </c>
      <c r="AW288" s="85" t="str">
        <f t="shared" si="237"/>
        <v/>
      </c>
      <c r="AX288" s="86" t="str">
        <f t="shared" si="238"/>
        <v/>
      </c>
    </row>
    <row r="289" spans="1:50" x14ac:dyDescent="0.2">
      <c r="A289" s="29" t="str">
        <f t="shared" si="197"/>
        <v/>
      </c>
      <c r="B289" s="32" t="str">
        <f t="shared" si="198"/>
        <v/>
      </c>
      <c r="C289" s="35"/>
      <c r="D289" s="33" t="str">
        <f t="shared" si="199"/>
        <v/>
      </c>
      <c r="E289" s="22" t="str">
        <f t="shared" si="200"/>
        <v/>
      </c>
      <c r="F289" s="23" t="str">
        <f t="shared" si="201"/>
        <v/>
      </c>
      <c r="G289" s="23"/>
      <c r="H289" s="22"/>
      <c r="I289" s="23"/>
      <c r="J289" s="18"/>
      <c r="K289" s="13" t="str">
        <f t="shared" si="202"/>
        <v/>
      </c>
      <c r="L289" s="28" t="str">
        <f t="shared" si="240"/>
        <v/>
      </c>
      <c r="M289" s="10" t="str">
        <f t="shared" si="203"/>
        <v/>
      </c>
      <c r="N289" s="17" t="str">
        <f t="shared" si="204"/>
        <v/>
      </c>
      <c r="O289" s="39" t="str">
        <f t="shared" si="205"/>
        <v/>
      </c>
      <c r="P289" s="41" t="str">
        <f t="shared" si="206"/>
        <v/>
      </c>
      <c r="Q289" s="9" t="str">
        <f t="shared" si="207"/>
        <v/>
      </c>
      <c r="R289" s="14">
        <f t="shared" si="208"/>
        <v>0</v>
      </c>
      <c r="S289" s="61" t="str">
        <f t="shared" si="209"/>
        <v/>
      </c>
      <c r="T289" s="14">
        <f t="shared" si="210"/>
        <v>0</v>
      </c>
      <c r="U289" s="58" t="str">
        <f t="shared" si="211"/>
        <v/>
      </c>
      <c r="V289" s="14">
        <f t="shared" si="212"/>
        <v>0</v>
      </c>
      <c r="W289" s="58" t="str">
        <f t="shared" si="213"/>
        <v/>
      </c>
      <c r="X289" s="14">
        <f t="shared" si="214"/>
        <v>0</v>
      </c>
      <c r="Y289" s="58" t="str">
        <f t="shared" si="215"/>
        <v/>
      </c>
      <c r="Z289" s="31">
        <f t="shared" si="216"/>
        <v>0</v>
      </c>
      <c r="AA289" s="21">
        <f t="shared" si="217"/>
        <v>0</v>
      </c>
      <c r="AB289" s="58" t="str">
        <f t="shared" si="218"/>
        <v/>
      </c>
      <c r="AC289" s="630">
        <f t="shared" si="239"/>
        <v>0</v>
      </c>
      <c r="AD289" s="627"/>
      <c r="AE289" s="21">
        <f t="shared" si="219"/>
        <v>0</v>
      </c>
      <c r="AF289" s="58" t="str">
        <f t="shared" si="220"/>
        <v/>
      </c>
      <c r="AG289" s="21">
        <f t="shared" si="221"/>
        <v>0</v>
      </c>
      <c r="AH289" s="58" t="str">
        <f t="shared" si="222"/>
        <v/>
      </c>
      <c r="AI289" s="21">
        <f t="shared" si="223"/>
        <v>0</v>
      </c>
      <c r="AJ289" s="58" t="str">
        <f t="shared" si="224"/>
        <v/>
      </c>
      <c r="AK289" s="31">
        <f t="shared" si="225"/>
        <v>0</v>
      </c>
      <c r="AL289" s="21">
        <f t="shared" si="226"/>
        <v>0</v>
      </c>
      <c r="AM289" s="62" t="str">
        <f t="shared" si="227"/>
        <v/>
      </c>
      <c r="AN289" s="21">
        <f t="shared" si="228"/>
        <v>0</v>
      </c>
      <c r="AO289" s="62" t="str">
        <f t="shared" si="229"/>
        <v/>
      </c>
      <c r="AP289" s="21">
        <f t="shared" si="230"/>
        <v>0</v>
      </c>
      <c r="AQ289" s="62" t="str">
        <f t="shared" si="231"/>
        <v/>
      </c>
      <c r="AR289" s="31">
        <f t="shared" si="232"/>
        <v>0</v>
      </c>
      <c r="AS289" s="21">
        <f t="shared" si="233"/>
        <v>0</v>
      </c>
      <c r="AT289" s="62" t="str">
        <f t="shared" si="234"/>
        <v/>
      </c>
      <c r="AU289" s="84">
        <f t="shared" si="235"/>
        <v>0</v>
      </c>
      <c r="AV289" s="32">
        <f t="shared" si="236"/>
        <v>0</v>
      </c>
      <c r="AW289" s="85" t="str">
        <f t="shared" si="237"/>
        <v/>
      </c>
      <c r="AX289" s="86" t="str">
        <f t="shared" si="238"/>
        <v/>
      </c>
    </row>
    <row r="290" spans="1:50" x14ac:dyDescent="0.2">
      <c r="A290" s="29" t="str">
        <f t="shared" si="197"/>
        <v/>
      </c>
      <c r="B290" s="32" t="str">
        <f t="shared" si="198"/>
        <v/>
      </c>
      <c r="C290" s="35"/>
      <c r="D290" s="33" t="str">
        <f t="shared" si="199"/>
        <v/>
      </c>
      <c r="E290" s="22" t="str">
        <f t="shared" si="200"/>
        <v/>
      </c>
      <c r="F290" s="23" t="str">
        <f t="shared" si="201"/>
        <v/>
      </c>
      <c r="G290" s="23"/>
      <c r="H290" s="22"/>
      <c r="I290" s="23"/>
      <c r="J290" s="18"/>
      <c r="K290" s="13" t="str">
        <f t="shared" si="202"/>
        <v/>
      </c>
      <c r="L290" s="28" t="str">
        <f t="shared" si="240"/>
        <v/>
      </c>
      <c r="M290" s="10" t="str">
        <f t="shared" si="203"/>
        <v/>
      </c>
      <c r="N290" s="17" t="str">
        <f t="shared" si="204"/>
        <v/>
      </c>
      <c r="O290" s="39" t="str">
        <f t="shared" si="205"/>
        <v/>
      </c>
      <c r="P290" s="41" t="str">
        <f t="shared" si="206"/>
        <v/>
      </c>
      <c r="Q290" s="9" t="str">
        <f t="shared" si="207"/>
        <v/>
      </c>
      <c r="R290" s="14">
        <f t="shared" si="208"/>
        <v>0</v>
      </c>
      <c r="S290" s="61" t="str">
        <f t="shared" si="209"/>
        <v/>
      </c>
      <c r="T290" s="14">
        <f t="shared" si="210"/>
        <v>0</v>
      </c>
      <c r="U290" s="58" t="str">
        <f t="shared" si="211"/>
        <v/>
      </c>
      <c r="V290" s="14">
        <f t="shared" si="212"/>
        <v>0</v>
      </c>
      <c r="W290" s="58" t="str">
        <f t="shared" si="213"/>
        <v/>
      </c>
      <c r="X290" s="14">
        <f t="shared" si="214"/>
        <v>0</v>
      </c>
      <c r="Y290" s="58" t="str">
        <f t="shared" si="215"/>
        <v/>
      </c>
      <c r="Z290" s="31">
        <f t="shared" si="216"/>
        <v>0</v>
      </c>
      <c r="AA290" s="21">
        <f t="shared" si="217"/>
        <v>0</v>
      </c>
      <c r="AB290" s="58" t="str">
        <f t="shared" si="218"/>
        <v/>
      </c>
      <c r="AC290" s="630">
        <f t="shared" si="239"/>
        <v>0</v>
      </c>
      <c r="AD290" s="627"/>
      <c r="AE290" s="21">
        <f t="shared" si="219"/>
        <v>0</v>
      </c>
      <c r="AF290" s="58" t="str">
        <f t="shared" si="220"/>
        <v/>
      </c>
      <c r="AG290" s="21">
        <f t="shared" si="221"/>
        <v>0</v>
      </c>
      <c r="AH290" s="58" t="str">
        <f t="shared" si="222"/>
        <v/>
      </c>
      <c r="AI290" s="21">
        <f t="shared" si="223"/>
        <v>0</v>
      </c>
      <c r="AJ290" s="58" t="str">
        <f t="shared" si="224"/>
        <v/>
      </c>
      <c r="AK290" s="31">
        <f t="shared" si="225"/>
        <v>0</v>
      </c>
      <c r="AL290" s="21">
        <f t="shared" si="226"/>
        <v>0</v>
      </c>
      <c r="AM290" s="62" t="str">
        <f t="shared" si="227"/>
        <v/>
      </c>
      <c r="AN290" s="21">
        <f t="shared" si="228"/>
        <v>0</v>
      </c>
      <c r="AO290" s="62" t="str">
        <f t="shared" si="229"/>
        <v/>
      </c>
      <c r="AP290" s="21">
        <f t="shared" si="230"/>
        <v>0</v>
      </c>
      <c r="AQ290" s="62" t="str">
        <f t="shared" si="231"/>
        <v/>
      </c>
      <c r="AR290" s="31">
        <f t="shared" si="232"/>
        <v>0</v>
      </c>
      <c r="AS290" s="21">
        <f t="shared" si="233"/>
        <v>0</v>
      </c>
      <c r="AT290" s="62" t="str">
        <f t="shared" si="234"/>
        <v/>
      </c>
      <c r="AU290" s="84">
        <f t="shared" si="235"/>
        <v>0</v>
      </c>
      <c r="AV290" s="32">
        <f t="shared" si="236"/>
        <v>0</v>
      </c>
      <c r="AW290" s="85" t="str">
        <f t="shared" si="237"/>
        <v/>
      </c>
      <c r="AX290" s="86" t="str">
        <f t="shared" si="238"/>
        <v/>
      </c>
    </row>
    <row r="291" spans="1:50" x14ac:dyDescent="0.2">
      <c r="A291" s="29" t="str">
        <f t="shared" si="197"/>
        <v/>
      </c>
      <c r="B291" s="32" t="str">
        <f t="shared" si="198"/>
        <v/>
      </c>
      <c r="C291" s="35"/>
      <c r="D291" s="33" t="str">
        <f t="shared" si="199"/>
        <v/>
      </c>
      <c r="E291" s="22" t="str">
        <f t="shared" si="200"/>
        <v/>
      </c>
      <c r="F291" s="23" t="str">
        <f t="shared" si="201"/>
        <v/>
      </c>
      <c r="G291" s="23"/>
      <c r="H291" s="22"/>
      <c r="I291" s="23"/>
      <c r="J291" s="18"/>
      <c r="K291" s="13" t="str">
        <f t="shared" si="202"/>
        <v/>
      </c>
      <c r="L291" s="28" t="str">
        <f t="shared" si="240"/>
        <v/>
      </c>
      <c r="M291" s="10" t="str">
        <f t="shared" si="203"/>
        <v/>
      </c>
      <c r="N291" s="17" t="str">
        <f t="shared" si="204"/>
        <v/>
      </c>
      <c r="O291" s="39" t="str">
        <f t="shared" si="205"/>
        <v/>
      </c>
      <c r="P291" s="41" t="str">
        <f t="shared" si="206"/>
        <v/>
      </c>
      <c r="Q291" s="9" t="str">
        <f t="shared" si="207"/>
        <v/>
      </c>
      <c r="R291" s="14">
        <f t="shared" si="208"/>
        <v>0</v>
      </c>
      <c r="S291" s="61" t="str">
        <f t="shared" si="209"/>
        <v/>
      </c>
      <c r="T291" s="14">
        <f t="shared" si="210"/>
        <v>0</v>
      </c>
      <c r="U291" s="58" t="str">
        <f t="shared" si="211"/>
        <v/>
      </c>
      <c r="V291" s="14">
        <f t="shared" si="212"/>
        <v>0</v>
      </c>
      <c r="W291" s="58" t="str">
        <f t="shared" si="213"/>
        <v/>
      </c>
      <c r="X291" s="14">
        <f t="shared" si="214"/>
        <v>0</v>
      </c>
      <c r="Y291" s="58" t="str">
        <f t="shared" si="215"/>
        <v/>
      </c>
      <c r="Z291" s="31">
        <f t="shared" si="216"/>
        <v>0</v>
      </c>
      <c r="AA291" s="21">
        <f t="shared" si="217"/>
        <v>0</v>
      </c>
      <c r="AB291" s="58" t="str">
        <f t="shared" si="218"/>
        <v/>
      </c>
      <c r="AC291" s="630">
        <f t="shared" si="239"/>
        <v>0</v>
      </c>
      <c r="AD291" s="627"/>
      <c r="AE291" s="21">
        <f t="shared" si="219"/>
        <v>0</v>
      </c>
      <c r="AF291" s="58" t="str">
        <f t="shared" si="220"/>
        <v/>
      </c>
      <c r="AG291" s="21">
        <f t="shared" si="221"/>
        <v>0</v>
      </c>
      <c r="AH291" s="58" t="str">
        <f t="shared" si="222"/>
        <v/>
      </c>
      <c r="AI291" s="21">
        <f t="shared" si="223"/>
        <v>0</v>
      </c>
      <c r="AJ291" s="58" t="str">
        <f t="shared" si="224"/>
        <v/>
      </c>
      <c r="AK291" s="31">
        <f t="shared" si="225"/>
        <v>0</v>
      </c>
      <c r="AL291" s="21">
        <f t="shared" si="226"/>
        <v>0</v>
      </c>
      <c r="AM291" s="62" t="str">
        <f t="shared" si="227"/>
        <v/>
      </c>
      <c r="AN291" s="21">
        <f t="shared" si="228"/>
        <v>0</v>
      </c>
      <c r="AO291" s="62" t="str">
        <f t="shared" si="229"/>
        <v/>
      </c>
      <c r="AP291" s="21">
        <f t="shared" si="230"/>
        <v>0</v>
      </c>
      <c r="AQ291" s="62" t="str">
        <f t="shared" si="231"/>
        <v/>
      </c>
      <c r="AR291" s="31">
        <f t="shared" si="232"/>
        <v>0</v>
      </c>
      <c r="AS291" s="21">
        <f t="shared" si="233"/>
        <v>0</v>
      </c>
      <c r="AT291" s="62" t="str">
        <f t="shared" si="234"/>
        <v/>
      </c>
      <c r="AU291" s="84">
        <f t="shared" si="235"/>
        <v>0</v>
      </c>
      <c r="AV291" s="32">
        <f t="shared" si="236"/>
        <v>0</v>
      </c>
      <c r="AW291" s="85" t="str">
        <f t="shared" si="237"/>
        <v/>
      </c>
      <c r="AX291" s="86" t="str">
        <f t="shared" si="238"/>
        <v/>
      </c>
    </row>
    <row r="292" spans="1:50" x14ac:dyDescent="0.2">
      <c r="A292" s="29" t="str">
        <f t="shared" si="197"/>
        <v/>
      </c>
      <c r="B292" s="32" t="str">
        <f t="shared" si="198"/>
        <v/>
      </c>
      <c r="C292" s="35"/>
      <c r="D292" s="33" t="str">
        <f t="shared" si="199"/>
        <v/>
      </c>
      <c r="E292" s="22" t="str">
        <f t="shared" si="200"/>
        <v/>
      </c>
      <c r="F292" s="23" t="str">
        <f t="shared" si="201"/>
        <v/>
      </c>
      <c r="G292" s="23"/>
      <c r="H292" s="22"/>
      <c r="I292" s="23"/>
      <c r="J292" s="18"/>
      <c r="K292" s="13" t="str">
        <f t="shared" si="202"/>
        <v/>
      </c>
      <c r="L292" s="28" t="str">
        <f t="shared" si="240"/>
        <v/>
      </c>
      <c r="M292" s="10" t="str">
        <f t="shared" si="203"/>
        <v/>
      </c>
      <c r="N292" s="17" t="str">
        <f t="shared" si="204"/>
        <v/>
      </c>
      <c r="O292" s="39" t="str">
        <f t="shared" si="205"/>
        <v/>
      </c>
      <c r="P292" s="41" t="str">
        <f t="shared" si="206"/>
        <v/>
      </c>
      <c r="Q292" s="9" t="str">
        <f t="shared" si="207"/>
        <v/>
      </c>
      <c r="R292" s="14">
        <f t="shared" si="208"/>
        <v>0</v>
      </c>
      <c r="S292" s="61" t="str">
        <f t="shared" si="209"/>
        <v/>
      </c>
      <c r="T292" s="14">
        <f t="shared" si="210"/>
        <v>0</v>
      </c>
      <c r="U292" s="58" t="str">
        <f t="shared" si="211"/>
        <v/>
      </c>
      <c r="V292" s="14">
        <f t="shared" si="212"/>
        <v>0</v>
      </c>
      <c r="W292" s="58" t="str">
        <f t="shared" si="213"/>
        <v/>
      </c>
      <c r="X292" s="14">
        <f t="shared" si="214"/>
        <v>0</v>
      </c>
      <c r="Y292" s="58" t="str">
        <f t="shared" si="215"/>
        <v/>
      </c>
      <c r="Z292" s="31">
        <f t="shared" si="216"/>
        <v>0</v>
      </c>
      <c r="AA292" s="21">
        <f t="shared" si="217"/>
        <v>0</v>
      </c>
      <c r="AB292" s="58" t="str">
        <f t="shared" si="218"/>
        <v/>
      </c>
      <c r="AC292" s="630">
        <f t="shared" si="239"/>
        <v>0</v>
      </c>
      <c r="AD292" s="627"/>
      <c r="AE292" s="21">
        <f t="shared" si="219"/>
        <v>0</v>
      </c>
      <c r="AF292" s="58" t="str">
        <f t="shared" si="220"/>
        <v/>
      </c>
      <c r="AG292" s="21">
        <f t="shared" si="221"/>
        <v>0</v>
      </c>
      <c r="AH292" s="58" t="str">
        <f t="shared" si="222"/>
        <v/>
      </c>
      <c r="AI292" s="21">
        <f t="shared" si="223"/>
        <v>0</v>
      </c>
      <c r="AJ292" s="58" t="str">
        <f t="shared" si="224"/>
        <v/>
      </c>
      <c r="AK292" s="31">
        <f t="shared" si="225"/>
        <v>0</v>
      </c>
      <c r="AL292" s="21">
        <f t="shared" si="226"/>
        <v>0</v>
      </c>
      <c r="AM292" s="62" t="str">
        <f t="shared" si="227"/>
        <v/>
      </c>
      <c r="AN292" s="21">
        <f t="shared" si="228"/>
        <v>0</v>
      </c>
      <c r="AO292" s="62" t="str">
        <f t="shared" si="229"/>
        <v/>
      </c>
      <c r="AP292" s="21">
        <f t="shared" si="230"/>
        <v>0</v>
      </c>
      <c r="AQ292" s="62" t="str">
        <f t="shared" si="231"/>
        <v/>
      </c>
      <c r="AR292" s="31">
        <f t="shared" si="232"/>
        <v>0</v>
      </c>
      <c r="AS292" s="21">
        <f t="shared" si="233"/>
        <v>0</v>
      </c>
      <c r="AT292" s="62" t="str">
        <f t="shared" si="234"/>
        <v/>
      </c>
      <c r="AU292" s="84">
        <f t="shared" si="235"/>
        <v>0</v>
      </c>
      <c r="AV292" s="32">
        <f t="shared" si="236"/>
        <v>0</v>
      </c>
      <c r="AW292" s="85" t="str">
        <f t="shared" si="237"/>
        <v/>
      </c>
      <c r="AX292" s="86" t="str">
        <f t="shared" si="238"/>
        <v/>
      </c>
    </row>
    <row r="293" spans="1:50" x14ac:dyDescent="0.2">
      <c r="A293" s="29" t="str">
        <f t="shared" si="197"/>
        <v/>
      </c>
      <c r="B293" s="32" t="str">
        <f t="shared" si="198"/>
        <v/>
      </c>
      <c r="C293" s="35"/>
      <c r="D293" s="33" t="str">
        <f t="shared" si="199"/>
        <v/>
      </c>
      <c r="E293" s="22" t="str">
        <f t="shared" si="200"/>
        <v/>
      </c>
      <c r="F293" s="23" t="str">
        <f t="shared" si="201"/>
        <v/>
      </c>
      <c r="G293" s="23"/>
      <c r="H293" s="22"/>
      <c r="I293" s="23"/>
      <c r="J293" s="18"/>
      <c r="K293" s="13" t="str">
        <f t="shared" si="202"/>
        <v/>
      </c>
      <c r="L293" s="28" t="str">
        <f t="shared" si="240"/>
        <v/>
      </c>
      <c r="M293" s="10" t="str">
        <f t="shared" si="203"/>
        <v/>
      </c>
      <c r="N293" s="17" t="str">
        <f t="shared" si="204"/>
        <v/>
      </c>
      <c r="O293" s="39" t="str">
        <f t="shared" si="205"/>
        <v/>
      </c>
      <c r="P293" s="41" t="str">
        <f t="shared" si="206"/>
        <v/>
      </c>
      <c r="Q293" s="9" t="str">
        <f t="shared" si="207"/>
        <v/>
      </c>
      <c r="R293" s="14">
        <f t="shared" si="208"/>
        <v>0</v>
      </c>
      <c r="S293" s="61" t="str">
        <f t="shared" si="209"/>
        <v/>
      </c>
      <c r="T293" s="14">
        <f t="shared" si="210"/>
        <v>0</v>
      </c>
      <c r="U293" s="58" t="str">
        <f t="shared" si="211"/>
        <v/>
      </c>
      <c r="V293" s="14">
        <f t="shared" si="212"/>
        <v>0</v>
      </c>
      <c r="W293" s="58" t="str">
        <f t="shared" si="213"/>
        <v/>
      </c>
      <c r="X293" s="14">
        <f t="shared" si="214"/>
        <v>0</v>
      </c>
      <c r="Y293" s="58" t="str">
        <f t="shared" si="215"/>
        <v/>
      </c>
      <c r="Z293" s="31">
        <f t="shared" si="216"/>
        <v>0</v>
      </c>
      <c r="AA293" s="21">
        <f t="shared" si="217"/>
        <v>0</v>
      </c>
      <c r="AB293" s="58" t="str">
        <f t="shared" si="218"/>
        <v/>
      </c>
      <c r="AC293" s="630">
        <f t="shared" si="239"/>
        <v>0</v>
      </c>
      <c r="AD293" s="627"/>
      <c r="AE293" s="21">
        <f t="shared" si="219"/>
        <v>0</v>
      </c>
      <c r="AF293" s="58" t="str">
        <f t="shared" si="220"/>
        <v/>
      </c>
      <c r="AG293" s="21">
        <f t="shared" si="221"/>
        <v>0</v>
      </c>
      <c r="AH293" s="58" t="str">
        <f t="shared" si="222"/>
        <v/>
      </c>
      <c r="AI293" s="21">
        <f t="shared" si="223"/>
        <v>0</v>
      </c>
      <c r="AJ293" s="58" t="str">
        <f t="shared" si="224"/>
        <v/>
      </c>
      <c r="AK293" s="31">
        <f t="shared" si="225"/>
        <v>0</v>
      </c>
      <c r="AL293" s="21">
        <f t="shared" si="226"/>
        <v>0</v>
      </c>
      <c r="AM293" s="62" t="str">
        <f t="shared" si="227"/>
        <v/>
      </c>
      <c r="AN293" s="21">
        <f t="shared" si="228"/>
        <v>0</v>
      </c>
      <c r="AO293" s="62" t="str">
        <f t="shared" si="229"/>
        <v/>
      </c>
      <c r="AP293" s="21">
        <f t="shared" si="230"/>
        <v>0</v>
      </c>
      <c r="AQ293" s="62" t="str">
        <f t="shared" si="231"/>
        <v/>
      </c>
      <c r="AR293" s="31">
        <f t="shared" si="232"/>
        <v>0</v>
      </c>
      <c r="AS293" s="21">
        <f t="shared" si="233"/>
        <v>0</v>
      </c>
      <c r="AT293" s="62" t="str">
        <f t="shared" si="234"/>
        <v/>
      </c>
      <c r="AU293" s="84">
        <f t="shared" si="235"/>
        <v>0</v>
      </c>
      <c r="AV293" s="32">
        <f t="shared" si="236"/>
        <v>0</v>
      </c>
      <c r="AW293" s="85" t="str">
        <f t="shared" si="237"/>
        <v/>
      </c>
      <c r="AX293" s="86" t="str">
        <f t="shared" si="238"/>
        <v/>
      </c>
    </row>
    <row r="294" spans="1:50" x14ac:dyDescent="0.2">
      <c r="A294" s="29" t="str">
        <f t="shared" si="197"/>
        <v/>
      </c>
      <c r="B294" s="32" t="str">
        <f t="shared" si="198"/>
        <v/>
      </c>
      <c r="C294" s="35"/>
      <c r="D294" s="33" t="str">
        <f t="shared" si="199"/>
        <v/>
      </c>
      <c r="E294" s="22" t="str">
        <f t="shared" si="200"/>
        <v/>
      </c>
      <c r="F294" s="23" t="str">
        <f t="shared" si="201"/>
        <v/>
      </c>
      <c r="G294" s="23"/>
      <c r="H294" s="22"/>
      <c r="I294" s="23"/>
      <c r="J294" s="18"/>
      <c r="K294" s="13" t="str">
        <f t="shared" si="202"/>
        <v/>
      </c>
      <c r="L294" s="28" t="str">
        <f t="shared" si="240"/>
        <v/>
      </c>
      <c r="M294" s="10" t="str">
        <f t="shared" si="203"/>
        <v/>
      </c>
      <c r="N294" s="17" t="str">
        <f t="shared" si="204"/>
        <v/>
      </c>
      <c r="O294" s="39" t="str">
        <f t="shared" si="205"/>
        <v/>
      </c>
      <c r="P294" s="41" t="str">
        <f t="shared" si="206"/>
        <v/>
      </c>
      <c r="Q294" s="9" t="str">
        <f t="shared" si="207"/>
        <v/>
      </c>
      <c r="R294" s="14">
        <f t="shared" si="208"/>
        <v>0</v>
      </c>
      <c r="S294" s="61" t="str">
        <f t="shared" si="209"/>
        <v/>
      </c>
      <c r="T294" s="14">
        <f t="shared" si="210"/>
        <v>0</v>
      </c>
      <c r="U294" s="58" t="str">
        <f t="shared" si="211"/>
        <v/>
      </c>
      <c r="V294" s="14">
        <f t="shared" si="212"/>
        <v>0</v>
      </c>
      <c r="W294" s="58" t="str">
        <f t="shared" si="213"/>
        <v/>
      </c>
      <c r="X294" s="14">
        <f t="shared" si="214"/>
        <v>0</v>
      </c>
      <c r="Y294" s="58" t="str">
        <f t="shared" si="215"/>
        <v/>
      </c>
      <c r="Z294" s="31">
        <f t="shared" si="216"/>
        <v>0</v>
      </c>
      <c r="AA294" s="21">
        <f t="shared" si="217"/>
        <v>0</v>
      </c>
      <c r="AB294" s="58" t="str">
        <f t="shared" si="218"/>
        <v/>
      </c>
      <c r="AC294" s="630">
        <f t="shared" si="239"/>
        <v>0</v>
      </c>
      <c r="AD294" s="627"/>
      <c r="AE294" s="21">
        <f t="shared" si="219"/>
        <v>0</v>
      </c>
      <c r="AF294" s="58" t="str">
        <f t="shared" si="220"/>
        <v/>
      </c>
      <c r="AG294" s="21">
        <f t="shared" si="221"/>
        <v>0</v>
      </c>
      <c r="AH294" s="58" t="str">
        <f t="shared" si="222"/>
        <v/>
      </c>
      <c r="AI294" s="21">
        <f t="shared" si="223"/>
        <v>0</v>
      </c>
      <c r="AJ294" s="58" t="str">
        <f t="shared" si="224"/>
        <v/>
      </c>
      <c r="AK294" s="31">
        <f t="shared" si="225"/>
        <v>0</v>
      </c>
      <c r="AL294" s="21">
        <f t="shared" si="226"/>
        <v>0</v>
      </c>
      <c r="AM294" s="62" t="str">
        <f t="shared" si="227"/>
        <v/>
      </c>
      <c r="AN294" s="21">
        <f t="shared" si="228"/>
        <v>0</v>
      </c>
      <c r="AO294" s="62" t="str">
        <f t="shared" si="229"/>
        <v/>
      </c>
      <c r="AP294" s="21">
        <f t="shared" si="230"/>
        <v>0</v>
      </c>
      <c r="AQ294" s="62" t="str">
        <f t="shared" si="231"/>
        <v/>
      </c>
      <c r="AR294" s="31">
        <f t="shared" si="232"/>
        <v>0</v>
      </c>
      <c r="AS294" s="21">
        <f t="shared" si="233"/>
        <v>0</v>
      </c>
      <c r="AT294" s="62" t="str">
        <f t="shared" si="234"/>
        <v/>
      </c>
      <c r="AU294" s="84">
        <f t="shared" si="235"/>
        <v>0</v>
      </c>
      <c r="AV294" s="32">
        <f t="shared" si="236"/>
        <v>0</v>
      </c>
      <c r="AW294" s="85" t="str">
        <f t="shared" si="237"/>
        <v/>
      </c>
      <c r="AX294" s="86" t="str">
        <f t="shared" si="238"/>
        <v/>
      </c>
    </row>
    <row r="295" spans="1:50" x14ac:dyDescent="0.2">
      <c r="A295" s="29" t="str">
        <f t="shared" ref="A295:A358" si="241">IF(A294="","",IF(C295="","",A294))</f>
        <v/>
      </c>
      <c r="B295" s="32" t="str">
        <f t="shared" ref="B295:B358" si="242">IF(B294="","",IF(C295="","",B294))</f>
        <v/>
      </c>
      <c r="C295" s="35"/>
      <c r="D295" s="33" t="str">
        <f t="shared" ref="D295:D358" si="243">IF(A295="","",IF(D294="","",D294))</f>
        <v/>
      </c>
      <c r="E295" s="22" t="str">
        <f t="shared" ref="E295:E358" si="244">IF(A295="","",IF(E294="","",E294))</f>
        <v/>
      </c>
      <c r="F295" s="23" t="str">
        <f t="shared" ref="F295:F358" si="245">IF(A295="","",IF(F294="","",F294))</f>
        <v/>
      </c>
      <c r="G295" s="23"/>
      <c r="H295" s="22"/>
      <c r="I295" s="23"/>
      <c r="J295" s="18"/>
      <c r="K295" s="13" t="str">
        <f t="shared" ref="K295:K358" si="246">IF($N$4="M",IF(A295="","",IF(D295=6,16,IF(A295&lt;=$M$5,26,IF(A295&lt;=$M$6,24,IF(A295&lt;=$M$7,22,IF(A295&lt;=$M$8,20,18)))))),IF(A295="","",IF(D295=6,16,IF(A295&lt;=$P$5,26,IF(A295&lt;=$P$6,24,IF(A295&lt;=$P$7,22,IF(A295&lt;=$P$8,20,18)))))))</f>
        <v/>
      </c>
      <c r="L295" s="28" t="str">
        <f t="shared" si="240"/>
        <v/>
      </c>
      <c r="M295" s="10" t="str">
        <f t="shared" ref="M295:M358" si="247">IF(D295=1,0.5,IF(D295=2,"1 F",IF(D295=21,"1 R",IF(D295=3,2,""))))</f>
        <v/>
      </c>
      <c r="N295" s="17" t="str">
        <f t="shared" ref="N295:N358" si="248">IF(M295="","",IF($N$4="M",(A295+B295+Q295)*C295*0.022,(A295+B295+Q295)*C295*0.17))</f>
        <v/>
      </c>
      <c r="O295" s="39" t="str">
        <f t="shared" ref="O295:O358" si="249">IF(D295=4,1,IF(D295=5,2,""))</f>
        <v/>
      </c>
      <c r="P295" s="41" t="str">
        <f t="shared" ref="P295:P358" si="250">IF(O295="","",IF($N$4="M",IF(O295=1,(A295+B295+Q295)*C295*0.022*1.1,(A295+B295+Q295)*C295*0.022*1.15),IF(O295=1,(A295+B295+Q295)*C295*0.17*1.1,(A295+B295+Q295)*C295*0.17*1.15)))</f>
        <v/>
      </c>
      <c r="Q295" s="9" t="str">
        <f t="shared" ref="Q295:Q358" si="251">IF($N$4="M",IF(A295="","",IF(D295=1,50,IF(D295=2,100,IF(D295=21,100,IF(D295=3,200,0))))),IF(A295="","",IF(D295=1,2,IF(D295=2,4,IF(D295=21,4,IF(D295=3,8,0))))))</f>
        <v/>
      </c>
      <c r="R295" s="14">
        <f t="shared" ref="R295:R358" si="252">COUNTIF(G295:J295,7)</f>
        <v>0</v>
      </c>
      <c r="S295" s="61" t="str">
        <f t="shared" ref="S295:S358" si="253">IF(A295="","",IF($N$4="M",A295*B295*0.000011111*R295*1.5,A295*B295/144*R295*1.5))</f>
        <v/>
      </c>
      <c r="T295" s="14">
        <f t="shared" ref="T295:T358" si="254">COUNTIF(G295:J295,71)</f>
        <v>0</v>
      </c>
      <c r="U295" s="58" t="str">
        <f t="shared" ref="U295:U358" si="255">IF(A295="","",IF($N$4="M",A295*B295*0.000011111*T295*1.5,A295*B295/144*T295*1.5))</f>
        <v/>
      </c>
      <c r="V295" s="14">
        <f t="shared" ref="V295:V358" si="256">COUNTIF(G295:J295,8)</f>
        <v>0</v>
      </c>
      <c r="W295" s="58" t="str">
        <f t="shared" ref="W295:W358" si="257">IF(A295="","",IF($N$4="M",(A295+B295)*2*0.0032808*V295,(A295+B295)*2*V295/12))</f>
        <v/>
      </c>
      <c r="X295" s="14">
        <f t="shared" ref="X295:X358" si="258">COUNTIF(G295:J295,81)</f>
        <v>0</v>
      </c>
      <c r="Y295" s="58" t="str">
        <f t="shared" ref="Y295:Y358" si="259">IF(A295="","",IF($N$4="M",(A295+B295)*2*0.0032808*X295,(A295+B295)*2*X295/12))</f>
        <v/>
      </c>
      <c r="Z295" s="31">
        <f t="shared" ref="Z295:Z358" si="260">COUNTIF(G295:J295,9)</f>
        <v>0</v>
      </c>
      <c r="AA295" s="21">
        <f t="shared" ref="AA295:AA358" si="261">COUNTIF(G295:J295,10)</f>
        <v>0</v>
      </c>
      <c r="AB295" s="58" t="str">
        <f t="shared" ref="AB295:AB358" si="262">IF(A295="","",IF($N$4="M",(A295+B295)*2*0.0032808*AA295,(A295+B295)*2*AA295/12))</f>
        <v/>
      </c>
      <c r="AC295" s="630">
        <f t="shared" si="239"/>
        <v>0</v>
      </c>
      <c r="AD295" s="627"/>
      <c r="AE295" s="21">
        <f t="shared" ref="AE295:AE358" si="263">COUNTIF(G295:J295,11)</f>
        <v>0</v>
      </c>
      <c r="AF295" s="58" t="str">
        <f t="shared" ref="AF295:AF358" si="264">IF(A295="","",IF($N$4="M",A295*B295*0.000011111*AE295,A295*B295/144*AE295))</f>
        <v/>
      </c>
      <c r="AG295" s="21">
        <f t="shared" ref="AG295:AG358" si="265">COUNTIF(G295:J295,111)</f>
        <v>0</v>
      </c>
      <c r="AH295" s="58" t="str">
        <f t="shared" ref="AH295:AH358" si="266">IF(A295="","",IF($N$4="M",A295*B295*0.000011111*AG295,A295*B295/144*AG295))</f>
        <v/>
      </c>
      <c r="AI295" s="21">
        <f t="shared" ref="AI295:AI358" si="267">COUNTIF(G295:J295,12)</f>
        <v>0</v>
      </c>
      <c r="AJ295" s="58" t="str">
        <f t="shared" ref="AJ295:AJ358" si="268">IF(A295="","",IF($N$4="M",A295*B295*0.000011111*AI295,A295*B295/144*AI295))</f>
        <v/>
      </c>
      <c r="AK295" s="31">
        <f t="shared" ref="AK295:AK358" si="269">COUNTIF(G295:J295,13)</f>
        <v>0</v>
      </c>
      <c r="AL295" s="21">
        <f t="shared" ref="AL295:AL358" si="270">COUNTIF(G295:J295,131)</f>
        <v>0</v>
      </c>
      <c r="AM295" s="62" t="str">
        <f t="shared" ref="AM295:AM358" si="271">IF(A295="","",IF($N$4="M",A295*B295*0.000011111*AL295,A295*B295/144*AL295))</f>
        <v/>
      </c>
      <c r="AN295" s="21">
        <f t="shared" ref="AN295:AN358" si="272">COUNTIF(G295:J295,14)</f>
        <v>0</v>
      </c>
      <c r="AO295" s="62" t="str">
        <f t="shared" ref="AO295:AO358" si="273">IF(A295="","",IF($N$4="M",A295*B295*0.000011111*AN295,A295*B295/144*AN295))</f>
        <v/>
      </c>
      <c r="AP295" s="21">
        <f t="shared" ref="AP295:AP358" si="274">COUNTIF(G295:J295,141)</f>
        <v>0</v>
      </c>
      <c r="AQ295" s="62" t="str">
        <f t="shared" ref="AQ295:AQ358" si="275">IF(A295="","",IF($N$4="M",A295*B295*0.000011111*AP295,A295*B295/144*AP295))</f>
        <v/>
      </c>
      <c r="AR295" s="31">
        <f t="shared" ref="AR295:AR358" si="276">COUNTIF(G295:J295,15)</f>
        <v>0</v>
      </c>
      <c r="AS295" s="21">
        <f t="shared" ref="AS295:AS358" si="277">COUNTIF(G295:J295,16)</f>
        <v>0</v>
      </c>
      <c r="AT295" s="62" t="str">
        <f t="shared" ref="AT295:AT358" si="278">IF(A295="","",IF($N$4="M",A295*B295*0.000011111*AS295,A295*B295/144*AS295))</f>
        <v/>
      </c>
      <c r="AU295" s="84">
        <f t="shared" ref="AU295:AU358" si="279">IF(D295=61,C295,0)</f>
        <v>0</v>
      </c>
      <c r="AV295" s="32">
        <f t="shared" ref="AV295:AV358" si="280">IF(D295=61,L295,0)</f>
        <v>0</v>
      </c>
      <c r="AW295" s="85" t="str">
        <f t="shared" ref="AW295:AW358" si="281">IF(A295="","",(C295-AU295))</f>
        <v/>
      </c>
      <c r="AX295" s="86" t="str">
        <f t="shared" ref="AX295:AX358" si="282">IF(A295="","",(L295-AV295))</f>
        <v/>
      </c>
    </row>
    <row r="296" spans="1:50" x14ac:dyDescent="0.2">
      <c r="A296" s="29" t="str">
        <f t="shared" si="241"/>
        <v/>
      </c>
      <c r="B296" s="32" t="str">
        <f t="shared" si="242"/>
        <v/>
      </c>
      <c r="C296" s="35"/>
      <c r="D296" s="33" t="str">
        <f t="shared" si="243"/>
        <v/>
      </c>
      <c r="E296" s="22" t="str">
        <f t="shared" si="244"/>
        <v/>
      </c>
      <c r="F296" s="23" t="str">
        <f t="shared" si="245"/>
        <v/>
      </c>
      <c r="G296" s="23"/>
      <c r="H296" s="22"/>
      <c r="I296" s="23"/>
      <c r="J296" s="18"/>
      <c r="K296" s="13" t="str">
        <f t="shared" si="246"/>
        <v/>
      </c>
      <c r="L296" s="28" t="str">
        <f t="shared" si="240"/>
        <v/>
      </c>
      <c r="M296" s="10" t="str">
        <f t="shared" si="247"/>
        <v/>
      </c>
      <c r="N296" s="17" t="str">
        <f t="shared" si="248"/>
        <v/>
      </c>
      <c r="O296" s="39" t="str">
        <f t="shared" si="249"/>
        <v/>
      </c>
      <c r="P296" s="41" t="str">
        <f t="shared" si="250"/>
        <v/>
      </c>
      <c r="Q296" s="9" t="str">
        <f t="shared" si="251"/>
        <v/>
      </c>
      <c r="R296" s="14">
        <f t="shared" si="252"/>
        <v>0</v>
      </c>
      <c r="S296" s="61" t="str">
        <f t="shared" si="253"/>
        <v/>
      </c>
      <c r="T296" s="14">
        <f t="shared" si="254"/>
        <v>0</v>
      </c>
      <c r="U296" s="58" t="str">
        <f t="shared" si="255"/>
        <v/>
      </c>
      <c r="V296" s="14">
        <f t="shared" si="256"/>
        <v>0</v>
      </c>
      <c r="W296" s="58" t="str">
        <f t="shared" si="257"/>
        <v/>
      </c>
      <c r="X296" s="14">
        <f t="shared" si="258"/>
        <v>0</v>
      </c>
      <c r="Y296" s="58" t="str">
        <f t="shared" si="259"/>
        <v/>
      </c>
      <c r="Z296" s="31">
        <f t="shared" si="260"/>
        <v>0</v>
      </c>
      <c r="AA296" s="21">
        <f t="shared" si="261"/>
        <v>0</v>
      </c>
      <c r="AB296" s="58" t="str">
        <f t="shared" si="262"/>
        <v/>
      </c>
      <c r="AC296" s="630">
        <f t="shared" si="239"/>
        <v>0</v>
      </c>
      <c r="AD296" s="627"/>
      <c r="AE296" s="21">
        <f t="shared" si="263"/>
        <v>0</v>
      </c>
      <c r="AF296" s="58" t="str">
        <f t="shared" si="264"/>
        <v/>
      </c>
      <c r="AG296" s="21">
        <f t="shared" si="265"/>
        <v>0</v>
      </c>
      <c r="AH296" s="58" t="str">
        <f t="shared" si="266"/>
        <v/>
      </c>
      <c r="AI296" s="21">
        <f t="shared" si="267"/>
        <v>0</v>
      </c>
      <c r="AJ296" s="58" t="str">
        <f t="shared" si="268"/>
        <v/>
      </c>
      <c r="AK296" s="31">
        <f t="shared" si="269"/>
        <v>0</v>
      </c>
      <c r="AL296" s="21">
        <f t="shared" si="270"/>
        <v>0</v>
      </c>
      <c r="AM296" s="62" t="str">
        <f t="shared" si="271"/>
        <v/>
      </c>
      <c r="AN296" s="21">
        <f t="shared" si="272"/>
        <v>0</v>
      </c>
      <c r="AO296" s="62" t="str">
        <f t="shared" si="273"/>
        <v/>
      </c>
      <c r="AP296" s="21">
        <f t="shared" si="274"/>
        <v>0</v>
      </c>
      <c r="AQ296" s="62" t="str">
        <f t="shared" si="275"/>
        <v/>
      </c>
      <c r="AR296" s="31">
        <f t="shared" si="276"/>
        <v>0</v>
      </c>
      <c r="AS296" s="21">
        <f t="shared" si="277"/>
        <v>0</v>
      </c>
      <c r="AT296" s="62" t="str">
        <f t="shared" si="278"/>
        <v/>
      </c>
      <c r="AU296" s="84">
        <f t="shared" si="279"/>
        <v>0</v>
      </c>
      <c r="AV296" s="32">
        <f t="shared" si="280"/>
        <v>0</v>
      </c>
      <c r="AW296" s="85" t="str">
        <f t="shared" si="281"/>
        <v/>
      </c>
      <c r="AX296" s="86" t="str">
        <f t="shared" si="282"/>
        <v/>
      </c>
    </row>
    <row r="297" spans="1:50" x14ac:dyDescent="0.2">
      <c r="A297" s="29" t="str">
        <f t="shared" si="241"/>
        <v/>
      </c>
      <c r="B297" s="32" t="str">
        <f t="shared" si="242"/>
        <v/>
      </c>
      <c r="C297" s="35"/>
      <c r="D297" s="33" t="str">
        <f t="shared" si="243"/>
        <v/>
      </c>
      <c r="E297" s="22" t="str">
        <f t="shared" si="244"/>
        <v/>
      </c>
      <c r="F297" s="23" t="str">
        <f t="shared" si="245"/>
        <v/>
      </c>
      <c r="G297" s="23"/>
      <c r="H297" s="22"/>
      <c r="I297" s="23"/>
      <c r="J297" s="18"/>
      <c r="K297" s="13" t="str">
        <f t="shared" si="246"/>
        <v/>
      </c>
      <c r="L297" s="28" t="str">
        <f t="shared" si="240"/>
        <v/>
      </c>
      <c r="M297" s="10" t="str">
        <f t="shared" si="247"/>
        <v/>
      </c>
      <c r="N297" s="17" t="str">
        <f t="shared" si="248"/>
        <v/>
      </c>
      <c r="O297" s="39" t="str">
        <f t="shared" si="249"/>
        <v/>
      </c>
      <c r="P297" s="41" t="str">
        <f t="shared" si="250"/>
        <v/>
      </c>
      <c r="Q297" s="9" t="str">
        <f t="shared" si="251"/>
        <v/>
      </c>
      <c r="R297" s="14">
        <f t="shared" si="252"/>
        <v>0</v>
      </c>
      <c r="S297" s="61" t="str">
        <f t="shared" si="253"/>
        <v/>
      </c>
      <c r="T297" s="14">
        <f t="shared" si="254"/>
        <v>0</v>
      </c>
      <c r="U297" s="58" t="str">
        <f t="shared" si="255"/>
        <v/>
      </c>
      <c r="V297" s="14">
        <f t="shared" si="256"/>
        <v>0</v>
      </c>
      <c r="W297" s="58" t="str">
        <f t="shared" si="257"/>
        <v/>
      </c>
      <c r="X297" s="14">
        <f t="shared" si="258"/>
        <v>0</v>
      </c>
      <c r="Y297" s="58" t="str">
        <f t="shared" si="259"/>
        <v/>
      </c>
      <c r="Z297" s="31">
        <f t="shared" si="260"/>
        <v>0</v>
      </c>
      <c r="AA297" s="21">
        <f t="shared" si="261"/>
        <v>0</v>
      </c>
      <c r="AB297" s="58" t="str">
        <f t="shared" si="262"/>
        <v/>
      </c>
      <c r="AC297" s="630">
        <f t="shared" si="239"/>
        <v>0</v>
      </c>
      <c r="AD297" s="627"/>
      <c r="AE297" s="21">
        <f t="shared" si="263"/>
        <v>0</v>
      </c>
      <c r="AF297" s="58" t="str">
        <f t="shared" si="264"/>
        <v/>
      </c>
      <c r="AG297" s="21">
        <f t="shared" si="265"/>
        <v>0</v>
      </c>
      <c r="AH297" s="58" t="str">
        <f t="shared" si="266"/>
        <v/>
      </c>
      <c r="AI297" s="21">
        <f t="shared" si="267"/>
        <v>0</v>
      </c>
      <c r="AJ297" s="58" t="str">
        <f t="shared" si="268"/>
        <v/>
      </c>
      <c r="AK297" s="31">
        <f t="shared" si="269"/>
        <v>0</v>
      </c>
      <c r="AL297" s="21">
        <f t="shared" si="270"/>
        <v>0</v>
      </c>
      <c r="AM297" s="62" t="str">
        <f t="shared" si="271"/>
        <v/>
      </c>
      <c r="AN297" s="21">
        <f t="shared" si="272"/>
        <v>0</v>
      </c>
      <c r="AO297" s="62" t="str">
        <f t="shared" si="273"/>
        <v/>
      </c>
      <c r="AP297" s="21">
        <f t="shared" si="274"/>
        <v>0</v>
      </c>
      <c r="AQ297" s="62" t="str">
        <f t="shared" si="275"/>
        <v/>
      </c>
      <c r="AR297" s="31">
        <f t="shared" si="276"/>
        <v>0</v>
      </c>
      <c r="AS297" s="21">
        <f t="shared" si="277"/>
        <v>0</v>
      </c>
      <c r="AT297" s="62" t="str">
        <f t="shared" si="278"/>
        <v/>
      </c>
      <c r="AU297" s="84">
        <f t="shared" si="279"/>
        <v>0</v>
      </c>
      <c r="AV297" s="32">
        <f t="shared" si="280"/>
        <v>0</v>
      </c>
      <c r="AW297" s="85" t="str">
        <f t="shared" si="281"/>
        <v/>
      </c>
      <c r="AX297" s="86" t="str">
        <f t="shared" si="282"/>
        <v/>
      </c>
    </row>
    <row r="298" spans="1:50" x14ac:dyDescent="0.2">
      <c r="A298" s="29" t="str">
        <f t="shared" si="241"/>
        <v/>
      </c>
      <c r="B298" s="32" t="str">
        <f t="shared" si="242"/>
        <v/>
      </c>
      <c r="C298" s="35"/>
      <c r="D298" s="33" t="str">
        <f t="shared" si="243"/>
        <v/>
      </c>
      <c r="E298" s="22" t="str">
        <f t="shared" si="244"/>
        <v/>
      </c>
      <c r="F298" s="23" t="str">
        <f t="shared" si="245"/>
        <v/>
      </c>
      <c r="G298" s="23"/>
      <c r="H298" s="22"/>
      <c r="I298" s="23"/>
      <c r="J298" s="18"/>
      <c r="K298" s="13" t="str">
        <f t="shared" si="246"/>
        <v/>
      </c>
      <c r="L298" s="28" t="str">
        <f t="shared" si="240"/>
        <v/>
      </c>
      <c r="M298" s="10" t="str">
        <f t="shared" si="247"/>
        <v/>
      </c>
      <c r="N298" s="17" t="str">
        <f t="shared" si="248"/>
        <v/>
      </c>
      <c r="O298" s="39" t="str">
        <f t="shared" si="249"/>
        <v/>
      </c>
      <c r="P298" s="41" t="str">
        <f t="shared" si="250"/>
        <v/>
      </c>
      <c r="Q298" s="9" t="str">
        <f t="shared" si="251"/>
        <v/>
      </c>
      <c r="R298" s="14">
        <f t="shared" si="252"/>
        <v>0</v>
      </c>
      <c r="S298" s="61" t="str">
        <f t="shared" si="253"/>
        <v/>
      </c>
      <c r="T298" s="14">
        <f t="shared" si="254"/>
        <v>0</v>
      </c>
      <c r="U298" s="58" t="str">
        <f t="shared" si="255"/>
        <v/>
      </c>
      <c r="V298" s="14">
        <f t="shared" si="256"/>
        <v>0</v>
      </c>
      <c r="W298" s="58" t="str">
        <f t="shared" si="257"/>
        <v/>
      </c>
      <c r="X298" s="14">
        <f t="shared" si="258"/>
        <v>0</v>
      </c>
      <c r="Y298" s="58" t="str">
        <f t="shared" si="259"/>
        <v/>
      </c>
      <c r="Z298" s="31">
        <f t="shared" si="260"/>
        <v>0</v>
      </c>
      <c r="AA298" s="21">
        <f t="shared" si="261"/>
        <v>0</v>
      </c>
      <c r="AB298" s="58" t="str">
        <f t="shared" si="262"/>
        <v/>
      </c>
      <c r="AC298" s="630">
        <f t="shared" si="239"/>
        <v>0</v>
      </c>
      <c r="AD298" s="627"/>
      <c r="AE298" s="21">
        <f t="shared" si="263"/>
        <v>0</v>
      </c>
      <c r="AF298" s="58" t="str">
        <f t="shared" si="264"/>
        <v/>
      </c>
      <c r="AG298" s="21">
        <f t="shared" si="265"/>
        <v>0</v>
      </c>
      <c r="AH298" s="58" t="str">
        <f t="shared" si="266"/>
        <v/>
      </c>
      <c r="AI298" s="21">
        <f t="shared" si="267"/>
        <v>0</v>
      </c>
      <c r="AJ298" s="58" t="str">
        <f t="shared" si="268"/>
        <v/>
      </c>
      <c r="AK298" s="31">
        <f t="shared" si="269"/>
        <v>0</v>
      </c>
      <c r="AL298" s="21">
        <f t="shared" si="270"/>
        <v>0</v>
      </c>
      <c r="AM298" s="62" t="str">
        <f t="shared" si="271"/>
        <v/>
      </c>
      <c r="AN298" s="21">
        <f t="shared" si="272"/>
        <v>0</v>
      </c>
      <c r="AO298" s="62" t="str">
        <f t="shared" si="273"/>
        <v/>
      </c>
      <c r="AP298" s="21">
        <f t="shared" si="274"/>
        <v>0</v>
      </c>
      <c r="AQ298" s="62" t="str">
        <f t="shared" si="275"/>
        <v/>
      </c>
      <c r="AR298" s="31">
        <f t="shared" si="276"/>
        <v>0</v>
      </c>
      <c r="AS298" s="21">
        <f t="shared" si="277"/>
        <v>0</v>
      </c>
      <c r="AT298" s="62" t="str">
        <f t="shared" si="278"/>
        <v/>
      </c>
      <c r="AU298" s="84">
        <f t="shared" si="279"/>
        <v>0</v>
      </c>
      <c r="AV298" s="32">
        <f t="shared" si="280"/>
        <v>0</v>
      </c>
      <c r="AW298" s="85" t="str">
        <f t="shared" si="281"/>
        <v/>
      </c>
      <c r="AX298" s="86" t="str">
        <f t="shared" si="282"/>
        <v/>
      </c>
    </row>
    <row r="299" spans="1:50" x14ac:dyDescent="0.2">
      <c r="A299" s="29" t="str">
        <f t="shared" si="241"/>
        <v/>
      </c>
      <c r="B299" s="32" t="str">
        <f t="shared" si="242"/>
        <v/>
      </c>
      <c r="C299" s="35"/>
      <c r="D299" s="33" t="str">
        <f t="shared" si="243"/>
        <v/>
      </c>
      <c r="E299" s="22" t="str">
        <f t="shared" si="244"/>
        <v/>
      </c>
      <c r="F299" s="23" t="str">
        <f t="shared" si="245"/>
        <v/>
      </c>
      <c r="G299" s="23"/>
      <c r="H299" s="22"/>
      <c r="I299" s="23"/>
      <c r="J299" s="18"/>
      <c r="K299" s="13" t="str">
        <f t="shared" si="246"/>
        <v/>
      </c>
      <c r="L299" s="28" t="str">
        <f t="shared" si="240"/>
        <v/>
      </c>
      <c r="M299" s="10" t="str">
        <f t="shared" si="247"/>
        <v/>
      </c>
      <c r="N299" s="17" t="str">
        <f t="shared" si="248"/>
        <v/>
      </c>
      <c r="O299" s="39" t="str">
        <f t="shared" si="249"/>
        <v/>
      </c>
      <c r="P299" s="41" t="str">
        <f t="shared" si="250"/>
        <v/>
      </c>
      <c r="Q299" s="9" t="str">
        <f t="shared" si="251"/>
        <v/>
      </c>
      <c r="R299" s="14">
        <f t="shared" si="252"/>
        <v>0</v>
      </c>
      <c r="S299" s="61" t="str">
        <f t="shared" si="253"/>
        <v/>
      </c>
      <c r="T299" s="14">
        <f t="shared" si="254"/>
        <v>0</v>
      </c>
      <c r="U299" s="58" t="str">
        <f t="shared" si="255"/>
        <v/>
      </c>
      <c r="V299" s="14">
        <f t="shared" si="256"/>
        <v>0</v>
      </c>
      <c r="W299" s="58" t="str">
        <f t="shared" si="257"/>
        <v/>
      </c>
      <c r="X299" s="14">
        <f t="shared" si="258"/>
        <v>0</v>
      </c>
      <c r="Y299" s="58" t="str">
        <f t="shared" si="259"/>
        <v/>
      </c>
      <c r="Z299" s="31">
        <f t="shared" si="260"/>
        <v>0</v>
      </c>
      <c r="AA299" s="21">
        <f t="shared" si="261"/>
        <v>0</v>
      </c>
      <c r="AB299" s="58" t="str">
        <f t="shared" si="262"/>
        <v/>
      </c>
      <c r="AC299" s="630">
        <f t="shared" si="239"/>
        <v>0</v>
      </c>
      <c r="AD299" s="627"/>
      <c r="AE299" s="21">
        <f t="shared" si="263"/>
        <v>0</v>
      </c>
      <c r="AF299" s="58" t="str">
        <f t="shared" si="264"/>
        <v/>
      </c>
      <c r="AG299" s="21">
        <f t="shared" si="265"/>
        <v>0</v>
      </c>
      <c r="AH299" s="58" t="str">
        <f t="shared" si="266"/>
        <v/>
      </c>
      <c r="AI299" s="21">
        <f t="shared" si="267"/>
        <v>0</v>
      </c>
      <c r="AJ299" s="58" t="str">
        <f t="shared" si="268"/>
        <v/>
      </c>
      <c r="AK299" s="31">
        <f t="shared" si="269"/>
        <v>0</v>
      </c>
      <c r="AL299" s="21">
        <f t="shared" si="270"/>
        <v>0</v>
      </c>
      <c r="AM299" s="62" t="str">
        <f t="shared" si="271"/>
        <v/>
      </c>
      <c r="AN299" s="21">
        <f t="shared" si="272"/>
        <v>0</v>
      </c>
      <c r="AO299" s="62" t="str">
        <f t="shared" si="273"/>
        <v/>
      </c>
      <c r="AP299" s="21">
        <f t="shared" si="274"/>
        <v>0</v>
      </c>
      <c r="AQ299" s="62" t="str">
        <f t="shared" si="275"/>
        <v/>
      </c>
      <c r="AR299" s="31">
        <f t="shared" si="276"/>
        <v>0</v>
      </c>
      <c r="AS299" s="21">
        <f t="shared" si="277"/>
        <v>0</v>
      </c>
      <c r="AT299" s="62" t="str">
        <f t="shared" si="278"/>
        <v/>
      </c>
      <c r="AU299" s="84">
        <f t="shared" si="279"/>
        <v>0</v>
      </c>
      <c r="AV299" s="32">
        <f t="shared" si="280"/>
        <v>0</v>
      </c>
      <c r="AW299" s="85" t="str">
        <f t="shared" si="281"/>
        <v/>
      </c>
      <c r="AX299" s="86" t="str">
        <f t="shared" si="282"/>
        <v/>
      </c>
    </row>
    <row r="300" spans="1:50" x14ac:dyDescent="0.2">
      <c r="A300" s="29" t="str">
        <f t="shared" si="241"/>
        <v/>
      </c>
      <c r="B300" s="32" t="str">
        <f t="shared" si="242"/>
        <v/>
      </c>
      <c r="C300" s="35"/>
      <c r="D300" s="33" t="str">
        <f t="shared" si="243"/>
        <v/>
      </c>
      <c r="E300" s="22" t="str">
        <f t="shared" si="244"/>
        <v/>
      </c>
      <c r="F300" s="23" t="str">
        <f t="shared" si="245"/>
        <v/>
      </c>
      <c r="G300" s="23"/>
      <c r="H300" s="22"/>
      <c r="I300" s="23"/>
      <c r="J300" s="18"/>
      <c r="K300" s="13" t="str">
        <f t="shared" si="246"/>
        <v/>
      </c>
      <c r="L300" s="28" t="str">
        <f t="shared" si="240"/>
        <v/>
      </c>
      <c r="M300" s="10" t="str">
        <f t="shared" si="247"/>
        <v/>
      </c>
      <c r="N300" s="17" t="str">
        <f t="shared" si="248"/>
        <v/>
      </c>
      <c r="O300" s="39" t="str">
        <f t="shared" si="249"/>
        <v/>
      </c>
      <c r="P300" s="41" t="str">
        <f t="shared" si="250"/>
        <v/>
      </c>
      <c r="Q300" s="9" t="str">
        <f t="shared" si="251"/>
        <v/>
      </c>
      <c r="R300" s="14">
        <f t="shared" si="252"/>
        <v>0</v>
      </c>
      <c r="S300" s="61" t="str">
        <f t="shared" si="253"/>
        <v/>
      </c>
      <c r="T300" s="14">
        <f t="shared" si="254"/>
        <v>0</v>
      </c>
      <c r="U300" s="58" t="str">
        <f t="shared" si="255"/>
        <v/>
      </c>
      <c r="V300" s="14">
        <f t="shared" si="256"/>
        <v>0</v>
      </c>
      <c r="W300" s="58" t="str">
        <f t="shared" si="257"/>
        <v/>
      </c>
      <c r="X300" s="14">
        <f t="shared" si="258"/>
        <v>0</v>
      </c>
      <c r="Y300" s="58" t="str">
        <f t="shared" si="259"/>
        <v/>
      </c>
      <c r="Z300" s="31">
        <f t="shared" si="260"/>
        <v>0</v>
      </c>
      <c r="AA300" s="21">
        <f t="shared" si="261"/>
        <v>0</v>
      </c>
      <c r="AB300" s="58" t="str">
        <f t="shared" si="262"/>
        <v/>
      </c>
      <c r="AC300" s="630">
        <f t="shared" si="239"/>
        <v>0</v>
      </c>
      <c r="AD300" s="627"/>
      <c r="AE300" s="21">
        <f t="shared" si="263"/>
        <v>0</v>
      </c>
      <c r="AF300" s="58" t="str">
        <f t="shared" si="264"/>
        <v/>
      </c>
      <c r="AG300" s="21">
        <f t="shared" si="265"/>
        <v>0</v>
      </c>
      <c r="AH300" s="58" t="str">
        <f t="shared" si="266"/>
        <v/>
      </c>
      <c r="AI300" s="21">
        <f t="shared" si="267"/>
        <v>0</v>
      </c>
      <c r="AJ300" s="58" t="str">
        <f t="shared" si="268"/>
        <v/>
      </c>
      <c r="AK300" s="31">
        <f t="shared" si="269"/>
        <v>0</v>
      </c>
      <c r="AL300" s="21">
        <f t="shared" si="270"/>
        <v>0</v>
      </c>
      <c r="AM300" s="62" t="str">
        <f t="shared" si="271"/>
        <v/>
      </c>
      <c r="AN300" s="21">
        <f t="shared" si="272"/>
        <v>0</v>
      </c>
      <c r="AO300" s="62" t="str">
        <f t="shared" si="273"/>
        <v/>
      </c>
      <c r="AP300" s="21">
        <f t="shared" si="274"/>
        <v>0</v>
      </c>
      <c r="AQ300" s="62" t="str">
        <f t="shared" si="275"/>
        <v/>
      </c>
      <c r="AR300" s="31">
        <f t="shared" si="276"/>
        <v>0</v>
      </c>
      <c r="AS300" s="21">
        <f t="shared" si="277"/>
        <v>0</v>
      </c>
      <c r="AT300" s="62" t="str">
        <f t="shared" si="278"/>
        <v/>
      </c>
      <c r="AU300" s="84">
        <f t="shared" si="279"/>
        <v>0</v>
      </c>
      <c r="AV300" s="32">
        <f t="shared" si="280"/>
        <v>0</v>
      </c>
      <c r="AW300" s="85" t="str">
        <f t="shared" si="281"/>
        <v/>
      </c>
      <c r="AX300" s="86" t="str">
        <f t="shared" si="282"/>
        <v/>
      </c>
    </row>
    <row r="301" spans="1:50" x14ac:dyDescent="0.2">
      <c r="A301" s="29" t="str">
        <f t="shared" si="241"/>
        <v/>
      </c>
      <c r="B301" s="32" t="str">
        <f t="shared" si="242"/>
        <v/>
      </c>
      <c r="C301" s="35"/>
      <c r="D301" s="33" t="str">
        <f t="shared" si="243"/>
        <v/>
      </c>
      <c r="E301" s="22" t="str">
        <f t="shared" si="244"/>
        <v/>
      </c>
      <c r="F301" s="23" t="str">
        <f t="shared" si="245"/>
        <v/>
      </c>
      <c r="G301" s="23"/>
      <c r="H301" s="22"/>
      <c r="I301" s="23"/>
      <c r="J301" s="18"/>
      <c r="K301" s="13" t="str">
        <f t="shared" si="246"/>
        <v/>
      </c>
      <c r="L301" s="28" t="str">
        <f t="shared" si="240"/>
        <v/>
      </c>
      <c r="M301" s="10" t="str">
        <f t="shared" si="247"/>
        <v/>
      </c>
      <c r="N301" s="17" t="str">
        <f t="shared" si="248"/>
        <v/>
      </c>
      <c r="O301" s="39" t="str">
        <f t="shared" si="249"/>
        <v/>
      </c>
      <c r="P301" s="41" t="str">
        <f t="shared" si="250"/>
        <v/>
      </c>
      <c r="Q301" s="9" t="str">
        <f t="shared" si="251"/>
        <v/>
      </c>
      <c r="R301" s="14">
        <f t="shared" si="252"/>
        <v>0</v>
      </c>
      <c r="S301" s="61" t="str">
        <f t="shared" si="253"/>
        <v/>
      </c>
      <c r="T301" s="14">
        <f t="shared" si="254"/>
        <v>0</v>
      </c>
      <c r="U301" s="58" t="str">
        <f t="shared" si="255"/>
        <v/>
      </c>
      <c r="V301" s="14">
        <f t="shared" si="256"/>
        <v>0</v>
      </c>
      <c r="W301" s="58" t="str">
        <f t="shared" si="257"/>
        <v/>
      </c>
      <c r="X301" s="14">
        <f t="shared" si="258"/>
        <v>0</v>
      </c>
      <c r="Y301" s="58" t="str">
        <f t="shared" si="259"/>
        <v/>
      </c>
      <c r="Z301" s="31">
        <f t="shared" si="260"/>
        <v>0</v>
      </c>
      <c r="AA301" s="21">
        <f t="shared" si="261"/>
        <v>0</v>
      </c>
      <c r="AB301" s="58" t="str">
        <f t="shared" si="262"/>
        <v/>
      </c>
      <c r="AC301" s="630">
        <f t="shared" si="239"/>
        <v>0</v>
      </c>
      <c r="AD301" s="627"/>
      <c r="AE301" s="21">
        <f t="shared" si="263"/>
        <v>0</v>
      </c>
      <c r="AF301" s="58" t="str">
        <f t="shared" si="264"/>
        <v/>
      </c>
      <c r="AG301" s="21">
        <f t="shared" si="265"/>
        <v>0</v>
      </c>
      <c r="AH301" s="58" t="str">
        <f t="shared" si="266"/>
        <v/>
      </c>
      <c r="AI301" s="21">
        <f t="shared" si="267"/>
        <v>0</v>
      </c>
      <c r="AJ301" s="58" t="str">
        <f t="shared" si="268"/>
        <v/>
      </c>
      <c r="AK301" s="31">
        <f t="shared" si="269"/>
        <v>0</v>
      </c>
      <c r="AL301" s="21">
        <f t="shared" si="270"/>
        <v>0</v>
      </c>
      <c r="AM301" s="62" t="str">
        <f t="shared" si="271"/>
        <v/>
      </c>
      <c r="AN301" s="21">
        <f t="shared" si="272"/>
        <v>0</v>
      </c>
      <c r="AO301" s="62" t="str">
        <f t="shared" si="273"/>
        <v/>
      </c>
      <c r="AP301" s="21">
        <f t="shared" si="274"/>
        <v>0</v>
      </c>
      <c r="AQ301" s="62" t="str">
        <f t="shared" si="275"/>
        <v/>
      </c>
      <c r="AR301" s="31">
        <f t="shared" si="276"/>
        <v>0</v>
      </c>
      <c r="AS301" s="21">
        <f t="shared" si="277"/>
        <v>0</v>
      </c>
      <c r="AT301" s="62" t="str">
        <f t="shared" si="278"/>
        <v/>
      </c>
      <c r="AU301" s="84">
        <f t="shared" si="279"/>
        <v>0</v>
      </c>
      <c r="AV301" s="32">
        <f t="shared" si="280"/>
        <v>0</v>
      </c>
      <c r="AW301" s="85" t="str">
        <f t="shared" si="281"/>
        <v/>
      </c>
      <c r="AX301" s="86" t="str">
        <f t="shared" si="282"/>
        <v/>
      </c>
    </row>
    <row r="302" spans="1:50" x14ac:dyDescent="0.2">
      <c r="A302" s="29" t="str">
        <f t="shared" si="241"/>
        <v/>
      </c>
      <c r="B302" s="32" t="str">
        <f t="shared" si="242"/>
        <v/>
      </c>
      <c r="C302" s="35"/>
      <c r="D302" s="33" t="str">
        <f t="shared" si="243"/>
        <v/>
      </c>
      <c r="E302" s="22" t="str">
        <f t="shared" si="244"/>
        <v/>
      </c>
      <c r="F302" s="23" t="str">
        <f t="shared" si="245"/>
        <v/>
      </c>
      <c r="G302" s="23"/>
      <c r="H302" s="22"/>
      <c r="I302" s="23"/>
      <c r="J302" s="18"/>
      <c r="K302" s="13" t="str">
        <f t="shared" si="246"/>
        <v/>
      </c>
      <c r="L302" s="28" t="str">
        <f t="shared" si="240"/>
        <v/>
      </c>
      <c r="M302" s="10" t="str">
        <f t="shared" si="247"/>
        <v/>
      </c>
      <c r="N302" s="17" t="str">
        <f t="shared" si="248"/>
        <v/>
      </c>
      <c r="O302" s="39" t="str">
        <f t="shared" si="249"/>
        <v/>
      </c>
      <c r="P302" s="41" t="str">
        <f t="shared" si="250"/>
        <v/>
      </c>
      <c r="Q302" s="9" t="str">
        <f t="shared" si="251"/>
        <v/>
      </c>
      <c r="R302" s="14">
        <f t="shared" si="252"/>
        <v>0</v>
      </c>
      <c r="S302" s="61" t="str">
        <f t="shared" si="253"/>
        <v/>
      </c>
      <c r="T302" s="14">
        <f t="shared" si="254"/>
        <v>0</v>
      </c>
      <c r="U302" s="58" t="str">
        <f t="shared" si="255"/>
        <v/>
      </c>
      <c r="V302" s="14">
        <f t="shared" si="256"/>
        <v>0</v>
      </c>
      <c r="W302" s="58" t="str">
        <f t="shared" si="257"/>
        <v/>
      </c>
      <c r="X302" s="14">
        <f t="shared" si="258"/>
        <v>0</v>
      </c>
      <c r="Y302" s="58" t="str">
        <f t="shared" si="259"/>
        <v/>
      </c>
      <c r="Z302" s="31">
        <f t="shared" si="260"/>
        <v>0</v>
      </c>
      <c r="AA302" s="21">
        <f t="shared" si="261"/>
        <v>0</v>
      </c>
      <c r="AB302" s="58" t="str">
        <f t="shared" si="262"/>
        <v/>
      </c>
      <c r="AC302" s="630">
        <f t="shared" si="239"/>
        <v>0</v>
      </c>
      <c r="AD302" s="627"/>
      <c r="AE302" s="21">
        <f t="shared" si="263"/>
        <v>0</v>
      </c>
      <c r="AF302" s="58" t="str">
        <f t="shared" si="264"/>
        <v/>
      </c>
      <c r="AG302" s="21">
        <f t="shared" si="265"/>
        <v>0</v>
      </c>
      <c r="AH302" s="58" t="str">
        <f t="shared" si="266"/>
        <v/>
      </c>
      <c r="AI302" s="21">
        <f t="shared" si="267"/>
        <v>0</v>
      </c>
      <c r="AJ302" s="58" t="str">
        <f t="shared" si="268"/>
        <v/>
      </c>
      <c r="AK302" s="31">
        <f t="shared" si="269"/>
        <v>0</v>
      </c>
      <c r="AL302" s="21">
        <f t="shared" si="270"/>
        <v>0</v>
      </c>
      <c r="AM302" s="62" t="str">
        <f t="shared" si="271"/>
        <v/>
      </c>
      <c r="AN302" s="21">
        <f t="shared" si="272"/>
        <v>0</v>
      </c>
      <c r="AO302" s="62" t="str">
        <f t="shared" si="273"/>
        <v/>
      </c>
      <c r="AP302" s="21">
        <f t="shared" si="274"/>
        <v>0</v>
      </c>
      <c r="AQ302" s="62" t="str">
        <f t="shared" si="275"/>
        <v/>
      </c>
      <c r="AR302" s="31">
        <f t="shared" si="276"/>
        <v>0</v>
      </c>
      <c r="AS302" s="21">
        <f t="shared" si="277"/>
        <v>0</v>
      </c>
      <c r="AT302" s="62" t="str">
        <f t="shared" si="278"/>
        <v/>
      </c>
      <c r="AU302" s="84">
        <f t="shared" si="279"/>
        <v>0</v>
      </c>
      <c r="AV302" s="32">
        <f t="shared" si="280"/>
        <v>0</v>
      </c>
      <c r="AW302" s="85" t="str">
        <f t="shared" si="281"/>
        <v/>
      </c>
      <c r="AX302" s="86" t="str">
        <f t="shared" si="282"/>
        <v/>
      </c>
    </row>
    <row r="303" spans="1:50" x14ac:dyDescent="0.2">
      <c r="A303" s="29" t="str">
        <f t="shared" si="241"/>
        <v/>
      </c>
      <c r="B303" s="32" t="str">
        <f t="shared" si="242"/>
        <v/>
      </c>
      <c r="C303" s="35"/>
      <c r="D303" s="33" t="str">
        <f t="shared" si="243"/>
        <v/>
      </c>
      <c r="E303" s="22" t="str">
        <f t="shared" si="244"/>
        <v/>
      </c>
      <c r="F303" s="23" t="str">
        <f t="shared" si="245"/>
        <v/>
      </c>
      <c r="G303" s="23"/>
      <c r="H303" s="22"/>
      <c r="I303" s="23"/>
      <c r="J303" s="18"/>
      <c r="K303" s="13" t="str">
        <f t="shared" si="246"/>
        <v/>
      </c>
      <c r="L303" s="28" t="str">
        <f t="shared" si="240"/>
        <v/>
      </c>
      <c r="M303" s="10" t="str">
        <f t="shared" si="247"/>
        <v/>
      </c>
      <c r="N303" s="17" t="str">
        <f t="shared" si="248"/>
        <v/>
      </c>
      <c r="O303" s="39" t="str">
        <f t="shared" si="249"/>
        <v/>
      </c>
      <c r="P303" s="41" t="str">
        <f t="shared" si="250"/>
        <v/>
      </c>
      <c r="Q303" s="9" t="str">
        <f t="shared" si="251"/>
        <v/>
      </c>
      <c r="R303" s="14">
        <f t="shared" si="252"/>
        <v>0</v>
      </c>
      <c r="S303" s="61" t="str">
        <f t="shared" si="253"/>
        <v/>
      </c>
      <c r="T303" s="14">
        <f t="shared" si="254"/>
        <v>0</v>
      </c>
      <c r="U303" s="58" t="str">
        <f t="shared" si="255"/>
        <v/>
      </c>
      <c r="V303" s="14">
        <f t="shared" si="256"/>
        <v>0</v>
      </c>
      <c r="W303" s="58" t="str">
        <f t="shared" si="257"/>
        <v/>
      </c>
      <c r="X303" s="14">
        <f t="shared" si="258"/>
        <v>0</v>
      </c>
      <c r="Y303" s="58" t="str">
        <f t="shared" si="259"/>
        <v/>
      </c>
      <c r="Z303" s="31">
        <f t="shared" si="260"/>
        <v>0</v>
      </c>
      <c r="AA303" s="21">
        <f t="shared" si="261"/>
        <v>0</v>
      </c>
      <c r="AB303" s="58" t="str">
        <f t="shared" si="262"/>
        <v/>
      </c>
      <c r="AC303" s="630">
        <f t="shared" si="239"/>
        <v>0</v>
      </c>
      <c r="AD303" s="627"/>
      <c r="AE303" s="21">
        <f t="shared" si="263"/>
        <v>0</v>
      </c>
      <c r="AF303" s="58" t="str">
        <f t="shared" si="264"/>
        <v/>
      </c>
      <c r="AG303" s="21">
        <f t="shared" si="265"/>
        <v>0</v>
      </c>
      <c r="AH303" s="58" t="str">
        <f t="shared" si="266"/>
        <v/>
      </c>
      <c r="AI303" s="21">
        <f t="shared" si="267"/>
        <v>0</v>
      </c>
      <c r="AJ303" s="58" t="str">
        <f t="shared" si="268"/>
        <v/>
      </c>
      <c r="AK303" s="31">
        <f t="shared" si="269"/>
        <v>0</v>
      </c>
      <c r="AL303" s="21">
        <f t="shared" si="270"/>
        <v>0</v>
      </c>
      <c r="AM303" s="62" t="str">
        <f t="shared" si="271"/>
        <v/>
      </c>
      <c r="AN303" s="21">
        <f t="shared" si="272"/>
        <v>0</v>
      </c>
      <c r="AO303" s="62" t="str">
        <f t="shared" si="273"/>
        <v/>
      </c>
      <c r="AP303" s="21">
        <f t="shared" si="274"/>
        <v>0</v>
      </c>
      <c r="AQ303" s="62" t="str">
        <f t="shared" si="275"/>
        <v/>
      </c>
      <c r="AR303" s="31">
        <f t="shared" si="276"/>
        <v>0</v>
      </c>
      <c r="AS303" s="21">
        <f t="shared" si="277"/>
        <v>0</v>
      </c>
      <c r="AT303" s="62" t="str">
        <f t="shared" si="278"/>
        <v/>
      </c>
      <c r="AU303" s="84">
        <f t="shared" si="279"/>
        <v>0</v>
      </c>
      <c r="AV303" s="32">
        <f t="shared" si="280"/>
        <v>0</v>
      </c>
      <c r="AW303" s="85" t="str">
        <f t="shared" si="281"/>
        <v/>
      </c>
      <c r="AX303" s="86" t="str">
        <f t="shared" si="282"/>
        <v/>
      </c>
    </row>
    <row r="304" spans="1:50" x14ac:dyDescent="0.2">
      <c r="A304" s="29" t="str">
        <f t="shared" si="241"/>
        <v/>
      </c>
      <c r="B304" s="32" t="str">
        <f t="shared" si="242"/>
        <v/>
      </c>
      <c r="C304" s="35"/>
      <c r="D304" s="33" t="str">
        <f t="shared" si="243"/>
        <v/>
      </c>
      <c r="E304" s="22" t="str">
        <f t="shared" si="244"/>
        <v/>
      </c>
      <c r="F304" s="23" t="str">
        <f t="shared" si="245"/>
        <v/>
      </c>
      <c r="G304" s="23"/>
      <c r="H304" s="22"/>
      <c r="I304" s="23"/>
      <c r="J304" s="18"/>
      <c r="K304" s="13" t="str">
        <f t="shared" si="246"/>
        <v/>
      </c>
      <c r="L304" s="28" t="str">
        <f t="shared" si="240"/>
        <v/>
      </c>
      <c r="M304" s="10" t="str">
        <f t="shared" si="247"/>
        <v/>
      </c>
      <c r="N304" s="17" t="str">
        <f t="shared" si="248"/>
        <v/>
      </c>
      <c r="O304" s="39" t="str">
        <f t="shared" si="249"/>
        <v/>
      </c>
      <c r="P304" s="41" t="str">
        <f t="shared" si="250"/>
        <v/>
      </c>
      <c r="Q304" s="9" t="str">
        <f t="shared" si="251"/>
        <v/>
      </c>
      <c r="R304" s="14">
        <f t="shared" si="252"/>
        <v>0</v>
      </c>
      <c r="S304" s="61" t="str">
        <f t="shared" si="253"/>
        <v/>
      </c>
      <c r="T304" s="14">
        <f t="shared" si="254"/>
        <v>0</v>
      </c>
      <c r="U304" s="58" t="str">
        <f t="shared" si="255"/>
        <v/>
      </c>
      <c r="V304" s="14">
        <f t="shared" si="256"/>
        <v>0</v>
      </c>
      <c r="W304" s="58" t="str">
        <f t="shared" si="257"/>
        <v/>
      </c>
      <c r="X304" s="14">
        <f t="shared" si="258"/>
        <v>0</v>
      </c>
      <c r="Y304" s="58" t="str">
        <f t="shared" si="259"/>
        <v/>
      </c>
      <c r="Z304" s="31">
        <f t="shared" si="260"/>
        <v>0</v>
      </c>
      <c r="AA304" s="21">
        <f t="shared" si="261"/>
        <v>0</v>
      </c>
      <c r="AB304" s="58" t="str">
        <f t="shared" si="262"/>
        <v/>
      </c>
      <c r="AC304" s="630">
        <f t="shared" si="239"/>
        <v>0</v>
      </c>
      <c r="AD304" s="627"/>
      <c r="AE304" s="21">
        <f t="shared" si="263"/>
        <v>0</v>
      </c>
      <c r="AF304" s="58" t="str">
        <f t="shared" si="264"/>
        <v/>
      </c>
      <c r="AG304" s="21">
        <f t="shared" si="265"/>
        <v>0</v>
      </c>
      <c r="AH304" s="58" t="str">
        <f t="shared" si="266"/>
        <v/>
      </c>
      <c r="AI304" s="21">
        <f t="shared" si="267"/>
        <v>0</v>
      </c>
      <c r="AJ304" s="58" t="str">
        <f t="shared" si="268"/>
        <v/>
      </c>
      <c r="AK304" s="31">
        <f t="shared" si="269"/>
        <v>0</v>
      </c>
      <c r="AL304" s="21">
        <f t="shared" si="270"/>
        <v>0</v>
      </c>
      <c r="AM304" s="62" t="str">
        <f t="shared" si="271"/>
        <v/>
      </c>
      <c r="AN304" s="21">
        <f t="shared" si="272"/>
        <v>0</v>
      </c>
      <c r="AO304" s="62" t="str">
        <f t="shared" si="273"/>
        <v/>
      </c>
      <c r="AP304" s="21">
        <f t="shared" si="274"/>
        <v>0</v>
      </c>
      <c r="AQ304" s="62" t="str">
        <f t="shared" si="275"/>
        <v/>
      </c>
      <c r="AR304" s="31">
        <f t="shared" si="276"/>
        <v>0</v>
      </c>
      <c r="AS304" s="21">
        <f t="shared" si="277"/>
        <v>0</v>
      </c>
      <c r="AT304" s="62" t="str">
        <f t="shared" si="278"/>
        <v/>
      </c>
      <c r="AU304" s="84">
        <f t="shared" si="279"/>
        <v>0</v>
      </c>
      <c r="AV304" s="32">
        <f t="shared" si="280"/>
        <v>0</v>
      </c>
      <c r="AW304" s="85" t="str">
        <f t="shared" si="281"/>
        <v/>
      </c>
      <c r="AX304" s="86" t="str">
        <f t="shared" si="282"/>
        <v/>
      </c>
    </row>
    <row r="305" spans="1:50" x14ac:dyDescent="0.2">
      <c r="A305" s="29" t="str">
        <f t="shared" si="241"/>
        <v/>
      </c>
      <c r="B305" s="32" t="str">
        <f t="shared" si="242"/>
        <v/>
      </c>
      <c r="C305" s="35"/>
      <c r="D305" s="33" t="str">
        <f t="shared" si="243"/>
        <v/>
      </c>
      <c r="E305" s="22" t="str">
        <f t="shared" si="244"/>
        <v/>
      </c>
      <c r="F305" s="23" t="str">
        <f t="shared" si="245"/>
        <v/>
      </c>
      <c r="G305" s="23"/>
      <c r="H305" s="22"/>
      <c r="I305" s="23"/>
      <c r="J305" s="18"/>
      <c r="K305" s="13" t="str">
        <f t="shared" si="246"/>
        <v/>
      </c>
      <c r="L305" s="28" t="str">
        <f t="shared" si="240"/>
        <v/>
      </c>
      <c r="M305" s="10" t="str">
        <f t="shared" si="247"/>
        <v/>
      </c>
      <c r="N305" s="17" t="str">
        <f t="shared" si="248"/>
        <v/>
      </c>
      <c r="O305" s="39" t="str">
        <f t="shared" si="249"/>
        <v/>
      </c>
      <c r="P305" s="41" t="str">
        <f t="shared" si="250"/>
        <v/>
      </c>
      <c r="Q305" s="9" t="str">
        <f t="shared" si="251"/>
        <v/>
      </c>
      <c r="R305" s="14">
        <f t="shared" si="252"/>
        <v>0</v>
      </c>
      <c r="S305" s="61" t="str">
        <f t="shared" si="253"/>
        <v/>
      </c>
      <c r="T305" s="14">
        <f t="shared" si="254"/>
        <v>0</v>
      </c>
      <c r="U305" s="58" t="str">
        <f t="shared" si="255"/>
        <v/>
      </c>
      <c r="V305" s="14">
        <f t="shared" si="256"/>
        <v>0</v>
      </c>
      <c r="W305" s="58" t="str">
        <f t="shared" si="257"/>
        <v/>
      </c>
      <c r="X305" s="14">
        <f t="shared" si="258"/>
        <v>0</v>
      </c>
      <c r="Y305" s="58" t="str">
        <f t="shared" si="259"/>
        <v/>
      </c>
      <c r="Z305" s="31">
        <f t="shared" si="260"/>
        <v>0</v>
      </c>
      <c r="AA305" s="21">
        <f t="shared" si="261"/>
        <v>0</v>
      </c>
      <c r="AB305" s="58" t="str">
        <f t="shared" si="262"/>
        <v/>
      </c>
      <c r="AC305" s="630">
        <f t="shared" si="239"/>
        <v>0</v>
      </c>
      <c r="AD305" s="627"/>
      <c r="AE305" s="21">
        <f t="shared" si="263"/>
        <v>0</v>
      </c>
      <c r="AF305" s="58" t="str">
        <f t="shared" si="264"/>
        <v/>
      </c>
      <c r="AG305" s="21">
        <f t="shared" si="265"/>
        <v>0</v>
      </c>
      <c r="AH305" s="58" t="str">
        <f t="shared" si="266"/>
        <v/>
      </c>
      <c r="AI305" s="21">
        <f t="shared" si="267"/>
        <v>0</v>
      </c>
      <c r="AJ305" s="58" t="str">
        <f t="shared" si="268"/>
        <v/>
      </c>
      <c r="AK305" s="31">
        <f t="shared" si="269"/>
        <v>0</v>
      </c>
      <c r="AL305" s="21">
        <f t="shared" si="270"/>
        <v>0</v>
      </c>
      <c r="AM305" s="62" t="str">
        <f t="shared" si="271"/>
        <v/>
      </c>
      <c r="AN305" s="21">
        <f t="shared" si="272"/>
        <v>0</v>
      </c>
      <c r="AO305" s="62" t="str">
        <f t="shared" si="273"/>
        <v/>
      </c>
      <c r="AP305" s="21">
        <f t="shared" si="274"/>
        <v>0</v>
      </c>
      <c r="AQ305" s="62" t="str">
        <f t="shared" si="275"/>
        <v/>
      </c>
      <c r="AR305" s="31">
        <f t="shared" si="276"/>
        <v>0</v>
      </c>
      <c r="AS305" s="21">
        <f t="shared" si="277"/>
        <v>0</v>
      </c>
      <c r="AT305" s="62" t="str">
        <f t="shared" si="278"/>
        <v/>
      </c>
      <c r="AU305" s="84">
        <f t="shared" si="279"/>
        <v>0</v>
      </c>
      <c r="AV305" s="32">
        <f t="shared" si="280"/>
        <v>0</v>
      </c>
      <c r="AW305" s="85" t="str">
        <f t="shared" si="281"/>
        <v/>
      </c>
      <c r="AX305" s="86" t="str">
        <f t="shared" si="282"/>
        <v/>
      </c>
    </row>
    <row r="306" spans="1:50" x14ac:dyDescent="0.2">
      <c r="A306" s="29" t="str">
        <f t="shared" si="241"/>
        <v/>
      </c>
      <c r="B306" s="32" t="str">
        <f t="shared" si="242"/>
        <v/>
      </c>
      <c r="C306" s="35"/>
      <c r="D306" s="33" t="str">
        <f t="shared" si="243"/>
        <v/>
      </c>
      <c r="E306" s="22" t="str">
        <f t="shared" si="244"/>
        <v/>
      </c>
      <c r="F306" s="23" t="str">
        <f t="shared" si="245"/>
        <v/>
      </c>
      <c r="G306" s="23"/>
      <c r="H306" s="22"/>
      <c r="I306" s="23"/>
      <c r="J306" s="18"/>
      <c r="K306" s="13" t="str">
        <f t="shared" si="246"/>
        <v/>
      </c>
      <c r="L306" s="28" t="str">
        <f t="shared" si="240"/>
        <v/>
      </c>
      <c r="M306" s="10" t="str">
        <f t="shared" si="247"/>
        <v/>
      </c>
      <c r="N306" s="17" t="str">
        <f t="shared" si="248"/>
        <v/>
      </c>
      <c r="O306" s="39" t="str">
        <f t="shared" si="249"/>
        <v/>
      </c>
      <c r="P306" s="41" t="str">
        <f t="shared" si="250"/>
        <v/>
      </c>
      <c r="Q306" s="9" t="str">
        <f t="shared" si="251"/>
        <v/>
      </c>
      <c r="R306" s="14">
        <f t="shared" si="252"/>
        <v>0</v>
      </c>
      <c r="S306" s="61" t="str">
        <f t="shared" si="253"/>
        <v/>
      </c>
      <c r="T306" s="14">
        <f t="shared" si="254"/>
        <v>0</v>
      </c>
      <c r="U306" s="58" t="str">
        <f t="shared" si="255"/>
        <v/>
      </c>
      <c r="V306" s="14">
        <f t="shared" si="256"/>
        <v>0</v>
      </c>
      <c r="W306" s="58" t="str">
        <f t="shared" si="257"/>
        <v/>
      </c>
      <c r="X306" s="14">
        <f t="shared" si="258"/>
        <v>0</v>
      </c>
      <c r="Y306" s="58" t="str">
        <f t="shared" si="259"/>
        <v/>
      </c>
      <c r="Z306" s="31">
        <f t="shared" si="260"/>
        <v>0</v>
      </c>
      <c r="AA306" s="21">
        <f t="shared" si="261"/>
        <v>0</v>
      </c>
      <c r="AB306" s="58" t="str">
        <f t="shared" si="262"/>
        <v/>
      </c>
      <c r="AC306" s="630">
        <f t="shared" si="239"/>
        <v>0</v>
      </c>
      <c r="AD306" s="627"/>
      <c r="AE306" s="21">
        <f t="shared" si="263"/>
        <v>0</v>
      </c>
      <c r="AF306" s="58" t="str">
        <f t="shared" si="264"/>
        <v/>
      </c>
      <c r="AG306" s="21">
        <f t="shared" si="265"/>
        <v>0</v>
      </c>
      <c r="AH306" s="58" t="str">
        <f t="shared" si="266"/>
        <v/>
      </c>
      <c r="AI306" s="21">
        <f t="shared" si="267"/>
        <v>0</v>
      </c>
      <c r="AJ306" s="58" t="str">
        <f t="shared" si="268"/>
        <v/>
      </c>
      <c r="AK306" s="31">
        <f t="shared" si="269"/>
        <v>0</v>
      </c>
      <c r="AL306" s="21">
        <f t="shared" si="270"/>
        <v>0</v>
      </c>
      <c r="AM306" s="62" t="str">
        <f t="shared" si="271"/>
        <v/>
      </c>
      <c r="AN306" s="21">
        <f t="shared" si="272"/>
        <v>0</v>
      </c>
      <c r="AO306" s="62" t="str">
        <f t="shared" si="273"/>
        <v/>
      </c>
      <c r="AP306" s="21">
        <f t="shared" si="274"/>
        <v>0</v>
      </c>
      <c r="AQ306" s="62" t="str">
        <f t="shared" si="275"/>
        <v/>
      </c>
      <c r="AR306" s="31">
        <f t="shared" si="276"/>
        <v>0</v>
      </c>
      <c r="AS306" s="21">
        <f t="shared" si="277"/>
        <v>0</v>
      </c>
      <c r="AT306" s="62" t="str">
        <f t="shared" si="278"/>
        <v/>
      </c>
      <c r="AU306" s="84">
        <f t="shared" si="279"/>
        <v>0</v>
      </c>
      <c r="AV306" s="32">
        <f t="shared" si="280"/>
        <v>0</v>
      </c>
      <c r="AW306" s="85" t="str">
        <f t="shared" si="281"/>
        <v/>
      </c>
      <c r="AX306" s="86" t="str">
        <f t="shared" si="282"/>
        <v/>
      </c>
    </row>
    <row r="307" spans="1:50" x14ac:dyDescent="0.2">
      <c r="A307" s="29" t="str">
        <f t="shared" si="241"/>
        <v/>
      </c>
      <c r="B307" s="32" t="str">
        <f t="shared" si="242"/>
        <v/>
      </c>
      <c r="C307" s="35"/>
      <c r="D307" s="33" t="str">
        <f t="shared" si="243"/>
        <v/>
      </c>
      <c r="E307" s="22" t="str">
        <f t="shared" si="244"/>
        <v/>
      </c>
      <c r="F307" s="23" t="str">
        <f t="shared" si="245"/>
        <v/>
      </c>
      <c r="G307" s="23"/>
      <c r="H307" s="22"/>
      <c r="I307" s="23"/>
      <c r="J307" s="18"/>
      <c r="K307" s="13" t="str">
        <f t="shared" si="246"/>
        <v/>
      </c>
      <c r="L307" s="28" t="str">
        <f t="shared" si="240"/>
        <v/>
      </c>
      <c r="M307" s="10" t="str">
        <f t="shared" si="247"/>
        <v/>
      </c>
      <c r="N307" s="17" t="str">
        <f t="shared" si="248"/>
        <v/>
      </c>
      <c r="O307" s="39" t="str">
        <f t="shared" si="249"/>
        <v/>
      </c>
      <c r="P307" s="41" t="str">
        <f t="shared" si="250"/>
        <v/>
      </c>
      <c r="Q307" s="9" t="str">
        <f t="shared" si="251"/>
        <v/>
      </c>
      <c r="R307" s="14">
        <f t="shared" si="252"/>
        <v>0</v>
      </c>
      <c r="S307" s="61" t="str">
        <f t="shared" si="253"/>
        <v/>
      </c>
      <c r="T307" s="14">
        <f t="shared" si="254"/>
        <v>0</v>
      </c>
      <c r="U307" s="58" t="str">
        <f t="shared" si="255"/>
        <v/>
      </c>
      <c r="V307" s="14">
        <f t="shared" si="256"/>
        <v>0</v>
      </c>
      <c r="W307" s="58" t="str">
        <f t="shared" si="257"/>
        <v/>
      </c>
      <c r="X307" s="14">
        <f t="shared" si="258"/>
        <v>0</v>
      </c>
      <c r="Y307" s="58" t="str">
        <f t="shared" si="259"/>
        <v/>
      </c>
      <c r="Z307" s="31">
        <f t="shared" si="260"/>
        <v>0</v>
      </c>
      <c r="AA307" s="21">
        <f t="shared" si="261"/>
        <v>0</v>
      </c>
      <c r="AB307" s="58" t="str">
        <f t="shared" si="262"/>
        <v/>
      </c>
      <c r="AC307" s="630">
        <f t="shared" si="239"/>
        <v>0</v>
      </c>
      <c r="AD307" s="627"/>
      <c r="AE307" s="21">
        <f t="shared" si="263"/>
        <v>0</v>
      </c>
      <c r="AF307" s="58" t="str">
        <f t="shared" si="264"/>
        <v/>
      </c>
      <c r="AG307" s="21">
        <f t="shared" si="265"/>
        <v>0</v>
      </c>
      <c r="AH307" s="58" t="str">
        <f t="shared" si="266"/>
        <v/>
      </c>
      <c r="AI307" s="21">
        <f t="shared" si="267"/>
        <v>0</v>
      </c>
      <c r="AJ307" s="58" t="str">
        <f t="shared" si="268"/>
        <v/>
      </c>
      <c r="AK307" s="31">
        <f t="shared" si="269"/>
        <v>0</v>
      </c>
      <c r="AL307" s="21">
        <f t="shared" si="270"/>
        <v>0</v>
      </c>
      <c r="AM307" s="62" t="str">
        <f t="shared" si="271"/>
        <v/>
      </c>
      <c r="AN307" s="21">
        <f t="shared" si="272"/>
        <v>0</v>
      </c>
      <c r="AO307" s="62" t="str">
        <f t="shared" si="273"/>
        <v/>
      </c>
      <c r="AP307" s="21">
        <f t="shared" si="274"/>
        <v>0</v>
      </c>
      <c r="AQ307" s="62" t="str">
        <f t="shared" si="275"/>
        <v/>
      </c>
      <c r="AR307" s="31">
        <f t="shared" si="276"/>
        <v>0</v>
      </c>
      <c r="AS307" s="21">
        <f t="shared" si="277"/>
        <v>0</v>
      </c>
      <c r="AT307" s="62" t="str">
        <f t="shared" si="278"/>
        <v/>
      </c>
      <c r="AU307" s="84">
        <f t="shared" si="279"/>
        <v>0</v>
      </c>
      <c r="AV307" s="32">
        <f t="shared" si="280"/>
        <v>0</v>
      </c>
      <c r="AW307" s="85" t="str">
        <f t="shared" si="281"/>
        <v/>
      </c>
      <c r="AX307" s="86" t="str">
        <f t="shared" si="282"/>
        <v/>
      </c>
    </row>
    <row r="308" spans="1:50" x14ac:dyDescent="0.2">
      <c r="A308" s="29" t="str">
        <f t="shared" si="241"/>
        <v/>
      </c>
      <c r="B308" s="32" t="str">
        <f t="shared" si="242"/>
        <v/>
      </c>
      <c r="C308" s="35"/>
      <c r="D308" s="33" t="str">
        <f t="shared" si="243"/>
        <v/>
      </c>
      <c r="E308" s="22" t="str">
        <f t="shared" si="244"/>
        <v/>
      </c>
      <c r="F308" s="23" t="str">
        <f t="shared" si="245"/>
        <v/>
      </c>
      <c r="G308" s="23"/>
      <c r="H308" s="22"/>
      <c r="I308" s="23"/>
      <c r="J308" s="18"/>
      <c r="K308" s="13" t="str">
        <f t="shared" si="246"/>
        <v/>
      </c>
      <c r="L308" s="28" t="str">
        <f t="shared" si="240"/>
        <v/>
      </c>
      <c r="M308" s="10" t="str">
        <f t="shared" si="247"/>
        <v/>
      </c>
      <c r="N308" s="17" t="str">
        <f t="shared" si="248"/>
        <v/>
      </c>
      <c r="O308" s="39" t="str">
        <f t="shared" si="249"/>
        <v/>
      </c>
      <c r="P308" s="41" t="str">
        <f t="shared" si="250"/>
        <v/>
      </c>
      <c r="Q308" s="9" t="str">
        <f t="shared" si="251"/>
        <v/>
      </c>
      <c r="R308" s="14">
        <f t="shared" si="252"/>
        <v>0</v>
      </c>
      <c r="S308" s="61" t="str">
        <f t="shared" si="253"/>
        <v/>
      </c>
      <c r="T308" s="14">
        <f t="shared" si="254"/>
        <v>0</v>
      </c>
      <c r="U308" s="58" t="str">
        <f t="shared" si="255"/>
        <v/>
      </c>
      <c r="V308" s="14">
        <f t="shared" si="256"/>
        <v>0</v>
      </c>
      <c r="W308" s="58" t="str">
        <f t="shared" si="257"/>
        <v/>
      </c>
      <c r="X308" s="14">
        <f t="shared" si="258"/>
        <v>0</v>
      </c>
      <c r="Y308" s="58" t="str">
        <f t="shared" si="259"/>
        <v/>
      </c>
      <c r="Z308" s="31">
        <f t="shared" si="260"/>
        <v>0</v>
      </c>
      <c r="AA308" s="21">
        <f t="shared" si="261"/>
        <v>0</v>
      </c>
      <c r="AB308" s="58" t="str">
        <f t="shared" si="262"/>
        <v/>
      </c>
      <c r="AC308" s="630">
        <f t="shared" si="239"/>
        <v>0</v>
      </c>
      <c r="AD308" s="627"/>
      <c r="AE308" s="21">
        <f t="shared" si="263"/>
        <v>0</v>
      </c>
      <c r="AF308" s="58" t="str">
        <f t="shared" si="264"/>
        <v/>
      </c>
      <c r="AG308" s="21">
        <f t="shared" si="265"/>
        <v>0</v>
      </c>
      <c r="AH308" s="58" t="str">
        <f t="shared" si="266"/>
        <v/>
      </c>
      <c r="AI308" s="21">
        <f t="shared" si="267"/>
        <v>0</v>
      </c>
      <c r="AJ308" s="58" t="str">
        <f t="shared" si="268"/>
        <v/>
      </c>
      <c r="AK308" s="31">
        <f t="shared" si="269"/>
        <v>0</v>
      </c>
      <c r="AL308" s="21">
        <f t="shared" si="270"/>
        <v>0</v>
      </c>
      <c r="AM308" s="62" t="str">
        <f t="shared" si="271"/>
        <v/>
      </c>
      <c r="AN308" s="21">
        <f t="shared" si="272"/>
        <v>0</v>
      </c>
      <c r="AO308" s="62" t="str">
        <f t="shared" si="273"/>
        <v/>
      </c>
      <c r="AP308" s="21">
        <f t="shared" si="274"/>
        <v>0</v>
      </c>
      <c r="AQ308" s="62" t="str">
        <f t="shared" si="275"/>
        <v/>
      </c>
      <c r="AR308" s="31">
        <f t="shared" si="276"/>
        <v>0</v>
      </c>
      <c r="AS308" s="21">
        <f t="shared" si="277"/>
        <v>0</v>
      </c>
      <c r="AT308" s="62" t="str">
        <f t="shared" si="278"/>
        <v/>
      </c>
      <c r="AU308" s="84">
        <f t="shared" si="279"/>
        <v>0</v>
      </c>
      <c r="AV308" s="32">
        <f t="shared" si="280"/>
        <v>0</v>
      </c>
      <c r="AW308" s="85" t="str">
        <f t="shared" si="281"/>
        <v/>
      </c>
      <c r="AX308" s="86" t="str">
        <f t="shared" si="282"/>
        <v/>
      </c>
    </row>
    <row r="309" spans="1:50" x14ac:dyDescent="0.2">
      <c r="A309" s="29" t="str">
        <f t="shared" si="241"/>
        <v/>
      </c>
      <c r="B309" s="32" t="str">
        <f t="shared" si="242"/>
        <v/>
      </c>
      <c r="C309" s="35"/>
      <c r="D309" s="33" t="str">
        <f t="shared" si="243"/>
        <v/>
      </c>
      <c r="E309" s="22" t="str">
        <f t="shared" si="244"/>
        <v/>
      </c>
      <c r="F309" s="23" t="str">
        <f t="shared" si="245"/>
        <v/>
      </c>
      <c r="G309" s="23"/>
      <c r="H309" s="22"/>
      <c r="I309" s="23"/>
      <c r="J309" s="18"/>
      <c r="K309" s="13" t="str">
        <f t="shared" si="246"/>
        <v/>
      </c>
      <c r="L309" s="28" t="str">
        <f t="shared" si="240"/>
        <v/>
      </c>
      <c r="M309" s="10" t="str">
        <f t="shared" si="247"/>
        <v/>
      </c>
      <c r="N309" s="17" t="str">
        <f t="shared" si="248"/>
        <v/>
      </c>
      <c r="O309" s="39" t="str">
        <f t="shared" si="249"/>
        <v/>
      </c>
      <c r="P309" s="41" t="str">
        <f t="shared" si="250"/>
        <v/>
      </c>
      <c r="Q309" s="9" t="str">
        <f t="shared" si="251"/>
        <v/>
      </c>
      <c r="R309" s="14">
        <f t="shared" si="252"/>
        <v>0</v>
      </c>
      <c r="S309" s="61" t="str">
        <f t="shared" si="253"/>
        <v/>
      </c>
      <c r="T309" s="14">
        <f t="shared" si="254"/>
        <v>0</v>
      </c>
      <c r="U309" s="58" t="str">
        <f t="shared" si="255"/>
        <v/>
      </c>
      <c r="V309" s="14">
        <f t="shared" si="256"/>
        <v>0</v>
      </c>
      <c r="W309" s="58" t="str">
        <f t="shared" si="257"/>
        <v/>
      </c>
      <c r="X309" s="14">
        <f t="shared" si="258"/>
        <v>0</v>
      </c>
      <c r="Y309" s="58" t="str">
        <f t="shared" si="259"/>
        <v/>
      </c>
      <c r="Z309" s="31">
        <f t="shared" si="260"/>
        <v>0</v>
      </c>
      <c r="AA309" s="21">
        <f t="shared" si="261"/>
        <v>0</v>
      </c>
      <c r="AB309" s="58" t="str">
        <f t="shared" si="262"/>
        <v/>
      </c>
      <c r="AC309" s="630">
        <f t="shared" si="239"/>
        <v>0</v>
      </c>
      <c r="AD309" s="627"/>
      <c r="AE309" s="21">
        <f t="shared" si="263"/>
        <v>0</v>
      </c>
      <c r="AF309" s="58" t="str">
        <f t="shared" si="264"/>
        <v/>
      </c>
      <c r="AG309" s="21">
        <f t="shared" si="265"/>
        <v>0</v>
      </c>
      <c r="AH309" s="58" t="str">
        <f t="shared" si="266"/>
        <v/>
      </c>
      <c r="AI309" s="21">
        <f t="shared" si="267"/>
        <v>0</v>
      </c>
      <c r="AJ309" s="58" t="str">
        <f t="shared" si="268"/>
        <v/>
      </c>
      <c r="AK309" s="31">
        <f t="shared" si="269"/>
        <v>0</v>
      </c>
      <c r="AL309" s="21">
        <f t="shared" si="270"/>
        <v>0</v>
      </c>
      <c r="AM309" s="62" t="str">
        <f t="shared" si="271"/>
        <v/>
      </c>
      <c r="AN309" s="21">
        <f t="shared" si="272"/>
        <v>0</v>
      </c>
      <c r="AO309" s="62" t="str">
        <f t="shared" si="273"/>
        <v/>
      </c>
      <c r="AP309" s="21">
        <f t="shared" si="274"/>
        <v>0</v>
      </c>
      <c r="AQ309" s="62" t="str">
        <f t="shared" si="275"/>
        <v/>
      </c>
      <c r="AR309" s="31">
        <f t="shared" si="276"/>
        <v>0</v>
      </c>
      <c r="AS309" s="21">
        <f t="shared" si="277"/>
        <v>0</v>
      </c>
      <c r="AT309" s="62" t="str">
        <f t="shared" si="278"/>
        <v/>
      </c>
      <c r="AU309" s="84">
        <f t="shared" si="279"/>
        <v>0</v>
      </c>
      <c r="AV309" s="32">
        <f t="shared" si="280"/>
        <v>0</v>
      </c>
      <c r="AW309" s="85" t="str">
        <f t="shared" si="281"/>
        <v/>
      </c>
      <c r="AX309" s="86" t="str">
        <f t="shared" si="282"/>
        <v/>
      </c>
    </row>
    <row r="310" spans="1:50" x14ac:dyDescent="0.2">
      <c r="A310" s="29" t="str">
        <f t="shared" si="241"/>
        <v/>
      </c>
      <c r="B310" s="32" t="str">
        <f t="shared" si="242"/>
        <v/>
      </c>
      <c r="C310" s="35"/>
      <c r="D310" s="33" t="str">
        <f t="shared" si="243"/>
        <v/>
      </c>
      <c r="E310" s="22" t="str">
        <f t="shared" si="244"/>
        <v/>
      </c>
      <c r="F310" s="23" t="str">
        <f t="shared" si="245"/>
        <v/>
      </c>
      <c r="G310" s="23"/>
      <c r="H310" s="22"/>
      <c r="I310" s="23"/>
      <c r="J310" s="18"/>
      <c r="K310" s="13" t="str">
        <f t="shared" si="246"/>
        <v/>
      </c>
      <c r="L310" s="28" t="str">
        <f t="shared" si="240"/>
        <v/>
      </c>
      <c r="M310" s="10" t="str">
        <f t="shared" si="247"/>
        <v/>
      </c>
      <c r="N310" s="17" t="str">
        <f t="shared" si="248"/>
        <v/>
      </c>
      <c r="O310" s="39" t="str">
        <f t="shared" si="249"/>
        <v/>
      </c>
      <c r="P310" s="41" t="str">
        <f t="shared" si="250"/>
        <v/>
      </c>
      <c r="Q310" s="9" t="str">
        <f t="shared" si="251"/>
        <v/>
      </c>
      <c r="R310" s="14">
        <f t="shared" si="252"/>
        <v>0</v>
      </c>
      <c r="S310" s="61" t="str">
        <f t="shared" si="253"/>
        <v/>
      </c>
      <c r="T310" s="14">
        <f t="shared" si="254"/>
        <v>0</v>
      </c>
      <c r="U310" s="58" t="str">
        <f t="shared" si="255"/>
        <v/>
      </c>
      <c r="V310" s="14">
        <f t="shared" si="256"/>
        <v>0</v>
      </c>
      <c r="W310" s="58" t="str">
        <f t="shared" si="257"/>
        <v/>
      </c>
      <c r="X310" s="14">
        <f t="shared" si="258"/>
        <v>0</v>
      </c>
      <c r="Y310" s="58" t="str">
        <f t="shared" si="259"/>
        <v/>
      </c>
      <c r="Z310" s="31">
        <f t="shared" si="260"/>
        <v>0</v>
      </c>
      <c r="AA310" s="21">
        <f t="shared" si="261"/>
        <v>0</v>
      </c>
      <c r="AB310" s="58" t="str">
        <f t="shared" si="262"/>
        <v/>
      </c>
      <c r="AC310" s="630">
        <f t="shared" si="239"/>
        <v>0</v>
      </c>
      <c r="AD310" s="627"/>
      <c r="AE310" s="21">
        <f t="shared" si="263"/>
        <v>0</v>
      </c>
      <c r="AF310" s="58" t="str">
        <f t="shared" si="264"/>
        <v/>
      </c>
      <c r="AG310" s="21">
        <f t="shared" si="265"/>
        <v>0</v>
      </c>
      <c r="AH310" s="58" t="str">
        <f t="shared" si="266"/>
        <v/>
      </c>
      <c r="AI310" s="21">
        <f t="shared" si="267"/>
        <v>0</v>
      </c>
      <c r="AJ310" s="58" t="str">
        <f t="shared" si="268"/>
        <v/>
      </c>
      <c r="AK310" s="31">
        <f t="shared" si="269"/>
        <v>0</v>
      </c>
      <c r="AL310" s="21">
        <f t="shared" si="270"/>
        <v>0</v>
      </c>
      <c r="AM310" s="62" t="str">
        <f t="shared" si="271"/>
        <v/>
      </c>
      <c r="AN310" s="21">
        <f t="shared" si="272"/>
        <v>0</v>
      </c>
      <c r="AO310" s="62" t="str">
        <f t="shared" si="273"/>
        <v/>
      </c>
      <c r="AP310" s="21">
        <f t="shared" si="274"/>
        <v>0</v>
      </c>
      <c r="AQ310" s="62" t="str">
        <f t="shared" si="275"/>
        <v/>
      </c>
      <c r="AR310" s="31">
        <f t="shared" si="276"/>
        <v>0</v>
      </c>
      <c r="AS310" s="21">
        <f t="shared" si="277"/>
        <v>0</v>
      </c>
      <c r="AT310" s="62" t="str">
        <f t="shared" si="278"/>
        <v/>
      </c>
      <c r="AU310" s="84">
        <f t="shared" si="279"/>
        <v>0</v>
      </c>
      <c r="AV310" s="32">
        <f t="shared" si="280"/>
        <v>0</v>
      </c>
      <c r="AW310" s="85" t="str">
        <f t="shared" si="281"/>
        <v/>
      </c>
      <c r="AX310" s="86" t="str">
        <f t="shared" si="282"/>
        <v/>
      </c>
    </row>
    <row r="311" spans="1:50" x14ac:dyDescent="0.2">
      <c r="A311" s="29" t="str">
        <f t="shared" si="241"/>
        <v/>
      </c>
      <c r="B311" s="32" t="str">
        <f t="shared" si="242"/>
        <v/>
      </c>
      <c r="C311" s="35"/>
      <c r="D311" s="33" t="str">
        <f t="shared" si="243"/>
        <v/>
      </c>
      <c r="E311" s="22" t="str">
        <f t="shared" si="244"/>
        <v/>
      </c>
      <c r="F311" s="23" t="str">
        <f t="shared" si="245"/>
        <v/>
      </c>
      <c r="G311" s="23"/>
      <c r="H311" s="22"/>
      <c r="I311" s="23"/>
      <c r="J311" s="18"/>
      <c r="K311" s="13" t="str">
        <f t="shared" si="246"/>
        <v/>
      </c>
      <c r="L311" s="28" t="str">
        <f t="shared" si="240"/>
        <v/>
      </c>
      <c r="M311" s="10" t="str">
        <f t="shared" si="247"/>
        <v/>
      </c>
      <c r="N311" s="17" t="str">
        <f t="shared" si="248"/>
        <v/>
      </c>
      <c r="O311" s="39" t="str">
        <f t="shared" si="249"/>
        <v/>
      </c>
      <c r="P311" s="41" t="str">
        <f t="shared" si="250"/>
        <v/>
      </c>
      <c r="Q311" s="9" t="str">
        <f t="shared" si="251"/>
        <v/>
      </c>
      <c r="R311" s="14">
        <f t="shared" si="252"/>
        <v>0</v>
      </c>
      <c r="S311" s="61" t="str">
        <f t="shared" si="253"/>
        <v/>
      </c>
      <c r="T311" s="14">
        <f t="shared" si="254"/>
        <v>0</v>
      </c>
      <c r="U311" s="58" t="str">
        <f t="shared" si="255"/>
        <v/>
      </c>
      <c r="V311" s="14">
        <f t="shared" si="256"/>
        <v>0</v>
      </c>
      <c r="W311" s="58" t="str">
        <f t="shared" si="257"/>
        <v/>
      </c>
      <c r="X311" s="14">
        <f t="shared" si="258"/>
        <v>0</v>
      </c>
      <c r="Y311" s="58" t="str">
        <f t="shared" si="259"/>
        <v/>
      </c>
      <c r="Z311" s="31">
        <f t="shared" si="260"/>
        <v>0</v>
      </c>
      <c r="AA311" s="21">
        <f t="shared" si="261"/>
        <v>0</v>
      </c>
      <c r="AB311" s="58" t="str">
        <f t="shared" si="262"/>
        <v/>
      </c>
      <c r="AC311" s="630">
        <f t="shared" si="239"/>
        <v>0</v>
      </c>
      <c r="AD311" s="627"/>
      <c r="AE311" s="21">
        <f t="shared" si="263"/>
        <v>0</v>
      </c>
      <c r="AF311" s="58" t="str">
        <f t="shared" si="264"/>
        <v/>
      </c>
      <c r="AG311" s="21">
        <f t="shared" si="265"/>
        <v>0</v>
      </c>
      <c r="AH311" s="58" t="str">
        <f t="shared" si="266"/>
        <v/>
      </c>
      <c r="AI311" s="21">
        <f t="shared" si="267"/>
        <v>0</v>
      </c>
      <c r="AJ311" s="58" t="str">
        <f t="shared" si="268"/>
        <v/>
      </c>
      <c r="AK311" s="31">
        <f t="shared" si="269"/>
        <v>0</v>
      </c>
      <c r="AL311" s="21">
        <f t="shared" si="270"/>
        <v>0</v>
      </c>
      <c r="AM311" s="62" t="str">
        <f t="shared" si="271"/>
        <v/>
      </c>
      <c r="AN311" s="21">
        <f t="shared" si="272"/>
        <v>0</v>
      </c>
      <c r="AO311" s="62" t="str">
        <f t="shared" si="273"/>
        <v/>
      </c>
      <c r="AP311" s="21">
        <f t="shared" si="274"/>
        <v>0</v>
      </c>
      <c r="AQ311" s="62" t="str">
        <f t="shared" si="275"/>
        <v/>
      </c>
      <c r="AR311" s="31">
        <f t="shared" si="276"/>
        <v>0</v>
      </c>
      <c r="AS311" s="21">
        <f t="shared" si="277"/>
        <v>0</v>
      </c>
      <c r="AT311" s="62" t="str">
        <f t="shared" si="278"/>
        <v/>
      </c>
      <c r="AU311" s="84">
        <f t="shared" si="279"/>
        <v>0</v>
      </c>
      <c r="AV311" s="32">
        <f t="shared" si="280"/>
        <v>0</v>
      </c>
      <c r="AW311" s="85" t="str">
        <f t="shared" si="281"/>
        <v/>
      </c>
      <c r="AX311" s="86" t="str">
        <f t="shared" si="282"/>
        <v/>
      </c>
    </row>
    <row r="312" spans="1:50" x14ac:dyDescent="0.2">
      <c r="A312" s="29" t="str">
        <f t="shared" si="241"/>
        <v/>
      </c>
      <c r="B312" s="32" t="str">
        <f t="shared" si="242"/>
        <v/>
      </c>
      <c r="C312" s="35"/>
      <c r="D312" s="33" t="str">
        <f t="shared" si="243"/>
        <v/>
      </c>
      <c r="E312" s="22" t="str">
        <f t="shared" si="244"/>
        <v/>
      </c>
      <c r="F312" s="23" t="str">
        <f t="shared" si="245"/>
        <v/>
      </c>
      <c r="G312" s="23"/>
      <c r="H312" s="22"/>
      <c r="I312" s="23"/>
      <c r="J312" s="18"/>
      <c r="K312" s="13" t="str">
        <f t="shared" si="246"/>
        <v/>
      </c>
      <c r="L312" s="28" t="str">
        <f t="shared" si="240"/>
        <v/>
      </c>
      <c r="M312" s="10" t="str">
        <f t="shared" si="247"/>
        <v/>
      </c>
      <c r="N312" s="17" t="str">
        <f t="shared" si="248"/>
        <v/>
      </c>
      <c r="O312" s="39" t="str">
        <f t="shared" si="249"/>
        <v/>
      </c>
      <c r="P312" s="41" t="str">
        <f t="shared" si="250"/>
        <v/>
      </c>
      <c r="Q312" s="9" t="str">
        <f t="shared" si="251"/>
        <v/>
      </c>
      <c r="R312" s="14">
        <f t="shared" si="252"/>
        <v>0</v>
      </c>
      <c r="S312" s="61" t="str">
        <f t="shared" si="253"/>
        <v/>
      </c>
      <c r="T312" s="14">
        <f t="shared" si="254"/>
        <v>0</v>
      </c>
      <c r="U312" s="58" t="str">
        <f t="shared" si="255"/>
        <v/>
      </c>
      <c r="V312" s="14">
        <f t="shared" si="256"/>
        <v>0</v>
      </c>
      <c r="W312" s="58" t="str">
        <f t="shared" si="257"/>
        <v/>
      </c>
      <c r="X312" s="14">
        <f t="shared" si="258"/>
        <v>0</v>
      </c>
      <c r="Y312" s="58" t="str">
        <f t="shared" si="259"/>
        <v/>
      </c>
      <c r="Z312" s="31">
        <f t="shared" si="260"/>
        <v>0</v>
      </c>
      <c r="AA312" s="21">
        <f t="shared" si="261"/>
        <v>0</v>
      </c>
      <c r="AB312" s="58" t="str">
        <f t="shared" si="262"/>
        <v/>
      </c>
      <c r="AC312" s="630">
        <f t="shared" si="239"/>
        <v>0</v>
      </c>
      <c r="AD312" s="627"/>
      <c r="AE312" s="21">
        <f t="shared" si="263"/>
        <v>0</v>
      </c>
      <c r="AF312" s="58" t="str">
        <f t="shared" si="264"/>
        <v/>
      </c>
      <c r="AG312" s="21">
        <f t="shared" si="265"/>
        <v>0</v>
      </c>
      <c r="AH312" s="58" t="str">
        <f t="shared" si="266"/>
        <v/>
      </c>
      <c r="AI312" s="21">
        <f t="shared" si="267"/>
        <v>0</v>
      </c>
      <c r="AJ312" s="58" t="str">
        <f t="shared" si="268"/>
        <v/>
      </c>
      <c r="AK312" s="31">
        <f t="shared" si="269"/>
        <v>0</v>
      </c>
      <c r="AL312" s="21">
        <f t="shared" si="270"/>
        <v>0</v>
      </c>
      <c r="AM312" s="62" t="str">
        <f t="shared" si="271"/>
        <v/>
      </c>
      <c r="AN312" s="21">
        <f t="shared" si="272"/>
        <v>0</v>
      </c>
      <c r="AO312" s="62" t="str">
        <f t="shared" si="273"/>
        <v/>
      </c>
      <c r="AP312" s="21">
        <f t="shared" si="274"/>
        <v>0</v>
      </c>
      <c r="AQ312" s="62" t="str">
        <f t="shared" si="275"/>
        <v/>
      </c>
      <c r="AR312" s="31">
        <f t="shared" si="276"/>
        <v>0</v>
      </c>
      <c r="AS312" s="21">
        <f t="shared" si="277"/>
        <v>0</v>
      </c>
      <c r="AT312" s="62" t="str">
        <f t="shared" si="278"/>
        <v/>
      </c>
      <c r="AU312" s="84">
        <f t="shared" si="279"/>
        <v>0</v>
      </c>
      <c r="AV312" s="32">
        <f t="shared" si="280"/>
        <v>0</v>
      </c>
      <c r="AW312" s="85" t="str">
        <f t="shared" si="281"/>
        <v/>
      </c>
      <c r="AX312" s="86" t="str">
        <f t="shared" si="282"/>
        <v/>
      </c>
    </row>
    <row r="313" spans="1:50" x14ac:dyDescent="0.2">
      <c r="A313" s="29" t="str">
        <f t="shared" si="241"/>
        <v/>
      </c>
      <c r="B313" s="32" t="str">
        <f t="shared" si="242"/>
        <v/>
      </c>
      <c r="C313" s="35"/>
      <c r="D313" s="33" t="str">
        <f t="shared" si="243"/>
        <v/>
      </c>
      <c r="E313" s="22" t="str">
        <f t="shared" si="244"/>
        <v/>
      </c>
      <c r="F313" s="23" t="str">
        <f t="shared" si="245"/>
        <v/>
      </c>
      <c r="G313" s="23"/>
      <c r="H313" s="22"/>
      <c r="I313" s="23"/>
      <c r="J313" s="18"/>
      <c r="K313" s="13" t="str">
        <f t="shared" si="246"/>
        <v/>
      </c>
      <c r="L313" s="28" t="str">
        <f t="shared" si="240"/>
        <v/>
      </c>
      <c r="M313" s="10" t="str">
        <f t="shared" si="247"/>
        <v/>
      </c>
      <c r="N313" s="17" t="str">
        <f t="shared" si="248"/>
        <v/>
      </c>
      <c r="O313" s="39" t="str">
        <f t="shared" si="249"/>
        <v/>
      </c>
      <c r="P313" s="41" t="str">
        <f t="shared" si="250"/>
        <v/>
      </c>
      <c r="Q313" s="9" t="str">
        <f t="shared" si="251"/>
        <v/>
      </c>
      <c r="R313" s="14">
        <f t="shared" si="252"/>
        <v>0</v>
      </c>
      <c r="S313" s="61" t="str">
        <f t="shared" si="253"/>
        <v/>
      </c>
      <c r="T313" s="14">
        <f t="shared" si="254"/>
        <v>0</v>
      </c>
      <c r="U313" s="58" t="str">
        <f t="shared" si="255"/>
        <v/>
      </c>
      <c r="V313" s="14">
        <f t="shared" si="256"/>
        <v>0</v>
      </c>
      <c r="W313" s="58" t="str">
        <f t="shared" si="257"/>
        <v/>
      </c>
      <c r="X313" s="14">
        <f t="shared" si="258"/>
        <v>0</v>
      </c>
      <c r="Y313" s="58" t="str">
        <f t="shared" si="259"/>
        <v/>
      </c>
      <c r="Z313" s="31">
        <f t="shared" si="260"/>
        <v>0</v>
      </c>
      <c r="AA313" s="21">
        <f t="shared" si="261"/>
        <v>0</v>
      </c>
      <c r="AB313" s="58" t="str">
        <f t="shared" si="262"/>
        <v/>
      </c>
      <c r="AC313" s="630">
        <f t="shared" si="239"/>
        <v>0</v>
      </c>
      <c r="AD313" s="627"/>
      <c r="AE313" s="21">
        <f t="shared" si="263"/>
        <v>0</v>
      </c>
      <c r="AF313" s="58" t="str">
        <f t="shared" si="264"/>
        <v/>
      </c>
      <c r="AG313" s="21">
        <f t="shared" si="265"/>
        <v>0</v>
      </c>
      <c r="AH313" s="58" t="str">
        <f t="shared" si="266"/>
        <v/>
      </c>
      <c r="AI313" s="21">
        <f t="shared" si="267"/>
        <v>0</v>
      </c>
      <c r="AJ313" s="58" t="str">
        <f t="shared" si="268"/>
        <v/>
      </c>
      <c r="AK313" s="31">
        <f t="shared" si="269"/>
        <v>0</v>
      </c>
      <c r="AL313" s="21">
        <f t="shared" si="270"/>
        <v>0</v>
      </c>
      <c r="AM313" s="62" t="str">
        <f t="shared" si="271"/>
        <v/>
      </c>
      <c r="AN313" s="21">
        <f t="shared" si="272"/>
        <v>0</v>
      </c>
      <c r="AO313" s="62" t="str">
        <f t="shared" si="273"/>
        <v/>
      </c>
      <c r="AP313" s="21">
        <f t="shared" si="274"/>
        <v>0</v>
      </c>
      <c r="AQ313" s="62" t="str">
        <f t="shared" si="275"/>
        <v/>
      </c>
      <c r="AR313" s="31">
        <f t="shared" si="276"/>
        <v>0</v>
      </c>
      <c r="AS313" s="21">
        <f t="shared" si="277"/>
        <v>0</v>
      </c>
      <c r="AT313" s="62" t="str">
        <f t="shared" si="278"/>
        <v/>
      </c>
      <c r="AU313" s="84">
        <f t="shared" si="279"/>
        <v>0</v>
      </c>
      <c r="AV313" s="32">
        <f t="shared" si="280"/>
        <v>0</v>
      </c>
      <c r="AW313" s="85" t="str">
        <f t="shared" si="281"/>
        <v/>
      </c>
      <c r="AX313" s="86" t="str">
        <f t="shared" si="282"/>
        <v/>
      </c>
    </row>
    <row r="314" spans="1:50" x14ac:dyDescent="0.2">
      <c r="A314" s="29" t="str">
        <f t="shared" si="241"/>
        <v/>
      </c>
      <c r="B314" s="32" t="str">
        <f t="shared" si="242"/>
        <v/>
      </c>
      <c r="C314" s="35"/>
      <c r="D314" s="33" t="str">
        <f t="shared" si="243"/>
        <v/>
      </c>
      <c r="E314" s="22" t="str">
        <f t="shared" si="244"/>
        <v/>
      </c>
      <c r="F314" s="23" t="str">
        <f t="shared" si="245"/>
        <v/>
      </c>
      <c r="G314" s="23"/>
      <c r="H314" s="22"/>
      <c r="I314" s="23"/>
      <c r="J314" s="18"/>
      <c r="K314" s="13" t="str">
        <f t="shared" si="246"/>
        <v/>
      </c>
      <c r="L314" s="28" t="str">
        <f t="shared" si="240"/>
        <v/>
      </c>
      <c r="M314" s="10" t="str">
        <f t="shared" si="247"/>
        <v/>
      </c>
      <c r="N314" s="17" t="str">
        <f t="shared" si="248"/>
        <v/>
      </c>
      <c r="O314" s="39" t="str">
        <f t="shared" si="249"/>
        <v/>
      </c>
      <c r="P314" s="41" t="str">
        <f t="shared" si="250"/>
        <v/>
      </c>
      <c r="Q314" s="9" t="str">
        <f t="shared" si="251"/>
        <v/>
      </c>
      <c r="R314" s="14">
        <f t="shared" si="252"/>
        <v>0</v>
      </c>
      <c r="S314" s="61" t="str">
        <f t="shared" si="253"/>
        <v/>
      </c>
      <c r="T314" s="14">
        <f t="shared" si="254"/>
        <v>0</v>
      </c>
      <c r="U314" s="58" t="str">
        <f t="shared" si="255"/>
        <v/>
      </c>
      <c r="V314" s="14">
        <f t="shared" si="256"/>
        <v>0</v>
      </c>
      <c r="W314" s="58" t="str">
        <f t="shared" si="257"/>
        <v/>
      </c>
      <c r="X314" s="14">
        <f t="shared" si="258"/>
        <v>0</v>
      </c>
      <c r="Y314" s="58" t="str">
        <f t="shared" si="259"/>
        <v/>
      </c>
      <c r="Z314" s="31">
        <f t="shared" si="260"/>
        <v>0</v>
      </c>
      <c r="AA314" s="21">
        <f t="shared" si="261"/>
        <v>0</v>
      </c>
      <c r="AB314" s="58" t="str">
        <f t="shared" si="262"/>
        <v/>
      </c>
      <c r="AC314" s="630">
        <f t="shared" si="239"/>
        <v>0</v>
      </c>
      <c r="AD314" s="627"/>
      <c r="AE314" s="21">
        <f t="shared" si="263"/>
        <v>0</v>
      </c>
      <c r="AF314" s="58" t="str">
        <f t="shared" si="264"/>
        <v/>
      </c>
      <c r="AG314" s="21">
        <f t="shared" si="265"/>
        <v>0</v>
      </c>
      <c r="AH314" s="58" t="str">
        <f t="shared" si="266"/>
        <v/>
      </c>
      <c r="AI314" s="21">
        <f t="shared" si="267"/>
        <v>0</v>
      </c>
      <c r="AJ314" s="58" t="str">
        <f t="shared" si="268"/>
        <v/>
      </c>
      <c r="AK314" s="31">
        <f t="shared" si="269"/>
        <v>0</v>
      </c>
      <c r="AL314" s="21">
        <f t="shared" si="270"/>
        <v>0</v>
      </c>
      <c r="AM314" s="62" t="str">
        <f t="shared" si="271"/>
        <v/>
      </c>
      <c r="AN314" s="21">
        <f t="shared" si="272"/>
        <v>0</v>
      </c>
      <c r="AO314" s="62" t="str">
        <f t="shared" si="273"/>
        <v/>
      </c>
      <c r="AP314" s="21">
        <f t="shared" si="274"/>
        <v>0</v>
      </c>
      <c r="AQ314" s="62" t="str">
        <f t="shared" si="275"/>
        <v/>
      </c>
      <c r="AR314" s="31">
        <f t="shared" si="276"/>
        <v>0</v>
      </c>
      <c r="AS314" s="21">
        <f t="shared" si="277"/>
        <v>0</v>
      </c>
      <c r="AT314" s="62" t="str">
        <f t="shared" si="278"/>
        <v/>
      </c>
      <c r="AU314" s="84">
        <f t="shared" si="279"/>
        <v>0</v>
      </c>
      <c r="AV314" s="32">
        <f t="shared" si="280"/>
        <v>0</v>
      </c>
      <c r="AW314" s="85" t="str">
        <f t="shared" si="281"/>
        <v/>
      </c>
      <c r="AX314" s="86" t="str">
        <f t="shared" si="282"/>
        <v/>
      </c>
    </row>
    <row r="315" spans="1:50" x14ac:dyDescent="0.2">
      <c r="A315" s="29" t="str">
        <f t="shared" si="241"/>
        <v/>
      </c>
      <c r="B315" s="32" t="str">
        <f t="shared" si="242"/>
        <v/>
      </c>
      <c r="C315" s="35"/>
      <c r="D315" s="33" t="str">
        <f t="shared" si="243"/>
        <v/>
      </c>
      <c r="E315" s="22" t="str">
        <f t="shared" si="244"/>
        <v/>
      </c>
      <c r="F315" s="23" t="str">
        <f t="shared" si="245"/>
        <v/>
      </c>
      <c r="G315" s="23"/>
      <c r="H315" s="22"/>
      <c r="I315" s="23"/>
      <c r="J315" s="18"/>
      <c r="K315" s="13" t="str">
        <f t="shared" si="246"/>
        <v/>
      </c>
      <c r="L315" s="28" t="str">
        <f t="shared" si="240"/>
        <v/>
      </c>
      <c r="M315" s="10" t="str">
        <f t="shared" si="247"/>
        <v/>
      </c>
      <c r="N315" s="17" t="str">
        <f t="shared" si="248"/>
        <v/>
      </c>
      <c r="O315" s="39" t="str">
        <f t="shared" si="249"/>
        <v/>
      </c>
      <c r="P315" s="41" t="str">
        <f t="shared" si="250"/>
        <v/>
      </c>
      <c r="Q315" s="9" t="str">
        <f t="shared" si="251"/>
        <v/>
      </c>
      <c r="R315" s="14">
        <f t="shared" si="252"/>
        <v>0</v>
      </c>
      <c r="S315" s="61" t="str">
        <f t="shared" si="253"/>
        <v/>
      </c>
      <c r="T315" s="14">
        <f t="shared" si="254"/>
        <v>0</v>
      </c>
      <c r="U315" s="58" t="str">
        <f t="shared" si="255"/>
        <v/>
      </c>
      <c r="V315" s="14">
        <f t="shared" si="256"/>
        <v>0</v>
      </c>
      <c r="W315" s="58" t="str">
        <f t="shared" si="257"/>
        <v/>
      </c>
      <c r="X315" s="14">
        <f t="shared" si="258"/>
        <v>0</v>
      </c>
      <c r="Y315" s="58" t="str">
        <f t="shared" si="259"/>
        <v/>
      </c>
      <c r="Z315" s="31">
        <f t="shared" si="260"/>
        <v>0</v>
      </c>
      <c r="AA315" s="21">
        <f t="shared" si="261"/>
        <v>0</v>
      </c>
      <c r="AB315" s="58" t="str">
        <f t="shared" si="262"/>
        <v/>
      </c>
      <c r="AC315" s="630">
        <f t="shared" si="239"/>
        <v>0</v>
      </c>
      <c r="AD315" s="627"/>
      <c r="AE315" s="21">
        <f t="shared" si="263"/>
        <v>0</v>
      </c>
      <c r="AF315" s="58" t="str">
        <f t="shared" si="264"/>
        <v/>
      </c>
      <c r="AG315" s="21">
        <f t="shared" si="265"/>
        <v>0</v>
      </c>
      <c r="AH315" s="58" t="str">
        <f t="shared" si="266"/>
        <v/>
      </c>
      <c r="AI315" s="21">
        <f t="shared" si="267"/>
        <v>0</v>
      </c>
      <c r="AJ315" s="58" t="str">
        <f t="shared" si="268"/>
        <v/>
      </c>
      <c r="AK315" s="31">
        <f t="shared" si="269"/>
        <v>0</v>
      </c>
      <c r="AL315" s="21">
        <f t="shared" si="270"/>
        <v>0</v>
      </c>
      <c r="AM315" s="62" t="str">
        <f t="shared" si="271"/>
        <v/>
      </c>
      <c r="AN315" s="21">
        <f t="shared" si="272"/>
        <v>0</v>
      </c>
      <c r="AO315" s="62" t="str">
        <f t="shared" si="273"/>
        <v/>
      </c>
      <c r="AP315" s="21">
        <f t="shared" si="274"/>
        <v>0</v>
      </c>
      <c r="AQ315" s="62" t="str">
        <f t="shared" si="275"/>
        <v/>
      </c>
      <c r="AR315" s="31">
        <f t="shared" si="276"/>
        <v>0</v>
      </c>
      <c r="AS315" s="21">
        <f t="shared" si="277"/>
        <v>0</v>
      </c>
      <c r="AT315" s="62" t="str">
        <f t="shared" si="278"/>
        <v/>
      </c>
      <c r="AU315" s="84">
        <f t="shared" si="279"/>
        <v>0</v>
      </c>
      <c r="AV315" s="32">
        <f t="shared" si="280"/>
        <v>0</v>
      </c>
      <c r="AW315" s="85" t="str">
        <f t="shared" si="281"/>
        <v/>
      </c>
      <c r="AX315" s="86" t="str">
        <f t="shared" si="282"/>
        <v/>
      </c>
    </row>
    <row r="316" spans="1:50" x14ac:dyDescent="0.2">
      <c r="A316" s="29" t="str">
        <f t="shared" si="241"/>
        <v/>
      </c>
      <c r="B316" s="32" t="str">
        <f t="shared" si="242"/>
        <v/>
      </c>
      <c r="C316" s="35"/>
      <c r="D316" s="33" t="str">
        <f t="shared" si="243"/>
        <v/>
      </c>
      <c r="E316" s="22" t="str">
        <f t="shared" si="244"/>
        <v/>
      </c>
      <c r="F316" s="23" t="str">
        <f t="shared" si="245"/>
        <v/>
      </c>
      <c r="G316" s="23"/>
      <c r="H316" s="22"/>
      <c r="I316" s="23"/>
      <c r="J316" s="18"/>
      <c r="K316" s="13" t="str">
        <f t="shared" si="246"/>
        <v/>
      </c>
      <c r="L316" s="28" t="str">
        <f t="shared" si="240"/>
        <v/>
      </c>
      <c r="M316" s="10" t="str">
        <f t="shared" si="247"/>
        <v/>
      </c>
      <c r="N316" s="17" t="str">
        <f t="shared" si="248"/>
        <v/>
      </c>
      <c r="O316" s="39" t="str">
        <f t="shared" si="249"/>
        <v/>
      </c>
      <c r="P316" s="41" t="str">
        <f t="shared" si="250"/>
        <v/>
      </c>
      <c r="Q316" s="9" t="str">
        <f t="shared" si="251"/>
        <v/>
      </c>
      <c r="R316" s="14">
        <f t="shared" si="252"/>
        <v>0</v>
      </c>
      <c r="S316" s="61" t="str">
        <f t="shared" si="253"/>
        <v/>
      </c>
      <c r="T316" s="14">
        <f t="shared" si="254"/>
        <v>0</v>
      </c>
      <c r="U316" s="58" t="str">
        <f t="shared" si="255"/>
        <v/>
      </c>
      <c r="V316" s="14">
        <f t="shared" si="256"/>
        <v>0</v>
      </c>
      <c r="W316" s="58" t="str">
        <f t="shared" si="257"/>
        <v/>
      </c>
      <c r="X316" s="14">
        <f t="shared" si="258"/>
        <v>0</v>
      </c>
      <c r="Y316" s="58" t="str">
        <f t="shared" si="259"/>
        <v/>
      </c>
      <c r="Z316" s="31">
        <f t="shared" si="260"/>
        <v>0</v>
      </c>
      <c r="AA316" s="21">
        <f t="shared" si="261"/>
        <v>0</v>
      </c>
      <c r="AB316" s="58" t="str">
        <f t="shared" si="262"/>
        <v/>
      </c>
      <c r="AC316" s="630">
        <f t="shared" si="239"/>
        <v>0</v>
      </c>
      <c r="AD316" s="627"/>
      <c r="AE316" s="21">
        <f t="shared" si="263"/>
        <v>0</v>
      </c>
      <c r="AF316" s="58" t="str">
        <f t="shared" si="264"/>
        <v/>
      </c>
      <c r="AG316" s="21">
        <f t="shared" si="265"/>
        <v>0</v>
      </c>
      <c r="AH316" s="58" t="str">
        <f t="shared" si="266"/>
        <v/>
      </c>
      <c r="AI316" s="21">
        <f t="shared" si="267"/>
        <v>0</v>
      </c>
      <c r="AJ316" s="58" t="str">
        <f t="shared" si="268"/>
        <v/>
      </c>
      <c r="AK316" s="31">
        <f t="shared" si="269"/>
        <v>0</v>
      </c>
      <c r="AL316" s="21">
        <f t="shared" si="270"/>
        <v>0</v>
      </c>
      <c r="AM316" s="62" t="str">
        <f t="shared" si="271"/>
        <v/>
      </c>
      <c r="AN316" s="21">
        <f t="shared" si="272"/>
        <v>0</v>
      </c>
      <c r="AO316" s="62" t="str">
        <f t="shared" si="273"/>
        <v/>
      </c>
      <c r="AP316" s="21">
        <f t="shared" si="274"/>
        <v>0</v>
      </c>
      <c r="AQ316" s="62" t="str">
        <f t="shared" si="275"/>
        <v/>
      </c>
      <c r="AR316" s="31">
        <f t="shared" si="276"/>
        <v>0</v>
      </c>
      <c r="AS316" s="21">
        <f t="shared" si="277"/>
        <v>0</v>
      </c>
      <c r="AT316" s="62" t="str">
        <f t="shared" si="278"/>
        <v/>
      </c>
      <c r="AU316" s="84">
        <f t="shared" si="279"/>
        <v>0</v>
      </c>
      <c r="AV316" s="32">
        <f t="shared" si="280"/>
        <v>0</v>
      </c>
      <c r="AW316" s="85" t="str">
        <f t="shared" si="281"/>
        <v/>
      </c>
      <c r="AX316" s="86" t="str">
        <f t="shared" si="282"/>
        <v/>
      </c>
    </row>
    <row r="317" spans="1:50" x14ac:dyDescent="0.2">
      <c r="A317" s="29" t="str">
        <f t="shared" si="241"/>
        <v/>
      </c>
      <c r="B317" s="32" t="str">
        <f t="shared" si="242"/>
        <v/>
      </c>
      <c r="C317" s="35"/>
      <c r="D317" s="33" t="str">
        <f t="shared" si="243"/>
        <v/>
      </c>
      <c r="E317" s="22" t="str">
        <f t="shared" si="244"/>
        <v/>
      </c>
      <c r="F317" s="23" t="str">
        <f t="shared" si="245"/>
        <v/>
      </c>
      <c r="G317" s="23"/>
      <c r="H317" s="22"/>
      <c r="I317" s="23"/>
      <c r="J317" s="18"/>
      <c r="K317" s="13" t="str">
        <f t="shared" si="246"/>
        <v/>
      </c>
      <c r="L317" s="28" t="str">
        <f t="shared" si="240"/>
        <v/>
      </c>
      <c r="M317" s="10" t="str">
        <f t="shared" si="247"/>
        <v/>
      </c>
      <c r="N317" s="17" t="str">
        <f t="shared" si="248"/>
        <v/>
      </c>
      <c r="O317" s="39" t="str">
        <f t="shared" si="249"/>
        <v/>
      </c>
      <c r="P317" s="41" t="str">
        <f t="shared" si="250"/>
        <v/>
      </c>
      <c r="Q317" s="9" t="str">
        <f t="shared" si="251"/>
        <v/>
      </c>
      <c r="R317" s="14">
        <f t="shared" si="252"/>
        <v>0</v>
      </c>
      <c r="S317" s="61" t="str">
        <f t="shared" si="253"/>
        <v/>
      </c>
      <c r="T317" s="14">
        <f t="shared" si="254"/>
        <v>0</v>
      </c>
      <c r="U317" s="58" t="str">
        <f t="shared" si="255"/>
        <v/>
      </c>
      <c r="V317" s="14">
        <f t="shared" si="256"/>
        <v>0</v>
      </c>
      <c r="W317" s="58" t="str">
        <f t="shared" si="257"/>
        <v/>
      </c>
      <c r="X317" s="14">
        <f t="shared" si="258"/>
        <v>0</v>
      </c>
      <c r="Y317" s="58" t="str">
        <f t="shared" si="259"/>
        <v/>
      </c>
      <c r="Z317" s="31">
        <f t="shared" si="260"/>
        <v>0</v>
      </c>
      <c r="AA317" s="21">
        <f t="shared" si="261"/>
        <v>0</v>
      </c>
      <c r="AB317" s="58" t="str">
        <f t="shared" si="262"/>
        <v/>
      </c>
      <c r="AC317" s="630">
        <f t="shared" si="239"/>
        <v>0</v>
      </c>
      <c r="AD317" s="627"/>
      <c r="AE317" s="21">
        <f t="shared" si="263"/>
        <v>0</v>
      </c>
      <c r="AF317" s="58" t="str">
        <f t="shared" si="264"/>
        <v/>
      </c>
      <c r="AG317" s="21">
        <f t="shared" si="265"/>
        <v>0</v>
      </c>
      <c r="AH317" s="58" t="str">
        <f t="shared" si="266"/>
        <v/>
      </c>
      <c r="AI317" s="21">
        <f t="shared" si="267"/>
        <v>0</v>
      </c>
      <c r="AJ317" s="58" t="str">
        <f t="shared" si="268"/>
        <v/>
      </c>
      <c r="AK317" s="31">
        <f t="shared" si="269"/>
        <v>0</v>
      </c>
      <c r="AL317" s="21">
        <f t="shared" si="270"/>
        <v>0</v>
      </c>
      <c r="AM317" s="62" t="str">
        <f t="shared" si="271"/>
        <v/>
      </c>
      <c r="AN317" s="21">
        <f t="shared" si="272"/>
        <v>0</v>
      </c>
      <c r="AO317" s="62" t="str">
        <f t="shared" si="273"/>
        <v/>
      </c>
      <c r="AP317" s="21">
        <f t="shared" si="274"/>
        <v>0</v>
      </c>
      <c r="AQ317" s="62" t="str">
        <f t="shared" si="275"/>
        <v/>
      </c>
      <c r="AR317" s="31">
        <f t="shared" si="276"/>
        <v>0</v>
      </c>
      <c r="AS317" s="21">
        <f t="shared" si="277"/>
        <v>0</v>
      </c>
      <c r="AT317" s="62" t="str">
        <f t="shared" si="278"/>
        <v/>
      </c>
      <c r="AU317" s="84">
        <f t="shared" si="279"/>
        <v>0</v>
      </c>
      <c r="AV317" s="32">
        <f t="shared" si="280"/>
        <v>0</v>
      </c>
      <c r="AW317" s="85" t="str">
        <f t="shared" si="281"/>
        <v/>
      </c>
      <c r="AX317" s="86" t="str">
        <f t="shared" si="282"/>
        <v/>
      </c>
    </row>
    <row r="318" spans="1:50" x14ac:dyDescent="0.2">
      <c r="A318" s="29" t="str">
        <f t="shared" si="241"/>
        <v/>
      </c>
      <c r="B318" s="32" t="str">
        <f t="shared" si="242"/>
        <v/>
      </c>
      <c r="C318" s="35"/>
      <c r="D318" s="33" t="str">
        <f t="shared" si="243"/>
        <v/>
      </c>
      <c r="E318" s="22" t="str">
        <f t="shared" si="244"/>
        <v/>
      </c>
      <c r="F318" s="23" t="str">
        <f t="shared" si="245"/>
        <v/>
      </c>
      <c r="G318" s="23"/>
      <c r="H318" s="22"/>
      <c r="I318" s="23"/>
      <c r="J318" s="18"/>
      <c r="K318" s="13" t="str">
        <f t="shared" si="246"/>
        <v/>
      </c>
      <c r="L318" s="28" t="str">
        <f t="shared" si="240"/>
        <v/>
      </c>
      <c r="M318" s="10" t="str">
        <f t="shared" si="247"/>
        <v/>
      </c>
      <c r="N318" s="17" t="str">
        <f t="shared" si="248"/>
        <v/>
      </c>
      <c r="O318" s="39" t="str">
        <f t="shared" si="249"/>
        <v/>
      </c>
      <c r="P318" s="41" t="str">
        <f t="shared" si="250"/>
        <v/>
      </c>
      <c r="Q318" s="9" t="str">
        <f t="shared" si="251"/>
        <v/>
      </c>
      <c r="R318" s="14">
        <f t="shared" si="252"/>
        <v>0</v>
      </c>
      <c r="S318" s="61" t="str">
        <f t="shared" si="253"/>
        <v/>
      </c>
      <c r="T318" s="14">
        <f t="shared" si="254"/>
        <v>0</v>
      </c>
      <c r="U318" s="58" t="str">
        <f t="shared" si="255"/>
        <v/>
      </c>
      <c r="V318" s="14">
        <f t="shared" si="256"/>
        <v>0</v>
      </c>
      <c r="W318" s="58" t="str">
        <f t="shared" si="257"/>
        <v/>
      </c>
      <c r="X318" s="14">
        <f t="shared" si="258"/>
        <v>0</v>
      </c>
      <c r="Y318" s="58" t="str">
        <f t="shared" si="259"/>
        <v/>
      </c>
      <c r="Z318" s="31">
        <f t="shared" si="260"/>
        <v>0</v>
      </c>
      <c r="AA318" s="21">
        <f t="shared" si="261"/>
        <v>0</v>
      </c>
      <c r="AB318" s="58" t="str">
        <f t="shared" si="262"/>
        <v/>
      </c>
      <c r="AC318" s="630">
        <f t="shared" si="239"/>
        <v>0</v>
      </c>
      <c r="AD318" s="627"/>
      <c r="AE318" s="21">
        <f t="shared" si="263"/>
        <v>0</v>
      </c>
      <c r="AF318" s="58" t="str">
        <f t="shared" si="264"/>
        <v/>
      </c>
      <c r="AG318" s="21">
        <f t="shared" si="265"/>
        <v>0</v>
      </c>
      <c r="AH318" s="58" t="str">
        <f t="shared" si="266"/>
        <v/>
      </c>
      <c r="AI318" s="21">
        <f t="shared" si="267"/>
        <v>0</v>
      </c>
      <c r="AJ318" s="58" t="str">
        <f t="shared" si="268"/>
        <v/>
      </c>
      <c r="AK318" s="31">
        <f t="shared" si="269"/>
        <v>0</v>
      </c>
      <c r="AL318" s="21">
        <f t="shared" si="270"/>
        <v>0</v>
      </c>
      <c r="AM318" s="62" t="str">
        <f t="shared" si="271"/>
        <v/>
      </c>
      <c r="AN318" s="21">
        <f t="shared" si="272"/>
        <v>0</v>
      </c>
      <c r="AO318" s="62" t="str">
        <f t="shared" si="273"/>
        <v/>
      </c>
      <c r="AP318" s="21">
        <f t="shared" si="274"/>
        <v>0</v>
      </c>
      <c r="AQ318" s="62" t="str">
        <f t="shared" si="275"/>
        <v/>
      </c>
      <c r="AR318" s="31">
        <f t="shared" si="276"/>
        <v>0</v>
      </c>
      <c r="AS318" s="21">
        <f t="shared" si="277"/>
        <v>0</v>
      </c>
      <c r="AT318" s="62" t="str">
        <f t="shared" si="278"/>
        <v/>
      </c>
      <c r="AU318" s="84">
        <f t="shared" si="279"/>
        <v>0</v>
      </c>
      <c r="AV318" s="32">
        <f t="shared" si="280"/>
        <v>0</v>
      </c>
      <c r="AW318" s="85" t="str">
        <f t="shared" si="281"/>
        <v/>
      </c>
      <c r="AX318" s="86" t="str">
        <f t="shared" si="282"/>
        <v/>
      </c>
    </row>
    <row r="319" spans="1:50" x14ac:dyDescent="0.2">
      <c r="A319" s="29" t="str">
        <f t="shared" si="241"/>
        <v/>
      </c>
      <c r="B319" s="32" t="str">
        <f t="shared" si="242"/>
        <v/>
      </c>
      <c r="C319" s="35"/>
      <c r="D319" s="33" t="str">
        <f t="shared" si="243"/>
        <v/>
      </c>
      <c r="E319" s="22" t="str">
        <f t="shared" si="244"/>
        <v/>
      </c>
      <c r="F319" s="23" t="str">
        <f t="shared" si="245"/>
        <v/>
      </c>
      <c r="G319" s="23"/>
      <c r="H319" s="22"/>
      <c r="I319" s="23"/>
      <c r="J319" s="18"/>
      <c r="K319" s="13" t="str">
        <f t="shared" si="246"/>
        <v/>
      </c>
      <c r="L319" s="28" t="str">
        <f t="shared" si="240"/>
        <v/>
      </c>
      <c r="M319" s="10" t="str">
        <f t="shared" si="247"/>
        <v/>
      </c>
      <c r="N319" s="17" t="str">
        <f t="shared" si="248"/>
        <v/>
      </c>
      <c r="O319" s="39" t="str">
        <f t="shared" si="249"/>
        <v/>
      </c>
      <c r="P319" s="41" t="str">
        <f t="shared" si="250"/>
        <v/>
      </c>
      <c r="Q319" s="9" t="str">
        <f t="shared" si="251"/>
        <v/>
      </c>
      <c r="R319" s="14">
        <f t="shared" si="252"/>
        <v>0</v>
      </c>
      <c r="S319" s="61" t="str">
        <f t="shared" si="253"/>
        <v/>
      </c>
      <c r="T319" s="14">
        <f t="shared" si="254"/>
        <v>0</v>
      </c>
      <c r="U319" s="58" t="str">
        <f t="shared" si="255"/>
        <v/>
      </c>
      <c r="V319" s="14">
        <f t="shared" si="256"/>
        <v>0</v>
      </c>
      <c r="W319" s="58" t="str">
        <f t="shared" si="257"/>
        <v/>
      </c>
      <c r="X319" s="14">
        <f t="shared" si="258"/>
        <v>0</v>
      </c>
      <c r="Y319" s="58" t="str">
        <f t="shared" si="259"/>
        <v/>
      </c>
      <c r="Z319" s="31">
        <f t="shared" si="260"/>
        <v>0</v>
      </c>
      <c r="AA319" s="21">
        <f t="shared" si="261"/>
        <v>0</v>
      </c>
      <c r="AB319" s="58" t="str">
        <f t="shared" si="262"/>
        <v/>
      </c>
      <c r="AC319" s="630">
        <f t="shared" si="239"/>
        <v>0</v>
      </c>
      <c r="AD319" s="627"/>
      <c r="AE319" s="21">
        <f t="shared" si="263"/>
        <v>0</v>
      </c>
      <c r="AF319" s="58" t="str">
        <f t="shared" si="264"/>
        <v/>
      </c>
      <c r="AG319" s="21">
        <f t="shared" si="265"/>
        <v>0</v>
      </c>
      <c r="AH319" s="58" t="str">
        <f t="shared" si="266"/>
        <v/>
      </c>
      <c r="AI319" s="21">
        <f t="shared" si="267"/>
        <v>0</v>
      </c>
      <c r="AJ319" s="58" t="str">
        <f t="shared" si="268"/>
        <v/>
      </c>
      <c r="AK319" s="31">
        <f t="shared" si="269"/>
        <v>0</v>
      </c>
      <c r="AL319" s="21">
        <f t="shared" si="270"/>
        <v>0</v>
      </c>
      <c r="AM319" s="62" t="str">
        <f t="shared" si="271"/>
        <v/>
      </c>
      <c r="AN319" s="21">
        <f t="shared" si="272"/>
        <v>0</v>
      </c>
      <c r="AO319" s="62" t="str">
        <f t="shared" si="273"/>
        <v/>
      </c>
      <c r="AP319" s="21">
        <f t="shared" si="274"/>
        <v>0</v>
      </c>
      <c r="AQ319" s="62" t="str">
        <f t="shared" si="275"/>
        <v/>
      </c>
      <c r="AR319" s="31">
        <f t="shared" si="276"/>
        <v>0</v>
      </c>
      <c r="AS319" s="21">
        <f t="shared" si="277"/>
        <v>0</v>
      </c>
      <c r="AT319" s="62" t="str">
        <f t="shared" si="278"/>
        <v/>
      </c>
      <c r="AU319" s="84">
        <f t="shared" si="279"/>
        <v>0</v>
      </c>
      <c r="AV319" s="32">
        <f t="shared" si="280"/>
        <v>0</v>
      </c>
      <c r="AW319" s="85" t="str">
        <f t="shared" si="281"/>
        <v/>
      </c>
      <c r="AX319" s="86" t="str">
        <f t="shared" si="282"/>
        <v/>
      </c>
    </row>
    <row r="320" spans="1:50" x14ac:dyDescent="0.2">
      <c r="A320" s="29" t="str">
        <f t="shared" si="241"/>
        <v/>
      </c>
      <c r="B320" s="32" t="str">
        <f t="shared" si="242"/>
        <v/>
      </c>
      <c r="C320" s="35"/>
      <c r="D320" s="33" t="str">
        <f t="shared" si="243"/>
        <v/>
      </c>
      <c r="E320" s="22" t="str">
        <f t="shared" si="244"/>
        <v/>
      </c>
      <c r="F320" s="23" t="str">
        <f t="shared" si="245"/>
        <v/>
      </c>
      <c r="G320" s="23"/>
      <c r="H320" s="22"/>
      <c r="I320" s="23"/>
      <c r="J320" s="18"/>
      <c r="K320" s="13" t="str">
        <f t="shared" si="246"/>
        <v/>
      </c>
      <c r="L320" s="28" t="str">
        <f t="shared" si="240"/>
        <v/>
      </c>
      <c r="M320" s="10" t="str">
        <f t="shared" si="247"/>
        <v/>
      </c>
      <c r="N320" s="17" t="str">
        <f t="shared" si="248"/>
        <v/>
      </c>
      <c r="O320" s="39" t="str">
        <f t="shared" si="249"/>
        <v/>
      </c>
      <c r="P320" s="41" t="str">
        <f t="shared" si="250"/>
        <v/>
      </c>
      <c r="Q320" s="9" t="str">
        <f t="shared" si="251"/>
        <v/>
      </c>
      <c r="R320" s="14">
        <f t="shared" si="252"/>
        <v>0</v>
      </c>
      <c r="S320" s="61" t="str">
        <f t="shared" si="253"/>
        <v/>
      </c>
      <c r="T320" s="14">
        <f t="shared" si="254"/>
        <v>0</v>
      </c>
      <c r="U320" s="58" t="str">
        <f t="shared" si="255"/>
        <v/>
      </c>
      <c r="V320" s="14">
        <f t="shared" si="256"/>
        <v>0</v>
      </c>
      <c r="W320" s="58" t="str">
        <f t="shared" si="257"/>
        <v/>
      </c>
      <c r="X320" s="14">
        <f t="shared" si="258"/>
        <v>0</v>
      </c>
      <c r="Y320" s="58" t="str">
        <f t="shared" si="259"/>
        <v/>
      </c>
      <c r="Z320" s="31">
        <f t="shared" si="260"/>
        <v>0</v>
      </c>
      <c r="AA320" s="21">
        <f t="shared" si="261"/>
        <v>0</v>
      </c>
      <c r="AB320" s="58" t="str">
        <f t="shared" si="262"/>
        <v/>
      </c>
      <c r="AC320" s="630">
        <f t="shared" si="239"/>
        <v>0</v>
      </c>
      <c r="AD320" s="627"/>
      <c r="AE320" s="21">
        <f t="shared" si="263"/>
        <v>0</v>
      </c>
      <c r="AF320" s="58" t="str">
        <f t="shared" si="264"/>
        <v/>
      </c>
      <c r="AG320" s="21">
        <f t="shared" si="265"/>
        <v>0</v>
      </c>
      <c r="AH320" s="58" t="str">
        <f t="shared" si="266"/>
        <v/>
      </c>
      <c r="AI320" s="21">
        <f t="shared" si="267"/>
        <v>0</v>
      </c>
      <c r="AJ320" s="58" t="str">
        <f t="shared" si="268"/>
        <v/>
      </c>
      <c r="AK320" s="31">
        <f t="shared" si="269"/>
        <v>0</v>
      </c>
      <c r="AL320" s="21">
        <f t="shared" si="270"/>
        <v>0</v>
      </c>
      <c r="AM320" s="62" t="str">
        <f t="shared" si="271"/>
        <v/>
      </c>
      <c r="AN320" s="21">
        <f t="shared" si="272"/>
        <v>0</v>
      </c>
      <c r="AO320" s="62" t="str">
        <f t="shared" si="273"/>
        <v/>
      </c>
      <c r="AP320" s="21">
        <f t="shared" si="274"/>
        <v>0</v>
      </c>
      <c r="AQ320" s="62" t="str">
        <f t="shared" si="275"/>
        <v/>
      </c>
      <c r="AR320" s="31">
        <f t="shared" si="276"/>
        <v>0</v>
      </c>
      <c r="AS320" s="21">
        <f t="shared" si="277"/>
        <v>0</v>
      </c>
      <c r="AT320" s="62" t="str">
        <f t="shared" si="278"/>
        <v/>
      </c>
      <c r="AU320" s="84">
        <f t="shared" si="279"/>
        <v>0</v>
      </c>
      <c r="AV320" s="32">
        <f t="shared" si="280"/>
        <v>0</v>
      </c>
      <c r="AW320" s="85" t="str">
        <f t="shared" si="281"/>
        <v/>
      </c>
      <c r="AX320" s="86" t="str">
        <f t="shared" si="282"/>
        <v/>
      </c>
    </row>
    <row r="321" spans="1:50" x14ac:dyDescent="0.2">
      <c r="A321" s="29" t="str">
        <f t="shared" si="241"/>
        <v/>
      </c>
      <c r="B321" s="32" t="str">
        <f t="shared" si="242"/>
        <v/>
      </c>
      <c r="C321" s="35"/>
      <c r="D321" s="33" t="str">
        <f t="shared" si="243"/>
        <v/>
      </c>
      <c r="E321" s="22" t="str">
        <f t="shared" si="244"/>
        <v/>
      </c>
      <c r="F321" s="23" t="str">
        <f t="shared" si="245"/>
        <v/>
      </c>
      <c r="G321" s="23"/>
      <c r="H321" s="22"/>
      <c r="I321" s="23"/>
      <c r="J321" s="18"/>
      <c r="K321" s="13" t="str">
        <f t="shared" si="246"/>
        <v/>
      </c>
      <c r="L321" s="28" t="str">
        <f t="shared" si="240"/>
        <v/>
      </c>
      <c r="M321" s="10" t="str">
        <f t="shared" si="247"/>
        <v/>
      </c>
      <c r="N321" s="17" t="str">
        <f t="shared" si="248"/>
        <v/>
      </c>
      <c r="O321" s="39" t="str">
        <f t="shared" si="249"/>
        <v/>
      </c>
      <c r="P321" s="41" t="str">
        <f t="shared" si="250"/>
        <v/>
      </c>
      <c r="Q321" s="9" t="str">
        <f t="shared" si="251"/>
        <v/>
      </c>
      <c r="R321" s="14">
        <f t="shared" si="252"/>
        <v>0</v>
      </c>
      <c r="S321" s="61" t="str">
        <f t="shared" si="253"/>
        <v/>
      </c>
      <c r="T321" s="14">
        <f t="shared" si="254"/>
        <v>0</v>
      </c>
      <c r="U321" s="58" t="str">
        <f t="shared" si="255"/>
        <v/>
      </c>
      <c r="V321" s="14">
        <f t="shared" si="256"/>
        <v>0</v>
      </c>
      <c r="W321" s="58" t="str">
        <f t="shared" si="257"/>
        <v/>
      </c>
      <c r="X321" s="14">
        <f t="shared" si="258"/>
        <v>0</v>
      </c>
      <c r="Y321" s="58" t="str">
        <f t="shared" si="259"/>
        <v/>
      </c>
      <c r="Z321" s="31">
        <f t="shared" si="260"/>
        <v>0</v>
      </c>
      <c r="AA321" s="21">
        <f t="shared" si="261"/>
        <v>0</v>
      </c>
      <c r="AB321" s="58" t="str">
        <f t="shared" si="262"/>
        <v/>
      </c>
      <c r="AC321" s="630">
        <f t="shared" si="239"/>
        <v>0</v>
      </c>
      <c r="AD321" s="627"/>
      <c r="AE321" s="21">
        <f t="shared" si="263"/>
        <v>0</v>
      </c>
      <c r="AF321" s="58" t="str">
        <f t="shared" si="264"/>
        <v/>
      </c>
      <c r="AG321" s="21">
        <f t="shared" si="265"/>
        <v>0</v>
      </c>
      <c r="AH321" s="58" t="str">
        <f t="shared" si="266"/>
        <v/>
      </c>
      <c r="AI321" s="21">
        <f t="shared" si="267"/>
        <v>0</v>
      </c>
      <c r="AJ321" s="58" t="str">
        <f t="shared" si="268"/>
        <v/>
      </c>
      <c r="AK321" s="31">
        <f t="shared" si="269"/>
        <v>0</v>
      </c>
      <c r="AL321" s="21">
        <f t="shared" si="270"/>
        <v>0</v>
      </c>
      <c r="AM321" s="62" t="str">
        <f t="shared" si="271"/>
        <v/>
      </c>
      <c r="AN321" s="21">
        <f t="shared" si="272"/>
        <v>0</v>
      </c>
      <c r="AO321" s="62" t="str">
        <f t="shared" si="273"/>
        <v/>
      </c>
      <c r="AP321" s="21">
        <f t="shared" si="274"/>
        <v>0</v>
      </c>
      <c r="AQ321" s="62" t="str">
        <f t="shared" si="275"/>
        <v/>
      </c>
      <c r="AR321" s="31">
        <f t="shared" si="276"/>
        <v>0</v>
      </c>
      <c r="AS321" s="21">
        <f t="shared" si="277"/>
        <v>0</v>
      </c>
      <c r="AT321" s="62" t="str">
        <f t="shared" si="278"/>
        <v/>
      </c>
      <c r="AU321" s="84">
        <f t="shared" si="279"/>
        <v>0</v>
      </c>
      <c r="AV321" s="32">
        <f t="shared" si="280"/>
        <v>0</v>
      </c>
      <c r="AW321" s="85" t="str">
        <f t="shared" si="281"/>
        <v/>
      </c>
      <c r="AX321" s="86" t="str">
        <f t="shared" si="282"/>
        <v/>
      </c>
    </row>
    <row r="322" spans="1:50" x14ac:dyDescent="0.2">
      <c r="A322" s="29" t="str">
        <f t="shared" si="241"/>
        <v/>
      </c>
      <c r="B322" s="32" t="str">
        <f t="shared" si="242"/>
        <v/>
      </c>
      <c r="C322" s="35"/>
      <c r="D322" s="33" t="str">
        <f t="shared" si="243"/>
        <v/>
      </c>
      <c r="E322" s="22" t="str">
        <f t="shared" si="244"/>
        <v/>
      </c>
      <c r="F322" s="23" t="str">
        <f t="shared" si="245"/>
        <v/>
      </c>
      <c r="G322" s="23"/>
      <c r="H322" s="22"/>
      <c r="I322" s="23"/>
      <c r="J322" s="18"/>
      <c r="K322" s="13" t="str">
        <f t="shared" si="246"/>
        <v/>
      </c>
      <c r="L322" s="28" t="str">
        <f t="shared" si="240"/>
        <v/>
      </c>
      <c r="M322" s="10" t="str">
        <f t="shared" si="247"/>
        <v/>
      </c>
      <c r="N322" s="17" t="str">
        <f t="shared" si="248"/>
        <v/>
      </c>
      <c r="O322" s="39" t="str">
        <f t="shared" si="249"/>
        <v/>
      </c>
      <c r="P322" s="41" t="str">
        <f t="shared" si="250"/>
        <v/>
      </c>
      <c r="Q322" s="9" t="str">
        <f t="shared" si="251"/>
        <v/>
      </c>
      <c r="R322" s="14">
        <f t="shared" si="252"/>
        <v>0</v>
      </c>
      <c r="S322" s="61" t="str">
        <f t="shared" si="253"/>
        <v/>
      </c>
      <c r="T322" s="14">
        <f t="shared" si="254"/>
        <v>0</v>
      </c>
      <c r="U322" s="58" t="str">
        <f t="shared" si="255"/>
        <v/>
      </c>
      <c r="V322" s="14">
        <f t="shared" si="256"/>
        <v>0</v>
      </c>
      <c r="W322" s="58" t="str">
        <f t="shared" si="257"/>
        <v/>
      </c>
      <c r="X322" s="14">
        <f t="shared" si="258"/>
        <v>0</v>
      </c>
      <c r="Y322" s="58" t="str">
        <f t="shared" si="259"/>
        <v/>
      </c>
      <c r="Z322" s="31">
        <f t="shared" si="260"/>
        <v>0</v>
      </c>
      <c r="AA322" s="21">
        <f t="shared" si="261"/>
        <v>0</v>
      </c>
      <c r="AB322" s="58" t="str">
        <f t="shared" si="262"/>
        <v/>
      </c>
      <c r="AC322" s="630">
        <f t="shared" si="239"/>
        <v>0</v>
      </c>
      <c r="AD322" s="627"/>
      <c r="AE322" s="21">
        <f t="shared" si="263"/>
        <v>0</v>
      </c>
      <c r="AF322" s="58" t="str">
        <f t="shared" si="264"/>
        <v/>
      </c>
      <c r="AG322" s="21">
        <f t="shared" si="265"/>
        <v>0</v>
      </c>
      <c r="AH322" s="58" t="str">
        <f t="shared" si="266"/>
        <v/>
      </c>
      <c r="AI322" s="21">
        <f t="shared" si="267"/>
        <v>0</v>
      </c>
      <c r="AJ322" s="58" t="str">
        <f t="shared" si="268"/>
        <v/>
      </c>
      <c r="AK322" s="31">
        <f t="shared" si="269"/>
        <v>0</v>
      </c>
      <c r="AL322" s="21">
        <f t="shared" si="270"/>
        <v>0</v>
      </c>
      <c r="AM322" s="62" t="str">
        <f t="shared" si="271"/>
        <v/>
      </c>
      <c r="AN322" s="21">
        <f t="shared" si="272"/>
        <v>0</v>
      </c>
      <c r="AO322" s="62" t="str">
        <f t="shared" si="273"/>
        <v/>
      </c>
      <c r="AP322" s="21">
        <f t="shared" si="274"/>
        <v>0</v>
      </c>
      <c r="AQ322" s="62" t="str">
        <f t="shared" si="275"/>
        <v/>
      </c>
      <c r="AR322" s="31">
        <f t="shared" si="276"/>
        <v>0</v>
      </c>
      <c r="AS322" s="21">
        <f t="shared" si="277"/>
        <v>0</v>
      </c>
      <c r="AT322" s="62" t="str">
        <f t="shared" si="278"/>
        <v/>
      </c>
      <c r="AU322" s="84">
        <f t="shared" si="279"/>
        <v>0</v>
      </c>
      <c r="AV322" s="32">
        <f t="shared" si="280"/>
        <v>0</v>
      </c>
      <c r="AW322" s="85" t="str">
        <f t="shared" si="281"/>
        <v/>
      </c>
      <c r="AX322" s="86" t="str">
        <f t="shared" si="282"/>
        <v/>
      </c>
    </row>
    <row r="323" spans="1:50" x14ac:dyDescent="0.2">
      <c r="A323" s="29" t="str">
        <f t="shared" si="241"/>
        <v/>
      </c>
      <c r="B323" s="32" t="str">
        <f t="shared" si="242"/>
        <v/>
      </c>
      <c r="C323" s="35"/>
      <c r="D323" s="33" t="str">
        <f t="shared" si="243"/>
        <v/>
      </c>
      <c r="E323" s="22" t="str">
        <f t="shared" si="244"/>
        <v/>
      </c>
      <c r="F323" s="23" t="str">
        <f t="shared" si="245"/>
        <v/>
      </c>
      <c r="G323" s="23"/>
      <c r="H323" s="22"/>
      <c r="I323" s="23"/>
      <c r="J323" s="18"/>
      <c r="K323" s="13" t="str">
        <f t="shared" si="246"/>
        <v/>
      </c>
      <c r="L323" s="28" t="str">
        <f t="shared" si="240"/>
        <v/>
      </c>
      <c r="M323" s="10" t="str">
        <f t="shared" si="247"/>
        <v/>
      </c>
      <c r="N323" s="17" t="str">
        <f t="shared" si="248"/>
        <v/>
      </c>
      <c r="O323" s="39" t="str">
        <f t="shared" si="249"/>
        <v/>
      </c>
      <c r="P323" s="41" t="str">
        <f t="shared" si="250"/>
        <v/>
      </c>
      <c r="Q323" s="9" t="str">
        <f t="shared" si="251"/>
        <v/>
      </c>
      <c r="R323" s="14">
        <f t="shared" si="252"/>
        <v>0</v>
      </c>
      <c r="S323" s="61" t="str">
        <f t="shared" si="253"/>
        <v/>
      </c>
      <c r="T323" s="14">
        <f t="shared" si="254"/>
        <v>0</v>
      </c>
      <c r="U323" s="58" t="str">
        <f t="shared" si="255"/>
        <v/>
      </c>
      <c r="V323" s="14">
        <f t="shared" si="256"/>
        <v>0</v>
      </c>
      <c r="W323" s="58" t="str">
        <f t="shared" si="257"/>
        <v/>
      </c>
      <c r="X323" s="14">
        <f t="shared" si="258"/>
        <v>0</v>
      </c>
      <c r="Y323" s="58" t="str">
        <f t="shared" si="259"/>
        <v/>
      </c>
      <c r="Z323" s="31">
        <f t="shared" si="260"/>
        <v>0</v>
      </c>
      <c r="AA323" s="21">
        <f t="shared" si="261"/>
        <v>0</v>
      </c>
      <c r="AB323" s="58" t="str">
        <f t="shared" si="262"/>
        <v/>
      </c>
      <c r="AC323" s="630">
        <f t="shared" si="239"/>
        <v>0</v>
      </c>
      <c r="AD323" s="627"/>
      <c r="AE323" s="21">
        <f t="shared" si="263"/>
        <v>0</v>
      </c>
      <c r="AF323" s="58" t="str">
        <f t="shared" si="264"/>
        <v/>
      </c>
      <c r="AG323" s="21">
        <f t="shared" si="265"/>
        <v>0</v>
      </c>
      <c r="AH323" s="58" t="str">
        <f t="shared" si="266"/>
        <v/>
      </c>
      <c r="AI323" s="21">
        <f t="shared" si="267"/>
        <v>0</v>
      </c>
      <c r="AJ323" s="58" t="str">
        <f t="shared" si="268"/>
        <v/>
      </c>
      <c r="AK323" s="31">
        <f t="shared" si="269"/>
        <v>0</v>
      </c>
      <c r="AL323" s="21">
        <f t="shared" si="270"/>
        <v>0</v>
      </c>
      <c r="AM323" s="62" t="str">
        <f t="shared" si="271"/>
        <v/>
      </c>
      <c r="AN323" s="21">
        <f t="shared" si="272"/>
        <v>0</v>
      </c>
      <c r="AO323" s="62" t="str">
        <f t="shared" si="273"/>
        <v/>
      </c>
      <c r="AP323" s="21">
        <f t="shared" si="274"/>
        <v>0</v>
      </c>
      <c r="AQ323" s="62" t="str">
        <f t="shared" si="275"/>
        <v/>
      </c>
      <c r="AR323" s="31">
        <f t="shared" si="276"/>
        <v>0</v>
      </c>
      <c r="AS323" s="21">
        <f t="shared" si="277"/>
        <v>0</v>
      </c>
      <c r="AT323" s="62" t="str">
        <f t="shared" si="278"/>
        <v/>
      </c>
      <c r="AU323" s="84">
        <f t="shared" si="279"/>
        <v>0</v>
      </c>
      <c r="AV323" s="32">
        <f t="shared" si="280"/>
        <v>0</v>
      </c>
      <c r="AW323" s="85" t="str">
        <f t="shared" si="281"/>
        <v/>
      </c>
      <c r="AX323" s="86" t="str">
        <f t="shared" si="282"/>
        <v/>
      </c>
    </row>
    <row r="324" spans="1:50" x14ac:dyDescent="0.2">
      <c r="A324" s="29" t="str">
        <f t="shared" si="241"/>
        <v/>
      </c>
      <c r="B324" s="32" t="str">
        <f t="shared" si="242"/>
        <v/>
      </c>
      <c r="C324" s="35"/>
      <c r="D324" s="33" t="str">
        <f t="shared" si="243"/>
        <v/>
      </c>
      <c r="E324" s="22" t="str">
        <f t="shared" si="244"/>
        <v/>
      </c>
      <c r="F324" s="23" t="str">
        <f t="shared" si="245"/>
        <v/>
      </c>
      <c r="G324" s="23"/>
      <c r="H324" s="22"/>
      <c r="I324" s="23"/>
      <c r="J324" s="18"/>
      <c r="K324" s="13" t="str">
        <f t="shared" si="246"/>
        <v/>
      </c>
      <c r="L324" s="28" t="str">
        <f t="shared" si="240"/>
        <v/>
      </c>
      <c r="M324" s="10" t="str">
        <f t="shared" si="247"/>
        <v/>
      </c>
      <c r="N324" s="17" t="str">
        <f t="shared" si="248"/>
        <v/>
      </c>
      <c r="O324" s="39" t="str">
        <f t="shared" si="249"/>
        <v/>
      </c>
      <c r="P324" s="41" t="str">
        <f t="shared" si="250"/>
        <v/>
      </c>
      <c r="Q324" s="9" t="str">
        <f t="shared" si="251"/>
        <v/>
      </c>
      <c r="R324" s="14">
        <f t="shared" si="252"/>
        <v>0</v>
      </c>
      <c r="S324" s="61" t="str">
        <f t="shared" si="253"/>
        <v/>
      </c>
      <c r="T324" s="14">
        <f t="shared" si="254"/>
        <v>0</v>
      </c>
      <c r="U324" s="58" t="str">
        <f t="shared" si="255"/>
        <v/>
      </c>
      <c r="V324" s="14">
        <f t="shared" si="256"/>
        <v>0</v>
      </c>
      <c r="W324" s="58" t="str">
        <f t="shared" si="257"/>
        <v/>
      </c>
      <c r="X324" s="14">
        <f t="shared" si="258"/>
        <v>0</v>
      </c>
      <c r="Y324" s="58" t="str">
        <f t="shared" si="259"/>
        <v/>
      </c>
      <c r="Z324" s="31">
        <f t="shared" si="260"/>
        <v>0</v>
      </c>
      <c r="AA324" s="21">
        <f t="shared" si="261"/>
        <v>0</v>
      </c>
      <c r="AB324" s="58" t="str">
        <f t="shared" si="262"/>
        <v/>
      </c>
      <c r="AC324" s="630">
        <f t="shared" si="239"/>
        <v>0</v>
      </c>
      <c r="AD324" s="627"/>
      <c r="AE324" s="21">
        <f t="shared" si="263"/>
        <v>0</v>
      </c>
      <c r="AF324" s="58" t="str">
        <f t="shared" si="264"/>
        <v/>
      </c>
      <c r="AG324" s="21">
        <f t="shared" si="265"/>
        <v>0</v>
      </c>
      <c r="AH324" s="58" t="str">
        <f t="shared" si="266"/>
        <v/>
      </c>
      <c r="AI324" s="21">
        <f t="shared" si="267"/>
        <v>0</v>
      </c>
      <c r="AJ324" s="58" t="str">
        <f t="shared" si="268"/>
        <v/>
      </c>
      <c r="AK324" s="31">
        <f t="shared" si="269"/>
        <v>0</v>
      </c>
      <c r="AL324" s="21">
        <f t="shared" si="270"/>
        <v>0</v>
      </c>
      <c r="AM324" s="62" t="str">
        <f t="shared" si="271"/>
        <v/>
      </c>
      <c r="AN324" s="21">
        <f t="shared" si="272"/>
        <v>0</v>
      </c>
      <c r="AO324" s="62" t="str">
        <f t="shared" si="273"/>
        <v/>
      </c>
      <c r="AP324" s="21">
        <f t="shared" si="274"/>
        <v>0</v>
      </c>
      <c r="AQ324" s="62" t="str">
        <f t="shared" si="275"/>
        <v/>
      </c>
      <c r="AR324" s="31">
        <f t="shared" si="276"/>
        <v>0</v>
      </c>
      <c r="AS324" s="21">
        <f t="shared" si="277"/>
        <v>0</v>
      </c>
      <c r="AT324" s="62" t="str">
        <f t="shared" si="278"/>
        <v/>
      </c>
      <c r="AU324" s="84">
        <f t="shared" si="279"/>
        <v>0</v>
      </c>
      <c r="AV324" s="32">
        <f t="shared" si="280"/>
        <v>0</v>
      </c>
      <c r="AW324" s="85" t="str">
        <f t="shared" si="281"/>
        <v/>
      </c>
      <c r="AX324" s="86" t="str">
        <f t="shared" si="282"/>
        <v/>
      </c>
    </row>
    <row r="325" spans="1:50" x14ac:dyDescent="0.2">
      <c r="A325" s="29" t="str">
        <f t="shared" si="241"/>
        <v/>
      </c>
      <c r="B325" s="32" t="str">
        <f t="shared" si="242"/>
        <v/>
      </c>
      <c r="C325" s="35"/>
      <c r="D325" s="33" t="str">
        <f t="shared" si="243"/>
        <v/>
      </c>
      <c r="E325" s="22" t="str">
        <f t="shared" si="244"/>
        <v/>
      </c>
      <c r="F325" s="23" t="str">
        <f t="shared" si="245"/>
        <v/>
      </c>
      <c r="G325" s="23"/>
      <c r="H325" s="22"/>
      <c r="I325" s="23"/>
      <c r="J325" s="18"/>
      <c r="K325" s="13" t="str">
        <f t="shared" si="246"/>
        <v/>
      </c>
      <c r="L325" s="28" t="str">
        <f t="shared" si="240"/>
        <v/>
      </c>
      <c r="M325" s="10" t="str">
        <f t="shared" si="247"/>
        <v/>
      </c>
      <c r="N325" s="17" t="str">
        <f t="shared" si="248"/>
        <v/>
      </c>
      <c r="O325" s="39" t="str">
        <f t="shared" si="249"/>
        <v/>
      </c>
      <c r="P325" s="41" t="str">
        <f t="shared" si="250"/>
        <v/>
      </c>
      <c r="Q325" s="9" t="str">
        <f t="shared" si="251"/>
        <v/>
      </c>
      <c r="R325" s="14">
        <f t="shared" si="252"/>
        <v>0</v>
      </c>
      <c r="S325" s="61" t="str">
        <f t="shared" si="253"/>
        <v/>
      </c>
      <c r="T325" s="14">
        <f t="shared" si="254"/>
        <v>0</v>
      </c>
      <c r="U325" s="58" t="str">
        <f t="shared" si="255"/>
        <v/>
      </c>
      <c r="V325" s="14">
        <f t="shared" si="256"/>
        <v>0</v>
      </c>
      <c r="W325" s="58" t="str">
        <f t="shared" si="257"/>
        <v/>
      </c>
      <c r="X325" s="14">
        <f t="shared" si="258"/>
        <v>0</v>
      </c>
      <c r="Y325" s="58" t="str">
        <f t="shared" si="259"/>
        <v/>
      </c>
      <c r="Z325" s="31">
        <f t="shared" si="260"/>
        <v>0</v>
      </c>
      <c r="AA325" s="21">
        <f t="shared" si="261"/>
        <v>0</v>
      </c>
      <c r="AB325" s="58" t="str">
        <f t="shared" si="262"/>
        <v/>
      </c>
      <c r="AC325" s="630">
        <f t="shared" si="239"/>
        <v>0</v>
      </c>
      <c r="AD325" s="627"/>
      <c r="AE325" s="21">
        <f t="shared" si="263"/>
        <v>0</v>
      </c>
      <c r="AF325" s="58" t="str">
        <f t="shared" si="264"/>
        <v/>
      </c>
      <c r="AG325" s="21">
        <f t="shared" si="265"/>
        <v>0</v>
      </c>
      <c r="AH325" s="58" t="str">
        <f t="shared" si="266"/>
        <v/>
      </c>
      <c r="AI325" s="21">
        <f t="shared" si="267"/>
        <v>0</v>
      </c>
      <c r="AJ325" s="58" t="str">
        <f t="shared" si="268"/>
        <v/>
      </c>
      <c r="AK325" s="31">
        <f t="shared" si="269"/>
        <v>0</v>
      </c>
      <c r="AL325" s="21">
        <f t="shared" si="270"/>
        <v>0</v>
      </c>
      <c r="AM325" s="62" t="str">
        <f t="shared" si="271"/>
        <v/>
      </c>
      <c r="AN325" s="21">
        <f t="shared" si="272"/>
        <v>0</v>
      </c>
      <c r="AO325" s="62" t="str">
        <f t="shared" si="273"/>
        <v/>
      </c>
      <c r="AP325" s="21">
        <f t="shared" si="274"/>
        <v>0</v>
      </c>
      <c r="AQ325" s="62" t="str">
        <f t="shared" si="275"/>
        <v/>
      </c>
      <c r="AR325" s="31">
        <f t="shared" si="276"/>
        <v>0</v>
      </c>
      <c r="AS325" s="21">
        <f t="shared" si="277"/>
        <v>0</v>
      </c>
      <c r="AT325" s="62" t="str">
        <f t="shared" si="278"/>
        <v/>
      </c>
      <c r="AU325" s="84">
        <f t="shared" si="279"/>
        <v>0</v>
      </c>
      <c r="AV325" s="32">
        <f t="shared" si="280"/>
        <v>0</v>
      </c>
      <c r="AW325" s="85" t="str">
        <f t="shared" si="281"/>
        <v/>
      </c>
      <c r="AX325" s="86" t="str">
        <f t="shared" si="282"/>
        <v/>
      </c>
    </row>
    <row r="326" spans="1:50" x14ac:dyDescent="0.2">
      <c r="A326" s="29" t="str">
        <f t="shared" si="241"/>
        <v/>
      </c>
      <c r="B326" s="32" t="str">
        <f t="shared" si="242"/>
        <v/>
      </c>
      <c r="C326" s="35"/>
      <c r="D326" s="33" t="str">
        <f t="shared" si="243"/>
        <v/>
      </c>
      <c r="E326" s="22" t="str">
        <f t="shared" si="244"/>
        <v/>
      </c>
      <c r="F326" s="23" t="str">
        <f t="shared" si="245"/>
        <v/>
      </c>
      <c r="G326" s="23"/>
      <c r="H326" s="22"/>
      <c r="I326" s="23"/>
      <c r="J326" s="18"/>
      <c r="K326" s="13" t="str">
        <f t="shared" si="246"/>
        <v/>
      </c>
      <c r="L326" s="28" t="str">
        <f t="shared" si="240"/>
        <v/>
      </c>
      <c r="M326" s="10" t="str">
        <f t="shared" si="247"/>
        <v/>
      </c>
      <c r="N326" s="17" t="str">
        <f t="shared" si="248"/>
        <v/>
      </c>
      <c r="O326" s="39" t="str">
        <f t="shared" si="249"/>
        <v/>
      </c>
      <c r="P326" s="41" t="str">
        <f t="shared" si="250"/>
        <v/>
      </c>
      <c r="Q326" s="9" t="str">
        <f t="shared" si="251"/>
        <v/>
      </c>
      <c r="R326" s="14">
        <f t="shared" si="252"/>
        <v>0</v>
      </c>
      <c r="S326" s="61" t="str">
        <f t="shared" si="253"/>
        <v/>
      </c>
      <c r="T326" s="14">
        <f t="shared" si="254"/>
        <v>0</v>
      </c>
      <c r="U326" s="58" t="str">
        <f t="shared" si="255"/>
        <v/>
      </c>
      <c r="V326" s="14">
        <f t="shared" si="256"/>
        <v>0</v>
      </c>
      <c r="W326" s="58" t="str">
        <f t="shared" si="257"/>
        <v/>
      </c>
      <c r="X326" s="14">
        <f t="shared" si="258"/>
        <v>0</v>
      </c>
      <c r="Y326" s="58" t="str">
        <f t="shared" si="259"/>
        <v/>
      </c>
      <c r="Z326" s="31">
        <f t="shared" si="260"/>
        <v>0</v>
      </c>
      <c r="AA326" s="21">
        <f t="shared" si="261"/>
        <v>0</v>
      </c>
      <c r="AB326" s="58" t="str">
        <f t="shared" si="262"/>
        <v/>
      </c>
      <c r="AC326" s="630">
        <f t="shared" si="239"/>
        <v>0</v>
      </c>
      <c r="AD326" s="627"/>
      <c r="AE326" s="21">
        <f t="shared" si="263"/>
        <v>0</v>
      </c>
      <c r="AF326" s="58" t="str">
        <f t="shared" si="264"/>
        <v/>
      </c>
      <c r="AG326" s="21">
        <f t="shared" si="265"/>
        <v>0</v>
      </c>
      <c r="AH326" s="58" t="str">
        <f t="shared" si="266"/>
        <v/>
      </c>
      <c r="AI326" s="21">
        <f t="shared" si="267"/>
        <v>0</v>
      </c>
      <c r="AJ326" s="58" t="str">
        <f t="shared" si="268"/>
        <v/>
      </c>
      <c r="AK326" s="31">
        <f t="shared" si="269"/>
        <v>0</v>
      </c>
      <c r="AL326" s="21">
        <f t="shared" si="270"/>
        <v>0</v>
      </c>
      <c r="AM326" s="62" t="str">
        <f t="shared" si="271"/>
        <v/>
      </c>
      <c r="AN326" s="21">
        <f t="shared" si="272"/>
        <v>0</v>
      </c>
      <c r="AO326" s="62" t="str">
        <f t="shared" si="273"/>
        <v/>
      </c>
      <c r="AP326" s="21">
        <f t="shared" si="274"/>
        <v>0</v>
      </c>
      <c r="AQ326" s="62" t="str">
        <f t="shared" si="275"/>
        <v/>
      </c>
      <c r="AR326" s="31">
        <f t="shared" si="276"/>
        <v>0</v>
      </c>
      <c r="AS326" s="21">
        <f t="shared" si="277"/>
        <v>0</v>
      </c>
      <c r="AT326" s="62" t="str">
        <f t="shared" si="278"/>
        <v/>
      </c>
      <c r="AU326" s="84">
        <f t="shared" si="279"/>
        <v>0</v>
      </c>
      <c r="AV326" s="32">
        <f t="shared" si="280"/>
        <v>0</v>
      </c>
      <c r="AW326" s="85" t="str">
        <f t="shared" si="281"/>
        <v/>
      </c>
      <c r="AX326" s="86" t="str">
        <f t="shared" si="282"/>
        <v/>
      </c>
    </row>
    <row r="327" spans="1:50" x14ac:dyDescent="0.2">
      <c r="A327" s="29" t="str">
        <f t="shared" si="241"/>
        <v/>
      </c>
      <c r="B327" s="32" t="str">
        <f t="shared" si="242"/>
        <v/>
      </c>
      <c r="C327" s="35"/>
      <c r="D327" s="33" t="str">
        <f t="shared" si="243"/>
        <v/>
      </c>
      <c r="E327" s="22" t="str">
        <f t="shared" si="244"/>
        <v/>
      </c>
      <c r="F327" s="23" t="str">
        <f t="shared" si="245"/>
        <v/>
      </c>
      <c r="G327" s="23"/>
      <c r="H327" s="22"/>
      <c r="I327" s="23"/>
      <c r="J327" s="18"/>
      <c r="K327" s="13" t="str">
        <f t="shared" si="246"/>
        <v/>
      </c>
      <c r="L327" s="28" t="str">
        <f t="shared" si="240"/>
        <v/>
      </c>
      <c r="M327" s="10" t="str">
        <f t="shared" si="247"/>
        <v/>
      </c>
      <c r="N327" s="17" t="str">
        <f t="shared" si="248"/>
        <v/>
      </c>
      <c r="O327" s="39" t="str">
        <f t="shared" si="249"/>
        <v/>
      </c>
      <c r="P327" s="41" t="str">
        <f t="shared" si="250"/>
        <v/>
      </c>
      <c r="Q327" s="9" t="str">
        <f t="shared" si="251"/>
        <v/>
      </c>
      <c r="R327" s="14">
        <f t="shared" si="252"/>
        <v>0</v>
      </c>
      <c r="S327" s="61" t="str">
        <f t="shared" si="253"/>
        <v/>
      </c>
      <c r="T327" s="14">
        <f t="shared" si="254"/>
        <v>0</v>
      </c>
      <c r="U327" s="58" t="str">
        <f t="shared" si="255"/>
        <v/>
      </c>
      <c r="V327" s="14">
        <f t="shared" si="256"/>
        <v>0</v>
      </c>
      <c r="W327" s="58" t="str">
        <f t="shared" si="257"/>
        <v/>
      </c>
      <c r="X327" s="14">
        <f t="shared" si="258"/>
        <v>0</v>
      </c>
      <c r="Y327" s="58" t="str">
        <f t="shared" si="259"/>
        <v/>
      </c>
      <c r="Z327" s="31">
        <f t="shared" si="260"/>
        <v>0</v>
      </c>
      <c r="AA327" s="21">
        <f t="shared" si="261"/>
        <v>0</v>
      </c>
      <c r="AB327" s="58" t="str">
        <f t="shared" si="262"/>
        <v/>
      </c>
      <c r="AC327" s="630">
        <f t="shared" si="239"/>
        <v>0</v>
      </c>
      <c r="AD327" s="627"/>
      <c r="AE327" s="21">
        <f t="shared" si="263"/>
        <v>0</v>
      </c>
      <c r="AF327" s="58" t="str">
        <f t="shared" si="264"/>
        <v/>
      </c>
      <c r="AG327" s="21">
        <f t="shared" si="265"/>
        <v>0</v>
      </c>
      <c r="AH327" s="58" t="str">
        <f t="shared" si="266"/>
        <v/>
      </c>
      <c r="AI327" s="21">
        <f t="shared" si="267"/>
        <v>0</v>
      </c>
      <c r="AJ327" s="58" t="str">
        <f t="shared" si="268"/>
        <v/>
      </c>
      <c r="AK327" s="31">
        <f t="shared" si="269"/>
        <v>0</v>
      </c>
      <c r="AL327" s="21">
        <f t="shared" si="270"/>
        <v>0</v>
      </c>
      <c r="AM327" s="62" t="str">
        <f t="shared" si="271"/>
        <v/>
      </c>
      <c r="AN327" s="21">
        <f t="shared" si="272"/>
        <v>0</v>
      </c>
      <c r="AO327" s="62" t="str">
        <f t="shared" si="273"/>
        <v/>
      </c>
      <c r="AP327" s="21">
        <f t="shared" si="274"/>
        <v>0</v>
      </c>
      <c r="AQ327" s="62" t="str">
        <f t="shared" si="275"/>
        <v/>
      </c>
      <c r="AR327" s="31">
        <f t="shared" si="276"/>
        <v>0</v>
      </c>
      <c r="AS327" s="21">
        <f t="shared" si="277"/>
        <v>0</v>
      </c>
      <c r="AT327" s="62" t="str">
        <f t="shared" si="278"/>
        <v/>
      </c>
      <c r="AU327" s="84">
        <f t="shared" si="279"/>
        <v>0</v>
      </c>
      <c r="AV327" s="32">
        <f t="shared" si="280"/>
        <v>0</v>
      </c>
      <c r="AW327" s="85" t="str">
        <f t="shared" si="281"/>
        <v/>
      </c>
      <c r="AX327" s="86" t="str">
        <f t="shared" si="282"/>
        <v/>
      </c>
    </row>
    <row r="328" spans="1:50" x14ac:dyDescent="0.2">
      <c r="A328" s="29" t="str">
        <f t="shared" si="241"/>
        <v/>
      </c>
      <c r="B328" s="32" t="str">
        <f t="shared" si="242"/>
        <v/>
      </c>
      <c r="C328" s="35"/>
      <c r="D328" s="33" t="str">
        <f t="shared" si="243"/>
        <v/>
      </c>
      <c r="E328" s="22" t="str">
        <f t="shared" si="244"/>
        <v/>
      </c>
      <c r="F328" s="23" t="str">
        <f t="shared" si="245"/>
        <v/>
      </c>
      <c r="G328" s="23"/>
      <c r="H328" s="22"/>
      <c r="I328" s="23"/>
      <c r="J328" s="18"/>
      <c r="K328" s="13" t="str">
        <f t="shared" si="246"/>
        <v/>
      </c>
      <c r="L328" s="28" t="str">
        <f t="shared" si="240"/>
        <v/>
      </c>
      <c r="M328" s="10" t="str">
        <f t="shared" si="247"/>
        <v/>
      </c>
      <c r="N328" s="17" t="str">
        <f t="shared" si="248"/>
        <v/>
      </c>
      <c r="O328" s="39" t="str">
        <f t="shared" si="249"/>
        <v/>
      </c>
      <c r="P328" s="41" t="str">
        <f t="shared" si="250"/>
        <v/>
      </c>
      <c r="Q328" s="9" t="str">
        <f t="shared" si="251"/>
        <v/>
      </c>
      <c r="R328" s="14">
        <f t="shared" si="252"/>
        <v>0</v>
      </c>
      <c r="S328" s="61" t="str">
        <f t="shared" si="253"/>
        <v/>
      </c>
      <c r="T328" s="14">
        <f t="shared" si="254"/>
        <v>0</v>
      </c>
      <c r="U328" s="58" t="str">
        <f t="shared" si="255"/>
        <v/>
      </c>
      <c r="V328" s="14">
        <f t="shared" si="256"/>
        <v>0</v>
      </c>
      <c r="W328" s="58" t="str">
        <f t="shared" si="257"/>
        <v/>
      </c>
      <c r="X328" s="14">
        <f t="shared" si="258"/>
        <v>0</v>
      </c>
      <c r="Y328" s="58" t="str">
        <f t="shared" si="259"/>
        <v/>
      </c>
      <c r="Z328" s="31">
        <f t="shared" si="260"/>
        <v>0</v>
      </c>
      <c r="AA328" s="21">
        <f t="shared" si="261"/>
        <v>0</v>
      </c>
      <c r="AB328" s="58" t="str">
        <f t="shared" si="262"/>
        <v/>
      </c>
      <c r="AC328" s="630">
        <f t="shared" si="239"/>
        <v>0</v>
      </c>
      <c r="AD328" s="627"/>
      <c r="AE328" s="21">
        <f t="shared" si="263"/>
        <v>0</v>
      </c>
      <c r="AF328" s="58" t="str">
        <f t="shared" si="264"/>
        <v/>
      </c>
      <c r="AG328" s="21">
        <f t="shared" si="265"/>
        <v>0</v>
      </c>
      <c r="AH328" s="58" t="str">
        <f t="shared" si="266"/>
        <v/>
      </c>
      <c r="AI328" s="21">
        <f t="shared" si="267"/>
        <v>0</v>
      </c>
      <c r="AJ328" s="58" t="str">
        <f t="shared" si="268"/>
        <v/>
      </c>
      <c r="AK328" s="31">
        <f t="shared" si="269"/>
        <v>0</v>
      </c>
      <c r="AL328" s="21">
        <f t="shared" si="270"/>
        <v>0</v>
      </c>
      <c r="AM328" s="62" t="str">
        <f t="shared" si="271"/>
        <v/>
      </c>
      <c r="AN328" s="21">
        <f t="shared" si="272"/>
        <v>0</v>
      </c>
      <c r="AO328" s="62" t="str">
        <f t="shared" si="273"/>
        <v/>
      </c>
      <c r="AP328" s="21">
        <f t="shared" si="274"/>
        <v>0</v>
      </c>
      <c r="AQ328" s="62" t="str">
        <f t="shared" si="275"/>
        <v/>
      </c>
      <c r="AR328" s="31">
        <f t="shared" si="276"/>
        <v>0</v>
      </c>
      <c r="AS328" s="21">
        <f t="shared" si="277"/>
        <v>0</v>
      </c>
      <c r="AT328" s="62" t="str">
        <f t="shared" si="278"/>
        <v/>
      </c>
      <c r="AU328" s="84">
        <f t="shared" si="279"/>
        <v>0</v>
      </c>
      <c r="AV328" s="32">
        <f t="shared" si="280"/>
        <v>0</v>
      </c>
      <c r="AW328" s="85" t="str">
        <f t="shared" si="281"/>
        <v/>
      </c>
      <c r="AX328" s="86" t="str">
        <f t="shared" si="282"/>
        <v/>
      </c>
    </row>
    <row r="329" spans="1:50" x14ac:dyDescent="0.2">
      <c r="A329" s="29" t="str">
        <f t="shared" si="241"/>
        <v/>
      </c>
      <c r="B329" s="32" t="str">
        <f t="shared" si="242"/>
        <v/>
      </c>
      <c r="C329" s="35"/>
      <c r="D329" s="33" t="str">
        <f t="shared" si="243"/>
        <v/>
      </c>
      <c r="E329" s="22" t="str">
        <f t="shared" si="244"/>
        <v/>
      </c>
      <c r="F329" s="23" t="str">
        <f t="shared" si="245"/>
        <v/>
      </c>
      <c r="G329" s="23"/>
      <c r="H329" s="22"/>
      <c r="I329" s="23"/>
      <c r="J329" s="18"/>
      <c r="K329" s="13" t="str">
        <f t="shared" si="246"/>
        <v/>
      </c>
      <c r="L329" s="28" t="str">
        <f t="shared" si="240"/>
        <v/>
      </c>
      <c r="M329" s="10" t="str">
        <f t="shared" si="247"/>
        <v/>
      </c>
      <c r="N329" s="17" t="str">
        <f t="shared" si="248"/>
        <v/>
      </c>
      <c r="O329" s="39" t="str">
        <f t="shared" si="249"/>
        <v/>
      </c>
      <c r="P329" s="41" t="str">
        <f t="shared" si="250"/>
        <v/>
      </c>
      <c r="Q329" s="9" t="str">
        <f t="shared" si="251"/>
        <v/>
      </c>
      <c r="R329" s="14">
        <f t="shared" si="252"/>
        <v>0</v>
      </c>
      <c r="S329" s="61" t="str">
        <f t="shared" si="253"/>
        <v/>
      </c>
      <c r="T329" s="14">
        <f t="shared" si="254"/>
        <v>0</v>
      </c>
      <c r="U329" s="58" t="str">
        <f t="shared" si="255"/>
        <v/>
      </c>
      <c r="V329" s="14">
        <f t="shared" si="256"/>
        <v>0</v>
      </c>
      <c r="W329" s="58" t="str">
        <f t="shared" si="257"/>
        <v/>
      </c>
      <c r="X329" s="14">
        <f t="shared" si="258"/>
        <v>0</v>
      </c>
      <c r="Y329" s="58" t="str">
        <f t="shared" si="259"/>
        <v/>
      </c>
      <c r="Z329" s="31">
        <f t="shared" si="260"/>
        <v>0</v>
      </c>
      <c r="AA329" s="21">
        <f t="shared" si="261"/>
        <v>0</v>
      </c>
      <c r="AB329" s="58" t="str">
        <f t="shared" si="262"/>
        <v/>
      </c>
      <c r="AC329" s="630">
        <f t="shared" si="239"/>
        <v>0</v>
      </c>
      <c r="AD329" s="627"/>
      <c r="AE329" s="21">
        <f t="shared" si="263"/>
        <v>0</v>
      </c>
      <c r="AF329" s="58" t="str">
        <f t="shared" si="264"/>
        <v/>
      </c>
      <c r="AG329" s="21">
        <f t="shared" si="265"/>
        <v>0</v>
      </c>
      <c r="AH329" s="58" t="str">
        <f t="shared" si="266"/>
        <v/>
      </c>
      <c r="AI329" s="21">
        <f t="shared" si="267"/>
        <v>0</v>
      </c>
      <c r="AJ329" s="58" t="str">
        <f t="shared" si="268"/>
        <v/>
      </c>
      <c r="AK329" s="31">
        <f t="shared" si="269"/>
        <v>0</v>
      </c>
      <c r="AL329" s="21">
        <f t="shared" si="270"/>
        <v>0</v>
      </c>
      <c r="AM329" s="62" t="str">
        <f t="shared" si="271"/>
        <v/>
      </c>
      <c r="AN329" s="21">
        <f t="shared" si="272"/>
        <v>0</v>
      </c>
      <c r="AO329" s="62" t="str">
        <f t="shared" si="273"/>
        <v/>
      </c>
      <c r="AP329" s="21">
        <f t="shared" si="274"/>
        <v>0</v>
      </c>
      <c r="AQ329" s="62" t="str">
        <f t="shared" si="275"/>
        <v/>
      </c>
      <c r="AR329" s="31">
        <f t="shared" si="276"/>
        <v>0</v>
      </c>
      <c r="AS329" s="21">
        <f t="shared" si="277"/>
        <v>0</v>
      </c>
      <c r="AT329" s="62" t="str">
        <f t="shared" si="278"/>
        <v/>
      </c>
      <c r="AU329" s="84">
        <f t="shared" si="279"/>
        <v>0</v>
      </c>
      <c r="AV329" s="32">
        <f t="shared" si="280"/>
        <v>0</v>
      </c>
      <c r="AW329" s="85" t="str">
        <f t="shared" si="281"/>
        <v/>
      </c>
      <c r="AX329" s="86" t="str">
        <f t="shared" si="282"/>
        <v/>
      </c>
    </row>
    <row r="330" spans="1:50" x14ac:dyDescent="0.2">
      <c r="A330" s="29" t="str">
        <f t="shared" si="241"/>
        <v/>
      </c>
      <c r="B330" s="32" t="str">
        <f t="shared" si="242"/>
        <v/>
      </c>
      <c r="C330" s="35"/>
      <c r="D330" s="33" t="str">
        <f t="shared" si="243"/>
        <v/>
      </c>
      <c r="E330" s="22" t="str">
        <f t="shared" si="244"/>
        <v/>
      </c>
      <c r="F330" s="23" t="str">
        <f t="shared" si="245"/>
        <v/>
      </c>
      <c r="G330" s="23"/>
      <c r="H330" s="22"/>
      <c r="I330" s="23"/>
      <c r="J330" s="18"/>
      <c r="K330" s="13" t="str">
        <f t="shared" si="246"/>
        <v/>
      </c>
      <c r="L330" s="28" t="str">
        <f t="shared" si="240"/>
        <v/>
      </c>
      <c r="M330" s="10" t="str">
        <f t="shared" si="247"/>
        <v/>
      </c>
      <c r="N330" s="17" t="str">
        <f t="shared" si="248"/>
        <v/>
      </c>
      <c r="O330" s="39" t="str">
        <f t="shared" si="249"/>
        <v/>
      </c>
      <c r="P330" s="41" t="str">
        <f t="shared" si="250"/>
        <v/>
      </c>
      <c r="Q330" s="9" t="str">
        <f t="shared" si="251"/>
        <v/>
      </c>
      <c r="R330" s="14">
        <f t="shared" si="252"/>
        <v>0</v>
      </c>
      <c r="S330" s="61" t="str">
        <f t="shared" si="253"/>
        <v/>
      </c>
      <c r="T330" s="14">
        <f t="shared" si="254"/>
        <v>0</v>
      </c>
      <c r="U330" s="58" t="str">
        <f t="shared" si="255"/>
        <v/>
      </c>
      <c r="V330" s="14">
        <f t="shared" si="256"/>
        <v>0</v>
      </c>
      <c r="W330" s="58" t="str">
        <f t="shared" si="257"/>
        <v/>
      </c>
      <c r="X330" s="14">
        <f t="shared" si="258"/>
        <v>0</v>
      </c>
      <c r="Y330" s="58" t="str">
        <f t="shared" si="259"/>
        <v/>
      </c>
      <c r="Z330" s="31">
        <f t="shared" si="260"/>
        <v>0</v>
      </c>
      <c r="AA330" s="21">
        <f t="shared" si="261"/>
        <v>0</v>
      </c>
      <c r="AB330" s="58" t="str">
        <f t="shared" si="262"/>
        <v/>
      </c>
      <c r="AC330" s="630">
        <f t="shared" si="239"/>
        <v>0</v>
      </c>
      <c r="AD330" s="627"/>
      <c r="AE330" s="21">
        <f t="shared" si="263"/>
        <v>0</v>
      </c>
      <c r="AF330" s="58" t="str">
        <f t="shared" si="264"/>
        <v/>
      </c>
      <c r="AG330" s="21">
        <f t="shared" si="265"/>
        <v>0</v>
      </c>
      <c r="AH330" s="58" t="str">
        <f t="shared" si="266"/>
        <v/>
      </c>
      <c r="AI330" s="21">
        <f t="shared" si="267"/>
        <v>0</v>
      </c>
      <c r="AJ330" s="58" t="str">
        <f t="shared" si="268"/>
        <v/>
      </c>
      <c r="AK330" s="31">
        <f t="shared" si="269"/>
        <v>0</v>
      </c>
      <c r="AL330" s="21">
        <f t="shared" si="270"/>
        <v>0</v>
      </c>
      <c r="AM330" s="62" t="str">
        <f t="shared" si="271"/>
        <v/>
      </c>
      <c r="AN330" s="21">
        <f t="shared" si="272"/>
        <v>0</v>
      </c>
      <c r="AO330" s="62" t="str">
        <f t="shared" si="273"/>
        <v/>
      </c>
      <c r="AP330" s="21">
        <f t="shared" si="274"/>
        <v>0</v>
      </c>
      <c r="AQ330" s="62" t="str">
        <f t="shared" si="275"/>
        <v/>
      </c>
      <c r="AR330" s="31">
        <f t="shared" si="276"/>
        <v>0</v>
      </c>
      <c r="AS330" s="21">
        <f t="shared" si="277"/>
        <v>0</v>
      </c>
      <c r="AT330" s="62" t="str">
        <f t="shared" si="278"/>
        <v/>
      </c>
      <c r="AU330" s="84">
        <f t="shared" si="279"/>
        <v>0</v>
      </c>
      <c r="AV330" s="32">
        <f t="shared" si="280"/>
        <v>0</v>
      </c>
      <c r="AW330" s="85" t="str">
        <f t="shared" si="281"/>
        <v/>
      </c>
      <c r="AX330" s="86" t="str">
        <f t="shared" si="282"/>
        <v/>
      </c>
    </row>
    <row r="331" spans="1:50" x14ac:dyDescent="0.2">
      <c r="A331" s="29" t="str">
        <f t="shared" si="241"/>
        <v/>
      </c>
      <c r="B331" s="32" t="str">
        <f t="shared" si="242"/>
        <v/>
      </c>
      <c r="C331" s="35"/>
      <c r="D331" s="33" t="str">
        <f t="shared" si="243"/>
        <v/>
      </c>
      <c r="E331" s="22" t="str">
        <f t="shared" si="244"/>
        <v/>
      </c>
      <c r="F331" s="23" t="str">
        <f t="shared" si="245"/>
        <v/>
      </c>
      <c r="G331" s="23"/>
      <c r="H331" s="22"/>
      <c r="I331" s="23"/>
      <c r="J331" s="18"/>
      <c r="K331" s="13" t="str">
        <f t="shared" si="246"/>
        <v/>
      </c>
      <c r="L331" s="28" t="str">
        <f t="shared" si="240"/>
        <v/>
      </c>
      <c r="M331" s="10" t="str">
        <f t="shared" si="247"/>
        <v/>
      </c>
      <c r="N331" s="17" t="str">
        <f t="shared" si="248"/>
        <v/>
      </c>
      <c r="O331" s="39" t="str">
        <f t="shared" si="249"/>
        <v/>
      </c>
      <c r="P331" s="41" t="str">
        <f t="shared" si="250"/>
        <v/>
      </c>
      <c r="Q331" s="9" t="str">
        <f t="shared" si="251"/>
        <v/>
      </c>
      <c r="R331" s="14">
        <f t="shared" si="252"/>
        <v>0</v>
      </c>
      <c r="S331" s="61" t="str">
        <f t="shared" si="253"/>
        <v/>
      </c>
      <c r="T331" s="14">
        <f t="shared" si="254"/>
        <v>0</v>
      </c>
      <c r="U331" s="58" t="str">
        <f t="shared" si="255"/>
        <v/>
      </c>
      <c r="V331" s="14">
        <f t="shared" si="256"/>
        <v>0</v>
      </c>
      <c r="W331" s="58" t="str">
        <f t="shared" si="257"/>
        <v/>
      </c>
      <c r="X331" s="14">
        <f t="shared" si="258"/>
        <v>0</v>
      </c>
      <c r="Y331" s="58" t="str">
        <f t="shared" si="259"/>
        <v/>
      </c>
      <c r="Z331" s="31">
        <f t="shared" si="260"/>
        <v>0</v>
      </c>
      <c r="AA331" s="21">
        <f t="shared" si="261"/>
        <v>0</v>
      </c>
      <c r="AB331" s="58" t="str">
        <f t="shared" si="262"/>
        <v/>
      </c>
      <c r="AC331" s="630">
        <f t="shared" si="239"/>
        <v>0</v>
      </c>
      <c r="AD331" s="627"/>
      <c r="AE331" s="21">
        <f t="shared" si="263"/>
        <v>0</v>
      </c>
      <c r="AF331" s="58" t="str">
        <f t="shared" si="264"/>
        <v/>
      </c>
      <c r="AG331" s="21">
        <f t="shared" si="265"/>
        <v>0</v>
      </c>
      <c r="AH331" s="58" t="str">
        <f t="shared" si="266"/>
        <v/>
      </c>
      <c r="AI331" s="21">
        <f t="shared" si="267"/>
        <v>0</v>
      </c>
      <c r="AJ331" s="58" t="str">
        <f t="shared" si="268"/>
        <v/>
      </c>
      <c r="AK331" s="31">
        <f t="shared" si="269"/>
        <v>0</v>
      </c>
      <c r="AL331" s="21">
        <f t="shared" si="270"/>
        <v>0</v>
      </c>
      <c r="AM331" s="62" t="str">
        <f t="shared" si="271"/>
        <v/>
      </c>
      <c r="AN331" s="21">
        <f t="shared" si="272"/>
        <v>0</v>
      </c>
      <c r="AO331" s="62" t="str">
        <f t="shared" si="273"/>
        <v/>
      </c>
      <c r="AP331" s="21">
        <f t="shared" si="274"/>
        <v>0</v>
      </c>
      <c r="AQ331" s="62" t="str">
        <f t="shared" si="275"/>
        <v/>
      </c>
      <c r="AR331" s="31">
        <f t="shared" si="276"/>
        <v>0</v>
      </c>
      <c r="AS331" s="21">
        <f t="shared" si="277"/>
        <v>0</v>
      </c>
      <c r="AT331" s="62" t="str">
        <f t="shared" si="278"/>
        <v/>
      </c>
      <c r="AU331" s="84">
        <f t="shared" si="279"/>
        <v>0</v>
      </c>
      <c r="AV331" s="32">
        <f t="shared" si="280"/>
        <v>0</v>
      </c>
      <c r="AW331" s="85" t="str">
        <f t="shared" si="281"/>
        <v/>
      </c>
      <c r="AX331" s="86" t="str">
        <f t="shared" si="282"/>
        <v/>
      </c>
    </row>
    <row r="332" spans="1:50" x14ac:dyDescent="0.2">
      <c r="A332" s="29" t="str">
        <f t="shared" si="241"/>
        <v/>
      </c>
      <c r="B332" s="32" t="str">
        <f t="shared" si="242"/>
        <v/>
      </c>
      <c r="C332" s="35"/>
      <c r="D332" s="33" t="str">
        <f t="shared" si="243"/>
        <v/>
      </c>
      <c r="E332" s="22" t="str">
        <f t="shared" si="244"/>
        <v/>
      </c>
      <c r="F332" s="23" t="str">
        <f t="shared" si="245"/>
        <v/>
      </c>
      <c r="G332" s="23"/>
      <c r="H332" s="22"/>
      <c r="I332" s="23"/>
      <c r="J332" s="18"/>
      <c r="K332" s="13" t="str">
        <f t="shared" si="246"/>
        <v/>
      </c>
      <c r="L332" s="28" t="str">
        <f t="shared" si="240"/>
        <v/>
      </c>
      <c r="M332" s="10" t="str">
        <f t="shared" si="247"/>
        <v/>
      </c>
      <c r="N332" s="17" t="str">
        <f t="shared" si="248"/>
        <v/>
      </c>
      <c r="O332" s="39" t="str">
        <f t="shared" si="249"/>
        <v/>
      </c>
      <c r="P332" s="41" t="str">
        <f t="shared" si="250"/>
        <v/>
      </c>
      <c r="Q332" s="9" t="str">
        <f t="shared" si="251"/>
        <v/>
      </c>
      <c r="R332" s="14">
        <f t="shared" si="252"/>
        <v>0</v>
      </c>
      <c r="S332" s="61" t="str">
        <f t="shared" si="253"/>
        <v/>
      </c>
      <c r="T332" s="14">
        <f t="shared" si="254"/>
        <v>0</v>
      </c>
      <c r="U332" s="58" t="str">
        <f t="shared" si="255"/>
        <v/>
      </c>
      <c r="V332" s="14">
        <f t="shared" si="256"/>
        <v>0</v>
      </c>
      <c r="W332" s="58" t="str">
        <f t="shared" si="257"/>
        <v/>
      </c>
      <c r="X332" s="14">
        <f t="shared" si="258"/>
        <v>0</v>
      </c>
      <c r="Y332" s="58" t="str">
        <f t="shared" si="259"/>
        <v/>
      </c>
      <c r="Z332" s="31">
        <f t="shared" si="260"/>
        <v>0</v>
      </c>
      <c r="AA332" s="21">
        <f t="shared" si="261"/>
        <v>0</v>
      </c>
      <c r="AB332" s="58" t="str">
        <f t="shared" si="262"/>
        <v/>
      </c>
      <c r="AC332" s="630">
        <f t="shared" si="239"/>
        <v>0</v>
      </c>
      <c r="AD332" s="627"/>
      <c r="AE332" s="21">
        <f t="shared" si="263"/>
        <v>0</v>
      </c>
      <c r="AF332" s="58" t="str">
        <f t="shared" si="264"/>
        <v/>
      </c>
      <c r="AG332" s="21">
        <f t="shared" si="265"/>
        <v>0</v>
      </c>
      <c r="AH332" s="58" t="str">
        <f t="shared" si="266"/>
        <v/>
      </c>
      <c r="AI332" s="21">
        <f t="shared" si="267"/>
        <v>0</v>
      </c>
      <c r="AJ332" s="58" t="str">
        <f t="shared" si="268"/>
        <v/>
      </c>
      <c r="AK332" s="31">
        <f t="shared" si="269"/>
        <v>0</v>
      </c>
      <c r="AL332" s="21">
        <f t="shared" si="270"/>
        <v>0</v>
      </c>
      <c r="AM332" s="62" t="str">
        <f t="shared" si="271"/>
        <v/>
      </c>
      <c r="AN332" s="21">
        <f t="shared" si="272"/>
        <v>0</v>
      </c>
      <c r="AO332" s="62" t="str">
        <f t="shared" si="273"/>
        <v/>
      </c>
      <c r="AP332" s="21">
        <f t="shared" si="274"/>
        <v>0</v>
      </c>
      <c r="AQ332" s="62" t="str">
        <f t="shared" si="275"/>
        <v/>
      </c>
      <c r="AR332" s="31">
        <f t="shared" si="276"/>
        <v>0</v>
      </c>
      <c r="AS332" s="21">
        <f t="shared" si="277"/>
        <v>0</v>
      </c>
      <c r="AT332" s="62" t="str">
        <f t="shared" si="278"/>
        <v/>
      </c>
      <c r="AU332" s="84">
        <f t="shared" si="279"/>
        <v>0</v>
      </c>
      <c r="AV332" s="32">
        <f t="shared" si="280"/>
        <v>0</v>
      </c>
      <c r="AW332" s="85" t="str">
        <f t="shared" si="281"/>
        <v/>
      </c>
      <c r="AX332" s="86" t="str">
        <f t="shared" si="282"/>
        <v/>
      </c>
    </row>
    <row r="333" spans="1:50" x14ac:dyDescent="0.2">
      <c r="A333" s="29" t="str">
        <f t="shared" si="241"/>
        <v/>
      </c>
      <c r="B333" s="32" t="str">
        <f t="shared" si="242"/>
        <v/>
      </c>
      <c r="C333" s="35"/>
      <c r="D333" s="33" t="str">
        <f t="shared" si="243"/>
        <v/>
      </c>
      <c r="E333" s="22" t="str">
        <f t="shared" si="244"/>
        <v/>
      </c>
      <c r="F333" s="23" t="str">
        <f t="shared" si="245"/>
        <v/>
      </c>
      <c r="G333" s="23"/>
      <c r="H333" s="22"/>
      <c r="I333" s="23"/>
      <c r="J333" s="18"/>
      <c r="K333" s="13" t="str">
        <f t="shared" si="246"/>
        <v/>
      </c>
      <c r="L333" s="28" t="str">
        <f t="shared" si="240"/>
        <v/>
      </c>
      <c r="M333" s="10" t="str">
        <f t="shared" si="247"/>
        <v/>
      </c>
      <c r="N333" s="17" t="str">
        <f t="shared" si="248"/>
        <v/>
      </c>
      <c r="O333" s="39" t="str">
        <f t="shared" si="249"/>
        <v/>
      </c>
      <c r="P333" s="41" t="str">
        <f t="shared" si="250"/>
        <v/>
      </c>
      <c r="Q333" s="9" t="str">
        <f t="shared" si="251"/>
        <v/>
      </c>
      <c r="R333" s="14">
        <f t="shared" si="252"/>
        <v>0</v>
      </c>
      <c r="S333" s="61" t="str">
        <f t="shared" si="253"/>
        <v/>
      </c>
      <c r="T333" s="14">
        <f t="shared" si="254"/>
        <v>0</v>
      </c>
      <c r="U333" s="58" t="str">
        <f t="shared" si="255"/>
        <v/>
      </c>
      <c r="V333" s="14">
        <f t="shared" si="256"/>
        <v>0</v>
      </c>
      <c r="W333" s="58" t="str">
        <f t="shared" si="257"/>
        <v/>
      </c>
      <c r="X333" s="14">
        <f t="shared" si="258"/>
        <v>0</v>
      </c>
      <c r="Y333" s="58" t="str">
        <f t="shared" si="259"/>
        <v/>
      </c>
      <c r="Z333" s="31">
        <f t="shared" si="260"/>
        <v>0</v>
      </c>
      <c r="AA333" s="21">
        <f t="shared" si="261"/>
        <v>0</v>
      </c>
      <c r="AB333" s="58" t="str">
        <f t="shared" si="262"/>
        <v/>
      </c>
      <c r="AC333" s="630">
        <f t="shared" si="239"/>
        <v>0</v>
      </c>
      <c r="AD333" s="627"/>
      <c r="AE333" s="21">
        <f t="shared" si="263"/>
        <v>0</v>
      </c>
      <c r="AF333" s="58" t="str">
        <f t="shared" si="264"/>
        <v/>
      </c>
      <c r="AG333" s="21">
        <f t="shared" si="265"/>
        <v>0</v>
      </c>
      <c r="AH333" s="58" t="str">
        <f t="shared" si="266"/>
        <v/>
      </c>
      <c r="AI333" s="21">
        <f t="shared" si="267"/>
        <v>0</v>
      </c>
      <c r="AJ333" s="58" t="str">
        <f t="shared" si="268"/>
        <v/>
      </c>
      <c r="AK333" s="31">
        <f t="shared" si="269"/>
        <v>0</v>
      </c>
      <c r="AL333" s="21">
        <f t="shared" si="270"/>
        <v>0</v>
      </c>
      <c r="AM333" s="62" t="str">
        <f t="shared" si="271"/>
        <v/>
      </c>
      <c r="AN333" s="21">
        <f t="shared" si="272"/>
        <v>0</v>
      </c>
      <c r="AO333" s="62" t="str">
        <f t="shared" si="273"/>
        <v/>
      </c>
      <c r="AP333" s="21">
        <f t="shared" si="274"/>
        <v>0</v>
      </c>
      <c r="AQ333" s="62" t="str">
        <f t="shared" si="275"/>
        <v/>
      </c>
      <c r="AR333" s="31">
        <f t="shared" si="276"/>
        <v>0</v>
      </c>
      <c r="AS333" s="21">
        <f t="shared" si="277"/>
        <v>0</v>
      </c>
      <c r="AT333" s="62" t="str">
        <f t="shared" si="278"/>
        <v/>
      </c>
      <c r="AU333" s="84">
        <f t="shared" si="279"/>
        <v>0</v>
      </c>
      <c r="AV333" s="32">
        <f t="shared" si="280"/>
        <v>0</v>
      </c>
      <c r="AW333" s="85" t="str">
        <f t="shared" si="281"/>
        <v/>
      </c>
      <c r="AX333" s="86" t="str">
        <f t="shared" si="282"/>
        <v/>
      </c>
    </row>
    <row r="334" spans="1:50" x14ac:dyDescent="0.2">
      <c r="A334" s="29" t="str">
        <f t="shared" si="241"/>
        <v/>
      </c>
      <c r="B334" s="32" t="str">
        <f t="shared" si="242"/>
        <v/>
      </c>
      <c r="C334" s="35"/>
      <c r="D334" s="33" t="str">
        <f t="shared" si="243"/>
        <v/>
      </c>
      <c r="E334" s="22" t="str">
        <f t="shared" si="244"/>
        <v/>
      </c>
      <c r="F334" s="23" t="str">
        <f t="shared" si="245"/>
        <v/>
      </c>
      <c r="G334" s="23"/>
      <c r="H334" s="22"/>
      <c r="I334" s="23"/>
      <c r="J334" s="18"/>
      <c r="K334" s="13" t="str">
        <f t="shared" si="246"/>
        <v/>
      </c>
      <c r="L334" s="28" t="str">
        <f t="shared" si="240"/>
        <v/>
      </c>
      <c r="M334" s="10" t="str">
        <f t="shared" si="247"/>
        <v/>
      </c>
      <c r="N334" s="17" t="str">
        <f t="shared" si="248"/>
        <v/>
      </c>
      <c r="O334" s="39" t="str">
        <f t="shared" si="249"/>
        <v/>
      </c>
      <c r="P334" s="41" t="str">
        <f t="shared" si="250"/>
        <v/>
      </c>
      <c r="Q334" s="9" t="str">
        <f t="shared" si="251"/>
        <v/>
      </c>
      <c r="R334" s="14">
        <f t="shared" si="252"/>
        <v>0</v>
      </c>
      <c r="S334" s="61" t="str">
        <f t="shared" si="253"/>
        <v/>
      </c>
      <c r="T334" s="14">
        <f t="shared" si="254"/>
        <v>0</v>
      </c>
      <c r="U334" s="58" t="str">
        <f t="shared" si="255"/>
        <v/>
      </c>
      <c r="V334" s="14">
        <f t="shared" si="256"/>
        <v>0</v>
      </c>
      <c r="W334" s="58" t="str">
        <f t="shared" si="257"/>
        <v/>
      </c>
      <c r="X334" s="14">
        <f t="shared" si="258"/>
        <v>0</v>
      </c>
      <c r="Y334" s="58" t="str">
        <f t="shared" si="259"/>
        <v/>
      </c>
      <c r="Z334" s="31">
        <f t="shared" si="260"/>
        <v>0</v>
      </c>
      <c r="AA334" s="21">
        <f t="shared" si="261"/>
        <v>0</v>
      </c>
      <c r="AB334" s="58" t="str">
        <f t="shared" si="262"/>
        <v/>
      </c>
      <c r="AC334" s="630">
        <f t="shared" si="239"/>
        <v>0</v>
      </c>
      <c r="AD334" s="627"/>
      <c r="AE334" s="21">
        <f t="shared" si="263"/>
        <v>0</v>
      </c>
      <c r="AF334" s="58" t="str">
        <f t="shared" si="264"/>
        <v/>
      </c>
      <c r="AG334" s="21">
        <f t="shared" si="265"/>
        <v>0</v>
      </c>
      <c r="AH334" s="58" t="str">
        <f t="shared" si="266"/>
        <v/>
      </c>
      <c r="AI334" s="21">
        <f t="shared" si="267"/>
        <v>0</v>
      </c>
      <c r="AJ334" s="58" t="str">
        <f t="shared" si="268"/>
        <v/>
      </c>
      <c r="AK334" s="31">
        <f t="shared" si="269"/>
        <v>0</v>
      </c>
      <c r="AL334" s="21">
        <f t="shared" si="270"/>
        <v>0</v>
      </c>
      <c r="AM334" s="62" t="str">
        <f t="shared" si="271"/>
        <v/>
      </c>
      <c r="AN334" s="21">
        <f t="shared" si="272"/>
        <v>0</v>
      </c>
      <c r="AO334" s="62" t="str">
        <f t="shared" si="273"/>
        <v/>
      </c>
      <c r="AP334" s="21">
        <f t="shared" si="274"/>
        <v>0</v>
      </c>
      <c r="AQ334" s="62" t="str">
        <f t="shared" si="275"/>
        <v/>
      </c>
      <c r="AR334" s="31">
        <f t="shared" si="276"/>
        <v>0</v>
      </c>
      <c r="AS334" s="21">
        <f t="shared" si="277"/>
        <v>0</v>
      </c>
      <c r="AT334" s="62" t="str">
        <f t="shared" si="278"/>
        <v/>
      </c>
      <c r="AU334" s="84">
        <f t="shared" si="279"/>
        <v>0</v>
      </c>
      <c r="AV334" s="32">
        <f t="shared" si="280"/>
        <v>0</v>
      </c>
      <c r="AW334" s="85" t="str">
        <f t="shared" si="281"/>
        <v/>
      </c>
      <c r="AX334" s="86" t="str">
        <f t="shared" si="282"/>
        <v/>
      </c>
    </row>
    <row r="335" spans="1:50" x14ac:dyDescent="0.2">
      <c r="A335" s="29" t="str">
        <f t="shared" si="241"/>
        <v/>
      </c>
      <c r="B335" s="32" t="str">
        <f t="shared" si="242"/>
        <v/>
      </c>
      <c r="C335" s="35"/>
      <c r="D335" s="33" t="str">
        <f t="shared" si="243"/>
        <v/>
      </c>
      <c r="E335" s="22" t="str">
        <f t="shared" si="244"/>
        <v/>
      </c>
      <c r="F335" s="23" t="str">
        <f t="shared" si="245"/>
        <v/>
      </c>
      <c r="G335" s="23"/>
      <c r="H335" s="22"/>
      <c r="I335" s="23"/>
      <c r="J335" s="18"/>
      <c r="K335" s="13" t="str">
        <f t="shared" si="246"/>
        <v/>
      </c>
      <c r="L335" s="28" t="str">
        <f t="shared" si="240"/>
        <v/>
      </c>
      <c r="M335" s="10" t="str">
        <f t="shared" si="247"/>
        <v/>
      </c>
      <c r="N335" s="17" t="str">
        <f t="shared" si="248"/>
        <v/>
      </c>
      <c r="O335" s="39" t="str">
        <f t="shared" si="249"/>
        <v/>
      </c>
      <c r="P335" s="41" t="str">
        <f t="shared" si="250"/>
        <v/>
      </c>
      <c r="Q335" s="9" t="str">
        <f t="shared" si="251"/>
        <v/>
      </c>
      <c r="R335" s="14">
        <f t="shared" si="252"/>
        <v>0</v>
      </c>
      <c r="S335" s="61" t="str">
        <f t="shared" si="253"/>
        <v/>
      </c>
      <c r="T335" s="14">
        <f t="shared" si="254"/>
        <v>0</v>
      </c>
      <c r="U335" s="58" t="str">
        <f t="shared" si="255"/>
        <v/>
      </c>
      <c r="V335" s="14">
        <f t="shared" si="256"/>
        <v>0</v>
      </c>
      <c r="W335" s="58" t="str">
        <f t="shared" si="257"/>
        <v/>
      </c>
      <c r="X335" s="14">
        <f t="shared" si="258"/>
        <v>0</v>
      </c>
      <c r="Y335" s="58" t="str">
        <f t="shared" si="259"/>
        <v/>
      </c>
      <c r="Z335" s="31">
        <f t="shared" si="260"/>
        <v>0</v>
      </c>
      <c r="AA335" s="21">
        <f t="shared" si="261"/>
        <v>0</v>
      </c>
      <c r="AB335" s="58" t="str">
        <f t="shared" si="262"/>
        <v/>
      </c>
      <c r="AC335" s="630">
        <f t="shared" si="239"/>
        <v>0</v>
      </c>
      <c r="AD335" s="627"/>
      <c r="AE335" s="21">
        <f t="shared" si="263"/>
        <v>0</v>
      </c>
      <c r="AF335" s="58" t="str">
        <f t="shared" si="264"/>
        <v/>
      </c>
      <c r="AG335" s="21">
        <f t="shared" si="265"/>
        <v>0</v>
      </c>
      <c r="AH335" s="58" t="str">
        <f t="shared" si="266"/>
        <v/>
      </c>
      <c r="AI335" s="21">
        <f t="shared" si="267"/>
        <v>0</v>
      </c>
      <c r="AJ335" s="58" t="str">
        <f t="shared" si="268"/>
        <v/>
      </c>
      <c r="AK335" s="31">
        <f t="shared" si="269"/>
        <v>0</v>
      </c>
      <c r="AL335" s="21">
        <f t="shared" si="270"/>
        <v>0</v>
      </c>
      <c r="AM335" s="62" t="str">
        <f t="shared" si="271"/>
        <v/>
      </c>
      <c r="AN335" s="21">
        <f t="shared" si="272"/>
        <v>0</v>
      </c>
      <c r="AO335" s="62" t="str">
        <f t="shared" si="273"/>
        <v/>
      </c>
      <c r="AP335" s="21">
        <f t="shared" si="274"/>
        <v>0</v>
      </c>
      <c r="AQ335" s="62" t="str">
        <f t="shared" si="275"/>
        <v/>
      </c>
      <c r="AR335" s="31">
        <f t="shared" si="276"/>
        <v>0</v>
      </c>
      <c r="AS335" s="21">
        <f t="shared" si="277"/>
        <v>0</v>
      </c>
      <c r="AT335" s="62" t="str">
        <f t="shared" si="278"/>
        <v/>
      </c>
      <c r="AU335" s="84">
        <f t="shared" si="279"/>
        <v>0</v>
      </c>
      <c r="AV335" s="32">
        <f t="shared" si="280"/>
        <v>0</v>
      </c>
      <c r="AW335" s="85" t="str">
        <f t="shared" si="281"/>
        <v/>
      </c>
      <c r="AX335" s="86" t="str">
        <f t="shared" si="282"/>
        <v/>
      </c>
    </row>
    <row r="336" spans="1:50" x14ac:dyDescent="0.2">
      <c r="A336" s="29" t="str">
        <f t="shared" si="241"/>
        <v/>
      </c>
      <c r="B336" s="32" t="str">
        <f t="shared" si="242"/>
        <v/>
      </c>
      <c r="C336" s="35"/>
      <c r="D336" s="33" t="str">
        <f t="shared" si="243"/>
        <v/>
      </c>
      <c r="E336" s="22" t="str">
        <f t="shared" si="244"/>
        <v/>
      </c>
      <c r="F336" s="23" t="str">
        <f t="shared" si="245"/>
        <v/>
      </c>
      <c r="G336" s="23"/>
      <c r="H336" s="22"/>
      <c r="I336" s="23"/>
      <c r="J336" s="18"/>
      <c r="K336" s="13" t="str">
        <f t="shared" si="246"/>
        <v/>
      </c>
      <c r="L336" s="28" t="str">
        <f t="shared" si="240"/>
        <v/>
      </c>
      <c r="M336" s="10" t="str">
        <f t="shared" si="247"/>
        <v/>
      </c>
      <c r="N336" s="17" t="str">
        <f t="shared" si="248"/>
        <v/>
      </c>
      <c r="O336" s="39" t="str">
        <f t="shared" si="249"/>
        <v/>
      </c>
      <c r="P336" s="41" t="str">
        <f t="shared" si="250"/>
        <v/>
      </c>
      <c r="Q336" s="9" t="str">
        <f t="shared" si="251"/>
        <v/>
      </c>
      <c r="R336" s="14">
        <f t="shared" si="252"/>
        <v>0</v>
      </c>
      <c r="S336" s="61" t="str">
        <f t="shared" si="253"/>
        <v/>
      </c>
      <c r="T336" s="14">
        <f t="shared" si="254"/>
        <v>0</v>
      </c>
      <c r="U336" s="58" t="str">
        <f t="shared" si="255"/>
        <v/>
      </c>
      <c r="V336" s="14">
        <f t="shared" si="256"/>
        <v>0</v>
      </c>
      <c r="W336" s="58" t="str">
        <f t="shared" si="257"/>
        <v/>
      </c>
      <c r="X336" s="14">
        <f t="shared" si="258"/>
        <v>0</v>
      </c>
      <c r="Y336" s="58" t="str">
        <f t="shared" si="259"/>
        <v/>
      </c>
      <c r="Z336" s="31">
        <f t="shared" si="260"/>
        <v>0</v>
      </c>
      <c r="AA336" s="21">
        <f t="shared" si="261"/>
        <v>0</v>
      </c>
      <c r="AB336" s="58" t="str">
        <f t="shared" si="262"/>
        <v/>
      </c>
      <c r="AC336" s="630">
        <f t="shared" si="239"/>
        <v>0</v>
      </c>
      <c r="AD336" s="627"/>
      <c r="AE336" s="21">
        <f t="shared" si="263"/>
        <v>0</v>
      </c>
      <c r="AF336" s="58" t="str">
        <f t="shared" si="264"/>
        <v/>
      </c>
      <c r="AG336" s="21">
        <f t="shared" si="265"/>
        <v>0</v>
      </c>
      <c r="AH336" s="58" t="str">
        <f t="shared" si="266"/>
        <v/>
      </c>
      <c r="AI336" s="21">
        <f t="shared" si="267"/>
        <v>0</v>
      </c>
      <c r="AJ336" s="58" t="str">
        <f t="shared" si="268"/>
        <v/>
      </c>
      <c r="AK336" s="31">
        <f t="shared" si="269"/>
        <v>0</v>
      </c>
      <c r="AL336" s="21">
        <f t="shared" si="270"/>
        <v>0</v>
      </c>
      <c r="AM336" s="62" t="str">
        <f t="shared" si="271"/>
        <v/>
      </c>
      <c r="AN336" s="21">
        <f t="shared" si="272"/>
        <v>0</v>
      </c>
      <c r="AO336" s="62" t="str">
        <f t="shared" si="273"/>
        <v/>
      </c>
      <c r="AP336" s="21">
        <f t="shared" si="274"/>
        <v>0</v>
      </c>
      <c r="AQ336" s="62" t="str">
        <f t="shared" si="275"/>
        <v/>
      </c>
      <c r="AR336" s="31">
        <f t="shared" si="276"/>
        <v>0</v>
      </c>
      <c r="AS336" s="21">
        <f t="shared" si="277"/>
        <v>0</v>
      </c>
      <c r="AT336" s="62" t="str">
        <f t="shared" si="278"/>
        <v/>
      </c>
      <c r="AU336" s="84">
        <f t="shared" si="279"/>
        <v>0</v>
      </c>
      <c r="AV336" s="32">
        <f t="shared" si="280"/>
        <v>0</v>
      </c>
      <c r="AW336" s="85" t="str">
        <f t="shared" si="281"/>
        <v/>
      </c>
      <c r="AX336" s="86" t="str">
        <f t="shared" si="282"/>
        <v/>
      </c>
    </row>
    <row r="337" spans="1:50" x14ac:dyDescent="0.2">
      <c r="A337" s="29" t="str">
        <f t="shared" si="241"/>
        <v/>
      </c>
      <c r="B337" s="32" t="str">
        <f t="shared" si="242"/>
        <v/>
      </c>
      <c r="C337" s="35"/>
      <c r="D337" s="33" t="str">
        <f t="shared" si="243"/>
        <v/>
      </c>
      <c r="E337" s="22" t="str">
        <f t="shared" si="244"/>
        <v/>
      </c>
      <c r="F337" s="23" t="str">
        <f t="shared" si="245"/>
        <v/>
      </c>
      <c r="G337" s="23"/>
      <c r="H337" s="22"/>
      <c r="I337" s="23"/>
      <c r="J337" s="18"/>
      <c r="K337" s="13" t="str">
        <f t="shared" si="246"/>
        <v/>
      </c>
      <c r="L337" s="28" t="str">
        <f t="shared" si="240"/>
        <v/>
      </c>
      <c r="M337" s="10" t="str">
        <f t="shared" si="247"/>
        <v/>
      </c>
      <c r="N337" s="17" t="str">
        <f t="shared" si="248"/>
        <v/>
      </c>
      <c r="O337" s="39" t="str">
        <f t="shared" si="249"/>
        <v/>
      </c>
      <c r="P337" s="41" t="str">
        <f t="shared" si="250"/>
        <v/>
      </c>
      <c r="Q337" s="9" t="str">
        <f t="shared" si="251"/>
        <v/>
      </c>
      <c r="R337" s="14">
        <f t="shared" si="252"/>
        <v>0</v>
      </c>
      <c r="S337" s="61" t="str">
        <f t="shared" si="253"/>
        <v/>
      </c>
      <c r="T337" s="14">
        <f t="shared" si="254"/>
        <v>0</v>
      </c>
      <c r="U337" s="58" t="str">
        <f t="shared" si="255"/>
        <v/>
      </c>
      <c r="V337" s="14">
        <f t="shared" si="256"/>
        <v>0</v>
      </c>
      <c r="W337" s="58" t="str">
        <f t="shared" si="257"/>
        <v/>
      </c>
      <c r="X337" s="14">
        <f t="shared" si="258"/>
        <v>0</v>
      </c>
      <c r="Y337" s="58" t="str">
        <f t="shared" si="259"/>
        <v/>
      </c>
      <c r="Z337" s="31">
        <f t="shared" si="260"/>
        <v>0</v>
      </c>
      <c r="AA337" s="21">
        <f t="shared" si="261"/>
        <v>0</v>
      </c>
      <c r="AB337" s="58" t="str">
        <f t="shared" si="262"/>
        <v/>
      </c>
      <c r="AC337" s="630">
        <f t="shared" si="239"/>
        <v>0</v>
      </c>
      <c r="AD337" s="627"/>
      <c r="AE337" s="21">
        <f t="shared" si="263"/>
        <v>0</v>
      </c>
      <c r="AF337" s="58" t="str">
        <f t="shared" si="264"/>
        <v/>
      </c>
      <c r="AG337" s="21">
        <f t="shared" si="265"/>
        <v>0</v>
      </c>
      <c r="AH337" s="58" t="str">
        <f t="shared" si="266"/>
        <v/>
      </c>
      <c r="AI337" s="21">
        <f t="shared" si="267"/>
        <v>0</v>
      </c>
      <c r="AJ337" s="58" t="str">
        <f t="shared" si="268"/>
        <v/>
      </c>
      <c r="AK337" s="31">
        <f t="shared" si="269"/>
        <v>0</v>
      </c>
      <c r="AL337" s="21">
        <f t="shared" si="270"/>
        <v>0</v>
      </c>
      <c r="AM337" s="62" t="str">
        <f t="shared" si="271"/>
        <v/>
      </c>
      <c r="AN337" s="21">
        <f t="shared" si="272"/>
        <v>0</v>
      </c>
      <c r="AO337" s="62" t="str">
        <f t="shared" si="273"/>
        <v/>
      </c>
      <c r="AP337" s="21">
        <f t="shared" si="274"/>
        <v>0</v>
      </c>
      <c r="AQ337" s="62" t="str">
        <f t="shared" si="275"/>
        <v/>
      </c>
      <c r="AR337" s="31">
        <f t="shared" si="276"/>
        <v>0</v>
      </c>
      <c r="AS337" s="21">
        <f t="shared" si="277"/>
        <v>0</v>
      </c>
      <c r="AT337" s="62" t="str">
        <f t="shared" si="278"/>
        <v/>
      </c>
      <c r="AU337" s="84">
        <f t="shared" si="279"/>
        <v>0</v>
      </c>
      <c r="AV337" s="32">
        <f t="shared" si="280"/>
        <v>0</v>
      </c>
      <c r="AW337" s="85" t="str">
        <f t="shared" si="281"/>
        <v/>
      </c>
      <c r="AX337" s="86" t="str">
        <f t="shared" si="282"/>
        <v/>
      </c>
    </row>
    <row r="338" spans="1:50" x14ac:dyDescent="0.2">
      <c r="A338" s="29" t="str">
        <f t="shared" si="241"/>
        <v/>
      </c>
      <c r="B338" s="32" t="str">
        <f t="shared" si="242"/>
        <v/>
      </c>
      <c r="C338" s="35"/>
      <c r="D338" s="33" t="str">
        <f t="shared" si="243"/>
        <v/>
      </c>
      <c r="E338" s="22" t="str">
        <f t="shared" si="244"/>
        <v/>
      </c>
      <c r="F338" s="23" t="str">
        <f t="shared" si="245"/>
        <v/>
      </c>
      <c r="G338" s="23"/>
      <c r="H338" s="22"/>
      <c r="I338" s="23"/>
      <c r="J338" s="18"/>
      <c r="K338" s="13" t="str">
        <f t="shared" si="246"/>
        <v/>
      </c>
      <c r="L338" s="28" t="str">
        <f t="shared" si="240"/>
        <v/>
      </c>
      <c r="M338" s="10" t="str">
        <f t="shared" si="247"/>
        <v/>
      </c>
      <c r="N338" s="17" t="str">
        <f t="shared" si="248"/>
        <v/>
      </c>
      <c r="O338" s="39" t="str">
        <f t="shared" si="249"/>
        <v/>
      </c>
      <c r="P338" s="41" t="str">
        <f t="shared" si="250"/>
        <v/>
      </c>
      <c r="Q338" s="9" t="str">
        <f t="shared" si="251"/>
        <v/>
      </c>
      <c r="R338" s="14">
        <f t="shared" si="252"/>
        <v>0</v>
      </c>
      <c r="S338" s="61" t="str">
        <f t="shared" si="253"/>
        <v/>
      </c>
      <c r="T338" s="14">
        <f t="shared" si="254"/>
        <v>0</v>
      </c>
      <c r="U338" s="58" t="str">
        <f t="shared" si="255"/>
        <v/>
      </c>
      <c r="V338" s="14">
        <f t="shared" si="256"/>
        <v>0</v>
      </c>
      <c r="W338" s="58" t="str">
        <f t="shared" si="257"/>
        <v/>
      </c>
      <c r="X338" s="14">
        <f t="shared" si="258"/>
        <v>0</v>
      </c>
      <c r="Y338" s="58" t="str">
        <f t="shared" si="259"/>
        <v/>
      </c>
      <c r="Z338" s="31">
        <f t="shared" si="260"/>
        <v>0</v>
      </c>
      <c r="AA338" s="21">
        <f t="shared" si="261"/>
        <v>0</v>
      </c>
      <c r="AB338" s="58" t="str">
        <f t="shared" si="262"/>
        <v/>
      </c>
      <c r="AC338" s="630">
        <f t="shared" si="239"/>
        <v>0</v>
      </c>
      <c r="AD338" s="627"/>
      <c r="AE338" s="21">
        <f t="shared" si="263"/>
        <v>0</v>
      </c>
      <c r="AF338" s="58" t="str">
        <f t="shared" si="264"/>
        <v/>
      </c>
      <c r="AG338" s="21">
        <f t="shared" si="265"/>
        <v>0</v>
      </c>
      <c r="AH338" s="58" t="str">
        <f t="shared" si="266"/>
        <v/>
      </c>
      <c r="AI338" s="21">
        <f t="shared" si="267"/>
        <v>0</v>
      </c>
      <c r="AJ338" s="58" t="str">
        <f t="shared" si="268"/>
        <v/>
      </c>
      <c r="AK338" s="31">
        <f t="shared" si="269"/>
        <v>0</v>
      </c>
      <c r="AL338" s="21">
        <f t="shared" si="270"/>
        <v>0</v>
      </c>
      <c r="AM338" s="62" t="str">
        <f t="shared" si="271"/>
        <v/>
      </c>
      <c r="AN338" s="21">
        <f t="shared" si="272"/>
        <v>0</v>
      </c>
      <c r="AO338" s="62" t="str">
        <f t="shared" si="273"/>
        <v/>
      </c>
      <c r="AP338" s="21">
        <f t="shared" si="274"/>
        <v>0</v>
      </c>
      <c r="AQ338" s="62" t="str">
        <f t="shared" si="275"/>
        <v/>
      </c>
      <c r="AR338" s="31">
        <f t="shared" si="276"/>
        <v>0</v>
      </c>
      <c r="AS338" s="21">
        <f t="shared" si="277"/>
        <v>0</v>
      </c>
      <c r="AT338" s="62" t="str">
        <f t="shared" si="278"/>
        <v/>
      </c>
      <c r="AU338" s="84">
        <f t="shared" si="279"/>
        <v>0</v>
      </c>
      <c r="AV338" s="32">
        <f t="shared" si="280"/>
        <v>0</v>
      </c>
      <c r="AW338" s="85" t="str">
        <f t="shared" si="281"/>
        <v/>
      </c>
      <c r="AX338" s="86" t="str">
        <f t="shared" si="282"/>
        <v/>
      </c>
    </row>
    <row r="339" spans="1:50" x14ac:dyDescent="0.2">
      <c r="A339" s="29" t="str">
        <f t="shared" si="241"/>
        <v/>
      </c>
      <c r="B339" s="32" t="str">
        <f t="shared" si="242"/>
        <v/>
      </c>
      <c r="C339" s="35"/>
      <c r="D339" s="33" t="str">
        <f t="shared" si="243"/>
        <v/>
      </c>
      <c r="E339" s="22" t="str">
        <f t="shared" si="244"/>
        <v/>
      </c>
      <c r="F339" s="23" t="str">
        <f t="shared" si="245"/>
        <v/>
      </c>
      <c r="G339" s="23"/>
      <c r="H339" s="22"/>
      <c r="I339" s="23"/>
      <c r="J339" s="18"/>
      <c r="K339" s="13" t="str">
        <f t="shared" si="246"/>
        <v/>
      </c>
      <c r="L339" s="28" t="str">
        <f t="shared" si="240"/>
        <v/>
      </c>
      <c r="M339" s="10" t="str">
        <f t="shared" si="247"/>
        <v/>
      </c>
      <c r="N339" s="17" t="str">
        <f t="shared" si="248"/>
        <v/>
      </c>
      <c r="O339" s="39" t="str">
        <f t="shared" si="249"/>
        <v/>
      </c>
      <c r="P339" s="41" t="str">
        <f t="shared" si="250"/>
        <v/>
      </c>
      <c r="Q339" s="9" t="str">
        <f t="shared" si="251"/>
        <v/>
      </c>
      <c r="R339" s="14">
        <f t="shared" si="252"/>
        <v>0</v>
      </c>
      <c r="S339" s="61" t="str">
        <f t="shared" si="253"/>
        <v/>
      </c>
      <c r="T339" s="14">
        <f t="shared" si="254"/>
        <v>0</v>
      </c>
      <c r="U339" s="58" t="str">
        <f t="shared" si="255"/>
        <v/>
      </c>
      <c r="V339" s="14">
        <f t="shared" si="256"/>
        <v>0</v>
      </c>
      <c r="W339" s="58" t="str">
        <f t="shared" si="257"/>
        <v/>
      </c>
      <c r="X339" s="14">
        <f t="shared" si="258"/>
        <v>0</v>
      </c>
      <c r="Y339" s="58" t="str">
        <f t="shared" si="259"/>
        <v/>
      </c>
      <c r="Z339" s="31">
        <f t="shared" si="260"/>
        <v>0</v>
      </c>
      <c r="AA339" s="21">
        <f t="shared" si="261"/>
        <v>0</v>
      </c>
      <c r="AB339" s="58" t="str">
        <f t="shared" si="262"/>
        <v/>
      </c>
      <c r="AC339" s="630">
        <f t="shared" si="239"/>
        <v>0</v>
      </c>
      <c r="AD339" s="627"/>
      <c r="AE339" s="21">
        <f t="shared" si="263"/>
        <v>0</v>
      </c>
      <c r="AF339" s="58" t="str">
        <f t="shared" si="264"/>
        <v/>
      </c>
      <c r="AG339" s="21">
        <f t="shared" si="265"/>
        <v>0</v>
      </c>
      <c r="AH339" s="58" t="str">
        <f t="shared" si="266"/>
        <v/>
      </c>
      <c r="AI339" s="21">
        <f t="shared" si="267"/>
        <v>0</v>
      </c>
      <c r="AJ339" s="58" t="str">
        <f t="shared" si="268"/>
        <v/>
      </c>
      <c r="AK339" s="31">
        <f t="shared" si="269"/>
        <v>0</v>
      </c>
      <c r="AL339" s="21">
        <f t="shared" si="270"/>
        <v>0</v>
      </c>
      <c r="AM339" s="62" t="str">
        <f t="shared" si="271"/>
        <v/>
      </c>
      <c r="AN339" s="21">
        <f t="shared" si="272"/>
        <v>0</v>
      </c>
      <c r="AO339" s="62" t="str">
        <f t="shared" si="273"/>
        <v/>
      </c>
      <c r="AP339" s="21">
        <f t="shared" si="274"/>
        <v>0</v>
      </c>
      <c r="AQ339" s="62" t="str">
        <f t="shared" si="275"/>
        <v/>
      </c>
      <c r="AR339" s="31">
        <f t="shared" si="276"/>
        <v>0</v>
      </c>
      <c r="AS339" s="21">
        <f t="shared" si="277"/>
        <v>0</v>
      </c>
      <c r="AT339" s="62" t="str">
        <f t="shared" si="278"/>
        <v/>
      </c>
      <c r="AU339" s="84">
        <f t="shared" si="279"/>
        <v>0</v>
      </c>
      <c r="AV339" s="32">
        <f t="shared" si="280"/>
        <v>0</v>
      </c>
      <c r="AW339" s="85" t="str">
        <f t="shared" si="281"/>
        <v/>
      </c>
      <c r="AX339" s="86" t="str">
        <f t="shared" si="282"/>
        <v/>
      </c>
    </row>
    <row r="340" spans="1:50" x14ac:dyDescent="0.2">
      <c r="A340" s="29" t="str">
        <f t="shared" si="241"/>
        <v/>
      </c>
      <c r="B340" s="32" t="str">
        <f t="shared" si="242"/>
        <v/>
      </c>
      <c r="C340" s="35"/>
      <c r="D340" s="33" t="str">
        <f t="shared" si="243"/>
        <v/>
      </c>
      <c r="E340" s="22" t="str">
        <f t="shared" si="244"/>
        <v/>
      </c>
      <c r="F340" s="23" t="str">
        <f t="shared" si="245"/>
        <v/>
      </c>
      <c r="G340" s="23"/>
      <c r="H340" s="22"/>
      <c r="I340" s="23"/>
      <c r="J340" s="18"/>
      <c r="K340" s="13" t="str">
        <f t="shared" si="246"/>
        <v/>
      </c>
      <c r="L340" s="28" t="str">
        <f t="shared" si="240"/>
        <v/>
      </c>
      <c r="M340" s="10" t="str">
        <f t="shared" si="247"/>
        <v/>
      </c>
      <c r="N340" s="17" t="str">
        <f t="shared" si="248"/>
        <v/>
      </c>
      <c r="O340" s="39" t="str">
        <f t="shared" si="249"/>
        <v/>
      </c>
      <c r="P340" s="41" t="str">
        <f t="shared" si="250"/>
        <v/>
      </c>
      <c r="Q340" s="9" t="str">
        <f t="shared" si="251"/>
        <v/>
      </c>
      <c r="R340" s="14">
        <f t="shared" si="252"/>
        <v>0</v>
      </c>
      <c r="S340" s="61" t="str">
        <f t="shared" si="253"/>
        <v/>
      </c>
      <c r="T340" s="14">
        <f t="shared" si="254"/>
        <v>0</v>
      </c>
      <c r="U340" s="58" t="str">
        <f t="shared" si="255"/>
        <v/>
      </c>
      <c r="V340" s="14">
        <f t="shared" si="256"/>
        <v>0</v>
      </c>
      <c r="W340" s="58" t="str">
        <f t="shared" si="257"/>
        <v/>
      </c>
      <c r="X340" s="14">
        <f t="shared" si="258"/>
        <v>0</v>
      </c>
      <c r="Y340" s="58" t="str">
        <f t="shared" si="259"/>
        <v/>
      </c>
      <c r="Z340" s="31">
        <f t="shared" si="260"/>
        <v>0</v>
      </c>
      <c r="AA340" s="21">
        <f t="shared" si="261"/>
        <v>0</v>
      </c>
      <c r="AB340" s="58" t="str">
        <f t="shared" si="262"/>
        <v/>
      </c>
      <c r="AC340" s="630">
        <f t="shared" si="239"/>
        <v>0</v>
      </c>
      <c r="AD340" s="627"/>
      <c r="AE340" s="21">
        <f t="shared" si="263"/>
        <v>0</v>
      </c>
      <c r="AF340" s="58" t="str">
        <f t="shared" si="264"/>
        <v/>
      </c>
      <c r="AG340" s="21">
        <f t="shared" si="265"/>
        <v>0</v>
      </c>
      <c r="AH340" s="58" t="str">
        <f t="shared" si="266"/>
        <v/>
      </c>
      <c r="AI340" s="21">
        <f t="shared" si="267"/>
        <v>0</v>
      </c>
      <c r="AJ340" s="58" t="str">
        <f t="shared" si="268"/>
        <v/>
      </c>
      <c r="AK340" s="31">
        <f t="shared" si="269"/>
        <v>0</v>
      </c>
      <c r="AL340" s="21">
        <f t="shared" si="270"/>
        <v>0</v>
      </c>
      <c r="AM340" s="62" t="str">
        <f t="shared" si="271"/>
        <v/>
      </c>
      <c r="AN340" s="21">
        <f t="shared" si="272"/>
        <v>0</v>
      </c>
      <c r="AO340" s="62" t="str">
        <f t="shared" si="273"/>
        <v/>
      </c>
      <c r="AP340" s="21">
        <f t="shared" si="274"/>
        <v>0</v>
      </c>
      <c r="AQ340" s="62" t="str">
        <f t="shared" si="275"/>
        <v/>
      </c>
      <c r="AR340" s="31">
        <f t="shared" si="276"/>
        <v>0</v>
      </c>
      <c r="AS340" s="21">
        <f t="shared" si="277"/>
        <v>0</v>
      </c>
      <c r="AT340" s="62" t="str">
        <f t="shared" si="278"/>
        <v/>
      </c>
      <c r="AU340" s="84">
        <f t="shared" si="279"/>
        <v>0</v>
      </c>
      <c r="AV340" s="32">
        <f t="shared" si="280"/>
        <v>0</v>
      </c>
      <c r="AW340" s="85" t="str">
        <f t="shared" si="281"/>
        <v/>
      </c>
      <c r="AX340" s="86" t="str">
        <f t="shared" si="282"/>
        <v/>
      </c>
    </row>
    <row r="341" spans="1:50" x14ac:dyDescent="0.2">
      <c r="A341" s="29" t="str">
        <f t="shared" si="241"/>
        <v/>
      </c>
      <c r="B341" s="32" t="str">
        <f t="shared" si="242"/>
        <v/>
      </c>
      <c r="C341" s="35"/>
      <c r="D341" s="33" t="str">
        <f t="shared" si="243"/>
        <v/>
      </c>
      <c r="E341" s="22" t="str">
        <f t="shared" si="244"/>
        <v/>
      </c>
      <c r="F341" s="23" t="str">
        <f t="shared" si="245"/>
        <v/>
      </c>
      <c r="G341" s="23"/>
      <c r="H341" s="22"/>
      <c r="I341" s="23"/>
      <c r="J341" s="18"/>
      <c r="K341" s="13" t="str">
        <f t="shared" si="246"/>
        <v/>
      </c>
      <c r="L341" s="28" t="str">
        <f t="shared" si="240"/>
        <v/>
      </c>
      <c r="M341" s="10" t="str">
        <f t="shared" si="247"/>
        <v/>
      </c>
      <c r="N341" s="17" t="str">
        <f t="shared" si="248"/>
        <v/>
      </c>
      <c r="O341" s="39" t="str">
        <f t="shared" si="249"/>
        <v/>
      </c>
      <c r="P341" s="41" t="str">
        <f t="shared" si="250"/>
        <v/>
      </c>
      <c r="Q341" s="9" t="str">
        <f t="shared" si="251"/>
        <v/>
      </c>
      <c r="R341" s="14">
        <f t="shared" si="252"/>
        <v>0</v>
      </c>
      <c r="S341" s="61" t="str">
        <f t="shared" si="253"/>
        <v/>
      </c>
      <c r="T341" s="14">
        <f t="shared" si="254"/>
        <v>0</v>
      </c>
      <c r="U341" s="58" t="str">
        <f t="shared" si="255"/>
        <v/>
      </c>
      <c r="V341" s="14">
        <f t="shared" si="256"/>
        <v>0</v>
      </c>
      <c r="W341" s="58" t="str">
        <f t="shared" si="257"/>
        <v/>
      </c>
      <c r="X341" s="14">
        <f t="shared" si="258"/>
        <v>0</v>
      </c>
      <c r="Y341" s="58" t="str">
        <f t="shared" si="259"/>
        <v/>
      </c>
      <c r="Z341" s="31">
        <f t="shared" si="260"/>
        <v>0</v>
      </c>
      <c r="AA341" s="21">
        <f t="shared" si="261"/>
        <v>0</v>
      </c>
      <c r="AB341" s="58" t="str">
        <f t="shared" si="262"/>
        <v/>
      </c>
      <c r="AC341" s="630">
        <f t="shared" ref="AC341:AC404" si="283">COUNTIF(G341:J341,100)</f>
        <v>0</v>
      </c>
      <c r="AD341" s="627"/>
      <c r="AE341" s="21">
        <f t="shared" si="263"/>
        <v>0</v>
      </c>
      <c r="AF341" s="58" t="str">
        <f t="shared" si="264"/>
        <v/>
      </c>
      <c r="AG341" s="21">
        <f t="shared" si="265"/>
        <v>0</v>
      </c>
      <c r="AH341" s="58" t="str">
        <f t="shared" si="266"/>
        <v/>
      </c>
      <c r="AI341" s="21">
        <f t="shared" si="267"/>
        <v>0</v>
      </c>
      <c r="AJ341" s="58" t="str">
        <f t="shared" si="268"/>
        <v/>
      </c>
      <c r="AK341" s="31">
        <f t="shared" si="269"/>
        <v>0</v>
      </c>
      <c r="AL341" s="21">
        <f t="shared" si="270"/>
        <v>0</v>
      </c>
      <c r="AM341" s="62" t="str">
        <f t="shared" si="271"/>
        <v/>
      </c>
      <c r="AN341" s="21">
        <f t="shared" si="272"/>
        <v>0</v>
      </c>
      <c r="AO341" s="62" t="str">
        <f t="shared" si="273"/>
        <v/>
      </c>
      <c r="AP341" s="21">
        <f t="shared" si="274"/>
        <v>0</v>
      </c>
      <c r="AQ341" s="62" t="str">
        <f t="shared" si="275"/>
        <v/>
      </c>
      <c r="AR341" s="31">
        <f t="shared" si="276"/>
        <v>0</v>
      </c>
      <c r="AS341" s="21">
        <f t="shared" si="277"/>
        <v>0</v>
      </c>
      <c r="AT341" s="62" t="str">
        <f t="shared" si="278"/>
        <v/>
      </c>
      <c r="AU341" s="84">
        <f t="shared" si="279"/>
        <v>0</v>
      </c>
      <c r="AV341" s="32">
        <f t="shared" si="280"/>
        <v>0</v>
      </c>
      <c r="AW341" s="85" t="str">
        <f t="shared" si="281"/>
        <v/>
      </c>
      <c r="AX341" s="86" t="str">
        <f t="shared" si="282"/>
        <v/>
      </c>
    </row>
    <row r="342" spans="1:50" x14ac:dyDescent="0.2">
      <c r="A342" s="29" t="str">
        <f t="shared" si="241"/>
        <v/>
      </c>
      <c r="B342" s="32" t="str">
        <f t="shared" si="242"/>
        <v/>
      </c>
      <c r="C342" s="35"/>
      <c r="D342" s="33" t="str">
        <f t="shared" si="243"/>
        <v/>
      </c>
      <c r="E342" s="22" t="str">
        <f t="shared" si="244"/>
        <v/>
      </c>
      <c r="F342" s="23" t="str">
        <f t="shared" si="245"/>
        <v/>
      </c>
      <c r="G342" s="23"/>
      <c r="H342" s="22"/>
      <c r="I342" s="23"/>
      <c r="J342" s="18"/>
      <c r="K342" s="13" t="str">
        <f t="shared" si="246"/>
        <v/>
      </c>
      <c r="L342" s="28" t="str">
        <f t="shared" ref="L342:L405" si="284">IF($N$4="M",IF(A342="","",IF(K342=26,(A342+B342+Q342)*C342*0.02739,IF(K342=24,(A342+B342+Q342)*C342*0.02739,IF(K342=22,(A342+B342+Q342)*C342*0.0333,IF(K342=20,(A342+B342+Q342)*C342*0.0393,IF(K342=18,(A342+B342+Q342)*C342*0.0511,IF(K342=16,(A342+B342+Q342)*C342*0.0628))))))),IF(A342="","",IF(K342=26,(A342+B342+Q342)*C342*0.211,IF(K342=24,(A342+B342+Q342)*C342*0.211,IF(K342=22,(A342+B342+Q342)*C342*0.258,IF(K342=20,(A342+B342+Q342)*C342*0.304,IF(K342=18,(A342+B342+Q342)*C342*0.395,IF(K342=16,(A342+B342+Q342)*C342*0.487))))))))</f>
        <v/>
      </c>
      <c r="M342" s="10" t="str">
        <f t="shared" si="247"/>
        <v/>
      </c>
      <c r="N342" s="17" t="str">
        <f t="shared" si="248"/>
        <v/>
      </c>
      <c r="O342" s="39" t="str">
        <f t="shared" si="249"/>
        <v/>
      </c>
      <c r="P342" s="41" t="str">
        <f t="shared" si="250"/>
        <v/>
      </c>
      <c r="Q342" s="9" t="str">
        <f t="shared" si="251"/>
        <v/>
      </c>
      <c r="R342" s="14">
        <f t="shared" si="252"/>
        <v>0</v>
      </c>
      <c r="S342" s="61" t="str">
        <f t="shared" si="253"/>
        <v/>
      </c>
      <c r="T342" s="14">
        <f t="shared" si="254"/>
        <v>0</v>
      </c>
      <c r="U342" s="58" t="str">
        <f t="shared" si="255"/>
        <v/>
      </c>
      <c r="V342" s="14">
        <f t="shared" si="256"/>
        <v>0</v>
      </c>
      <c r="W342" s="58" t="str">
        <f t="shared" si="257"/>
        <v/>
      </c>
      <c r="X342" s="14">
        <f t="shared" si="258"/>
        <v>0</v>
      </c>
      <c r="Y342" s="58" t="str">
        <f t="shared" si="259"/>
        <v/>
      </c>
      <c r="Z342" s="31">
        <f t="shared" si="260"/>
        <v>0</v>
      </c>
      <c r="AA342" s="21">
        <f t="shared" si="261"/>
        <v>0</v>
      </c>
      <c r="AB342" s="58" t="str">
        <f t="shared" si="262"/>
        <v/>
      </c>
      <c r="AC342" s="630">
        <f t="shared" si="283"/>
        <v>0</v>
      </c>
      <c r="AD342" s="627"/>
      <c r="AE342" s="21">
        <f t="shared" si="263"/>
        <v>0</v>
      </c>
      <c r="AF342" s="58" t="str">
        <f t="shared" si="264"/>
        <v/>
      </c>
      <c r="AG342" s="21">
        <f t="shared" si="265"/>
        <v>0</v>
      </c>
      <c r="AH342" s="58" t="str">
        <f t="shared" si="266"/>
        <v/>
      </c>
      <c r="AI342" s="21">
        <f t="shared" si="267"/>
        <v>0</v>
      </c>
      <c r="AJ342" s="58" t="str">
        <f t="shared" si="268"/>
        <v/>
      </c>
      <c r="AK342" s="31">
        <f t="shared" si="269"/>
        <v>0</v>
      </c>
      <c r="AL342" s="21">
        <f t="shared" si="270"/>
        <v>0</v>
      </c>
      <c r="AM342" s="62" t="str">
        <f t="shared" si="271"/>
        <v/>
      </c>
      <c r="AN342" s="21">
        <f t="shared" si="272"/>
        <v>0</v>
      </c>
      <c r="AO342" s="62" t="str">
        <f t="shared" si="273"/>
        <v/>
      </c>
      <c r="AP342" s="21">
        <f t="shared" si="274"/>
        <v>0</v>
      </c>
      <c r="AQ342" s="62" t="str">
        <f t="shared" si="275"/>
        <v/>
      </c>
      <c r="AR342" s="31">
        <f t="shared" si="276"/>
        <v>0</v>
      </c>
      <c r="AS342" s="21">
        <f t="shared" si="277"/>
        <v>0</v>
      </c>
      <c r="AT342" s="62" t="str">
        <f t="shared" si="278"/>
        <v/>
      </c>
      <c r="AU342" s="84">
        <f t="shared" si="279"/>
        <v>0</v>
      </c>
      <c r="AV342" s="32">
        <f t="shared" si="280"/>
        <v>0</v>
      </c>
      <c r="AW342" s="85" t="str">
        <f t="shared" si="281"/>
        <v/>
      </c>
      <c r="AX342" s="86" t="str">
        <f t="shared" si="282"/>
        <v/>
      </c>
    </row>
    <row r="343" spans="1:50" x14ac:dyDescent="0.2">
      <c r="A343" s="29" t="str">
        <f t="shared" si="241"/>
        <v/>
      </c>
      <c r="B343" s="32" t="str">
        <f t="shared" si="242"/>
        <v/>
      </c>
      <c r="C343" s="35"/>
      <c r="D343" s="33" t="str">
        <f t="shared" si="243"/>
        <v/>
      </c>
      <c r="E343" s="22" t="str">
        <f t="shared" si="244"/>
        <v/>
      </c>
      <c r="F343" s="23" t="str">
        <f t="shared" si="245"/>
        <v/>
      </c>
      <c r="G343" s="23"/>
      <c r="H343" s="22"/>
      <c r="I343" s="23"/>
      <c r="J343" s="18"/>
      <c r="K343" s="13" t="str">
        <f t="shared" si="246"/>
        <v/>
      </c>
      <c r="L343" s="28" t="str">
        <f t="shared" si="284"/>
        <v/>
      </c>
      <c r="M343" s="10" t="str">
        <f t="shared" si="247"/>
        <v/>
      </c>
      <c r="N343" s="17" t="str">
        <f t="shared" si="248"/>
        <v/>
      </c>
      <c r="O343" s="39" t="str">
        <f t="shared" si="249"/>
        <v/>
      </c>
      <c r="P343" s="41" t="str">
        <f t="shared" si="250"/>
        <v/>
      </c>
      <c r="Q343" s="9" t="str">
        <f t="shared" si="251"/>
        <v/>
      </c>
      <c r="R343" s="14">
        <f t="shared" si="252"/>
        <v>0</v>
      </c>
      <c r="S343" s="61" t="str">
        <f t="shared" si="253"/>
        <v/>
      </c>
      <c r="T343" s="14">
        <f t="shared" si="254"/>
        <v>0</v>
      </c>
      <c r="U343" s="58" t="str">
        <f t="shared" si="255"/>
        <v/>
      </c>
      <c r="V343" s="14">
        <f t="shared" si="256"/>
        <v>0</v>
      </c>
      <c r="W343" s="58" t="str">
        <f t="shared" si="257"/>
        <v/>
      </c>
      <c r="X343" s="14">
        <f t="shared" si="258"/>
        <v>0</v>
      </c>
      <c r="Y343" s="58" t="str">
        <f t="shared" si="259"/>
        <v/>
      </c>
      <c r="Z343" s="31">
        <f t="shared" si="260"/>
        <v>0</v>
      </c>
      <c r="AA343" s="21">
        <f t="shared" si="261"/>
        <v>0</v>
      </c>
      <c r="AB343" s="58" t="str">
        <f t="shared" si="262"/>
        <v/>
      </c>
      <c r="AC343" s="630">
        <f t="shared" si="283"/>
        <v>0</v>
      </c>
      <c r="AD343" s="627"/>
      <c r="AE343" s="21">
        <f t="shared" si="263"/>
        <v>0</v>
      </c>
      <c r="AF343" s="58" t="str">
        <f t="shared" si="264"/>
        <v/>
      </c>
      <c r="AG343" s="21">
        <f t="shared" si="265"/>
        <v>0</v>
      </c>
      <c r="AH343" s="58" t="str">
        <f t="shared" si="266"/>
        <v/>
      </c>
      <c r="AI343" s="21">
        <f t="shared" si="267"/>
        <v>0</v>
      </c>
      <c r="AJ343" s="58" t="str">
        <f t="shared" si="268"/>
        <v/>
      </c>
      <c r="AK343" s="31">
        <f t="shared" si="269"/>
        <v>0</v>
      </c>
      <c r="AL343" s="21">
        <f t="shared" si="270"/>
        <v>0</v>
      </c>
      <c r="AM343" s="62" t="str">
        <f t="shared" si="271"/>
        <v/>
      </c>
      <c r="AN343" s="21">
        <f t="shared" si="272"/>
        <v>0</v>
      </c>
      <c r="AO343" s="62" t="str">
        <f t="shared" si="273"/>
        <v/>
      </c>
      <c r="AP343" s="21">
        <f t="shared" si="274"/>
        <v>0</v>
      </c>
      <c r="AQ343" s="62" t="str">
        <f t="shared" si="275"/>
        <v/>
      </c>
      <c r="AR343" s="31">
        <f t="shared" si="276"/>
        <v>0</v>
      </c>
      <c r="AS343" s="21">
        <f t="shared" si="277"/>
        <v>0</v>
      </c>
      <c r="AT343" s="62" t="str">
        <f t="shared" si="278"/>
        <v/>
      </c>
      <c r="AU343" s="84">
        <f t="shared" si="279"/>
        <v>0</v>
      </c>
      <c r="AV343" s="32">
        <f t="shared" si="280"/>
        <v>0</v>
      </c>
      <c r="AW343" s="85" t="str">
        <f t="shared" si="281"/>
        <v/>
      </c>
      <c r="AX343" s="86" t="str">
        <f t="shared" si="282"/>
        <v/>
      </c>
    </row>
    <row r="344" spans="1:50" x14ac:dyDescent="0.2">
      <c r="A344" s="29" t="str">
        <f t="shared" si="241"/>
        <v/>
      </c>
      <c r="B344" s="32" t="str">
        <f t="shared" si="242"/>
        <v/>
      </c>
      <c r="C344" s="35"/>
      <c r="D344" s="33" t="str">
        <f t="shared" si="243"/>
        <v/>
      </c>
      <c r="E344" s="22" t="str">
        <f t="shared" si="244"/>
        <v/>
      </c>
      <c r="F344" s="23" t="str">
        <f t="shared" si="245"/>
        <v/>
      </c>
      <c r="G344" s="23"/>
      <c r="H344" s="22"/>
      <c r="I344" s="23"/>
      <c r="J344" s="18"/>
      <c r="K344" s="13" t="str">
        <f t="shared" si="246"/>
        <v/>
      </c>
      <c r="L344" s="28" t="str">
        <f t="shared" si="284"/>
        <v/>
      </c>
      <c r="M344" s="10" t="str">
        <f t="shared" si="247"/>
        <v/>
      </c>
      <c r="N344" s="17" t="str">
        <f t="shared" si="248"/>
        <v/>
      </c>
      <c r="O344" s="39" t="str">
        <f t="shared" si="249"/>
        <v/>
      </c>
      <c r="P344" s="41" t="str">
        <f t="shared" si="250"/>
        <v/>
      </c>
      <c r="Q344" s="9" t="str">
        <f t="shared" si="251"/>
        <v/>
      </c>
      <c r="R344" s="14">
        <f t="shared" si="252"/>
        <v>0</v>
      </c>
      <c r="S344" s="61" t="str">
        <f t="shared" si="253"/>
        <v/>
      </c>
      <c r="T344" s="14">
        <f t="shared" si="254"/>
        <v>0</v>
      </c>
      <c r="U344" s="58" t="str">
        <f t="shared" si="255"/>
        <v/>
      </c>
      <c r="V344" s="14">
        <f t="shared" si="256"/>
        <v>0</v>
      </c>
      <c r="W344" s="58" t="str">
        <f t="shared" si="257"/>
        <v/>
      </c>
      <c r="X344" s="14">
        <f t="shared" si="258"/>
        <v>0</v>
      </c>
      <c r="Y344" s="58" t="str">
        <f t="shared" si="259"/>
        <v/>
      </c>
      <c r="Z344" s="31">
        <f t="shared" si="260"/>
        <v>0</v>
      </c>
      <c r="AA344" s="21">
        <f t="shared" si="261"/>
        <v>0</v>
      </c>
      <c r="AB344" s="58" t="str">
        <f t="shared" si="262"/>
        <v/>
      </c>
      <c r="AC344" s="630">
        <f t="shared" si="283"/>
        <v>0</v>
      </c>
      <c r="AD344" s="627"/>
      <c r="AE344" s="21">
        <f t="shared" si="263"/>
        <v>0</v>
      </c>
      <c r="AF344" s="58" t="str">
        <f t="shared" si="264"/>
        <v/>
      </c>
      <c r="AG344" s="21">
        <f t="shared" si="265"/>
        <v>0</v>
      </c>
      <c r="AH344" s="58" t="str">
        <f t="shared" si="266"/>
        <v/>
      </c>
      <c r="AI344" s="21">
        <f t="shared" si="267"/>
        <v>0</v>
      </c>
      <c r="AJ344" s="58" t="str">
        <f t="shared" si="268"/>
        <v/>
      </c>
      <c r="AK344" s="31">
        <f t="shared" si="269"/>
        <v>0</v>
      </c>
      <c r="AL344" s="21">
        <f t="shared" si="270"/>
        <v>0</v>
      </c>
      <c r="AM344" s="62" t="str">
        <f t="shared" si="271"/>
        <v/>
      </c>
      <c r="AN344" s="21">
        <f t="shared" si="272"/>
        <v>0</v>
      </c>
      <c r="AO344" s="62" t="str">
        <f t="shared" si="273"/>
        <v/>
      </c>
      <c r="AP344" s="21">
        <f t="shared" si="274"/>
        <v>0</v>
      </c>
      <c r="AQ344" s="62" t="str">
        <f t="shared" si="275"/>
        <v/>
      </c>
      <c r="AR344" s="31">
        <f t="shared" si="276"/>
        <v>0</v>
      </c>
      <c r="AS344" s="21">
        <f t="shared" si="277"/>
        <v>0</v>
      </c>
      <c r="AT344" s="62" t="str">
        <f t="shared" si="278"/>
        <v/>
      </c>
      <c r="AU344" s="84">
        <f t="shared" si="279"/>
        <v>0</v>
      </c>
      <c r="AV344" s="32">
        <f t="shared" si="280"/>
        <v>0</v>
      </c>
      <c r="AW344" s="85" t="str">
        <f t="shared" si="281"/>
        <v/>
      </c>
      <c r="AX344" s="86" t="str">
        <f t="shared" si="282"/>
        <v/>
      </c>
    </row>
    <row r="345" spans="1:50" x14ac:dyDescent="0.2">
      <c r="A345" s="29" t="str">
        <f t="shared" si="241"/>
        <v/>
      </c>
      <c r="B345" s="32" t="str">
        <f t="shared" si="242"/>
        <v/>
      </c>
      <c r="C345" s="35"/>
      <c r="D345" s="33" t="str">
        <f t="shared" si="243"/>
        <v/>
      </c>
      <c r="E345" s="22" t="str">
        <f t="shared" si="244"/>
        <v/>
      </c>
      <c r="F345" s="23" t="str">
        <f t="shared" si="245"/>
        <v/>
      </c>
      <c r="G345" s="23"/>
      <c r="H345" s="22"/>
      <c r="I345" s="23"/>
      <c r="J345" s="18"/>
      <c r="K345" s="13" t="str">
        <f t="shared" si="246"/>
        <v/>
      </c>
      <c r="L345" s="28" t="str">
        <f t="shared" si="284"/>
        <v/>
      </c>
      <c r="M345" s="10" t="str">
        <f t="shared" si="247"/>
        <v/>
      </c>
      <c r="N345" s="17" t="str">
        <f t="shared" si="248"/>
        <v/>
      </c>
      <c r="O345" s="39" t="str">
        <f t="shared" si="249"/>
        <v/>
      </c>
      <c r="P345" s="41" t="str">
        <f t="shared" si="250"/>
        <v/>
      </c>
      <c r="Q345" s="9" t="str">
        <f t="shared" si="251"/>
        <v/>
      </c>
      <c r="R345" s="14">
        <f t="shared" si="252"/>
        <v>0</v>
      </c>
      <c r="S345" s="61" t="str">
        <f t="shared" si="253"/>
        <v/>
      </c>
      <c r="T345" s="14">
        <f t="shared" si="254"/>
        <v>0</v>
      </c>
      <c r="U345" s="58" t="str">
        <f t="shared" si="255"/>
        <v/>
      </c>
      <c r="V345" s="14">
        <f t="shared" si="256"/>
        <v>0</v>
      </c>
      <c r="W345" s="58" t="str">
        <f t="shared" si="257"/>
        <v/>
      </c>
      <c r="X345" s="14">
        <f t="shared" si="258"/>
        <v>0</v>
      </c>
      <c r="Y345" s="58" t="str">
        <f t="shared" si="259"/>
        <v/>
      </c>
      <c r="Z345" s="31">
        <f t="shared" si="260"/>
        <v>0</v>
      </c>
      <c r="AA345" s="21">
        <f t="shared" si="261"/>
        <v>0</v>
      </c>
      <c r="AB345" s="58" t="str">
        <f t="shared" si="262"/>
        <v/>
      </c>
      <c r="AC345" s="630">
        <f t="shared" si="283"/>
        <v>0</v>
      </c>
      <c r="AD345" s="627"/>
      <c r="AE345" s="21">
        <f t="shared" si="263"/>
        <v>0</v>
      </c>
      <c r="AF345" s="58" t="str">
        <f t="shared" si="264"/>
        <v/>
      </c>
      <c r="AG345" s="21">
        <f t="shared" si="265"/>
        <v>0</v>
      </c>
      <c r="AH345" s="58" t="str">
        <f t="shared" si="266"/>
        <v/>
      </c>
      <c r="AI345" s="21">
        <f t="shared" si="267"/>
        <v>0</v>
      </c>
      <c r="AJ345" s="58" t="str">
        <f t="shared" si="268"/>
        <v/>
      </c>
      <c r="AK345" s="31">
        <f t="shared" si="269"/>
        <v>0</v>
      </c>
      <c r="AL345" s="21">
        <f t="shared" si="270"/>
        <v>0</v>
      </c>
      <c r="AM345" s="62" t="str">
        <f t="shared" si="271"/>
        <v/>
      </c>
      <c r="AN345" s="21">
        <f t="shared" si="272"/>
        <v>0</v>
      </c>
      <c r="AO345" s="62" t="str">
        <f t="shared" si="273"/>
        <v/>
      </c>
      <c r="AP345" s="21">
        <f t="shared" si="274"/>
        <v>0</v>
      </c>
      <c r="AQ345" s="62" t="str">
        <f t="shared" si="275"/>
        <v/>
      </c>
      <c r="AR345" s="31">
        <f t="shared" si="276"/>
        <v>0</v>
      </c>
      <c r="AS345" s="21">
        <f t="shared" si="277"/>
        <v>0</v>
      </c>
      <c r="AT345" s="62" t="str">
        <f t="shared" si="278"/>
        <v/>
      </c>
      <c r="AU345" s="84">
        <f t="shared" si="279"/>
        <v>0</v>
      </c>
      <c r="AV345" s="32">
        <f t="shared" si="280"/>
        <v>0</v>
      </c>
      <c r="AW345" s="85" t="str">
        <f t="shared" si="281"/>
        <v/>
      </c>
      <c r="AX345" s="86" t="str">
        <f t="shared" si="282"/>
        <v/>
      </c>
    </row>
    <row r="346" spans="1:50" x14ac:dyDescent="0.2">
      <c r="A346" s="29" t="str">
        <f t="shared" si="241"/>
        <v/>
      </c>
      <c r="B346" s="32" t="str">
        <f t="shared" si="242"/>
        <v/>
      </c>
      <c r="C346" s="35"/>
      <c r="D346" s="33" t="str">
        <f t="shared" si="243"/>
        <v/>
      </c>
      <c r="E346" s="22" t="str">
        <f t="shared" si="244"/>
        <v/>
      </c>
      <c r="F346" s="23" t="str">
        <f t="shared" si="245"/>
        <v/>
      </c>
      <c r="G346" s="23"/>
      <c r="H346" s="22"/>
      <c r="I346" s="23"/>
      <c r="J346" s="18"/>
      <c r="K346" s="13" t="str">
        <f t="shared" si="246"/>
        <v/>
      </c>
      <c r="L346" s="28" t="str">
        <f t="shared" si="284"/>
        <v/>
      </c>
      <c r="M346" s="10" t="str">
        <f t="shared" si="247"/>
        <v/>
      </c>
      <c r="N346" s="17" t="str">
        <f t="shared" si="248"/>
        <v/>
      </c>
      <c r="O346" s="39" t="str">
        <f t="shared" si="249"/>
        <v/>
      </c>
      <c r="P346" s="41" t="str">
        <f t="shared" si="250"/>
        <v/>
      </c>
      <c r="Q346" s="9" t="str">
        <f t="shared" si="251"/>
        <v/>
      </c>
      <c r="R346" s="14">
        <f t="shared" si="252"/>
        <v>0</v>
      </c>
      <c r="S346" s="61" t="str">
        <f t="shared" si="253"/>
        <v/>
      </c>
      <c r="T346" s="14">
        <f t="shared" si="254"/>
        <v>0</v>
      </c>
      <c r="U346" s="58" t="str">
        <f t="shared" si="255"/>
        <v/>
      </c>
      <c r="V346" s="14">
        <f t="shared" si="256"/>
        <v>0</v>
      </c>
      <c r="W346" s="58" t="str">
        <f t="shared" si="257"/>
        <v/>
      </c>
      <c r="X346" s="14">
        <f t="shared" si="258"/>
        <v>0</v>
      </c>
      <c r="Y346" s="58" t="str">
        <f t="shared" si="259"/>
        <v/>
      </c>
      <c r="Z346" s="31">
        <f t="shared" si="260"/>
        <v>0</v>
      </c>
      <c r="AA346" s="21">
        <f t="shared" si="261"/>
        <v>0</v>
      </c>
      <c r="AB346" s="58" t="str">
        <f t="shared" si="262"/>
        <v/>
      </c>
      <c r="AC346" s="630">
        <f t="shared" si="283"/>
        <v>0</v>
      </c>
      <c r="AD346" s="627"/>
      <c r="AE346" s="21">
        <f t="shared" si="263"/>
        <v>0</v>
      </c>
      <c r="AF346" s="58" t="str">
        <f t="shared" si="264"/>
        <v/>
      </c>
      <c r="AG346" s="21">
        <f t="shared" si="265"/>
        <v>0</v>
      </c>
      <c r="AH346" s="58" t="str">
        <f t="shared" si="266"/>
        <v/>
      </c>
      <c r="AI346" s="21">
        <f t="shared" si="267"/>
        <v>0</v>
      </c>
      <c r="AJ346" s="58" t="str">
        <f t="shared" si="268"/>
        <v/>
      </c>
      <c r="AK346" s="31">
        <f t="shared" si="269"/>
        <v>0</v>
      </c>
      <c r="AL346" s="21">
        <f t="shared" si="270"/>
        <v>0</v>
      </c>
      <c r="AM346" s="62" t="str">
        <f t="shared" si="271"/>
        <v/>
      </c>
      <c r="AN346" s="21">
        <f t="shared" si="272"/>
        <v>0</v>
      </c>
      <c r="AO346" s="62" t="str">
        <f t="shared" si="273"/>
        <v/>
      </c>
      <c r="AP346" s="21">
        <f t="shared" si="274"/>
        <v>0</v>
      </c>
      <c r="AQ346" s="62" t="str">
        <f t="shared" si="275"/>
        <v/>
      </c>
      <c r="AR346" s="31">
        <f t="shared" si="276"/>
        <v>0</v>
      </c>
      <c r="AS346" s="21">
        <f t="shared" si="277"/>
        <v>0</v>
      </c>
      <c r="AT346" s="62" t="str">
        <f t="shared" si="278"/>
        <v/>
      </c>
      <c r="AU346" s="84">
        <f t="shared" si="279"/>
        <v>0</v>
      </c>
      <c r="AV346" s="32">
        <f t="shared" si="280"/>
        <v>0</v>
      </c>
      <c r="AW346" s="85" t="str">
        <f t="shared" si="281"/>
        <v/>
      </c>
      <c r="AX346" s="86" t="str">
        <f t="shared" si="282"/>
        <v/>
      </c>
    </row>
    <row r="347" spans="1:50" x14ac:dyDescent="0.2">
      <c r="A347" s="29" t="str">
        <f t="shared" si="241"/>
        <v/>
      </c>
      <c r="B347" s="32" t="str">
        <f t="shared" si="242"/>
        <v/>
      </c>
      <c r="C347" s="35"/>
      <c r="D347" s="33" t="str">
        <f t="shared" si="243"/>
        <v/>
      </c>
      <c r="E347" s="22" t="str">
        <f t="shared" si="244"/>
        <v/>
      </c>
      <c r="F347" s="23" t="str">
        <f t="shared" si="245"/>
        <v/>
      </c>
      <c r="G347" s="23"/>
      <c r="H347" s="22"/>
      <c r="I347" s="23"/>
      <c r="J347" s="18"/>
      <c r="K347" s="13" t="str">
        <f t="shared" si="246"/>
        <v/>
      </c>
      <c r="L347" s="28" t="str">
        <f t="shared" si="284"/>
        <v/>
      </c>
      <c r="M347" s="10" t="str">
        <f t="shared" si="247"/>
        <v/>
      </c>
      <c r="N347" s="17" t="str">
        <f t="shared" si="248"/>
        <v/>
      </c>
      <c r="O347" s="39" t="str">
        <f t="shared" si="249"/>
        <v/>
      </c>
      <c r="P347" s="41" t="str">
        <f t="shared" si="250"/>
        <v/>
      </c>
      <c r="Q347" s="9" t="str">
        <f t="shared" si="251"/>
        <v/>
      </c>
      <c r="R347" s="14">
        <f t="shared" si="252"/>
        <v>0</v>
      </c>
      <c r="S347" s="61" t="str">
        <f t="shared" si="253"/>
        <v/>
      </c>
      <c r="T347" s="14">
        <f t="shared" si="254"/>
        <v>0</v>
      </c>
      <c r="U347" s="58" t="str">
        <f t="shared" si="255"/>
        <v/>
      </c>
      <c r="V347" s="14">
        <f t="shared" si="256"/>
        <v>0</v>
      </c>
      <c r="W347" s="58" t="str">
        <f t="shared" si="257"/>
        <v/>
      </c>
      <c r="X347" s="14">
        <f t="shared" si="258"/>
        <v>0</v>
      </c>
      <c r="Y347" s="58" t="str">
        <f t="shared" si="259"/>
        <v/>
      </c>
      <c r="Z347" s="31">
        <f t="shared" si="260"/>
        <v>0</v>
      </c>
      <c r="AA347" s="21">
        <f t="shared" si="261"/>
        <v>0</v>
      </c>
      <c r="AB347" s="58" t="str">
        <f t="shared" si="262"/>
        <v/>
      </c>
      <c r="AC347" s="630">
        <f t="shared" si="283"/>
        <v>0</v>
      </c>
      <c r="AD347" s="627"/>
      <c r="AE347" s="21">
        <f t="shared" si="263"/>
        <v>0</v>
      </c>
      <c r="AF347" s="58" t="str">
        <f t="shared" si="264"/>
        <v/>
      </c>
      <c r="AG347" s="21">
        <f t="shared" si="265"/>
        <v>0</v>
      </c>
      <c r="AH347" s="58" t="str">
        <f t="shared" si="266"/>
        <v/>
      </c>
      <c r="AI347" s="21">
        <f t="shared" si="267"/>
        <v>0</v>
      </c>
      <c r="AJ347" s="58" t="str">
        <f t="shared" si="268"/>
        <v/>
      </c>
      <c r="AK347" s="31">
        <f t="shared" si="269"/>
        <v>0</v>
      </c>
      <c r="AL347" s="21">
        <f t="shared" si="270"/>
        <v>0</v>
      </c>
      <c r="AM347" s="62" t="str">
        <f t="shared" si="271"/>
        <v/>
      </c>
      <c r="AN347" s="21">
        <f t="shared" si="272"/>
        <v>0</v>
      </c>
      <c r="AO347" s="62" t="str">
        <f t="shared" si="273"/>
        <v/>
      </c>
      <c r="AP347" s="21">
        <f t="shared" si="274"/>
        <v>0</v>
      </c>
      <c r="AQ347" s="62" t="str">
        <f t="shared" si="275"/>
        <v/>
      </c>
      <c r="AR347" s="31">
        <f t="shared" si="276"/>
        <v>0</v>
      </c>
      <c r="AS347" s="21">
        <f t="shared" si="277"/>
        <v>0</v>
      </c>
      <c r="AT347" s="62" t="str">
        <f t="shared" si="278"/>
        <v/>
      </c>
      <c r="AU347" s="84">
        <f t="shared" si="279"/>
        <v>0</v>
      </c>
      <c r="AV347" s="32">
        <f t="shared" si="280"/>
        <v>0</v>
      </c>
      <c r="AW347" s="85" t="str">
        <f t="shared" si="281"/>
        <v/>
      </c>
      <c r="AX347" s="86" t="str">
        <f t="shared" si="282"/>
        <v/>
      </c>
    </row>
    <row r="348" spans="1:50" x14ac:dyDescent="0.2">
      <c r="A348" s="29" t="str">
        <f t="shared" si="241"/>
        <v/>
      </c>
      <c r="B348" s="32" t="str">
        <f t="shared" si="242"/>
        <v/>
      </c>
      <c r="C348" s="35"/>
      <c r="D348" s="33" t="str">
        <f t="shared" si="243"/>
        <v/>
      </c>
      <c r="E348" s="22" t="str">
        <f t="shared" si="244"/>
        <v/>
      </c>
      <c r="F348" s="23" t="str">
        <f t="shared" si="245"/>
        <v/>
      </c>
      <c r="G348" s="23"/>
      <c r="H348" s="22"/>
      <c r="I348" s="23"/>
      <c r="J348" s="18"/>
      <c r="K348" s="13" t="str">
        <f t="shared" si="246"/>
        <v/>
      </c>
      <c r="L348" s="28" t="str">
        <f t="shared" si="284"/>
        <v/>
      </c>
      <c r="M348" s="10" t="str">
        <f t="shared" si="247"/>
        <v/>
      </c>
      <c r="N348" s="17" t="str">
        <f t="shared" si="248"/>
        <v/>
      </c>
      <c r="O348" s="39" t="str">
        <f t="shared" si="249"/>
        <v/>
      </c>
      <c r="P348" s="41" t="str">
        <f t="shared" si="250"/>
        <v/>
      </c>
      <c r="Q348" s="9" t="str">
        <f t="shared" si="251"/>
        <v/>
      </c>
      <c r="R348" s="14">
        <f t="shared" si="252"/>
        <v>0</v>
      </c>
      <c r="S348" s="61" t="str">
        <f t="shared" si="253"/>
        <v/>
      </c>
      <c r="T348" s="14">
        <f t="shared" si="254"/>
        <v>0</v>
      </c>
      <c r="U348" s="58" t="str">
        <f t="shared" si="255"/>
        <v/>
      </c>
      <c r="V348" s="14">
        <f t="shared" si="256"/>
        <v>0</v>
      </c>
      <c r="W348" s="58" t="str">
        <f t="shared" si="257"/>
        <v/>
      </c>
      <c r="X348" s="14">
        <f t="shared" si="258"/>
        <v>0</v>
      </c>
      <c r="Y348" s="58" t="str">
        <f t="shared" si="259"/>
        <v/>
      </c>
      <c r="Z348" s="31">
        <f t="shared" si="260"/>
        <v>0</v>
      </c>
      <c r="AA348" s="21">
        <f t="shared" si="261"/>
        <v>0</v>
      </c>
      <c r="AB348" s="58" t="str">
        <f t="shared" si="262"/>
        <v/>
      </c>
      <c r="AC348" s="630">
        <f t="shared" si="283"/>
        <v>0</v>
      </c>
      <c r="AD348" s="627"/>
      <c r="AE348" s="21">
        <f t="shared" si="263"/>
        <v>0</v>
      </c>
      <c r="AF348" s="58" t="str">
        <f t="shared" si="264"/>
        <v/>
      </c>
      <c r="AG348" s="21">
        <f t="shared" si="265"/>
        <v>0</v>
      </c>
      <c r="AH348" s="58" t="str">
        <f t="shared" si="266"/>
        <v/>
      </c>
      <c r="AI348" s="21">
        <f t="shared" si="267"/>
        <v>0</v>
      </c>
      <c r="AJ348" s="58" t="str">
        <f t="shared" si="268"/>
        <v/>
      </c>
      <c r="AK348" s="31">
        <f t="shared" si="269"/>
        <v>0</v>
      </c>
      <c r="AL348" s="21">
        <f t="shared" si="270"/>
        <v>0</v>
      </c>
      <c r="AM348" s="62" t="str">
        <f t="shared" si="271"/>
        <v/>
      </c>
      <c r="AN348" s="21">
        <f t="shared" si="272"/>
        <v>0</v>
      </c>
      <c r="AO348" s="62" t="str">
        <f t="shared" si="273"/>
        <v/>
      </c>
      <c r="AP348" s="21">
        <f t="shared" si="274"/>
        <v>0</v>
      </c>
      <c r="AQ348" s="62" t="str">
        <f t="shared" si="275"/>
        <v/>
      </c>
      <c r="AR348" s="31">
        <f t="shared" si="276"/>
        <v>0</v>
      </c>
      <c r="AS348" s="21">
        <f t="shared" si="277"/>
        <v>0</v>
      </c>
      <c r="AT348" s="62" t="str">
        <f t="shared" si="278"/>
        <v/>
      </c>
      <c r="AU348" s="84">
        <f t="shared" si="279"/>
        <v>0</v>
      </c>
      <c r="AV348" s="32">
        <f t="shared" si="280"/>
        <v>0</v>
      </c>
      <c r="AW348" s="85" t="str">
        <f t="shared" si="281"/>
        <v/>
      </c>
      <c r="AX348" s="86" t="str">
        <f t="shared" si="282"/>
        <v/>
      </c>
    </row>
    <row r="349" spans="1:50" x14ac:dyDescent="0.2">
      <c r="A349" s="29" t="str">
        <f t="shared" si="241"/>
        <v/>
      </c>
      <c r="B349" s="32" t="str">
        <f t="shared" si="242"/>
        <v/>
      </c>
      <c r="C349" s="35"/>
      <c r="D349" s="33" t="str">
        <f t="shared" si="243"/>
        <v/>
      </c>
      <c r="E349" s="22" t="str">
        <f t="shared" si="244"/>
        <v/>
      </c>
      <c r="F349" s="23" t="str">
        <f t="shared" si="245"/>
        <v/>
      </c>
      <c r="G349" s="23"/>
      <c r="H349" s="22"/>
      <c r="I349" s="23"/>
      <c r="J349" s="18"/>
      <c r="K349" s="13" t="str">
        <f t="shared" si="246"/>
        <v/>
      </c>
      <c r="L349" s="28" t="str">
        <f t="shared" si="284"/>
        <v/>
      </c>
      <c r="M349" s="10" t="str">
        <f t="shared" si="247"/>
        <v/>
      </c>
      <c r="N349" s="17" t="str">
        <f t="shared" si="248"/>
        <v/>
      </c>
      <c r="O349" s="39" t="str">
        <f t="shared" si="249"/>
        <v/>
      </c>
      <c r="P349" s="41" t="str">
        <f t="shared" si="250"/>
        <v/>
      </c>
      <c r="Q349" s="9" t="str">
        <f t="shared" si="251"/>
        <v/>
      </c>
      <c r="R349" s="14">
        <f t="shared" si="252"/>
        <v>0</v>
      </c>
      <c r="S349" s="61" t="str">
        <f t="shared" si="253"/>
        <v/>
      </c>
      <c r="T349" s="14">
        <f t="shared" si="254"/>
        <v>0</v>
      </c>
      <c r="U349" s="58" t="str">
        <f t="shared" si="255"/>
        <v/>
      </c>
      <c r="V349" s="14">
        <f t="shared" si="256"/>
        <v>0</v>
      </c>
      <c r="W349" s="58" t="str">
        <f t="shared" si="257"/>
        <v/>
      </c>
      <c r="X349" s="14">
        <f t="shared" si="258"/>
        <v>0</v>
      </c>
      <c r="Y349" s="58" t="str">
        <f t="shared" si="259"/>
        <v/>
      </c>
      <c r="Z349" s="31">
        <f t="shared" si="260"/>
        <v>0</v>
      </c>
      <c r="AA349" s="21">
        <f t="shared" si="261"/>
        <v>0</v>
      </c>
      <c r="AB349" s="58" t="str">
        <f t="shared" si="262"/>
        <v/>
      </c>
      <c r="AC349" s="630">
        <f t="shared" si="283"/>
        <v>0</v>
      </c>
      <c r="AD349" s="627"/>
      <c r="AE349" s="21">
        <f t="shared" si="263"/>
        <v>0</v>
      </c>
      <c r="AF349" s="58" t="str">
        <f t="shared" si="264"/>
        <v/>
      </c>
      <c r="AG349" s="21">
        <f t="shared" si="265"/>
        <v>0</v>
      </c>
      <c r="AH349" s="58" t="str">
        <f t="shared" si="266"/>
        <v/>
      </c>
      <c r="AI349" s="21">
        <f t="shared" si="267"/>
        <v>0</v>
      </c>
      <c r="AJ349" s="58" t="str">
        <f t="shared" si="268"/>
        <v/>
      </c>
      <c r="AK349" s="31">
        <f t="shared" si="269"/>
        <v>0</v>
      </c>
      <c r="AL349" s="21">
        <f t="shared" si="270"/>
        <v>0</v>
      </c>
      <c r="AM349" s="62" t="str">
        <f t="shared" si="271"/>
        <v/>
      </c>
      <c r="AN349" s="21">
        <f t="shared" si="272"/>
        <v>0</v>
      </c>
      <c r="AO349" s="62" t="str">
        <f t="shared" si="273"/>
        <v/>
      </c>
      <c r="AP349" s="21">
        <f t="shared" si="274"/>
        <v>0</v>
      </c>
      <c r="AQ349" s="62" t="str">
        <f t="shared" si="275"/>
        <v/>
      </c>
      <c r="AR349" s="31">
        <f t="shared" si="276"/>
        <v>0</v>
      </c>
      <c r="AS349" s="21">
        <f t="shared" si="277"/>
        <v>0</v>
      </c>
      <c r="AT349" s="62" t="str">
        <f t="shared" si="278"/>
        <v/>
      </c>
      <c r="AU349" s="84">
        <f t="shared" si="279"/>
        <v>0</v>
      </c>
      <c r="AV349" s="32">
        <f t="shared" si="280"/>
        <v>0</v>
      </c>
      <c r="AW349" s="85" t="str">
        <f t="shared" si="281"/>
        <v/>
      </c>
      <c r="AX349" s="86" t="str">
        <f t="shared" si="282"/>
        <v/>
      </c>
    </row>
    <row r="350" spans="1:50" x14ac:dyDescent="0.2">
      <c r="A350" s="29" t="str">
        <f t="shared" si="241"/>
        <v/>
      </c>
      <c r="B350" s="32" t="str">
        <f t="shared" si="242"/>
        <v/>
      </c>
      <c r="C350" s="35"/>
      <c r="D350" s="33" t="str">
        <f t="shared" si="243"/>
        <v/>
      </c>
      <c r="E350" s="22" t="str">
        <f t="shared" si="244"/>
        <v/>
      </c>
      <c r="F350" s="23" t="str">
        <f t="shared" si="245"/>
        <v/>
      </c>
      <c r="G350" s="23"/>
      <c r="H350" s="22"/>
      <c r="I350" s="23"/>
      <c r="J350" s="18"/>
      <c r="K350" s="13" t="str">
        <f t="shared" si="246"/>
        <v/>
      </c>
      <c r="L350" s="28" t="str">
        <f t="shared" si="284"/>
        <v/>
      </c>
      <c r="M350" s="10" t="str">
        <f t="shared" si="247"/>
        <v/>
      </c>
      <c r="N350" s="17" t="str">
        <f t="shared" si="248"/>
        <v/>
      </c>
      <c r="O350" s="39" t="str">
        <f t="shared" si="249"/>
        <v/>
      </c>
      <c r="P350" s="41" t="str">
        <f t="shared" si="250"/>
        <v/>
      </c>
      <c r="Q350" s="9" t="str">
        <f t="shared" si="251"/>
        <v/>
      </c>
      <c r="R350" s="14">
        <f t="shared" si="252"/>
        <v>0</v>
      </c>
      <c r="S350" s="61" t="str">
        <f t="shared" si="253"/>
        <v/>
      </c>
      <c r="T350" s="14">
        <f t="shared" si="254"/>
        <v>0</v>
      </c>
      <c r="U350" s="58" t="str">
        <f t="shared" si="255"/>
        <v/>
      </c>
      <c r="V350" s="14">
        <f t="shared" si="256"/>
        <v>0</v>
      </c>
      <c r="W350" s="58" t="str">
        <f t="shared" si="257"/>
        <v/>
      </c>
      <c r="X350" s="14">
        <f t="shared" si="258"/>
        <v>0</v>
      </c>
      <c r="Y350" s="58" t="str">
        <f t="shared" si="259"/>
        <v/>
      </c>
      <c r="Z350" s="31">
        <f t="shared" si="260"/>
        <v>0</v>
      </c>
      <c r="AA350" s="21">
        <f t="shared" si="261"/>
        <v>0</v>
      </c>
      <c r="AB350" s="58" t="str">
        <f t="shared" si="262"/>
        <v/>
      </c>
      <c r="AC350" s="630">
        <f t="shared" si="283"/>
        <v>0</v>
      </c>
      <c r="AD350" s="627"/>
      <c r="AE350" s="21">
        <f t="shared" si="263"/>
        <v>0</v>
      </c>
      <c r="AF350" s="58" t="str">
        <f t="shared" si="264"/>
        <v/>
      </c>
      <c r="AG350" s="21">
        <f t="shared" si="265"/>
        <v>0</v>
      </c>
      <c r="AH350" s="58" t="str">
        <f t="shared" si="266"/>
        <v/>
      </c>
      <c r="AI350" s="21">
        <f t="shared" si="267"/>
        <v>0</v>
      </c>
      <c r="AJ350" s="58" t="str">
        <f t="shared" si="268"/>
        <v/>
      </c>
      <c r="AK350" s="31">
        <f t="shared" si="269"/>
        <v>0</v>
      </c>
      <c r="AL350" s="21">
        <f t="shared" si="270"/>
        <v>0</v>
      </c>
      <c r="AM350" s="62" t="str">
        <f t="shared" si="271"/>
        <v/>
      </c>
      <c r="AN350" s="21">
        <f t="shared" si="272"/>
        <v>0</v>
      </c>
      <c r="AO350" s="62" t="str">
        <f t="shared" si="273"/>
        <v/>
      </c>
      <c r="AP350" s="21">
        <f t="shared" si="274"/>
        <v>0</v>
      </c>
      <c r="AQ350" s="62" t="str">
        <f t="shared" si="275"/>
        <v/>
      </c>
      <c r="AR350" s="31">
        <f t="shared" si="276"/>
        <v>0</v>
      </c>
      <c r="AS350" s="21">
        <f t="shared" si="277"/>
        <v>0</v>
      </c>
      <c r="AT350" s="62" t="str">
        <f t="shared" si="278"/>
        <v/>
      </c>
      <c r="AU350" s="84">
        <f t="shared" si="279"/>
        <v>0</v>
      </c>
      <c r="AV350" s="32">
        <f t="shared" si="280"/>
        <v>0</v>
      </c>
      <c r="AW350" s="85" t="str">
        <f t="shared" si="281"/>
        <v/>
      </c>
      <c r="AX350" s="86" t="str">
        <f t="shared" si="282"/>
        <v/>
      </c>
    </row>
    <row r="351" spans="1:50" x14ac:dyDescent="0.2">
      <c r="A351" s="29" t="str">
        <f t="shared" si="241"/>
        <v/>
      </c>
      <c r="B351" s="32" t="str">
        <f t="shared" si="242"/>
        <v/>
      </c>
      <c r="C351" s="35"/>
      <c r="D351" s="33" t="str">
        <f t="shared" si="243"/>
        <v/>
      </c>
      <c r="E351" s="22" t="str">
        <f t="shared" si="244"/>
        <v/>
      </c>
      <c r="F351" s="23" t="str">
        <f t="shared" si="245"/>
        <v/>
      </c>
      <c r="G351" s="23"/>
      <c r="H351" s="22"/>
      <c r="I351" s="23"/>
      <c r="J351" s="18"/>
      <c r="K351" s="13" t="str">
        <f t="shared" si="246"/>
        <v/>
      </c>
      <c r="L351" s="28" t="str">
        <f t="shared" si="284"/>
        <v/>
      </c>
      <c r="M351" s="10" t="str">
        <f t="shared" si="247"/>
        <v/>
      </c>
      <c r="N351" s="17" t="str">
        <f t="shared" si="248"/>
        <v/>
      </c>
      <c r="O351" s="39" t="str">
        <f t="shared" si="249"/>
        <v/>
      </c>
      <c r="P351" s="41" t="str">
        <f t="shared" si="250"/>
        <v/>
      </c>
      <c r="Q351" s="9" t="str">
        <f t="shared" si="251"/>
        <v/>
      </c>
      <c r="R351" s="14">
        <f t="shared" si="252"/>
        <v>0</v>
      </c>
      <c r="S351" s="61" t="str">
        <f t="shared" si="253"/>
        <v/>
      </c>
      <c r="T351" s="14">
        <f t="shared" si="254"/>
        <v>0</v>
      </c>
      <c r="U351" s="58" t="str">
        <f t="shared" si="255"/>
        <v/>
      </c>
      <c r="V351" s="14">
        <f t="shared" si="256"/>
        <v>0</v>
      </c>
      <c r="W351" s="58" t="str">
        <f t="shared" si="257"/>
        <v/>
      </c>
      <c r="X351" s="14">
        <f t="shared" si="258"/>
        <v>0</v>
      </c>
      <c r="Y351" s="58" t="str">
        <f t="shared" si="259"/>
        <v/>
      </c>
      <c r="Z351" s="31">
        <f t="shared" si="260"/>
        <v>0</v>
      </c>
      <c r="AA351" s="21">
        <f t="shared" si="261"/>
        <v>0</v>
      </c>
      <c r="AB351" s="58" t="str">
        <f t="shared" si="262"/>
        <v/>
      </c>
      <c r="AC351" s="630">
        <f t="shared" si="283"/>
        <v>0</v>
      </c>
      <c r="AD351" s="627"/>
      <c r="AE351" s="21">
        <f t="shared" si="263"/>
        <v>0</v>
      </c>
      <c r="AF351" s="58" t="str">
        <f t="shared" si="264"/>
        <v/>
      </c>
      <c r="AG351" s="21">
        <f t="shared" si="265"/>
        <v>0</v>
      </c>
      <c r="AH351" s="58" t="str">
        <f t="shared" si="266"/>
        <v/>
      </c>
      <c r="AI351" s="21">
        <f t="shared" si="267"/>
        <v>0</v>
      </c>
      <c r="AJ351" s="58" t="str">
        <f t="shared" si="268"/>
        <v/>
      </c>
      <c r="AK351" s="31">
        <f t="shared" si="269"/>
        <v>0</v>
      </c>
      <c r="AL351" s="21">
        <f t="shared" si="270"/>
        <v>0</v>
      </c>
      <c r="AM351" s="62" t="str">
        <f t="shared" si="271"/>
        <v/>
      </c>
      <c r="AN351" s="21">
        <f t="shared" si="272"/>
        <v>0</v>
      </c>
      <c r="AO351" s="62" t="str">
        <f t="shared" si="273"/>
        <v/>
      </c>
      <c r="AP351" s="21">
        <f t="shared" si="274"/>
        <v>0</v>
      </c>
      <c r="AQ351" s="62" t="str">
        <f t="shared" si="275"/>
        <v/>
      </c>
      <c r="AR351" s="31">
        <f t="shared" si="276"/>
        <v>0</v>
      </c>
      <c r="AS351" s="21">
        <f t="shared" si="277"/>
        <v>0</v>
      </c>
      <c r="AT351" s="62" t="str">
        <f t="shared" si="278"/>
        <v/>
      </c>
      <c r="AU351" s="84">
        <f t="shared" si="279"/>
        <v>0</v>
      </c>
      <c r="AV351" s="32">
        <f t="shared" si="280"/>
        <v>0</v>
      </c>
      <c r="AW351" s="85" t="str">
        <f t="shared" si="281"/>
        <v/>
      </c>
      <c r="AX351" s="86" t="str">
        <f t="shared" si="282"/>
        <v/>
      </c>
    </row>
    <row r="352" spans="1:50" x14ac:dyDescent="0.2">
      <c r="A352" s="29" t="str">
        <f t="shared" si="241"/>
        <v/>
      </c>
      <c r="B352" s="32" t="str">
        <f t="shared" si="242"/>
        <v/>
      </c>
      <c r="C352" s="35"/>
      <c r="D352" s="33" t="str">
        <f t="shared" si="243"/>
        <v/>
      </c>
      <c r="E352" s="22" t="str">
        <f t="shared" si="244"/>
        <v/>
      </c>
      <c r="F352" s="23" t="str">
        <f t="shared" si="245"/>
        <v/>
      </c>
      <c r="G352" s="23"/>
      <c r="H352" s="22"/>
      <c r="I352" s="23"/>
      <c r="J352" s="18"/>
      <c r="K352" s="13" t="str">
        <f t="shared" si="246"/>
        <v/>
      </c>
      <c r="L352" s="28" t="str">
        <f t="shared" si="284"/>
        <v/>
      </c>
      <c r="M352" s="10" t="str">
        <f t="shared" si="247"/>
        <v/>
      </c>
      <c r="N352" s="17" t="str">
        <f t="shared" si="248"/>
        <v/>
      </c>
      <c r="O352" s="39" t="str">
        <f t="shared" si="249"/>
        <v/>
      </c>
      <c r="P352" s="41" t="str">
        <f t="shared" si="250"/>
        <v/>
      </c>
      <c r="Q352" s="9" t="str">
        <f t="shared" si="251"/>
        <v/>
      </c>
      <c r="R352" s="14">
        <f t="shared" si="252"/>
        <v>0</v>
      </c>
      <c r="S352" s="61" t="str">
        <f t="shared" si="253"/>
        <v/>
      </c>
      <c r="T352" s="14">
        <f t="shared" si="254"/>
        <v>0</v>
      </c>
      <c r="U352" s="58" t="str">
        <f t="shared" si="255"/>
        <v/>
      </c>
      <c r="V352" s="14">
        <f t="shared" si="256"/>
        <v>0</v>
      </c>
      <c r="W352" s="58" t="str">
        <f t="shared" si="257"/>
        <v/>
      </c>
      <c r="X352" s="14">
        <f t="shared" si="258"/>
        <v>0</v>
      </c>
      <c r="Y352" s="58" t="str">
        <f t="shared" si="259"/>
        <v/>
      </c>
      <c r="Z352" s="31">
        <f t="shared" si="260"/>
        <v>0</v>
      </c>
      <c r="AA352" s="21">
        <f t="shared" si="261"/>
        <v>0</v>
      </c>
      <c r="AB352" s="58" t="str">
        <f t="shared" si="262"/>
        <v/>
      </c>
      <c r="AC352" s="630">
        <f t="shared" si="283"/>
        <v>0</v>
      </c>
      <c r="AD352" s="627"/>
      <c r="AE352" s="21">
        <f t="shared" si="263"/>
        <v>0</v>
      </c>
      <c r="AF352" s="58" t="str">
        <f t="shared" si="264"/>
        <v/>
      </c>
      <c r="AG352" s="21">
        <f t="shared" si="265"/>
        <v>0</v>
      </c>
      <c r="AH352" s="58" t="str">
        <f t="shared" si="266"/>
        <v/>
      </c>
      <c r="AI352" s="21">
        <f t="shared" si="267"/>
        <v>0</v>
      </c>
      <c r="AJ352" s="58" t="str">
        <f t="shared" si="268"/>
        <v/>
      </c>
      <c r="AK352" s="31">
        <f t="shared" si="269"/>
        <v>0</v>
      </c>
      <c r="AL352" s="21">
        <f t="shared" si="270"/>
        <v>0</v>
      </c>
      <c r="AM352" s="62" t="str">
        <f t="shared" si="271"/>
        <v/>
      </c>
      <c r="AN352" s="21">
        <f t="shared" si="272"/>
        <v>0</v>
      </c>
      <c r="AO352" s="62" t="str">
        <f t="shared" si="273"/>
        <v/>
      </c>
      <c r="AP352" s="21">
        <f t="shared" si="274"/>
        <v>0</v>
      </c>
      <c r="AQ352" s="62" t="str">
        <f t="shared" si="275"/>
        <v/>
      </c>
      <c r="AR352" s="31">
        <f t="shared" si="276"/>
        <v>0</v>
      </c>
      <c r="AS352" s="21">
        <f t="shared" si="277"/>
        <v>0</v>
      </c>
      <c r="AT352" s="62" t="str">
        <f t="shared" si="278"/>
        <v/>
      </c>
      <c r="AU352" s="84">
        <f t="shared" si="279"/>
        <v>0</v>
      </c>
      <c r="AV352" s="32">
        <f t="shared" si="280"/>
        <v>0</v>
      </c>
      <c r="AW352" s="85" t="str">
        <f t="shared" si="281"/>
        <v/>
      </c>
      <c r="AX352" s="86" t="str">
        <f t="shared" si="282"/>
        <v/>
      </c>
    </row>
    <row r="353" spans="1:50" x14ac:dyDescent="0.2">
      <c r="A353" s="29" t="str">
        <f t="shared" si="241"/>
        <v/>
      </c>
      <c r="B353" s="32" t="str">
        <f t="shared" si="242"/>
        <v/>
      </c>
      <c r="C353" s="35"/>
      <c r="D353" s="33" t="str">
        <f t="shared" si="243"/>
        <v/>
      </c>
      <c r="E353" s="22" t="str">
        <f t="shared" si="244"/>
        <v/>
      </c>
      <c r="F353" s="23" t="str">
        <f t="shared" si="245"/>
        <v/>
      </c>
      <c r="G353" s="23"/>
      <c r="H353" s="22"/>
      <c r="I353" s="23"/>
      <c r="J353" s="18"/>
      <c r="K353" s="13" t="str">
        <f t="shared" si="246"/>
        <v/>
      </c>
      <c r="L353" s="28" t="str">
        <f t="shared" si="284"/>
        <v/>
      </c>
      <c r="M353" s="10" t="str">
        <f t="shared" si="247"/>
        <v/>
      </c>
      <c r="N353" s="17" t="str">
        <f t="shared" si="248"/>
        <v/>
      </c>
      <c r="O353" s="39" t="str">
        <f t="shared" si="249"/>
        <v/>
      </c>
      <c r="P353" s="41" t="str">
        <f t="shared" si="250"/>
        <v/>
      </c>
      <c r="Q353" s="9" t="str">
        <f t="shared" si="251"/>
        <v/>
      </c>
      <c r="R353" s="14">
        <f t="shared" si="252"/>
        <v>0</v>
      </c>
      <c r="S353" s="61" t="str">
        <f t="shared" si="253"/>
        <v/>
      </c>
      <c r="T353" s="14">
        <f t="shared" si="254"/>
        <v>0</v>
      </c>
      <c r="U353" s="58" t="str">
        <f t="shared" si="255"/>
        <v/>
      </c>
      <c r="V353" s="14">
        <f t="shared" si="256"/>
        <v>0</v>
      </c>
      <c r="W353" s="58" t="str">
        <f t="shared" si="257"/>
        <v/>
      </c>
      <c r="X353" s="14">
        <f t="shared" si="258"/>
        <v>0</v>
      </c>
      <c r="Y353" s="58" t="str">
        <f t="shared" si="259"/>
        <v/>
      </c>
      <c r="Z353" s="31">
        <f t="shared" si="260"/>
        <v>0</v>
      </c>
      <c r="AA353" s="21">
        <f t="shared" si="261"/>
        <v>0</v>
      </c>
      <c r="AB353" s="58" t="str">
        <f t="shared" si="262"/>
        <v/>
      </c>
      <c r="AC353" s="630">
        <f t="shared" si="283"/>
        <v>0</v>
      </c>
      <c r="AD353" s="627"/>
      <c r="AE353" s="21">
        <f t="shared" si="263"/>
        <v>0</v>
      </c>
      <c r="AF353" s="58" t="str">
        <f t="shared" si="264"/>
        <v/>
      </c>
      <c r="AG353" s="21">
        <f t="shared" si="265"/>
        <v>0</v>
      </c>
      <c r="AH353" s="58" t="str">
        <f t="shared" si="266"/>
        <v/>
      </c>
      <c r="AI353" s="21">
        <f t="shared" si="267"/>
        <v>0</v>
      </c>
      <c r="AJ353" s="58" t="str">
        <f t="shared" si="268"/>
        <v/>
      </c>
      <c r="AK353" s="31">
        <f t="shared" si="269"/>
        <v>0</v>
      </c>
      <c r="AL353" s="21">
        <f t="shared" si="270"/>
        <v>0</v>
      </c>
      <c r="AM353" s="62" t="str">
        <f t="shared" si="271"/>
        <v/>
      </c>
      <c r="AN353" s="21">
        <f t="shared" si="272"/>
        <v>0</v>
      </c>
      <c r="AO353" s="62" t="str">
        <f t="shared" si="273"/>
        <v/>
      </c>
      <c r="AP353" s="21">
        <f t="shared" si="274"/>
        <v>0</v>
      </c>
      <c r="AQ353" s="62" t="str">
        <f t="shared" si="275"/>
        <v/>
      </c>
      <c r="AR353" s="31">
        <f t="shared" si="276"/>
        <v>0</v>
      </c>
      <c r="AS353" s="21">
        <f t="shared" si="277"/>
        <v>0</v>
      </c>
      <c r="AT353" s="62" t="str">
        <f t="shared" si="278"/>
        <v/>
      </c>
      <c r="AU353" s="84">
        <f t="shared" si="279"/>
        <v>0</v>
      </c>
      <c r="AV353" s="32">
        <f t="shared" si="280"/>
        <v>0</v>
      </c>
      <c r="AW353" s="85" t="str">
        <f t="shared" si="281"/>
        <v/>
      </c>
      <c r="AX353" s="86" t="str">
        <f t="shared" si="282"/>
        <v/>
      </c>
    </row>
    <row r="354" spans="1:50" x14ac:dyDescent="0.2">
      <c r="A354" s="29" t="str">
        <f t="shared" si="241"/>
        <v/>
      </c>
      <c r="B354" s="32" t="str">
        <f t="shared" si="242"/>
        <v/>
      </c>
      <c r="C354" s="35"/>
      <c r="D354" s="33" t="str">
        <f t="shared" si="243"/>
        <v/>
      </c>
      <c r="E354" s="22" t="str">
        <f t="shared" si="244"/>
        <v/>
      </c>
      <c r="F354" s="23" t="str">
        <f t="shared" si="245"/>
        <v/>
      </c>
      <c r="G354" s="23"/>
      <c r="H354" s="22"/>
      <c r="I354" s="23"/>
      <c r="J354" s="18"/>
      <c r="K354" s="13" t="str">
        <f t="shared" si="246"/>
        <v/>
      </c>
      <c r="L354" s="28" t="str">
        <f t="shared" si="284"/>
        <v/>
      </c>
      <c r="M354" s="10" t="str">
        <f t="shared" si="247"/>
        <v/>
      </c>
      <c r="N354" s="17" t="str">
        <f t="shared" si="248"/>
        <v/>
      </c>
      <c r="O354" s="39" t="str">
        <f t="shared" si="249"/>
        <v/>
      </c>
      <c r="P354" s="41" t="str">
        <f t="shared" si="250"/>
        <v/>
      </c>
      <c r="Q354" s="9" t="str">
        <f t="shared" si="251"/>
        <v/>
      </c>
      <c r="R354" s="14">
        <f t="shared" si="252"/>
        <v>0</v>
      </c>
      <c r="S354" s="61" t="str">
        <f t="shared" si="253"/>
        <v/>
      </c>
      <c r="T354" s="14">
        <f t="shared" si="254"/>
        <v>0</v>
      </c>
      <c r="U354" s="58" t="str">
        <f t="shared" si="255"/>
        <v/>
      </c>
      <c r="V354" s="14">
        <f t="shared" si="256"/>
        <v>0</v>
      </c>
      <c r="W354" s="58" t="str">
        <f t="shared" si="257"/>
        <v/>
      </c>
      <c r="X354" s="14">
        <f t="shared" si="258"/>
        <v>0</v>
      </c>
      <c r="Y354" s="58" t="str">
        <f t="shared" si="259"/>
        <v/>
      </c>
      <c r="Z354" s="31">
        <f t="shared" si="260"/>
        <v>0</v>
      </c>
      <c r="AA354" s="21">
        <f t="shared" si="261"/>
        <v>0</v>
      </c>
      <c r="AB354" s="58" t="str">
        <f t="shared" si="262"/>
        <v/>
      </c>
      <c r="AC354" s="630">
        <f t="shared" si="283"/>
        <v>0</v>
      </c>
      <c r="AD354" s="627"/>
      <c r="AE354" s="21">
        <f t="shared" si="263"/>
        <v>0</v>
      </c>
      <c r="AF354" s="58" t="str">
        <f t="shared" si="264"/>
        <v/>
      </c>
      <c r="AG354" s="21">
        <f t="shared" si="265"/>
        <v>0</v>
      </c>
      <c r="AH354" s="58" t="str">
        <f t="shared" si="266"/>
        <v/>
      </c>
      <c r="AI354" s="21">
        <f t="shared" si="267"/>
        <v>0</v>
      </c>
      <c r="AJ354" s="58" t="str">
        <f t="shared" si="268"/>
        <v/>
      </c>
      <c r="AK354" s="31">
        <f t="shared" si="269"/>
        <v>0</v>
      </c>
      <c r="AL354" s="21">
        <f t="shared" si="270"/>
        <v>0</v>
      </c>
      <c r="AM354" s="62" t="str">
        <f t="shared" si="271"/>
        <v/>
      </c>
      <c r="AN354" s="21">
        <f t="shared" si="272"/>
        <v>0</v>
      </c>
      <c r="AO354" s="62" t="str">
        <f t="shared" si="273"/>
        <v/>
      </c>
      <c r="AP354" s="21">
        <f t="shared" si="274"/>
        <v>0</v>
      </c>
      <c r="AQ354" s="62" t="str">
        <f t="shared" si="275"/>
        <v/>
      </c>
      <c r="AR354" s="31">
        <f t="shared" si="276"/>
        <v>0</v>
      </c>
      <c r="AS354" s="21">
        <f t="shared" si="277"/>
        <v>0</v>
      </c>
      <c r="AT354" s="62" t="str">
        <f t="shared" si="278"/>
        <v/>
      </c>
      <c r="AU354" s="84">
        <f t="shared" si="279"/>
        <v>0</v>
      </c>
      <c r="AV354" s="32">
        <f t="shared" si="280"/>
        <v>0</v>
      </c>
      <c r="AW354" s="85" t="str">
        <f t="shared" si="281"/>
        <v/>
      </c>
      <c r="AX354" s="86" t="str">
        <f t="shared" si="282"/>
        <v/>
      </c>
    </row>
    <row r="355" spans="1:50" x14ac:dyDescent="0.2">
      <c r="A355" s="29" t="str">
        <f t="shared" si="241"/>
        <v/>
      </c>
      <c r="B355" s="32" t="str">
        <f t="shared" si="242"/>
        <v/>
      </c>
      <c r="C355" s="35"/>
      <c r="D355" s="33" t="str">
        <f t="shared" si="243"/>
        <v/>
      </c>
      <c r="E355" s="22" t="str">
        <f t="shared" si="244"/>
        <v/>
      </c>
      <c r="F355" s="23" t="str">
        <f t="shared" si="245"/>
        <v/>
      </c>
      <c r="G355" s="23"/>
      <c r="H355" s="22"/>
      <c r="I355" s="23"/>
      <c r="J355" s="18"/>
      <c r="K355" s="13" t="str">
        <f t="shared" si="246"/>
        <v/>
      </c>
      <c r="L355" s="28" t="str">
        <f t="shared" si="284"/>
        <v/>
      </c>
      <c r="M355" s="10" t="str">
        <f t="shared" si="247"/>
        <v/>
      </c>
      <c r="N355" s="17" t="str">
        <f t="shared" si="248"/>
        <v/>
      </c>
      <c r="O355" s="39" t="str">
        <f t="shared" si="249"/>
        <v/>
      </c>
      <c r="P355" s="41" t="str">
        <f t="shared" si="250"/>
        <v/>
      </c>
      <c r="Q355" s="9" t="str">
        <f t="shared" si="251"/>
        <v/>
      </c>
      <c r="R355" s="14">
        <f t="shared" si="252"/>
        <v>0</v>
      </c>
      <c r="S355" s="61" t="str">
        <f t="shared" si="253"/>
        <v/>
      </c>
      <c r="T355" s="14">
        <f t="shared" si="254"/>
        <v>0</v>
      </c>
      <c r="U355" s="58" t="str">
        <f t="shared" si="255"/>
        <v/>
      </c>
      <c r="V355" s="14">
        <f t="shared" si="256"/>
        <v>0</v>
      </c>
      <c r="W355" s="58" t="str">
        <f t="shared" si="257"/>
        <v/>
      </c>
      <c r="X355" s="14">
        <f t="shared" si="258"/>
        <v>0</v>
      </c>
      <c r="Y355" s="58" t="str">
        <f t="shared" si="259"/>
        <v/>
      </c>
      <c r="Z355" s="31">
        <f t="shared" si="260"/>
        <v>0</v>
      </c>
      <c r="AA355" s="21">
        <f t="shared" si="261"/>
        <v>0</v>
      </c>
      <c r="AB355" s="58" t="str">
        <f t="shared" si="262"/>
        <v/>
      </c>
      <c r="AC355" s="630">
        <f t="shared" si="283"/>
        <v>0</v>
      </c>
      <c r="AD355" s="627"/>
      <c r="AE355" s="21">
        <f t="shared" si="263"/>
        <v>0</v>
      </c>
      <c r="AF355" s="58" t="str">
        <f t="shared" si="264"/>
        <v/>
      </c>
      <c r="AG355" s="21">
        <f t="shared" si="265"/>
        <v>0</v>
      </c>
      <c r="AH355" s="58" t="str">
        <f t="shared" si="266"/>
        <v/>
      </c>
      <c r="AI355" s="21">
        <f t="shared" si="267"/>
        <v>0</v>
      </c>
      <c r="AJ355" s="58" t="str">
        <f t="shared" si="268"/>
        <v/>
      </c>
      <c r="AK355" s="31">
        <f t="shared" si="269"/>
        <v>0</v>
      </c>
      <c r="AL355" s="21">
        <f t="shared" si="270"/>
        <v>0</v>
      </c>
      <c r="AM355" s="62" t="str">
        <f t="shared" si="271"/>
        <v/>
      </c>
      <c r="AN355" s="21">
        <f t="shared" si="272"/>
        <v>0</v>
      </c>
      <c r="AO355" s="62" t="str">
        <f t="shared" si="273"/>
        <v/>
      </c>
      <c r="AP355" s="21">
        <f t="shared" si="274"/>
        <v>0</v>
      </c>
      <c r="AQ355" s="62" t="str">
        <f t="shared" si="275"/>
        <v/>
      </c>
      <c r="AR355" s="31">
        <f t="shared" si="276"/>
        <v>0</v>
      </c>
      <c r="AS355" s="21">
        <f t="shared" si="277"/>
        <v>0</v>
      </c>
      <c r="AT355" s="62" t="str">
        <f t="shared" si="278"/>
        <v/>
      </c>
      <c r="AU355" s="84">
        <f t="shared" si="279"/>
        <v>0</v>
      </c>
      <c r="AV355" s="32">
        <f t="shared" si="280"/>
        <v>0</v>
      </c>
      <c r="AW355" s="85" t="str">
        <f t="shared" si="281"/>
        <v/>
      </c>
      <c r="AX355" s="86" t="str">
        <f t="shared" si="282"/>
        <v/>
      </c>
    </row>
    <row r="356" spans="1:50" x14ac:dyDescent="0.2">
      <c r="A356" s="29" t="str">
        <f t="shared" si="241"/>
        <v/>
      </c>
      <c r="B356" s="32" t="str">
        <f t="shared" si="242"/>
        <v/>
      </c>
      <c r="C356" s="35"/>
      <c r="D356" s="33" t="str">
        <f t="shared" si="243"/>
        <v/>
      </c>
      <c r="E356" s="22" t="str">
        <f t="shared" si="244"/>
        <v/>
      </c>
      <c r="F356" s="23" t="str">
        <f t="shared" si="245"/>
        <v/>
      </c>
      <c r="G356" s="23"/>
      <c r="H356" s="22"/>
      <c r="I356" s="23"/>
      <c r="J356" s="18"/>
      <c r="K356" s="13" t="str">
        <f t="shared" si="246"/>
        <v/>
      </c>
      <c r="L356" s="28" t="str">
        <f t="shared" si="284"/>
        <v/>
      </c>
      <c r="M356" s="10" t="str">
        <f t="shared" si="247"/>
        <v/>
      </c>
      <c r="N356" s="17" t="str">
        <f t="shared" si="248"/>
        <v/>
      </c>
      <c r="O356" s="39" t="str">
        <f t="shared" si="249"/>
        <v/>
      </c>
      <c r="P356" s="41" t="str">
        <f t="shared" si="250"/>
        <v/>
      </c>
      <c r="Q356" s="9" t="str">
        <f t="shared" si="251"/>
        <v/>
      </c>
      <c r="R356" s="14">
        <f t="shared" si="252"/>
        <v>0</v>
      </c>
      <c r="S356" s="61" t="str">
        <f t="shared" si="253"/>
        <v/>
      </c>
      <c r="T356" s="14">
        <f t="shared" si="254"/>
        <v>0</v>
      </c>
      <c r="U356" s="58" t="str">
        <f t="shared" si="255"/>
        <v/>
      </c>
      <c r="V356" s="14">
        <f t="shared" si="256"/>
        <v>0</v>
      </c>
      <c r="W356" s="58" t="str">
        <f t="shared" si="257"/>
        <v/>
      </c>
      <c r="X356" s="14">
        <f t="shared" si="258"/>
        <v>0</v>
      </c>
      <c r="Y356" s="58" t="str">
        <f t="shared" si="259"/>
        <v/>
      </c>
      <c r="Z356" s="31">
        <f t="shared" si="260"/>
        <v>0</v>
      </c>
      <c r="AA356" s="21">
        <f t="shared" si="261"/>
        <v>0</v>
      </c>
      <c r="AB356" s="58" t="str">
        <f t="shared" si="262"/>
        <v/>
      </c>
      <c r="AC356" s="630">
        <f t="shared" si="283"/>
        <v>0</v>
      </c>
      <c r="AD356" s="627"/>
      <c r="AE356" s="21">
        <f t="shared" si="263"/>
        <v>0</v>
      </c>
      <c r="AF356" s="58" t="str">
        <f t="shared" si="264"/>
        <v/>
      </c>
      <c r="AG356" s="21">
        <f t="shared" si="265"/>
        <v>0</v>
      </c>
      <c r="AH356" s="58" t="str">
        <f t="shared" si="266"/>
        <v/>
      </c>
      <c r="AI356" s="21">
        <f t="shared" si="267"/>
        <v>0</v>
      </c>
      <c r="AJ356" s="58" t="str">
        <f t="shared" si="268"/>
        <v/>
      </c>
      <c r="AK356" s="31">
        <f t="shared" si="269"/>
        <v>0</v>
      </c>
      <c r="AL356" s="21">
        <f t="shared" si="270"/>
        <v>0</v>
      </c>
      <c r="AM356" s="62" t="str">
        <f t="shared" si="271"/>
        <v/>
      </c>
      <c r="AN356" s="21">
        <f t="shared" si="272"/>
        <v>0</v>
      </c>
      <c r="AO356" s="62" t="str">
        <f t="shared" si="273"/>
        <v/>
      </c>
      <c r="AP356" s="21">
        <f t="shared" si="274"/>
        <v>0</v>
      </c>
      <c r="AQ356" s="62" t="str">
        <f t="shared" si="275"/>
        <v/>
      </c>
      <c r="AR356" s="31">
        <f t="shared" si="276"/>
        <v>0</v>
      </c>
      <c r="AS356" s="21">
        <f t="shared" si="277"/>
        <v>0</v>
      </c>
      <c r="AT356" s="62" t="str">
        <f t="shared" si="278"/>
        <v/>
      </c>
      <c r="AU356" s="84">
        <f t="shared" si="279"/>
        <v>0</v>
      </c>
      <c r="AV356" s="32">
        <f t="shared" si="280"/>
        <v>0</v>
      </c>
      <c r="AW356" s="85" t="str">
        <f t="shared" si="281"/>
        <v/>
      </c>
      <c r="AX356" s="86" t="str">
        <f t="shared" si="282"/>
        <v/>
      </c>
    </row>
    <row r="357" spans="1:50" x14ac:dyDescent="0.2">
      <c r="A357" s="29" t="str">
        <f t="shared" si="241"/>
        <v/>
      </c>
      <c r="B357" s="32" t="str">
        <f t="shared" si="242"/>
        <v/>
      </c>
      <c r="C357" s="35"/>
      <c r="D357" s="33" t="str">
        <f t="shared" si="243"/>
        <v/>
      </c>
      <c r="E357" s="22" t="str">
        <f t="shared" si="244"/>
        <v/>
      </c>
      <c r="F357" s="23" t="str">
        <f t="shared" si="245"/>
        <v/>
      </c>
      <c r="G357" s="23"/>
      <c r="H357" s="22"/>
      <c r="I357" s="23"/>
      <c r="J357" s="18"/>
      <c r="K357" s="13" t="str">
        <f t="shared" si="246"/>
        <v/>
      </c>
      <c r="L357" s="28" t="str">
        <f t="shared" si="284"/>
        <v/>
      </c>
      <c r="M357" s="10" t="str">
        <f t="shared" si="247"/>
        <v/>
      </c>
      <c r="N357" s="17" t="str">
        <f t="shared" si="248"/>
        <v/>
      </c>
      <c r="O357" s="39" t="str">
        <f t="shared" si="249"/>
        <v/>
      </c>
      <c r="P357" s="41" t="str">
        <f t="shared" si="250"/>
        <v/>
      </c>
      <c r="Q357" s="9" t="str">
        <f t="shared" si="251"/>
        <v/>
      </c>
      <c r="R357" s="14">
        <f t="shared" si="252"/>
        <v>0</v>
      </c>
      <c r="S357" s="61" t="str">
        <f t="shared" si="253"/>
        <v/>
      </c>
      <c r="T357" s="14">
        <f t="shared" si="254"/>
        <v>0</v>
      </c>
      <c r="U357" s="58" t="str">
        <f t="shared" si="255"/>
        <v/>
      </c>
      <c r="V357" s="14">
        <f t="shared" si="256"/>
        <v>0</v>
      </c>
      <c r="W357" s="58" t="str">
        <f t="shared" si="257"/>
        <v/>
      </c>
      <c r="X357" s="14">
        <f t="shared" si="258"/>
        <v>0</v>
      </c>
      <c r="Y357" s="58" t="str">
        <f t="shared" si="259"/>
        <v/>
      </c>
      <c r="Z357" s="31">
        <f t="shared" si="260"/>
        <v>0</v>
      </c>
      <c r="AA357" s="21">
        <f t="shared" si="261"/>
        <v>0</v>
      </c>
      <c r="AB357" s="58" t="str">
        <f t="shared" si="262"/>
        <v/>
      </c>
      <c r="AC357" s="630">
        <f t="shared" si="283"/>
        <v>0</v>
      </c>
      <c r="AD357" s="627"/>
      <c r="AE357" s="21">
        <f t="shared" si="263"/>
        <v>0</v>
      </c>
      <c r="AF357" s="58" t="str">
        <f t="shared" si="264"/>
        <v/>
      </c>
      <c r="AG357" s="21">
        <f t="shared" si="265"/>
        <v>0</v>
      </c>
      <c r="AH357" s="58" t="str">
        <f t="shared" si="266"/>
        <v/>
      </c>
      <c r="AI357" s="21">
        <f t="shared" si="267"/>
        <v>0</v>
      </c>
      <c r="AJ357" s="58" t="str">
        <f t="shared" si="268"/>
        <v/>
      </c>
      <c r="AK357" s="31">
        <f t="shared" si="269"/>
        <v>0</v>
      </c>
      <c r="AL357" s="21">
        <f t="shared" si="270"/>
        <v>0</v>
      </c>
      <c r="AM357" s="62" t="str">
        <f t="shared" si="271"/>
        <v/>
      </c>
      <c r="AN357" s="21">
        <f t="shared" si="272"/>
        <v>0</v>
      </c>
      <c r="AO357" s="62" t="str">
        <f t="shared" si="273"/>
        <v/>
      </c>
      <c r="AP357" s="21">
        <f t="shared" si="274"/>
        <v>0</v>
      </c>
      <c r="AQ357" s="62" t="str">
        <f t="shared" si="275"/>
        <v/>
      </c>
      <c r="AR357" s="31">
        <f t="shared" si="276"/>
        <v>0</v>
      </c>
      <c r="AS357" s="21">
        <f t="shared" si="277"/>
        <v>0</v>
      </c>
      <c r="AT357" s="62" t="str">
        <f t="shared" si="278"/>
        <v/>
      </c>
      <c r="AU357" s="84">
        <f t="shared" si="279"/>
        <v>0</v>
      </c>
      <c r="AV357" s="32">
        <f t="shared" si="280"/>
        <v>0</v>
      </c>
      <c r="AW357" s="85" t="str">
        <f t="shared" si="281"/>
        <v/>
      </c>
      <c r="AX357" s="86" t="str">
        <f t="shared" si="282"/>
        <v/>
      </c>
    </row>
    <row r="358" spans="1:50" x14ac:dyDescent="0.2">
      <c r="A358" s="29" t="str">
        <f t="shared" si="241"/>
        <v/>
      </c>
      <c r="B358" s="32" t="str">
        <f t="shared" si="242"/>
        <v/>
      </c>
      <c r="C358" s="35"/>
      <c r="D358" s="33" t="str">
        <f t="shared" si="243"/>
        <v/>
      </c>
      <c r="E358" s="22" t="str">
        <f t="shared" si="244"/>
        <v/>
      </c>
      <c r="F358" s="23" t="str">
        <f t="shared" si="245"/>
        <v/>
      </c>
      <c r="G358" s="23"/>
      <c r="H358" s="22"/>
      <c r="I358" s="23"/>
      <c r="J358" s="18"/>
      <c r="K358" s="13" t="str">
        <f t="shared" si="246"/>
        <v/>
      </c>
      <c r="L358" s="28" t="str">
        <f t="shared" si="284"/>
        <v/>
      </c>
      <c r="M358" s="10" t="str">
        <f t="shared" si="247"/>
        <v/>
      </c>
      <c r="N358" s="17" t="str">
        <f t="shared" si="248"/>
        <v/>
      </c>
      <c r="O358" s="39" t="str">
        <f t="shared" si="249"/>
        <v/>
      </c>
      <c r="P358" s="41" t="str">
        <f t="shared" si="250"/>
        <v/>
      </c>
      <c r="Q358" s="9" t="str">
        <f t="shared" si="251"/>
        <v/>
      </c>
      <c r="R358" s="14">
        <f t="shared" si="252"/>
        <v>0</v>
      </c>
      <c r="S358" s="61" t="str">
        <f t="shared" si="253"/>
        <v/>
      </c>
      <c r="T358" s="14">
        <f t="shared" si="254"/>
        <v>0</v>
      </c>
      <c r="U358" s="58" t="str">
        <f t="shared" si="255"/>
        <v/>
      </c>
      <c r="V358" s="14">
        <f t="shared" si="256"/>
        <v>0</v>
      </c>
      <c r="W358" s="58" t="str">
        <f t="shared" si="257"/>
        <v/>
      </c>
      <c r="X358" s="14">
        <f t="shared" si="258"/>
        <v>0</v>
      </c>
      <c r="Y358" s="58" t="str">
        <f t="shared" si="259"/>
        <v/>
      </c>
      <c r="Z358" s="31">
        <f t="shared" si="260"/>
        <v>0</v>
      </c>
      <c r="AA358" s="21">
        <f t="shared" si="261"/>
        <v>0</v>
      </c>
      <c r="AB358" s="58" t="str">
        <f t="shared" si="262"/>
        <v/>
      </c>
      <c r="AC358" s="630">
        <f t="shared" si="283"/>
        <v>0</v>
      </c>
      <c r="AD358" s="627"/>
      <c r="AE358" s="21">
        <f t="shared" si="263"/>
        <v>0</v>
      </c>
      <c r="AF358" s="58" t="str">
        <f t="shared" si="264"/>
        <v/>
      </c>
      <c r="AG358" s="21">
        <f t="shared" si="265"/>
        <v>0</v>
      </c>
      <c r="AH358" s="58" t="str">
        <f t="shared" si="266"/>
        <v/>
      </c>
      <c r="AI358" s="21">
        <f t="shared" si="267"/>
        <v>0</v>
      </c>
      <c r="AJ358" s="58" t="str">
        <f t="shared" si="268"/>
        <v/>
      </c>
      <c r="AK358" s="31">
        <f t="shared" si="269"/>
        <v>0</v>
      </c>
      <c r="AL358" s="21">
        <f t="shared" si="270"/>
        <v>0</v>
      </c>
      <c r="AM358" s="62" t="str">
        <f t="shared" si="271"/>
        <v/>
      </c>
      <c r="AN358" s="21">
        <f t="shared" si="272"/>
        <v>0</v>
      </c>
      <c r="AO358" s="62" t="str">
        <f t="shared" si="273"/>
        <v/>
      </c>
      <c r="AP358" s="21">
        <f t="shared" si="274"/>
        <v>0</v>
      </c>
      <c r="AQ358" s="62" t="str">
        <f t="shared" si="275"/>
        <v/>
      </c>
      <c r="AR358" s="31">
        <f t="shared" si="276"/>
        <v>0</v>
      </c>
      <c r="AS358" s="21">
        <f t="shared" si="277"/>
        <v>0</v>
      </c>
      <c r="AT358" s="62" t="str">
        <f t="shared" si="278"/>
        <v/>
      </c>
      <c r="AU358" s="84">
        <f t="shared" si="279"/>
        <v>0</v>
      </c>
      <c r="AV358" s="32">
        <f t="shared" si="280"/>
        <v>0</v>
      </c>
      <c r="AW358" s="85" t="str">
        <f t="shared" si="281"/>
        <v/>
      </c>
      <c r="AX358" s="86" t="str">
        <f t="shared" si="282"/>
        <v/>
      </c>
    </row>
    <row r="359" spans="1:50" x14ac:dyDescent="0.2">
      <c r="A359" s="29" t="str">
        <f t="shared" ref="A359:A417" si="285">IF(A358="","",IF(C359="","",A358))</f>
        <v/>
      </c>
      <c r="B359" s="32" t="str">
        <f t="shared" ref="B359:B417" si="286">IF(B358="","",IF(C359="","",B358))</f>
        <v/>
      </c>
      <c r="C359" s="35"/>
      <c r="D359" s="33" t="str">
        <f t="shared" ref="D359:D417" si="287">IF(A359="","",IF(D358="","",D358))</f>
        <v/>
      </c>
      <c r="E359" s="22" t="str">
        <f t="shared" ref="E359:E417" si="288">IF(A359="","",IF(E358="","",E358))</f>
        <v/>
      </c>
      <c r="F359" s="23" t="str">
        <f t="shared" ref="F359:F417" si="289">IF(A359="","",IF(F358="","",F358))</f>
        <v/>
      </c>
      <c r="G359" s="23"/>
      <c r="H359" s="22"/>
      <c r="I359" s="23"/>
      <c r="J359" s="18"/>
      <c r="K359" s="13" t="str">
        <f t="shared" ref="K359:K417" si="290">IF($N$4="M",IF(A359="","",IF(D359=6,16,IF(A359&lt;=$M$5,26,IF(A359&lt;=$M$6,24,IF(A359&lt;=$M$7,22,IF(A359&lt;=$M$8,20,18)))))),IF(A359="","",IF(D359=6,16,IF(A359&lt;=$P$5,26,IF(A359&lt;=$P$6,24,IF(A359&lt;=$P$7,22,IF(A359&lt;=$P$8,20,18)))))))</f>
        <v/>
      </c>
      <c r="L359" s="28" t="str">
        <f t="shared" si="284"/>
        <v/>
      </c>
      <c r="M359" s="10" t="str">
        <f t="shared" ref="M359:M417" si="291">IF(D359=1,0.5,IF(D359=2,"1 F",IF(D359=21,"1 R",IF(D359=3,2,""))))</f>
        <v/>
      </c>
      <c r="N359" s="17" t="str">
        <f t="shared" ref="N359:N417" si="292">IF(M359="","",IF($N$4="M",(A359+B359+Q359)*C359*0.022,(A359+B359+Q359)*C359*0.17))</f>
        <v/>
      </c>
      <c r="O359" s="39" t="str">
        <f t="shared" ref="O359:O417" si="293">IF(D359=4,1,IF(D359=5,2,""))</f>
        <v/>
      </c>
      <c r="P359" s="41" t="str">
        <f t="shared" ref="P359:P417" si="294">IF(O359="","",IF($N$4="M",IF(O359=1,(A359+B359+Q359)*C359*0.022*1.1,(A359+B359+Q359)*C359*0.022*1.15),IF(O359=1,(A359+B359+Q359)*C359*0.17*1.1,(A359+B359+Q359)*C359*0.17*1.15)))</f>
        <v/>
      </c>
      <c r="Q359" s="9" t="str">
        <f t="shared" ref="Q359:Q417" si="295">IF($N$4="M",IF(A359="","",IF(D359=1,50,IF(D359=2,100,IF(D359=21,100,IF(D359=3,200,0))))),IF(A359="","",IF(D359=1,2,IF(D359=2,4,IF(D359=21,4,IF(D359=3,8,0))))))</f>
        <v/>
      </c>
      <c r="R359" s="14">
        <f t="shared" ref="R359:R417" si="296">COUNTIF(G359:J359,7)</f>
        <v>0</v>
      </c>
      <c r="S359" s="61" t="str">
        <f t="shared" ref="S359:S417" si="297">IF(A359="","",IF($N$4="M",A359*B359*0.000011111*R359*1.5,A359*B359/144*R359*1.5))</f>
        <v/>
      </c>
      <c r="T359" s="14">
        <f t="shared" ref="T359:T417" si="298">COUNTIF(G359:J359,71)</f>
        <v>0</v>
      </c>
      <c r="U359" s="58" t="str">
        <f t="shared" ref="U359:U417" si="299">IF(A359="","",IF($N$4="M",A359*B359*0.000011111*T359*1.5,A359*B359/144*T359*1.5))</f>
        <v/>
      </c>
      <c r="V359" s="14">
        <f t="shared" ref="V359:V417" si="300">COUNTIF(G359:J359,8)</f>
        <v>0</v>
      </c>
      <c r="W359" s="58" t="str">
        <f t="shared" ref="W359:W417" si="301">IF(A359="","",IF($N$4="M",(A359+B359)*2*0.0032808*V359,(A359+B359)*2*V359/12))</f>
        <v/>
      </c>
      <c r="X359" s="14">
        <f t="shared" ref="X359:X417" si="302">COUNTIF(G359:J359,81)</f>
        <v>0</v>
      </c>
      <c r="Y359" s="58" t="str">
        <f t="shared" ref="Y359:Y417" si="303">IF(A359="","",IF($N$4="M",(A359+B359)*2*0.0032808*X359,(A359+B359)*2*X359/12))</f>
        <v/>
      </c>
      <c r="Z359" s="31">
        <f t="shared" ref="Z359:Z417" si="304">COUNTIF(G359:J359,9)</f>
        <v>0</v>
      </c>
      <c r="AA359" s="21">
        <f t="shared" ref="AA359:AA417" si="305">COUNTIF(G359:J359,10)</f>
        <v>0</v>
      </c>
      <c r="AB359" s="58" t="str">
        <f t="shared" ref="AB359:AB417" si="306">IF(A359="","",IF($N$4="M",(A359+B359)*2*0.0032808*AA359,(A359+B359)*2*AA359/12))</f>
        <v/>
      </c>
      <c r="AC359" s="630">
        <f t="shared" si="283"/>
        <v>0</v>
      </c>
      <c r="AD359" s="627"/>
      <c r="AE359" s="21">
        <f t="shared" ref="AE359:AE417" si="307">COUNTIF(G359:J359,11)</f>
        <v>0</v>
      </c>
      <c r="AF359" s="58" t="str">
        <f t="shared" ref="AF359:AF417" si="308">IF(A359="","",IF($N$4="M",A359*B359*0.000011111*AE359,A359*B359/144*AE359))</f>
        <v/>
      </c>
      <c r="AG359" s="21">
        <f t="shared" ref="AG359:AG417" si="309">COUNTIF(G359:J359,111)</f>
        <v>0</v>
      </c>
      <c r="AH359" s="58" t="str">
        <f t="shared" ref="AH359:AH417" si="310">IF(A359="","",IF($N$4="M",A359*B359*0.000011111*AG359,A359*B359/144*AG359))</f>
        <v/>
      </c>
      <c r="AI359" s="21">
        <f t="shared" ref="AI359:AI417" si="311">COUNTIF(G359:J359,12)</f>
        <v>0</v>
      </c>
      <c r="AJ359" s="58" t="str">
        <f t="shared" ref="AJ359:AJ417" si="312">IF(A359="","",IF($N$4="M",A359*B359*0.000011111*AI359,A359*B359/144*AI359))</f>
        <v/>
      </c>
      <c r="AK359" s="31">
        <f t="shared" ref="AK359:AK417" si="313">COUNTIF(G359:J359,13)</f>
        <v>0</v>
      </c>
      <c r="AL359" s="21">
        <f t="shared" ref="AL359:AL417" si="314">COUNTIF(G359:J359,131)</f>
        <v>0</v>
      </c>
      <c r="AM359" s="62" t="str">
        <f t="shared" ref="AM359:AM417" si="315">IF(A359="","",IF($N$4="M",A359*B359*0.000011111*AL359,A359*B359/144*AL359))</f>
        <v/>
      </c>
      <c r="AN359" s="21">
        <f t="shared" ref="AN359:AN417" si="316">COUNTIF(G359:J359,14)</f>
        <v>0</v>
      </c>
      <c r="AO359" s="62" t="str">
        <f t="shared" ref="AO359:AO417" si="317">IF(A359="","",IF($N$4="M",A359*B359*0.000011111*AN359,A359*B359/144*AN359))</f>
        <v/>
      </c>
      <c r="AP359" s="21">
        <f t="shared" ref="AP359:AP417" si="318">COUNTIF(G359:J359,141)</f>
        <v>0</v>
      </c>
      <c r="AQ359" s="62" t="str">
        <f t="shared" ref="AQ359:AQ417" si="319">IF(A359="","",IF($N$4="M",A359*B359*0.000011111*AP359,A359*B359/144*AP359))</f>
        <v/>
      </c>
      <c r="AR359" s="31">
        <f t="shared" ref="AR359:AR417" si="320">COUNTIF(G359:J359,15)</f>
        <v>0</v>
      </c>
      <c r="AS359" s="21">
        <f t="shared" ref="AS359:AS417" si="321">COUNTIF(G359:J359,16)</f>
        <v>0</v>
      </c>
      <c r="AT359" s="62" t="str">
        <f t="shared" ref="AT359:AT417" si="322">IF(A359="","",IF($N$4="M",A359*B359*0.000011111*AS359,A359*B359/144*AS359))</f>
        <v/>
      </c>
      <c r="AU359" s="84">
        <f t="shared" ref="AU359:AU417" si="323">IF(D359=61,C359,0)</f>
        <v>0</v>
      </c>
      <c r="AV359" s="32">
        <f t="shared" ref="AV359:AV417" si="324">IF(D359=61,L359,0)</f>
        <v>0</v>
      </c>
      <c r="AW359" s="85" t="str">
        <f t="shared" ref="AW359:AW417" si="325">IF(A359="","",(C359-AU359))</f>
        <v/>
      </c>
      <c r="AX359" s="86" t="str">
        <f t="shared" ref="AX359:AX417" si="326">IF(A359="","",(L359-AV359))</f>
        <v/>
      </c>
    </row>
    <row r="360" spans="1:50" x14ac:dyDescent="0.2">
      <c r="A360" s="29" t="str">
        <f t="shared" si="285"/>
        <v/>
      </c>
      <c r="B360" s="32" t="str">
        <f t="shared" si="286"/>
        <v/>
      </c>
      <c r="C360" s="35"/>
      <c r="D360" s="33" t="str">
        <f t="shared" si="287"/>
        <v/>
      </c>
      <c r="E360" s="22" t="str">
        <f t="shared" si="288"/>
        <v/>
      </c>
      <c r="F360" s="23" t="str">
        <f t="shared" si="289"/>
        <v/>
      </c>
      <c r="G360" s="23"/>
      <c r="H360" s="22"/>
      <c r="I360" s="23"/>
      <c r="J360" s="18"/>
      <c r="K360" s="13" t="str">
        <f t="shared" si="290"/>
        <v/>
      </c>
      <c r="L360" s="28" t="str">
        <f t="shared" si="284"/>
        <v/>
      </c>
      <c r="M360" s="10" t="str">
        <f t="shared" si="291"/>
        <v/>
      </c>
      <c r="N360" s="17" t="str">
        <f t="shared" si="292"/>
        <v/>
      </c>
      <c r="O360" s="39" t="str">
        <f t="shared" si="293"/>
        <v/>
      </c>
      <c r="P360" s="41" t="str">
        <f t="shared" si="294"/>
        <v/>
      </c>
      <c r="Q360" s="9" t="str">
        <f t="shared" si="295"/>
        <v/>
      </c>
      <c r="R360" s="14">
        <f t="shared" si="296"/>
        <v>0</v>
      </c>
      <c r="S360" s="61" t="str">
        <f t="shared" si="297"/>
        <v/>
      </c>
      <c r="T360" s="14">
        <f t="shared" si="298"/>
        <v>0</v>
      </c>
      <c r="U360" s="58" t="str">
        <f t="shared" si="299"/>
        <v/>
      </c>
      <c r="V360" s="14">
        <f t="shared" si="300"/>
        <v>0</v>
      </c>
      <c r="W360" s="58" t="str">
        <f t="shared" si="301"/>
        <v/>
      </c>
      <c r="X360" s="14">
        <f t="shared" si="302"/>
        <v>0</v>
      </c>
      <c r="Y360" s="58" t="str">
        <f t="shared" si="303"/>
        <v/>
      </c>
      <c r="Z360" s="31">
        <f t="shared" si="304"/>
        <v>0</v>
      </c>
      <c r="AA360" s="21">
        <f t="shared" si="305"/>
        <v>0</v>
      </c>
      <c r="AB360" s="58" t="str">
        <f t="shared" si="306"/>
        <v/>
      </c>
      <c r="AC360" s="630">
        <f t="shared" si="283"/>
        <v>0</v>
      </c>
      <c r="AD360" s="627"/>
      <c r="AE360" s="21">
        <f t="shared" si="307"/>
        <v>0</v>
      </c>
      <c r="AF360" s="58" t="str">
        <f t="shared" si="308"/>
        <v/>
      </c>
      <c r="AG360" s="21">
        <f t="shared" si="309"/>
        <v>0</v>
      </c>
      <c r="AH360" s="58" t="str">
        <f t="shared" si="310"/>
        <v/>
      </c>
      <c r="AI360" s="21">
        <f t="shared" si="311"/>
        <v>0</v>
      </c>
      <c r="AJ360" s="58" t="str">
        <f t="shared" si="312"/>
        <v/>
      </c>
      <c r="AK360" s="31">
        <f t="shared" si="313"/>
        <v>0</v>
      </c>
      <c r="AL360" s="21">
        <f t="shared" si="314"/>
        <v>0</v>
      </c>
      <c r="AM360" s="62" t="str">
        <f t="shared" si="315"/>
        <v/>
      </c>
      <c r="AN360" s="21">
        <f t="shared" si="316"/>
        <v>0</v>
      </c>
      <c r="AO360" s="62" t="str">
        <f t="shared" si="317"/>
        <v/>
      </c>
      <c r="AP360" s="21">
        <f t="shared" si="318"/>
        <v>0</v>
      </c>
      <c r="AQ360" s="62" t="str">
        <f t="shared" si="319"/>
        <v/>
      </c>
      <c r="AR360" s="31">
        <f t="shared" si="320"/>
        <v>0</v>
      </c>
      <c r="AS360" s="21">
        <f t="shared" si="321"/>
        <v>0</v>
      </c>
      <c r="AT360" s="62" t="str">
        <f t="shared" si="322"/>
        <v/>
      </c>
      <c r="AU360" s="84">
        <f t="shared" si="323"/>
        <v>0</v>
      </c>
      <c r="AV360" s="32">
        <f t="shared" si="324"/>
        <v>0</v>
      </c>
      <c r="AW360" s="85" t="str">
        <f t="shared" si="325"/>
        <v/>
      </c>
      <c r="AX360" s="86" t="str">
        <f t="shared" si="326"/>
        <v/>
      </c>
    </row>
    <row r="361" spans="1:50" x14ac:dyDescent="0.2">
      <c r="A361" s="29" t="str">
        <f t="shared" si="285"/>
        <v/>
      </c>
      <c r="B361" s="32" t="str">
        <f t="shared" si="286"/>
        <v/>
      </c>
      <c r="C361" s="35"/>
      <c r="D361" s="33" t="str">
        <f t="shared" si="287"/>
        <v/>
      </c>
      <c r="E361" s="22" t="str">
        <f t="shared" si="288"/>
        <v/>
      </c>
      <c r="F361" s="23" t="str">
        <f t="shared" si="289"/>
        <v/>
      </c>
      <c r="G361" s="23"/>
      <c r="H361" s="22"/>
      <c r="I361" s="23"/>
      <c r="J361" s="18"/>
      <c r="K361" s="13" t="str">
        <f t="shared" si="290"/>
        <v/>
      </c>
      <c r="L361" s="28" t="str">
        <f t="shared" si="284"/>
        <v/>
      </c>
      <c r="M361" s="10" t="str">
        <f t="shared" si="291"/>
        <v/>
      </c>
      <c r="N361" s="17" t="str">
        <f t="shared" si="292"/>
        <v/>
      </c>
      <c r="O361" s="39" t="str">
        <f t="shared" si="293"/>
        <v/>
      </c>
      <c r="P361" s="41" t="str">
        <f t="shared" si="294"/>
        <v/>
      </c>
      <c r="Q361" s="9" t="str">
        <f t="shared" si="295"/>
        <v/>
      </c>
      <c r="R361" s="14">
        <f t="shared" si="296"/>
        <v>0</v>
      </c>
      <c r="S361" s="61" t="str">
        <f t="shared" si="297"/>
        <v/>
      </c>
      <c r="T361" s="14">
        <f t="shared" si="298"/>
        <v>0</v>
      </c>
      <c r="U361" s="58" t="str">
        <f t="shared" si="299"/>
        <v/>
      </c>
      <c r="V361" s="14">
        <f t="shared" si="300"/>
        <v>0</v>
      </c>
      <c r="W361" s="58" t="str">
        <f t="shared" si="301"/>
        <v/>
      </c>
      <c r="X361" s="14">
        <f t="shared" si="302"/>
        <v>0</v>
      </c>
      <c r="Y361" s="58" t="str">
        <f t="shared" si="303"/>
        <v/>
      </c>
      <c r="Z361" s="31">
        <f t="shared" si="304"/>
        <v>0</v>
      </c>
      <c r="AA361" s="21">
        <f t="shared" si="305"/>
        <v>0</v>
      </c>
      <c r="AB361" s="58" t="str">
        <f t="shared" si="306"/>
        <v/>
      </c>
      <c r="AC361" s="630">
        <f t="shared" si="283"/>
        <v>0</v>
      </c>
      <c r="AD361" s="627"/>
      <c r="AE361" s="21">
        <f t="shared" si="307"/>
        <v>0</v>
      </c>
      <c r="AF361" s="58" t="str">
        <f t="shared" si="308"/>
        <v/>
      </c>
      <c r="AG361" s="21">
        <f t="shared" si="309"/>
        <v>0</v>
      </c>
      <c r="AH361" s="58" t="str">
        <f t="shared" si="310"/>
        <v/>
      </c>
      <c r="AI361" s="21">
        <f t="shared" si="311"/>
        <v>0</v>
      </c>
      <c r="AJ361" s="58" t="str">
        <f t="shared" si="312"/>
        <v/>
      </c>
      <c r="AK361" s="31">
        <f t="shared" si="313"/>
        <v>0</v>
      </c>
      <c r="AL361" s="21">
        <f t="shared" si="314"/>
        <v>0</v>
      </c>
      <c r="AM361" s="62" t="str">
        <f t="shared" si="315"/>
        <v/>
      </c>
      <c r="AN361" s="21">
        <f t="shared" si="316"/>
        <v>0</v>
      </c>
      <c r="AO361" s="62" t="str">
        <f t="shared" si="317"/>
        <v/>
      </c>
      <c r="AP361" s="21">
        <f t="shared" si="318"/>
        <v>0</v>
      </c>
      <c r="AQ361" s="62" t="str">
        <f t="shared" si="319"/>
        <v/>
      </c>
      <c r="AR361" s="31">
        <f t="shared" si="320"/>
        <v>0</v>
      </c>
      <c r="AS361" s="21">
        <f t="shared" si="321"/>
        <v>0</v>
      </c>
      <c r="AT361" s="62" t="str">
        <f t="shared" si="322"/>
        <v/>
      </c>
      <c r="AU361" s="84">
        <f t="shared" si="323"/>
        <v>0</v>
      </c>
      <c r="AV361" s="32">
        <f t="shared" si="324"/>
        <v>0</v>
      </c>
      <c r="AW361" s="85" t="str">
        <f t="shared" si="325"/>
        <v/>
      </c>
      <c r="AX361" s="86" t="str">
        <f t="shared" si="326"/>
        <v/>
      </c>
    </row>
    <row r="362" spans="1:50" x14ac:dyDescent="0.2">
      <c r="A362" s="29" t="str">
        <f t="shared" si="285"/>
        <v/>
      </c>
      <c r="B362" s="32" t="str">
        <f t="shared" si="286"/>
        <v/>
      </c>
      <c r="C362" s="35"/>
      <c r="D362" s="33" t="str">
        <f t="shared" si="287"/>
        <v/>
      </c>
      <c r="E362" s="22" t="str">
        <f t="shared" si="288"/>
        <v/>
      </c>
      <c r="F362" s="23" t="str">
        <f t="shared" si="289"/>
        <v/>
      </c>
      <c r="G362" s="23"/>
      <c r="H362" s="22"/>
      <c r="I362" s="23"/>
      <c r="J362" s="18"/>
      <c r="K362" s="13" t="str">
        <f t="shared" si="290"/>
        <v/>
      </c>
      <c r="L362" s="28" t="str">
        <f t="shared" si="284"/>
        <v/>
      </c>
      <c r="M362" s="10" t="str">
        <f t="shared" si="291"/>
        <v/>
      </c>
      <c r="N362" s="17" t="str">
        <f t="shared" si="292"/>
        <v/>
      </c>
      <c r="O362" s="39" t="str">
        <f t="shared" si="293"/>
        <v/>
      </c>
      <c r="P362" s="41" t="str">
        <f t="shared" si="294"/>
        <v/>
      </c>
      <c r="Q362" s="9" t="str">
        <f t="shared" si="295"/>
        <v/>
      </c>
      <c r="R362" s="14">
        <f t="shared" si="296"/>
        <v>0</v>
      </c>
      <c r="S362" s="61" t="str">
        <f t="shared" si="297"/>
        <v/>
      </c>
      <c r="T362" s="14">
        <f t="shared" si="298"/>
        <v>0</v>
      </c>
      <c r="U362" s="58" t="str">
        <f t="shared" si="299"/>
        <v/>
      </c>
      <c r="V362" s="14">
        <f t="shared" si="300"/>
        <v>0</v>
      </c>
      <c r="W362" s="58" t="str">
        <f t="shared" si="301"/>
        <v/>
      </c>
      <c r="X362" s="14">
        <f t="shared" si="302"/>
        <v>0</v>
      </c>
      <c r="Y362" s="58" t="str">
        <f t="shared" si="303"/>
        <v/>
      </c>
      <c r="Z362" s="31">
        <f t="shared" si="304"/>
        <v>0</v>
      </c>
      <c r="AA362" s="21">
        <f t="shared" si="305"/>
        <v>0</v>
      </c>
      <c r="AB362" s="58" t="str">
        <f t="shared" si="306"/>
        <v/>
      </c>
      <c r="AC362" s="630">
        <f t="shared" si="283"/>
        <v>0</v>
      </c>
      <c r="AD362" s="627"/>
      <c r="AE362" s="21">
        <f t="shared" si="307"/>
        <v>0</v>
      </c>
      <c r="AF362" s="58" t="str">
        <f t="shared" si="308"/>
        <v/>
      </c>
      <c r="AG362" s="21">
        <f t="shared" si="309"/>
        <v>0</v>
      </c>
      <c r="AH362" s="58" t="str">
        <f t="shared" si="310"/>
        <v/>
      </c>
      <c r="AI362" s="21">
        <f t="shared" si="311"/>
        <v>0</v>
      </c>
      <c r="AJ362" s="58" t="str">
        <f t="shared" si="312"/>
        <v/>
      </c>
      <c r="AK362" s="31">
        <f t="shared" si="313"/>
        <v>0</v>
      </c>
      <c r="AL362" s="21">
        <f t="shared" si="314"/>
        <v>0</v>
      </c>
      <c r="AM362" s="62" t="str">
        <f t="shared" si="315"/>
        <v/>
      </c>
      <c r="AN362" s="21">
        <f t="shared" si="316"/>
        <v>0</v>
      </c>
      <c r="AO362" s="62" t="str">
        <f t="shared" si="317"/>
        <v/>
      </c>
      <c r="AP362" s="21">
        <f t="shared" si="318"/>
        <v>0</v>
      </c>
      <c r="AQ362" s="62" t="str">
        <f t="shared" si="319"/>
        <v/>
      </c>
      <c r="AR362" s="31">
        <f t="shared" si="320"/>
        <v>0</v>
      </c>
      <c r="AS362" s="21">
        <f t="shared" si="321"/>
        <v>0</v>
      </c>
      <c r="AT362" s="62" t="str">
        <f t="shared" si="322"/>
        <v/>
      </c>
      <c r="AU362" s="84">
        <f t="shared" si="323"/>
        <v>0</v>
      </c>
      <c r="AV362" s="32">
        <f t="shared" si="324"/>
        <v>0</v>
      </c>
      <c r="AW362" s="85" t="str">
        <f t="shared" si="325"/>
        <v/>
      </c>
      <c r="AX362" s="86" t="str">
        <f t="shared" si="326"/>
        <v/>
      </c>
    </row>
    <row r="363" spans="1:50" x14ac:dyDescent="0.2">
      <c r="A363" s="29" t="str">
        <f t="shared" si="285"/>
        <v/>
      </c>
      <c r="B363" s="32" t="str">
        <f t="shared" si="286"/>
        <v/>
      </c>
      <c r="C363" s="35"/>
      <c r="D363" s="33" t="str">
        <f t="shared" si="287"/>
        <v/>
      </c>
      <c r="E363" s="22" t="str">
        <f t="shared" si="288"/>
        <v/>
      </c>
      <c r="F363" s="23" t="str">
        <f t="shared" si="289"/>
        <v/>
      </c>
      <c r="G363" s="23"/>
      <c r="H363" s="22"/>
      <c r="I363" s="23"/>
      <c r="J363" s="18"/>
      <c r="K363" s="13" t="str">
        <f t="shared" si="290"/>
        <v/>
      </c>
      <c r="L363" s="28" t="str">
        <f t="shared" si="284"/>
        <v/>
      </c>
      <c r="M363" s="10" t="str">
        <f t="shared" si="291"/>
        <v/>
      </c>
      <c r="N363" s="17" t="str">
        <f t="shared" si="292"/>
        <v/>
      </c>
      <c r="O363" s="39" t="str">
        <f t="shared" si="293"/>
        <v/>
      </c>
      <c r="P363" s="41" t="str">
        <f t="shared" si="294"/>
        <v/>
      </c>
      <c r="Q363" s="9" t="str">
        <f t="shared" si="295"/>
        <v/>
      </c>
      <c r="R363" s="14">
        <f t="shared" si="296"/>
        <v>0</v>
      </c>
      <c r="S363" s="61" t="str">
        <f t="shared" si="297"/>
        <v/>
      </c>
      <c r="T363" s="14">
        <f t="shared" si="298"/>
        <v>0</v>
      </c>
      <c r="U363" s="58" t="str">
        <f t="shared" si="299"/>
        <v/>
      </c>
      <c r="V363" s="14">
        <f t="shared" si="300"/>
        <v>0</v>
      </c>
      <c r="W363" s="58" t="str">
        <f t="shared" si="301"/>
        <v/>
      </c>
      <c r="X363" s="14">
        <f t="shared" si="302"/>
        <v>0</v>
      </c>
      <c r="Y363" s="58" t="str">
        <f t="shared" si="303"/>
        <v/>
      </c>
      <c r="Z363" s="31">
        <f t="shared" si="304"/>
        <v>0</v>
      </c>
      <c r="AA363" s="21">
        <f t="shared" si="305"/>
        <v>0</v>
      </c>
      <c r="AB363" s="58" t="str">
        <f t="shared" si="306"/>
        <v/>
      </c>
      <c r="AC363" s="630">
        <f t="shared" si="283"/>
        <v>0</v>
      </c>
      <c r="AD363" s="627"/>
      <c r="AE363" s="21">
        <f t="shared" si="307"/>
        <v>0</v>
      </c>
      <c r="AF363" s="58" t="str">
        <f t="shared" si="308"/>
        <v/>
      </c>
      <c r="AG363" s="21">
        <f t="shared" si="309"/>
        <v>0</v>
      </c>
      <c r="AH363" s="58" t="str">
        <f t="shared" si="310"/>
        <v/>
      </c>
      <c r="AI363" s="21">
        <f t="shared" si="311"/>
        <v>0</v>
      </c>
      <c r="AJ363" s="58" t="str">
        <f t="shared" si="312"/>
        <v/>
      </c>
      <c r="AK363" s="31">
        <f t="shared" si="313"/>
        <v>0</v>
      </c>
      <c r="AL363" s="21">
        <f t="shared" si="314"/>
        <v>0</v>
      </c>
      <c r="AM363" s="62" t="str">
        <f t="shared" si="315"/>
        <v/>
      </c>
      <c r="AN363" s="21">
        <f t="shared" si="316"/>
        <v>0</v>
      </c>
      <c r="AO363" s="62" t="str">
        <f t="shared" si="317"/>
        <v/>
      </c>
      <c r="AP363" s="21">
        <f t="shared" si="318"/>
        <v>0</v>
      </c>
      <c r="AQ363" s="62" t="str">
        <f t="shared" si="319"/>
        <v/>
      </c>
      <c r="AR363" s="31">
        <f t="shared" si="320"/>
        <v>0</v>
      </c>
      <c r="AS363" s="21">
        <f t="shared" si="321"/>
        <v>0</v>
      </c>
      <c r="AT363" s="62" t="str">
        <f t="shared" si="322"/>
        <v/>
      </c>
      <c r="AU363" s="84">
        <f t="shared" si="323"/>
        <v>0</v>
      </c>
      <c r="AV363" s="32">
        <f t="shared" si="324"/>
        <v>0</v>
      </c>
      <c r="AW363" s="85" t="str">
        <f t="shared" si="325"/>
        <v/>
      </c>
      <c r="AX363" s="86" t="str">
        <f t="shared" si="326"/>
        <v/>
      </c>
    </row>
    <row r="364" spans="1:50" x14ac:dyDescent="0.2">
      <c r="A364" s="29" t="str">
        <f t="shared" si="285"/>
        <v/>
      </c>
      <c r="B364" s="32" t="str">
        <f t="shared" si="286"/>
        <v/>
      </c>
      <c r="C364" s="35"/>
      <c r="D364" s="33" t="str">
        <f t="shared" si="287"/>
        <v/>
      </c>
      <c r="E364" s="22" t="str">
        <f t="shared" si="288"/>
        <v/>
      </c>
      <c r="F364" s="23" t="str">
        <f t="shared" si="289"/>
        <v/>
      </c>
      <c r="G364" s="23"/>
      <c r="H364" s="22"/>
      <c r="I364" s="23"/>
      <c r="J364" s="18"/>
      <c r="K364" s="13" t="str">
        <f t="shared" si="290"/>
        <v/>
      </c>
      <c r="L364" s="28" t="str">
        <f t="shared" si="284"/>
        <v/>
      </c>
      <c r="M364" s="10" t="str">
        <f t="shared" si="291"/>
        <v/>
      </c>
      <c r="N364" s="17" t="str">
        <f t="shared" si="292"/>
        <v/>
      </c>
      <c r="O364" s="39" t="str">
        <f t="shared" si="293"/>
        <v/>
      </c>
      <c r="P364" s="41" t="str">
        <f t="shared" si="294"/>
        <v/>
      </c>
      <c r="Q364" s="9" t="str">
        <f t="shared" si="295"/>
        <v/>
      </c>
      <c r="R364" s="14">
        <f t="shared" si="296"/>
        <v>0</v>
      </c>
      <c r="S364" s="61" t="str">
        <f t="shared" si="297"/>
        <v/>
      </c>
      <c r="T364" s="14">
        <f t="shared" si="298"/>
        <v>0</v>
      </c>
      <c r="U364" s="58" t="str">
        <f t="shared" si="299"/>
        <v/>
      </c>
      <c r="V364" s="14">
        <f t="shared" si="300"/>
        <v>0</v>
      </c>
      <c r="W364" s="58" t="str">
        <f t="shared" si="301"/>
        <v/>
      </c>
      <c r="X364" s="14">
        <f t="shared" si="302"/>
        <v>0</v>
      </c>
      <c r="Y364" s="58" t="str">
        <f t="shared" si="303"/>
        <v/>
      </c>
      <c r="Z364" s="31">
        <f t="shared" si="304"/>
        <v>0</v>
      </c>
      <c r="AA364" s="21">
        <f t="shared" si="305"/>
        <v>0</v>
      </c>
      <c r="AB364" s="58" t="str">
        <f t="shared" si="306"/>
        <v/>
      </c>
      <c r="AC364" s="630">
        <f t="shared" si="283"/>
        <v>0</v>
      </c>
      <c r="AD364" s="627"/>
      <c r="AE364" s="21">
        <f t="shared" si="307"/>
        <v>0</v>
      </c>
      <c r="AF364" s="58" t="str">
        <f t="shared" si="308"/>
        <v/>
      </c>
      <c r="AG364" s="21">
        <f t="shared" si="309"/>
        <v>0</v>
      </c>
      <c r="AH364" s="58" t="str">
        <f t="shared" si="310"/>
        <v/>
      </c>
      <c r="AI364" s="21">
        <f t="shared" si="311"/>
        <v>0</v>
      </c>
      <c r="AJ364" s="58" t="str">
        <f t="shared" si="312"/>
        <v/>
      </c>
      <c r="AK364" s="31">
        <f t="shared" si="313"/>
        <v>0</v>
      </c>
      <c r="AL364" s="21">
        <f t="shared" si="314"/>
        <v>0</v>
      </c>
      <c r="AM364" s="62" t="str">
        <f t="shared" si="315"/>
        <v/>
      </c>
      <c r="AN364" s="21">
        <f t="shared" si="316"/>
        <v>0</v>
      </c>
      <c r="AO364" s="62" t="str">
        <f t="shared" si="317"/>
        <v/>
      </c>
      <c r="AP364" s="21">
        <f t="shared" si="318"/>
        <v>0</v>
      </c>
      <c r="AQ364" s="62" t="str">
        <f t="shared" si="319"/>
        <v/>
      </c>
      <c r="AR364" s="31">
        <f t="shared" si="320"/>
        <v>0</v>
      </c>
      <c r="AS364" s="21">
        <f t="shared" si="321"/>
        <v>0</v>
      </c>
      <c r="AT364" s="62" t="str">
        <f t="shared" si="322"/>
        <v/>
      </c>
      <c r="AU364" s="84">
        <f t="shared" si="323"/>
        <v>0</v>
      </c>
      <c r="AV364" s="32">
        <f t="shared" si="324"/>
        <v>0</v>
      </c>
      <c r="AW364" s="85" t="str">
        <f t="shared" si="325"/>
        <v/>
      </c>
      <c r="AX364" s="86" t="str">
        <f t="shared" si="326"/>
        <v/>
      </c>
    </row>
    <row r="365" spans="1:50" x14ac:dyDescent="0.2">
      <c r="A365" s="29" t="str">
        <f t="shared" si="285"/>
        <v/>
      </c>
      <c r="B365" s="32" t="str">
        <f t="shared" si="286"/>
        <v/>
      </c>
      <c r="C365" s="35"/>
      <c r="D365" s="33" t="str">
        <f t="shared" si="287"/>
        <v/>
      </c>
      <c r="E365" s="22" t="str">
        <f t="shared" si="288"/>
        <v/>
      </c>
      <c r="F365" s="23" t="str">
        <f t="shared" si="289"/>
        <v/>
      </c>
      <c r="G365" s="23"/>
      <c r="H365" s="22"/>
      <c r="I365" s="23"/>
      <c r="J365" s="18"/>
      <c r="K365" s="13" t="str">
        <f t="shared" si="290"/>
        <v/>
      </c>
      <c r="L365" s="28" t="str">
        <f t="shared" si="284"/>
        <v/>
      </c>
      <c r="M365" s="10" t="str">
        <f t="shared" si="291"/>
        <v/>
      </c>
      <c r="N365" s="17" t="str">
        <f t="shared" si="292"/>
        <v/>
      </c>
      <c r="O365" s="39" t="str">
        <f t="shared" si="293"/>
        <v/>
      </c>
      <c r="P365" s="41" t="str">
        <f t="shared" si="294"/>
        <v/>
      </c>
      <c r="Q365" s="9" t="str">
        <f t="shared" si="295"/>
        <v/>
      </c>
      <c r="R365" s="14">
        <f t="shared" si="296"/>
        <v>0</v>
      </c>
      <c r="S365" s="61" t="str">
        <f t="shared" si="297"/>
        <v/>
      </c>
      <c r="T365" s="14">
        <f t="shared" si="298"/>
        <v>0</v>
      </c>
      <c r="U365" s="58" t="str">
        <f t="shared" si="299"/>
        <v/>
      </c>
      <c r="V365" s="14">
        <f t="shared" si="300"/>
        <v>0</v>
      </c>
      <c r="W365" s="58" t="str">
        <f t="shared" si="301"/>
        <v/>
      </c>
      <c r="X365" s="14">
        <f t="shared" si="302"/>
        <v>0</v>
      </c>
      <c r="Y365" s="58" t="str">
        <f t="shared" si="303"/>
        <v/>
      </c>
      <c r="Z365" s="31">
        <f t="shared" si="304"/>
        <v>0</v>
      </c>
      <c r="AA365" s="21">
        <f t="shared" si="305"/>
        <v>0</v>
      </c>
      <c r="AB365" s="58" t="str">
        <f t="shared" si="306"/>
        <v/>
      </c>
      <c r="AC365" s="630">
        <f t="shared" si="283"/>
        <v>0</v>
      </c>
      <c r="AD365" s="627"/>
      <c r="AE365" s="21">
        <f t="shared" si="307"/>
        <v>0</v>
      </c>
      <c r="AF365" s="58" t="str">
        <f t="shared" si="308"/>
        <v/>
      </c>
      <c r="AG365" s="21">
        <f t="shared" si="309"/>
        <v>0</v>
      </c>
      <c r="AH365" s="58" t="str">
        <f t="shared" si="310"/>
        <v/>
      </c>
      <c r="AI365" s="21">
        <f t="shared" si="311"/>
        <v>0</v>
      </c>
      <c r="AJ365" s="58" t="str">
        <f t="shared" si="312"/>
        <v/>
      </c>
      <c r="AK365" s="31">
        <f t="shared" si="313"/>
        <v>0</v>
      </c>
      <c r="AL365" s="21">
        <f t="shared" si="314"/>
        <v>0</v>
      </c>
      <c r="AM365" s="62" t="str">
        <f t="shared" si="315"/>
        <v/>
      </c>
      <c r="AN365" s="21">
        <f t="shared" si="316"/>
        <v>0</v>
      </c>
      <c r="AO365" s="62" t="str">
        <f t="shared" si="317"/>
        <v/>
      </c>
      <c r="AP365" s="21">
        <f t="shared" si="318"/>
        <v>0</v>
      </c>
      <c r="AQ365" s="62" t="str">
        <f t="shared" si="319"/>
        <v/>
      </c>
      <c r="AR365" s="31">
        <f t="shared" si="320"/>
        <v>0</v>
      </c>
      <c r="AS365" s="21">
        <f t="shared" si="321"/>
        <v>0</v>
      </c>
      <c r="AT365" s="62" t="str">
        <f t="shared" si="322"/>
        <v/>
      </c>
      <c r="AU365" s="84">
        <f t="shared" si="323"/>
        <v>0</v>
      </c>
      <c r="AV365" s="32">
        <f t="shared" si="324"/>
        <v>0</v>
      </c>
      <c r="AW365" s="85" t="str">
        <f t="shared" si="325"/>
        <v/>
      </c>
      <c r="AX365" s="86" t="str">
        <f t="shared" si="326"/>
        <v/>
      </c>
    </row>
    <row r="366" spans="1:50" x14ac:dyDescent="0.2">
      <c r="A366" s="29" t="str">
        <f t="shared" si="285"/>
        <v/>
      </c>
      <c r="B366" s="32" t="str">
        <f t="shared" si="286"/>
        <v/>
      </c>
      <c r="C366" s="35"/>
      <c r="D366" s="33" t="str">
        <f t="shared" si="287"/>
        <v/>
      </c>
      <c r="E366" s="22" t="str">
        <f t="shared" si="288"/>
        <v/>
      </c>
      <c r="F366" s="23" t="str">
        <f t="shared" si="289"/>
        <v/>
      </c>
      <c r="G366" s="23"/>
      <c r="H366" s="22"/>
      <c r="I366" s="23"/>
      <c r="J366" s="18"/>
      <c r="K366" s="13" t="str">
        <f t="shared" si="290"/>
        <v/>
      </c>
      <c r="L366" s="28" t="str">
        <f t="shared" si="284"/>
        <v/>
      </c>
      <c r="M366" s="10" t="str">
        <f t="shared" si="291"/>
        <v/>
      </c>
      <c r="N366" s="17" t="str">
        <f t="shared" si="292"/>
        <v/>
      </c>
      <c r="O366" s="39" t="str">
        <f t="shared" si="293"/>
        <v/>
      </c>
      <c r="P366" s="41" t="str">
        <f t="shared" si="294"/>
        <v/>
      </c>
      <c r="Q366" s="9" t="str">
        <f t="shared" si="295"/>
        <v/>
      </c>
      <c r="R366" s="14">
        <f t="shared" si="296"/>
        <v>0</v>
      </c>
      <c r="S366" s="61" t="str">
        <f t="shared" si="297"/>
        <v/>
      </c>
      <c r="T366" s="14">
        <f t="shared" si="298"/>
        <v>0</v>
      </c>
      <c r="U366" s="58" t="str">
        <f t="shared" si="299"/>
        <v/>
      </c>
      <c r="V366" s="14">
        <f t="shared" si="300"/>
        <v>0</v>
      </c>
      <c r="W366" s="58" t="str">
        <f t="shared" si="301"/>
        <v/>
      </c>
      <c r="X366" s="14">
        <f t="shared" si="302"/>
        <v>0</v>
      </c>
      <c r="Y366" s="58" t="str">
        <f t="shared" si="303"/>
        <v/>
      </c>
      <c r="Z366" s="31">
        <f t="shared" si="304"/>
        <v>0</v>
      </c>
      <c r="AA366" s="21">
        <f t="shared" si="305"/>
        <v>0</v>
      </c>
      <c r="AB366" s="58" t="str">
        <f t="shared" si="306"/>
        <v/>
      </c>
      <c r="AC366" s="630">
        <f t="shared" si="283"/>
        <v>0</v>
      </c>
      <c r="AD366" s="627"/>
      <c r="AE366" s="21">
        <f t="shared" si="307"/>
        <v>0</v>
      </c>
      <c r="AF366" s="58" t="str">
        <f t="shared" si="308"/>
        <v/>
      </c>
      <c r="AG366" s="21">
        <f t="shared" si="309"/>
        <v>0</v>
      </c>
      <c r="AH366" s="58" t="str">
        <f t="shared" si="310"/>
        <v/>
      </c>
      <c r="AI366" s="21">
        <f t="shared" si="311"/>
        <v>0</v>
      </c>
      <c r="AJ366" s="58" t="str">
        <f t="shared" si="312"/>
        <v/>
      </c>
      <c r="AK366" s="31">
        <f t="shared" si="313"/>
        <v>0</v>
      </c>
      <c r="AL366" s="21">
        <f t="shared" si="314"/>
        <v>0</v>
      </c>
      <c r="AM366" s="62" t="str">
        <f t="shared" si="315"/>
        <v/>
      </c>
      <c r="AN366" s="21">
        <f t="shared" si="316"/>
        <v>0</v>
      </c>
      <c r="AO366" s="62" t="str">
        <f t="shared" si="317"/>
        <v/>
      </c>
      <c r="AP366" s="21">
        <f t="shared" si="318"/>
        <v>0</v>
      </c>
      <c r="AQ366" s="62" t="str">
        <f t="shared" si="319"/>
        <v/>
      </c>
      <c r="AR366" s="31">
        <f t="shared" si="320"/>
        <v>0</v>
      </c>
      <c r="AS366" s="21">
        <f t="shared" si="321"/>
        <v>0</v>
      </c>
      <c r="AT366" s="62" t="str">
        <f t="shared" si="322"/>
        <v/>
      </c>
      <c r="AU366" s="84">
        <f t="shared" si="323"/>
        <v>0</v>
      </c>
      <c r="AV366" s="32">
        <f t="shared" si="324"/>
        <v>0</v>
      </c>
      <c r="AW366" s="85" t="str">
        <f t="shared" si="325"/>
        <v/>
      </c>
      <c r="AX366" s="86" t="str">
        <f t="shared" si="326"/>
        <v/>
      </c>
    </row>
    <row r="367" spans="1:50" x14ac:dyDescent="0.2">
      <c r="A367" s="29" t="str">
        <f t="shared" si="285"/>
        <v/>
      </c>
      <c r="B367" s="32" t="str">
        <f t="shared" si="286"/>
        <v/>
      </c>
      <c r="C367" s="35"/>
      <c r="D367" s="33" t="str">
        <f t="shared" si="287"/>
        <v/>
      </c>
      <c r="E367" s="22" t="str">
        <f t="shared" si="288"/>
        <v/>
      </c>
      <c r="F367" s="23" t="str">
        <f t="shared" si="289"/>
        <v/>
      </c>
      <c r="G367" s="23"/>
      <c r="H367" s="22"/>
      <c r="I367" s="23"/>
      <c r="J367" s="18"/>
      <c r="K367" s="13" t="str">
        <f t="shared" si="290"/>
        <v/>
      </c>
      <c r="L367" s="28" t="str">
        <f t="shared" si="284"/>
        <v/>
      </c>
      <c r="M367" s="10" t="str">
        <f t="shared" si="291"/>
        <v/>
      </c>
      <c r="N367" s="17" t="str">
        <f t="shared" si="292"/>
        <v/>
      </c>
      <c r="O367" s="39" t="str">
        <f t="shared" si="293"/>
        <v/>
      </c>
      <c r="P367" s="41" t="str">
        <f t="shared" si="294"/>
        <v/>
      </c>
      <c r="Q367" s="9" t="str">
        <f t="shared" si="295"/>
        <v/>
      </c>
      <c r="R367" s="14">
        <f t="shared" si="296"/>
        <v>0</v>
      </c>
      <c r="S367" s="61" t="str">
        <f t="shared" si="297"/>
        <v/>
      </c>
      <c r="T367" s="14">
        <f t="shared" si="298"/>
        <v>0</v>
      </c>
      <c r="U367" s="58" t="str">
        <f t="shared" si="299"/>
        <v/>
      </c>
      <c r="V367" s="14">
        <f t="shared" si="300"/>
        <v>0</v>
      </c>
      <c r="W367" s="58" t="str">
        <f t="shared" si="301"/>
        <v/>
      </c>
      <c r="X367" s="14">
        <f t="shared" si="302"/>
        <v>0</v>
      </c>
      <c r="Y367" s="58" t="str">
        <f t="shared" si="303"/>
        <v/>
      </c>
      <c r="Z367" s="31">
        <f t="shared" si="304"/>
        <v>0</v>
      </c>
      <c r="AA367" s="21">
        <f t="shared" si="305"/>
        <v>0</v>
      </c>
      <c r="AB367" s="58" t="str">
        <f t="shared" si="306"/>
        <v/>
      </c>
      <c r="AC367" s="630">
        <f t="shared" si="283"/>
        <v>0</v>
      </c>
      <c r="AD367" s="627"/>
      <c r="AE367" s="21">
        <f t="shared" si="307"/>
        <v>0</v>
      </c>
      <c r="AF367" s="58" t="str">
        <f t="shared" si="308"/>
        <v/>
      </c>
      <c r="AG367" s="21">
        <f t="shared" si="309"/>
        <v>0</v>
      </c>
      <c r="AH367" s="58" t="str">
        <f t="shared" si="310"/>
        <v/>
      </c>
      <c r="AI367" s="21">
        <f t="shared" si="311"/>
        <v>0</v>
      </c>
      <c r="AJ367" s="58" t="str">
        <f t="shared" si="312"/>
        <v/>
      </c>
      <c r="AK367" s="31">
        <f t="shared" si="313"/>
        <v>0</v>
      </c>
      <c r="AL367" s="21">
        <f t="shared" si="314"/>
        <v>0</v>
      </c>
      <c r="AM367" s="62" t="str">
        <f t="shared" si="315"/>
        <v/>
      </c>
      <c r="AN367" s="21">
        <f t="shared" si="316"/>
        <v>0</v>
      </c>
      <c r="AO367" s="62" t="str">
        <f t="shared" si="317"/>
        <v/>
      </c>
      <c r="AP367" s="21">
        <f t="shared" si="318"/>
        <v>0</v>
      </c>
      <c r="AQ367" s="62" t="str">
        <f t="shared" si="319"/>
        <v/>
      </c>
      <c r="AR367" s="31">
        <f t="shared" si="320"/>
        <v>0</v>
      </c>
      <c r="AS367" s="21">
        <f t="shared" si="321"/>
        <v>0</v>
      </c>
      <c r="AT367" s="62" t="str">
        <f t="shared" si="322"/>
        <v/>
      </c>
      <c r="AU367" s="84">
        <f t="shared" si="323"/>
        <v>0</v>
      </c>
      <c r="AV367" s="32">
        <f t="shared" si="324"/>
        <v>0</v>
      </c>
      <c r="AW367" s="85" t="str">
        <f t="shared" si="325"/>
        <v/>
      </c>
      <c r="AX367" s="86" t="str">
        <f t="shared" si="326"/>
        <v/>
      </c>
    </row>
    <row r="368" spans="1:50" x14ac:dyDescent="0.2">
      <c r="A368" s="29" t="str">
        <f t="shared" si="285"/>
        <v/>
      </c>
      <c r="B368" s="32" t="str">
        <f t="shared" si="286"/>
        <v/>
      </c>
      <c r="C368" s="35"/>
      <c r="D368" s="33" t="str">
        <f t="shared" si="287"/>
        <v/>
      </c>
      <c r="E368" s="22" t="str">
        <f t="shared" si="288"/>
        <v/>
      </c>
      <c r="F368" s="23" t="str">
        <f t="shared" si="289"/>
        <v/>
      </c>
      <c r="G368" s="23"/>
      <c r="H368" s="22"/>
      <c r="I368" s="23"/>
      <c r="J368" s="18"/>
      <c r="K368" s="13" t="str">
        <f t="shared" si="290"/>
        <v/>
      </c>
      <c r="L368" s="28" t="str">
        <f t="shared" si="284"/>
        <v/>
      </c>
      <c r="M368" s="10" t="str">
        <f t="shared" si="291"/>
        <v/>
      </c>
      <c r="N368" s="17" t="str">
        <f t="shared" si="292"/>
        <v/>
      </c>
      <c r="O368" s="39" t="str">
        <f t="shared" si="293"/>
        <v/>
      </c>
      <c r="P368" s="41" t="str">
        <f t="shared" si="294"/>
        <v/>
      </c>
      <c r="Q368" s="9" t="str">
        <f t="shared" si="295"/>
        <v/>
      </c>
      <c r="R368" s="14">
        <f t="shared" si="296"/>
        <v>0</v>
      </c>
      <c r="S368" s="61" t="str">
        <f t="shared" si="297"/>
        <v/>
      </c>
      <c r="T368" s="14">
        <f t="shared" si="298"/>
        <v>0</v>
      </c>
      <c r="U368" s="58" t="str">
        <f t="shared" si="299"/>
        <v/>
      </c>
      <c r="V368" s="14">
        <f t="shared" si="300"/>
        <v>0</v>
      </c>
      <c r="W368" s="58" t="str">
        <f t="shared" si="301"/>
        <v/>
      </c>
      <c r="X368" s="14">
        <f t="shared" si="302"/>
        <v>0</v>
      </c>
      <c r="Y368" s="58" t="str">
        <f t="shared" si="303"/>
        <v/>
      </c>
      <c r="Z368" s="31">
        <f t="shared" si="304"/>
        <v>0</v>
      </c>
      <c r="AA368" s="21">
        <f t="shared" si="305"/>
        <v>0</v>
      </c>
      <c r="AB368" s="58" t="str">
        <f t="shared" si="306"/>
        <v/>
      </c>
      <c r="AC368" s="630">
        <f t="shared" si="283"/>
        <v>0</v>
      </c>
      <c r="AD368" s="627"/>
      <c r="AE368" s="21">
        <f t="shared" si="307"/>
        <v>0</v>
      </c>
      <c r="AF368" s="58" t="str">
        <f t="shared" si="308"/>
        <v/>
      </c>
      <c r="AG368" s="21">
        <f t="shared" si="309"/>
        <v>0</v>
      </c>
      <c r="AH368" s="58" t="str">
        <f t="shared" si="310"/>
        <v/>
      </c>
      <c r="AI368" s="21">
        <f t="shared" si="311"/>
        <v>0</v>
      </c>
      <c r="AJ368" s="58" t="str">
        <f t="shared" si="312"/>
        <v/>
      </c>
      <c r="AK368" s="31">
        <f t="shared" si="313"/>
        <v>0</v>
      </c>
      <c r="AL368" s="21">
        <f t="shared" si="314"/>
        <v>0</v>
      </c>
      <c r="AM368" s="62" t="str">
        <f t="shared" si="315"/>
        <v/>
      </c>
      <c r="AN368" s="21">
        <f t="shared" si="316"/>
        <v>0</v>
      </c>
      <c r="AO368" s="62" t="str">
        <f t="shared" si="317"/>
        <v/>
      </c>
      <c r="AP368" s="21">
        <f t="shared" si="318"/>
        <v>0</v>
      </c>
      <c r="AQ368" s="62" t="str">
        <f t="shared" si="319"/>
        <v/>
      </c>
      <c r="AR368" s="31">
        <f t="shared" si="320"/>
        <v>0</v>
      </c>
      <c r="AS368" s="21">
        <f t="shared" si="321"/>
        <v>0</v>
      </c>
      <c r="AT368" s="62" t="str">
        <f t="shared" si="322"/>
        <v/>
      </c>
      <c r="AU368" s="84">
        <f t="shared" si="323"/>
        <v>0</v>
      </c>
      <c r="AV368" s="32">
        <f t="shared" si="324"/>
        <v>0</v>
      </c>
      <c r="AW368" s="85" t="str">
        <f t="shared" si="325"/>
        <v/>
      </c>
      <c r="AX368" s="86" t="str">
        <f t="shared" si="326"/>
        <v/>
      </c>
    </row>
    <row r="369" spans="1:50" x14ac:dyDescent="0.2">
      <c r="A369" s="29" t="str">
        <f t="shared" si="285"/>
        <v/>
      </c>
      <c r="B369" s="32" t="str">
        <f t="shared" si="286"/>
        <v/>
      </c>
      <c r="C369" s="35"/>
      <c r="D369" s="33" t="str">
        <f t="shared" si="287"/>
        <v/>
      </c>
      <c r="E369" s="22" t="str">
        <f t="shared" si="288"/>
        <v/>
      </c>
      <c r="F369" s="23" t="str">
        <f t="shared" si="289"/>
        <v/>
      </c>
      <c r="G369" s="23"/>
      <c r="H369" s="22"/>
      <c r="I369" s="23"/>
      <c r="J369" s="18"/>
      <c r="K369" s="13" t="str">
        <f t="shared" si="290"/>
        <v/>
      </c>
      <c r="L369" s="28" t="str">
        <f t="shared" si="284"/>
        <v/>
      </c>
      <c r="M369" s="10" t="str">
        <f t="shared" si="291"/>
        <v/>
      </c>
      <c r="N369" s="17" t="str">
        <f t="shared" si="292"/>
        <v/>
      </c>
      <c r="O369" s="39" t="str">
        <f t="shared" si="293"/>
        <v/>
      </c>
      <c r="P369" s="41" t="str">
        <f t="shared" si="294"/>
        <v/>
      </c>
      <c r="Q369" s="9" t="str">
        <f t="shared" si="295"/>
        <v/>
      </c>
      <c r="R369" s="14">
        <f t="shared" si="296"/>
        <v>0</v>
      </c>
      <c r="S369" s="61" t="str">
        <f t="shared" si="297"/>
        <v/>
      </c>
      <c r="T369" s="14">
        <f t="shared" si="298"/>
        <v>0</v>
      </c>
      <c r="U369" s="58" t="str">
        <f t="shared" si="299"/>
        <v/>
      </c>
      <c r="V369" s="14">
        <f t="shared" si="300"/>
        <v>0</v>
      </c>
      <c r="W369" s="58" t="str">
        <f t="shared" si="301"/>
        <v/>
      </c>
      <c r="X369" s="14">
        <f t="shared" si="302"/>
        <v>0</v>
      </c>
      <c r="Y369" s="58" t="str">
        <f t="shared" si="303"/>
        <v/>
      </c>
      <c r="Z369" s="31">
        <f t="shared" si="304"/>
        <v>0</v>
      </c>
      <c r="AA369" s="21">
        <f t="shared" si="305"/>
        <v>0</v>
      </c>
      <c r="AB369" s="58" t="str">
        <f t="shared" si="306"/>
        <v/>
      </c>
      <c r="AC369" s="630">
        <f t="shared" si="283"/>
        <v>0</v>
      </c>
      <c r="AD369" s="627"/>
      <c r="AE369" s="21">
        <f t="shared" si="307"/>
        <v>0</v>
      </c>
      <c r="AF369" s="58" t="str">
        <f t="shared" si="308"/>
        <v/>
      </c>
      <c r="AG369" s="21">
        <f t="shared" si="309"/>
        <v>0</v>
      </c>
      <c r="AH369" s="58" t="str">
        <f t="shared" si="310"/>
        <v/>
      </c>
      <c r="AI369" s="21">
        <f t="shared" si="311"/>
        <v>0</v>
      </c>
      <c r="AJ369" s="58" t="str">
        <f t="shared" si="312"/>
        <v/>
      </c>
      <c r="AK369" s="31">
        <f t="shared" si="313"/>
        <v>0</v>
      </c>
      <c r="AL369" s="21">
        <f t="shared" si="314"/>
        <v>0</v>
      </c>
      <c r="AM369" s="62" t="str">
        <f t="shared" si="315"/>
        <v/>
      </c>
      <c r="AN369" s="21">
        <f t="shared" si="316"/>
        <v>0</v>
      </c>
      <c r="AO369" s="62" t="str">
        <f t="shared" si="317"/>
        <v/>
      </c>
      <c r="AP369" s="21">
        <f t="shared" si="318"/>
        <v>0</v>
      </c>
      <c r="AQ369" s="62" t="str">
        <f t="shared" si="319"/>
        <v/>
      </c>
      <c r="AR369" s="31">
        <f t="shared" si="320"/>
        <v>0</v>
      </c>
      <c r="AS369" s="21">
        <f t="shared" si="321"/>
        <v>0</v>
      </c>
      <c r="AT369" s="62" t="str">
        <f t="shared" si="322"/>
        <v/>
      </c>
      <c r="AU369" s="84">
        <f t="shared" si="323"/>
        <v>0</v>
      </c>
      <c r="AV369" s="32">
        <f t="shared" si="324"/>
        <v>0</v>
      </c>
      <c r="AW369" s="85" t="str">
        <f t="shared" si="325"/>
        <v/>
      </c>
      <c r="AX369" s="86" t="str">
        <f t="shared" si="326"/>
        <v/>
      </c>
    </row>
    <row r="370" spans="1:50" x14ac:dyDescent="0.2">
      <c r="A370" s="29" t="str">
        <f t="shared" si="285"/>
        <v/>
      </c>
      <c r="B370" s="32" t="str">
        <f t="shared" si="286"/>
        <v/>
      </c>
      <c r="C370" s="35"/>
      <c r="D370" s="33" t="str">
        <f t="shared" si="287"/>
        <v/>
      </c>
      <c r="E370" s="22" t="str">
        <f t="shared" si="288"/>
        <v/>
      </c>
      <c r="F370" s="23" t="str">
        <f t="shared" si="289"/>
        <v/>
      </c>
      <c r="G370" s="23"/>
      <c r="H370" s="22"/>
      <c r="I370" s="23"/>
      <c r="J370" s="18"/>
      <c r="K370" s="13" t="str">
        <f t="shared" si="290"/>
        <v/>
      </c>
      <c r="L370" s="28" t="str">
        <f t="shared" si="284"/>
        <v/>
      </c>
      <c r="M370" s="10" t="str">
        <f t="shared" si="291"/>
        <v/>
      </c>
      <c r="N370" s="17" t="str">
        <f t="shared" si="292"/>
        <v/>
      </c>
      <c r="O370" s="39" t="str">
        <f t="shared" si="293"/>
        <v/>
      </c>
      <c r="P370" s="41" t="str">
        <f t="shared" si="294"/>
        <v/>
      </c>
      <c r="Q370" s="9" t="str">
        <f t="shared" si="295"/>
        <v/>
      </c>
      <c r="R370" s="14">
        <f t="shared" si="296"/>
        <v>0</v>
      </c>
      <c r="S370" s="61" t="str">
        <f t="shared" si="297"/>
        <v/>
      </c>
      <c r="T370" s="14">
        <f t="shared" si="298"/>
        <v>0</v>
      </c>
      <c r="U370" s="58" t="str">
        <f t="shared" si="299"/>
        <v/>
      </c>
      <c r="V370" s="14">
        <f t="shared" si="300"/>
        <v>0</v>
      </c>
      <c r="W370" s="58" t="str">
        <f t="shared" si="301"/>
        <v/>
      </c>
      <c r="X370" s="14">
        <f t="shared" si="302"/>
        <v>0</v>
      </c>
      <c r="Y370" s="58" t="str">
        <f t="shared" si="303"/>
        <v/>
      </c>
      <c r="Z370" s="31">
        <f t="shared" si="304"/>
        <v>0</v>
      </c>
      <c r="AA370" s="21">
        <f t="shared" si="305"/>
        <v>0</v>
      </c>
      <c r="AB370" s="58" t="str">
        <f t="shared" si="306"/>
        <v/>
      </c>
      <c r="AC370" s="630">
        <f t="shared" si="283"/>
        <v>0</v>
      </c>
      <c r="AD370" s="627"/>
      <c r="AE370" s="21">
        <f t="shared" si="307"/>
        <v>0</v>
      </c>
      <c r="AF370" s="58" t="str">
        <f t="shared" si="308"/>
        <v/>
      </c>
      <c r="AG370" s="21">
        <f t="shared" si="309"/>
        <v>0</v>
      </c>
      <c r="AH370" s="58" t="str">
        <f t="shared" si="310"/>
        <v/>
      </c>
      <c r="AI370" s="21">
        <f t="shared" si="311"/>
        <v>0</v>
      </c>
      <c r="AJ370" s="58" t="str">
        <f t="shared" si="312"/>
        <v/>
      </c>
      <c r="AK370" s="31">
        <f t="shared" si="313"/>
        <v>0</v>
      </c>
      <c r="AL370" s="21">
        <f t="shared" si="314"/>
        <v>0</v>
      </c>
      <c r="AM370" s="62" t="str">
        <f t="shared" si="315"/>
        <v/>
      </c>
      <c r="AN370" s="21">
        <f t="shared" si="316"/>
        <v>0</v>
      </c>
      <c r="AO370" s="62" t="str">
        <f t="shared" si="317"/>
        <v/>
      </c>
      <c r="AP370" s="21">
        <f t="shared" si="318"/>
        <v>0</v>
      </c>
      <c r="AQ370" s="62" t="str">
        <f t="shared" si="319"/>
        <v/>
      </c>
      <c r="AR370" s="31">
        <f t="shared" si="320"/>
        <v>0</v>
      </c>
      <c r="AS370" s="21">
        <f t="shared" si="321"/>
        <v>0</v>
      </c>
      <c r="AT370" s="62" t="str">
        <f t="shared" si="322"/>
        <v/>
      </c>
      <c r="AU370" s="84">
        <f t="shared" si="323"/>
        <v>0</v>
      </c>
      <c r="AV370" s="32">
        <f t="shared" si="324"/>
        <v>0</v>
      </c>
      <c r="AW370" s="85" t="str">
        <f t="shared" si="325"/>
        <v/>
      </c>
      <c r="AX370" s="86" t="str">
        <f t="shared" si="326"/>
        <v/>
      </c>
    </row>
    <row r="371" spans="1:50" x14ac:dyDescent="0.2">
      <c r="A371" s="29" t="str">
        <f t="shared" si="285"/>
        <v/>
      </c>
      <c r="B371" s="32" t="str">
        <f t="shared" si="286"/>
        <v/>
      </c>
      <c r="C371" s="35"/>
      <c r="D371" s="33" t="str">
        <f t="shared" si="287"/>
        <v/>
      </c>
      <c r="E371" s="22" t="str">
        <f t="shared" si="288"/>
        <v/>
      </c>
      <c r="F371" s="23" t="str">
        <f t="shared" si="289"/>
        <v/>
      </c>
      <c r="G371" s="23"/>
      <c r="H371" s="22"/>
      <c r="I371" s="23"/>
      <c r="J371" s="18"/>
      <c r="K371" s="13" t="str">
        <f t="shared" si="290"/>
        <v/>
      </c>
      <c r="L371" s="28" t="str">
        <f t="shared" si="284"/>
        <v/>
      </c>
      <c r="M371" s="10" t="str">
        <f t="shared" si="291"/>
        <v/>
      </c>
      <c r="N371" s="17" t="str">
        <f t="shared" si="292"/>
        <v/>
      </c>
      <c r="O371" s="39" t="str">
        <f t="shared" si="293"/>
        <v/>
      </c>
      <c r="P371" s="41" t="str">
        <f t="shared" si="294"/>
        <v/>
      </c>
      <c r="Q371" s="9" t="str">
        <f t="shared" si="295"/>
        <v/>
      </c>
      <c r="R371" s="14">
        <f t="shared" si="296"/>
        <v>0</v>
      </c>
      <c r="S371" s="61" t="str">
        <f t="shared" si="297"/>
        <v/>
      </c>
      <c r="T371" s="14">
        <f t="shared" si="298"/>
        <v>0</v>
      </c>
      <c r="U371" s="58" t="str">
        <f t="shared" si="299"/>
        <v/>
      </c>
      <c r="V371" s="14">
        <f t="shared" si="300"/>
        <v>0</v>
      </c>
      <c r="W371" s="58" t="str">
        <f t="shared" si="301"/>
        <v/>
      </c>
      <c r="X371" s="14">
        <f t="shared" si="302"/>
        <v>0</v>
      </c>
      <c r="Y371" s="58" t="str">
        <f t="shared" si="303"/>
        <v/>
      </c>
      <c r="Z371" s="31">
        <f t="shared" si="304"/>
        <v>0</v>
      </c>
      <c r="AA371" s="21">
        <f t="shared" si="305"/>
        <v>0</v>
      </c>
      <c r="AB371" s="58" t="str">
        <f t="shared" si="306"/>
        <v/>
      </c>
      <c r="AC371" s="630">
        <f t="shared" si="283"/>
        <v>0</v>
      </c>
      <c r="AD371" s="627"/>
      <c r="AE371" s="21">
        <f t="shared" si="307"/>
        <v>0</v>
      </c>
      <c r="AF371" s="58" t="str">
        <f t="shared" si="308"/>
        <v/>
      </c>
      <c r="AG371" s="21">
        <f t="shared" si="309"/>
        <v>0</v>
      </c>
      <c r="AH371" s="58" t="str">
        <f t="shared" si="310"/>
        <v/>
      </c>
      <c r="AI371" s="21">
        <f t="shared" si="311"/>
        <v>0</v>
      </c>
      <c r="AJ371" s="58" t="str">
        <f t="shared" si="312"/>
        <v/>
      </c>
      <c r="AK371" s="31">
        <f t="shared" si="313"/>
        <v>0</v>
      </c>
      <c r="AL371" s="21">
        <f t="shared" si="314"/>
        <v>0</v>
      </c>
      <c r="AM371" s="62" t="str">
        <f t="shared" si="315"/>
        <v/>
      </c>
      <c r="AN371" s="21">
        <f t="shared" si="316"/>
        <v>0</v>
      </c>
      <c r="AO371" s="62" t="str">
        <f t="shared" si="317"/>
        <v/>
      </c>
      <c r="AP371" s="21">
        <f t="shared" si="318"/>
        <v>0</v>
      </c>
      <c r="AQ371" s="62" t="str">
        <f t="shared" si="319"/>
        <v/>
      </c>
      <c r="AR371" s="31">
        <f t="shared" si="320"/>
        <v>0</v>
      </c>
      <c r="AS371" s="21">
        <f t="shared" si="321"/>
        <v>0</v>
      </c>
      <c r="AT371" s="62" t="str">
        <f t="shared" si="322"/>
        <v/>
      </c>
      <c r="AU371" s="84">
        <f t="shared" si="323"/>
        <v>0</v>
      </c>
      <c r="AV371" s="32">
        <f t="shared" si="324"/>
        <v>0</v>
      </c>
      <c r="AW371" s="85" t="str">
        <f t="shared" si="325"/>
        <v/>
      </c>
      <c r="AX371" s="86" t="str">
        <f t="shared" si="326"/>
        <v/>
      </c>
    </row>
    <row r="372" spans="1:50" x14ac:dyDescent="0.2">
      <c r="A372" s="29" t="str">
        <f t="shared" si="285"/>
        <v/>
      </c>
      <c r="B372" s="32" t="str">
        <f t="shared" si="286"/>
        <v/>
      </c>
      <c r="C372" s="35"/>
      <c r="D372" s="33" t="str">
        <f t="shared" si="287"/>
        <v/>
      </c>
      <c r="E372" s="22" t="str">
        <f t="shared" si="288"/>
        <v/>
      </c>
      <c r="F372" s="23" t="str">
        <f t="shared" si="289"/>
        <v/>
      </c>
      <c r="G372" s="23"/>
      <c r="H372" s="22"/>
      <c r="I372" s="23"/>
      <c r="J372" s="18"/>
      <c r="K372" s="13" t="str">
        <f t="shared" si="290"/>
        <v/>
      </c>
      <c r="L372" s="28" t="str">
        <f t="shared" si="284"/>
        <v/>
      </c>
      <c r="M372" s="10" t="str">
        <f t="shared" si="291"/>
        <v/>
      </c>
      <c r="N372" s="17" t="str">
        <f t="shared" si="292"/>
        <v/>
      </c>
      <c r="O372" s="39" t="str">
        <f t="shared" si="293"/>
        <v/>
      </c>
      <c r="P372" s="41" t="str">
        <f t="shared" si="294"/>
        <v/>
      </c>
      <c r="Q372" s="9" t="str">
        <f t="shared" si="295"/>
        <v/>
      </c>
      <c r="R372" s="14">
        <f t="shared" si="296"/>
        <v>0</v>
      </c>
      <c r="S372" s="61" t="str">
        <f t="shared" si="297"/>
        <v/>
      </c>
      <c r="T372" s="14">
        <f t="shared" si="298"/>
        <v>0</v>
      </c>
      <c r="U372" s="58" t="str">
        <f t="shared" si="299"/>
        <v/>
      </c>
      <c r="V372" s="14">
        <f t="shared" si="300"/>
        <v>0</v>
      </c>
      <c r="W372" s="58" t="str">
        <f t="shared" si="301"/>
        <v/>
      </c>
      <c r="X372" s="14">
        <f t="shared" si="302"/>
        <v>0</v>
      </c>
      <c r="Y372" s="58" t="str">
        <f t="shared" si="303"/>
        <v/>
      </c>
      <c r="Z372" s="31">
        <f t="shared" si="304"/>
        <v>0</v>
      </c>
      <c r="AA372" s="21">
        <f t="shared" si="305"/>
        <v>0</v>
      </c>
      <c r="AB372" s="58" t="str">
        <f t="shared" si="306"/>
        <v/>
      </c>
      <c r="AC372" s="630">
        <f t="shared" si="283"/>
        <v>0</v>
      </c>
      <c r="AD372" s="627"/>
      <c r="AE372" s="21">
        <f t="shared" si="307"/>
        <v>0</v>
      </c>
      <c r="AF372" s="58" t="str">
        <f t="shared" si="308"/>
        <v/>
      </c>
      <c r="AG372" s="21">
        <f t="shared" si="309"/>
        <v>0</v>
      </c>
      <c r="AH372" s="58" t="str">
        <f t="shared" si="310"/>
        <v/>
      </c>
      <c r="AI372" s="21">
        <f t="shared" si="311"/>
        <v>0</v>
      </c>
      <c r="AJ372" s="58" t="str">
        <f t="shared" si="312"/>
        <v/>
      </c>
      <c r="AK372" s="31">
        <f t="shared" si="313"/>
        <v>0</v>
      </c>
      <c r="AL372" s="21">
        <f t="shared" si="314"/>
        <v>0</v>
      </c>
      <c r="AM372" s="62" t="str">
        <f t="shared" si="315"/>
        <v/>
      </c>
      <c r="AN372" s="21">
        <f t="shared" si="316"/>
        <v>0</v>
      </c>
      <c r="AO372" s="62" t="str">
        <f t="shared" si="317"/>
        <v/>
      </c>
      <c r="AP372" s="21">
        <f t="shared" si="318"/>
        <v>0</v>
      </c>
      <c r="AQ372" s="62" t="str">
        <f t="shared" si="319"/>
        <v/>
      </c>
      <c r="AR372" s="31">
        <f t="shared" si="320"/>
        <v>0</v>
      </c>
      <c r="AS372" s="21">
        <f t="shared" si="321"/>
        <v>0</v>
      </c>
      <c r="AT372" s="62" t="str">
        <f t="shared" si="322"/>
        <v/>
      </c>
      <c r="AU372" s="84">
        <f t="shared" si="323"/>
        <v>0</v>
      </c>
      <c r="AV372" s="32">
        <f t="shared" si="324"/>
        <v>0</v>
      </c>
      <c r="AW372" s="85" t="str">
        <f t="shared" si="325"/>
        <v/>
      </c>
      <c r="AX372" s="86" t="str">
        <f t="shared" si="326"/>
        <v/>
      </c>
    </row>
    <row r="373" spans="1:50" x14ac:dyDescent="0.2">
      <c r="A373" s="29" t="str">
        <f t="shared" si="285"/>
        <v/>
      </c>
      <c r="B373" s="32" t="str">
        <f t="shared" si="286"/>
        <v/>
      </c>
      <c r="C373" s="35"/>
      <c r="D373" s="33" t="str">
        <f t="shared" si="287"/>
        <v/>
      </c>
      <c r="E373" s="22" t="str">
        <f t="shared" si="288"/>
        <v/>
      </c>
      <c r="F373" s="23" t="str">
        <f t="shared" si="289"/>
        <v/>
      </c>
      <c r="G373" s="23"/>
      <c r="H373" s="22"/>
      <c r="I373" s="23"/>
      <c r="J373" s="18"/>
      <c r="K373" s="13" t="str">
        <f t="shared" si="290"/>
        <v/>
      </c>
      <c r="L373" s="28" t="str">
        <f t="shared" si="284"/>
        <v/>
      </c>
      <c r="M373" s="10" t="str">
        <f t="shared" si="291"/>
        <v/>
      </c>
      <c r="N373" s="17" t="str">
        <f t="shared" si="292"/>
        <v/>
      </c>
      <c r="O373" s="39" t="str">
        <f t="shared" si="293"/>
        <v/>
      </c>
      <c r="P373" s="41" t="str">
        <f t="shared" si="294"/>
        <v/>
      </c>
      <c r="Q373" s="9" t="str">
        <f t="shared" si="295"/>
        <v/>
      </c>
      <c r="R373" s="14">
        <f t="shared" si="296"/>
        <v>0</v>
      </c>
      <c r="S373" s="61" t="str">
        <f t="shared" si="297"/>
        <v/>
      </c>
      <c r="T373" s="14">
        <f t="shared" si="298"/>
        <v>0</v>
      </c>
      <c r="U373" s="58" t="str">
        <f t="shared" si="299"/>
        <v/>
      </c>
      <c r="V373" s="14">
        <f t="shared" si="300"/>
        <v>0</v>
      </c>
      <c r="W373" s="58" t="str">
        <f t="shared" si="301"/>
        <v/>
      </c>
      <c r="X373" s="14">
        <f t="shared" si="302"/>
        <v>0</v>
      </c>
      <c r="Y373" s="58" t="str">
        <f t="shared" si="303"/>
        <v/>
      </c>
      <c r="Z373" s="31">
        <f t="shared" si="304"/>
        <v>0</v>
      </c>
      <c r="AA373" s="21">
        <f t="shared" si="305"/>
        <v>0</v>
      </c>
      <c r="AB373" s="58" t="str">
        <f t="shared" si="306"/>
        <v/>
      </c>
      <c r="AC373" s="630">
        <f t="shared" si="283"/>
        <v>0</v>
      </c>
      <c r="AD373" s="627"/>
      <c r="AE373" s="21">
        <f t="shared" si="307"/>
        <v>0</v>
      </c>
      <c r="AF373" s="58" t="str">
        <f t="shared" si="308"/>
        <v/>
      </c>
      <c r="AG373" s="21">
        <f t="shared" si="309"/>
        <v>0</v>
      </c>
      <c r="AH373" s="58" t="str">
        <f t="shared" si="310"/>
        <v/>
      </c>
      <c r="AI373" s="21">
        <f t="shared" si="311"/>
        <v>0</v>
      </c>
      <c r="AJ373" s="58" t="str">
        <f t="shared" si="312"/>
        <v/>
      </c>
      <c r="AK373" s="31">
        <f t="shared" si="313"/>
        <v>0</v>
      </c>
      <c r="AL373" s="21">
        <f t="shared" si="314"/>
        <v>0</v>
      </c>
      <c r="AM373" s="62" t="str">
        <f t="shared" si="315"/>
        <v/>
      </c>
      <c r="AN373" s="21">
        <f t="shared" si="316"/>
        <v>0</v>
      </c>
      <c r="AO373" s="62" t="str">
        <f t="shared" si="317"/>
        <v/>
      </c>
      <c r="AP373" s="21">
        <f t="shared" si="318"/>
        <v>0</v>
      </c>
      <c r="AQ373" s="62" t="str">
        <f t="shared" si="319"/>
        <v/>
      </c>
      <c r="AR373" s="31">
        <f t="shared" si="320"/>
        <v>0</v>
      </c>
      <c r="AS373" s="21">
        <f t="shared" si="321"/>
        <v>0</v>
      </c>
      <c r="AT373" s="62" t="str">
        <f t="shared" si="322"/>
        <v/>
      </c>
      <c r="AU373" s="84">
        <f t="shared" si="323"/>
        <v>0</v>
      </c>
      <c r="AV373" s="32">
        <f t="shared" si="324"/>
        <v>0</v>
      </c>
      <c r="AW373" s="85" t="str">
        <f t="shared" si="325"/>
        <v/>
      </c>
      <c r="AX373" s="86" t="str">
        <f t="shared" si="326"/>
        <v/>
      </c>
    </row>
    <row r="374" spans="1:50" x14ac:dyDescent="0.2">
      <c r="A374" s="29" t="str">
        <f t="shared" si="285"/>
        <v/>
      </c>
      <c r="B374" s="32" t="str">
        <f t="shared" si="286"/>
        <v/>
      </c>
      <c r="C374" s="35"/>
      <c r="D374" s="33" t="str">
        <f t="shared" si="287"/>
        <v/>
      </c>
      <c r="E374" s="22" t="str">
        <f t="shared" si="288"/>
        <v/>
      </c>
      <c r="F374" s="23" t="str">
        <f t="shared" si="289"/>
        <v/>
      </c>
      <c r="G374" s="23"/>
      <c r="H374" s="22"/>
      <c r="I374" s="23"/>
      <c r="J374" s="18"/>
      <c r="K374" s="13" t="str">
        <f t="shared" si="290"/>
        <v/>
      </c>
      <c r="L374" s="28" t="str">
        <f t="shared" si="284"/>
        <v/>
      </c>
      <c r="M374" s="10" t="str">
        <f t="shared" si="291"/>
        <v/>
      </c>
      <c r="N374" s="17" t="str">
        <f t="shared" si="292"/>
        <v/>
      </c>
      <c r="O374" s="39" t="str">
        <f t="shared" si="293"/>
        <v/>
      </c>
      <c r="P374" s="41" t="str">
        <f t="shared" si="294"/>
        <v/>
      </c>
      <c r="Q374" s="9" t="str">
        <f t="shared" si="295"/>
        <v/>
      </c>
      <c r="R374" s="14">
        <f t="shared" si="296"/>
        <v>0</v>
      </c>
      <c r="S374" s="61" t="str">
        <f t="shared" si="297"/>
        <v/>
      </c>
      <c r="T374" s="14">
        <f t="shared" si="298"/>
        <v>0</v>
      </c>
      <c r="U374" s="58" t="str">
        <f t="shared" si="299"/>
        <v/>
      </c>
      <c r="V374" s="14">
        <f t="shared" si="300"/>
        <v>0</v>
      </c>
      <c r="W374" s="58" t="str">
        <f t="shared" si="301"/>
        <v/>
      </c>
      <c r="X374" s="14">
        <f t="shared" si="302"/>
        <v>0</v>
      </c>
      <c r="Y374" s="58" t="str">
        <f t="shared" si="303"/>
        <v/>
      </c>
      <c r="Z374" s="31">
        <f t="shared" si="304"/>
        <v>0</v>
      </c>
      <c r="AA374" s="21">
        <f t="shared" si="305"/>
        <v>0</v>
      </c>
      <c r="AB374" s="58" t="str">
        <f t="shared" si="306"/>
        <v/>
      </c>
      <c r="AC374" s="630">
        <f t="shared" si="283"/>
        <v>0</v>
      </c>
      <c r="AD374" s="627"/>
      <c r="AE374" s="21">
        <f t="shared" si="307"/>
        <v>0</v>
      </c>
      <c r="AF374" s="58" t="str">
        <f t="shared" si="308"/>
        <v/>
      </c>
      <c r="AG374" s="21">
        <f t="shared" si="309"/>
        <v>0</v>
      </c>
      <c r="AH374" s="58" t="str">
        <f t="shared" si="310"/>
        <v/>
      </c>
      <c r="AI374" s="21">
        <f t="shared" si="311"/>
        <v>0</v>
      </c>
      <c r="AJ374" s="58" t="str">
        <f t="shared" si="312"/>
        <v/>
      </c>
      <c r="AK374" s="31">
        <f t="shared" si="313"/>
        <v>0</v>
      </c>
      <c r="AL374" s="21">
        <f t="shared" si="314"/>
        <v>0</v>
      </c>
      <c r="AM374" s="62" t="str">
        <f t="shared" si="315"/>
        <v/>
      </c>
      <c r="AN374" s="21">
        <f t="shared" si="316"/>
        <v>0</v>
      </c>
      <c r="AO374" s="62" t="str">
        <f t="shared" si="317"/>
        <v/>
      </c>
      <c r="AP374" s="21">
        <f t="shared" si="318"/>
        <v>0</v>
      </c>
      <c r="AQ374" s="62" t="str">
        <f t="shared" si="319"/>
        <v/>
      </c>
      <c r="AR374" s="31">
        <f t="shared" si="320"/>
        <v>0</v>
      </c>
      <c r="AS374" s="21">
        <f t="shared" si="321"/>
        <v>0</v>
      </c>
      <c r="AT374" s="62" t="str">
        <f t="shared" si="322"/>
        <v/>
      </c>
      <c r="AU374" s="84">
        <f t="shared" si="323"/>
        <v>0</v>
      </c>
      <c r="AV374" s="32">
        <f t="shared" si="324"/>
        <v>0</v>
      </c>
      <c r="AW374" s="85" t="str">
        <f t="shared" si="325"/>
        <v/>
      </c>
      <c r="AX374" s="86" t="str">
        <f t="shared" si="326"/>
        <v/>
      </c>
    </row>
    <row r="375" spans="1:50" x14ac:dyDescent="0.2">
      <c r="A375" s="29" t="str">
        <f t="shared" si="285"/>
        <v/>
      </c>
      <c r="B375" s="32" t="str">
        <f t="shared" si="286"/>
        <v/>
      </c>
      <c r="C375" s="35"/>
      <c r="D375" s="33" t="str">
        <f t="shared" si="287"/>
        <v/>
      </c>
      <c r="E375" s="22" t="str">
        <f t="shared" si="288"/>
        <v/>
      </c>
      <c r="F375" s="23" t="str">
        <f t="shared" si="289"/>
        <v/>
      </c>
      <c r="G375" s="23"/>
      <c r="H375" s="22"/>
      <c r="I375" s="23"/>
      <c r="J375" s="18"/>
      <c r="K375" s="13" t="str">
        <f t="shared" si="290"/>
        <v/>
      </c>
      <c r="L375" s="28" t="str">
        <f t="shared" si="284"/>
        <v/>
      </c>
      <c r="M375" s="10" t="str">
        <f t="shared" si="291"/>
        <v/>
      </c>
      <c r="N375" s="17" t="str">
        <f t="shared" si="292"/>
        <v/>
      </c>
      <c r="O375" s="39" t="str">
        <f t="shared" si="293"/>
        <v/>
      </c>
      <c r="P375" s="41" t="str">
        <f t="shared" si="294"/>
        <v/>
      </c>
      <c r="Q375" s="9" t="str">
        <f t="shared" si="295"/>
        <v/>
      </c>
      <c r="R375" s="14">
        <f t="shared" si="296"/>
        <v>0</v>
      </c>
      <c r="S375" s="61" t="str">
        <f t="shared" si="297"/>
        <v/>
      </c>
      <c r="T375" s="14">
        <f t="shared" si="298"/>
        <v>0</v>
      </c>
      <c r="U375" s="58" t="str">
        <f t="shared" si="299"/>
        <v/>
      </c>
      <c r="V375" s="14">
        <f t="shared" si="300"/>
        <v>0</v>
      </c>
      <c r="W375" s="58" t="str">
        <f t="shared" si="301"/>
        <v/>
      </c>
      <c r="X375" s="14">
        <f t="shared" si="302"/>
        <v>0</v>
      </c>
      <c r="Y375" s="58" t="str">
        <f t="shared" si="303"/>
        <v/>
      </c>
      <c r="Z375" s="31">
        <f t="shared" si="304"/>
        <v>0</v>
      </c>
      <c r="AA375" s="21">
        <f t="shared" si="305"/>
        <v>0</v>
      </c>
      <c r="AB375" s="58" t="str">
        <f t="shared" si="306"/>
        <v/>
      </c>
      <c r="AC375" s="630">
        <f t="shared" si="283"/>
        <v>0</v>
      </c>
      <c r="AD375" s="627"/>
      <c r="AE375" s="21">
        <f t="shared" si="307"/>
        <v>0</v>
      </c>
      <c r="AF375" s="58" t="str">
        <f t="shared" si="308"/>
        <v/>
      </c>
      <c r="AG375" s="21">
        <f t="shared" si="309"/>
        <v>0</v>
      </c>
      <c r="AH375" s="58" t="str">
        <f t="shared" si="310"/>
        <v/>
      </c>
      <c r="AI375" s="21">
        <f t="shared" si="311"/>
        <v>0</v>
      </c>
      <c r="AJ375" s="58" t="str">
        <f t="shared" si="312"/>
        <v/>
      </c>
      <c r="AK375" s="31">
        <f t="shared" si="313"/>
        <v>0</v>
      </c>
      <c r="AL375" s="21">
        <f t="shared" si="314"/>
        <v>0</v>
      </c>
      <c r="AM375" s="62" t="str">
        <f t="shared" si="315"/>
        <v/>
      </c>
      <c r="AN375" s="21">
        <f t="shared" si="316"/>
        <v>0</v>
      </c>
      <c r="AO375" s="62" t="str">
        <f t="shared" si="317"/>
        <v/>
      </c>
      <c r="AP375" s="21">
        <f t="shared" si="318"/>
        <v>0</v>
      </c>
      <c r="AQ375" s="62" t="str">
        <f t="shared" si="319"/>
        <v/>
      </c>
      <c r="AR375" s="31">
        <f t="shared" si="320"/>
        <v>0</v>
      </c>
      <c r="AS375" s="21">
        <f t="shared" si="321"/>
        <v>0</v>
      </c>
      <c r="AT375" s="62" t="str">
        <f t="shared" si="322"/>
        <v/>
      </c>
      <c r="AU375" s="84">
        <f t="shared" si="323"/>
        <v>0</v>
      </c>
      <c r="AV375" s="32">
        <f t="shared" si="324"/>
        <v>0</v>
      </c>
      <c r="AW375" s="85" t="str">
        <f t="shared" si="325"/>
        <v/>
      </c>
      <c r="AX375" s="86" t="str">
        <f t="shared" si="326"/>
        <v/>
      </c>
    </row>
    <row r="376" spans="1:50" x14ac:dyDescent="0.2">
      <c r="A376" s="29" t="str">
        <f t="shared" si="285"/>
        <v/>
      </c>
      <c r="B376" s="32" t="str">
        <f t="shared" si="286"/>
        <v/>
      </c>
      <c r="C376" s="35"/>
      <c r="D376" s="33" t="str">
        <f t="shared" si="287"/>
        <v/>
      </c>
      <c r="E376" s="22" t="str">
        <f t="shared" si="288"/>
        <v/>
      </c>
      <c r="F376" s="23" t="str">
        <f t="shared" si="289"/>
        <v/>
      </c>
      <c r="G376" s="23"/>
      <c r="H376" s="22"/>
      <c r="I376" s="23"/>
      <c r="J376" s="18"/>
      <c r="K376" s="13" t="str">
        <f t="shared" si="290"/>
        <v/>
      </c>
      <c r="L376" s="28" t="str">
        <f t="shared" si="284"/>
        <v/>
      </c>
      <c r="M376" s="10" t="str">
        <f t="shared" si="291"/>
        <v/>
      </c>
      <c r="N376" s="17" t="str">
        <f t="shared" si="292"/>
        <v/>
      </c>
      <c r="O376" s="39" t="str">
        <f t="shared" si="293"/>
        <v/>
      </c>
      <c r="P376" s="41" t="str">
        <f t="shared" si="294"/>
        <v/>
      </c>
      <c r="Q376" s="9" t="str">
        <f t="shared" si="295"/>
        <v/>
      </c>
      <c r="R376" s="14">
        <f t="shared" si="296"/>
        <v>0</v>
      </c>
      <c r="S376" s="61" t="str">
        <f t="shared" si="297"/>
        <v/>
      </c>
      <c r="T376" s="14">
        <f t="shared" si="298"/>
        <v>0</v>
      </c>
      <c r="U376" s="58" t="str">
        <f t="shared" si="299"/>
        <v/>
      </c>
      <c r="V376" s="14">
        <f t="shared" si="300"/>
        <v>0</v>
      </c>
      <c r="W376" s="58" t="str">
        <f t="shared" si="301"/>
        <v/>
      </c>
      <c r="X376" s="14">
        <f t="shared" si="302"/>
        <v>0</v>
      </c>
      <c r="Y376" s="58" t="str">
        <f t="shared" si="303"/>
        <v/>
      </c>
      <c r="Z376" s="31">
        <f t="shared" si="304"/>
        <v>0</v>
      </c>
      <c r="AA376" s="21">
        <f t="shared" si="305"/>
        <v>0</v>
      </c>
      <c r="AB376" s="58" t="str">
        <f t="shared" si="306"/>
        <v/>
      </c>
      <c r="AC376" s="630">
        <f t="shared" si="283"/>
        <v>0</v>
      </c>
      <c r="AD376" s="627"/>
      <c r="AE376" s="21">
        <f t="shared" si="307"/>
        <v>0</v>
      </c>
      <c r="AF376" s="58" t="str">
        <f t="shared" si="308"/>
        <v/>
      </c>
      <c r="AG376" s="21">
        <f t="shared" si="309"/>
        <v>0</v>
      </c>
      <c r="AH376" s="58" t="str">
        <f t="shared" si="310"/>
        <v/>
      </c>
      <c r="AI376" s="21">
        <f t="shared" si="311"/>
        <v>0</v>
      </c>
      <c r="AJ376" s="58" t="str">
        <f t="shared" si="312"/>
        <v/>
      </c>
      <c r="AK376" s="31">
        <f t="shared" si="313"/>
        <v>0</v>
      </c>
      <c r="AL376" s="21">
        <f t="shared" si="314"/>
        <v>0</v>
      </c>
      <c r="AM376" s="62" t="str">
        <f t="shared" si="315"/>
        <v/>
      </c>
      <c r="AN376" s="21">
        <f t="shared" si="316"/>
        <v>0</v>
      </c>
      <c r="AO376" s="62" t="str">
        <f t="shared" si="317"/>
        <v/>
      </c>
      <c r="AP376" s="21">
        <f t="shared" si="318"/>
        <v>0</v>
      </c>
      <c r="AQ376" s="62" t="str">
        <f t="shared" si="319"/>
        <v/>
      </c>
      <c r="AR376" s="31">
        <f t="shared" si="320"/>
        <v>0</v>
      </c>
      <c r="AS376" s="21">
        <f t="shared" si="321"/>
        <v>0</v>
      </c>
      <c r="AT376" s="62" t="str">
        <f t="shared" si="322"/>
        <v/>
      </c>
      <c r="AU376" s="84">
        <f t="shared" si="323"/>
        <v>0</v>
      </c>
      <c r="AV376" s="32">
        <f t="shared" si="324"/>
        <v>0</v>
      </c>
      <c r="AW376" s="85" t="str">
        <f t="shared" si="325"/>
        <v/>
      </c>
      <c r="AX376" s="86" t="str">
        <f t="shared" si="326"/>
        <v/>
      </c>
    </row>
    <row r="377" spans="1:50" x14ac:dyDescent="0.2">
      <c r="A377" s="29" t="str">
        <f t="shared" si="285"/>
        <v/>
      </c>
      <c r="B377" s="32" t="str">
        <f t="shared" si="286"/>
        <v/>
      </c>
      <c r="C377" s="35"/>
      <c r="D377" s="33" t="str">
        <f t="shared" si="287"/>
        <v/>
      </c>
      <c r="E377" s="22" t="str">
        <f t="shared" si="288"/>
        <v/>
      </c>
      <c r="F377" s="23" t="str">
        <f t="shared" si="289"/>
        <v/>
      </c>
      <c r="G377" s="23"/>
      <c r="H377" s="22"/>
      <c r="I377" s="23"/>
      <c r="J377" s="18"/>
      <c r="K377" s="13" t="str">
        <f t="shared" si="290"/>
        <v/>
      </c>
      <c r="L377" s="28" t="str">
        <f t="shared" si="284"/>
        <v/>
      </c>
      <c r="M377" s="10" t="str">
        <f t="shared" si="291"/>
        <v/>
      </c>
      <c r="N377" s="17" t="str">
        <f t="shared" si="292"/>
        <v/>
      </c>
      <c r="O377" s="39" t="str">
        <f t="shared" si="293"/>
        <v/>
      </c>
      <c r="P377" s="41" t="str">
        <f t="shared" si="294"/>
        <v/>
      </c>
      <c r="Q377" s="9" t="str">
        <f t="shared" si="295"/>
        <v/>
      </c>
      <c r="R377" s="14">
        <f t="shared" si="296"/>
        <v>0</v>
      </c>
      <c r="S377" s="61" t="str">
        <f t="shared" si="297"/>
        <v/>
      </c>
      <c r="T377" s="14">
        <f t="shared" si="298"/>
        <v>0</v>
      </c>
      <c r="U377" s="58" t="str">
        <f t="shared" si="299"/>
        <v/>
      </c>
      <c r="V377" s="14">
        <f t="shared" si="300"/>
        <v>0</v>
      </c>
      <c r="W377" s="58" t="str">
        <f t="shared" si="301"/>
        <v/>
      </c>
      <c r="X377" s="14">
        <f t="shared" si="302"/>
        <v>0</v>
      </c>
      <c r="Y377" s="58" t="str">
        <f t="shared" si="303"/>
        <v/>
      </c>
      <c r="Z377" s="31">
        <f t="shared" si="304"/>
        <v>0</v>
      </c>
      <c r="AA377" s="21">
        <f t="shared" si="305"/>
        <v>0</v>
      </c>
      <c r="AB377" s="58" t="str">
        <f t="shared" si="306"/>
        <v/>
      </c>
      <c r="AC377" s="630">
        <f t="shared" si="283"/>
        <v>0</v>
      </c>
      <c r="AD377" s="627"/>
      <c r="AE377" s="21">
        <f t="shared" si="307"/>
        <v>0</v>
      </c>
      <c r="AF377" s="58" t="str">
        <f t="shared" si="308"/>
        <v/>
      </c>
      <c r="AG377" s="21">
        <f t="shared" si="309"/>
        <v>0</v>
      </c>
      <c r="AH377" s="58" t="str">
        <f t="shared" si="310"/>
        <v/>
      </c>
      <c r="AI377" s="21">
        <f t="shared" si="311"/>
        <v>0</v>
      </c>
      <c r="AJ377" s="58" t="str">
        <f t="shared" si="312"/>
        <v/>
      </c>
      <c r="AK377" s="31">
        <f t="shared" si="313"/>
        <v>0</v>
      </c>
      <c r="AL377" s="21">
        <f t="shared" si="314"/>
        <v>0</v>
      </c>
      <c r="AM377" s="62" t="str">
        <f t="shared" si="315"/>
        <v/>
      </c>
      <c r="AN377" s="21">
        <f t="shared" si="316"/>
        <v>0</v>
      </c>
      <c r="AO377" s="62" t="str">
        <f t="shared" si="317"/>
        <v/>
      </c>
      <c r="AP377" s="21">
        <f t="shared" si="318"/>
        <v>0</v>
      </c>
      <c r="AQ377" s="62" t="str">
        <f t="shared" si="319"/>
        <v/>
      </c>
      <c r="AR377" s="31">
        <f t="shared" si="320"/>
        <v>0</v>
      </c>
      <c r="AS377" s="21">
        <f t="shared" si="321"/>
        <v>0</v>
      </c>
      <c r="AT377" s="62" t="str">
        <f t="shared" si="322"/>
        <v/>
      </c>
      <c r="AU377" s="84">
        <f t="shared" si="323"/>
        <v>0</v>
      </c>
      <c r="AV377" s="32">
        <f t="shared" si="324"/>
        <v>0</v>
      </c>
      <c r="AW377" s="85" t="str">
        <f t="shared" si="325"/>
        <v/>
      </c>
      <c r="AX377" s="86" t="str">
        <f t="shared" si="326"/>
        <v/>
      </c>
    </row>
    <row r="378" spans="1:50" x14ac:dyDescent="0.2">
      <c r="A378" s="29" t="str">
        <f t="shared" si="285"/>
        <v/>
      </c>
      <c r="B378" s="32" t="str">
        <f t="shared" si="286"/>
        <v/>
      </c>
      <c r="C378" s="35"/>
      <c r="D378" s="33" t="str">
        <f t="shared" si="287"/>
        <v/>
      </c>
      <c r="E378" s="22" t="str">
        <f t="shared" si="288"/>
        <v/>
      </c>
      <c r="F378" s="23" t="str">
        <f t="shared" si="289"/>
        <v/>
      </c>
      <c r="G378" s="23"/>
      <c r="H378" s="22"/>
      <c r="I378" s="23"/>
      <c r="J378" s="18"/>
      <c r="K378" s="13" t="str">
        <f t="shared" si="290"/>
        <v/>
      </c>
      <c r="L378" s="28" t="str">
        <f t="shared" si="284"/>
        <v/>
      </c>
      <c r="M378" s="10" t="str">
        <f t="shared" si="291"/>
        <v/>
      </c>
      <c r="N378" s="17" t="str">
        <f t="shared" si="292"/>
        <v/>
      </c>
      <c r="O378" s="39" t="str">
        <f t="shared" si="293"/>
        <v/>
      </c>
      <c r="P378" s="41" t="str">
        <f t="shared" si="294"/>
        <v/>
      </c>
      <c r="Q378" s="9" t="str">
        <f t="shared" si="295"/>
        <v/>
      </c>
      <c r="R378" s="14">
        <f t="shared" si="296"/>
        <v>0</v>
      </c>
      <c r="S378" s="61" t="str">
        <f t="shared" si="297"/>
        <v/>
      </c>
      <c r="T378" s="14">
        <f t="shared" si="298"/>
        <v>0</v>
      </c>
      <c r="U378" s="58" t="str">
        <f t="shared" si="299"/>
        <v/>
      </c>
      <c r="V378" s="14">
        <f t="shared" si="300"/>
        <v>0</v>
      </c>
      <c r="W378" s="58" t="str">
        <f t="shared" si="301"/>
        <v/>
      </c>
      <c r="X378" s="14">
        <f t="shared" si="302"/>
        <v>0</v>
      </c>
      <c r="Y378" s="58" t="str">
        <f t="shared" si="303"/>
        <v/>
      </c>
      <c r="Z378" s="31">
        <f t="shared" si="304"/>
        <v>0</v>
      </c>
      <c r="AA378" s="21">
        <f t="shared" si="305"/>
        <v>0</v>
      </c>
      <c r="AB378" s="58" t="str">
        <f t="shared" si="306"/>
        <v/>
      </c>
      <c r="AC378" s="630">
        <f t="shared" si="283"/>
        <v>0</v>
      </c>
      <c r="AD378" s="627"/>
      <c r="AE378" s="21">
        <f t="shared" si="307"/>
        <v>0</v>
      </c>
      <c r="AF378" s="58" t="str">
        <f t="shared" si="308"/>
        <v/>
      </c>
      <c r="AG378" s="21">
        <f t="shared" si="309"/>
        <v>0</v>
      </c>
      <c r="AH378" s="58" t="str">
        <f t="shared" si="310"/>
        <v/>
      </c>
      <c r="AI378" s="21">
        <f t="shared" si="311"/>
        <v>0</v>
      </c>
      <c r="AJ378" s="58" t="str">
        <f t="shared" si="312"/>
        <v/>
      </c>
      <c r="AK378" s="31">
        <f t="shared" si="313"/>
        <v>0</v>
      </c>
      <c r="AL378" s="21">
        <f t="shared" si="314"/>
        <v>0</v>
      </c>
      <c r="AM378" s="62" t="str">
        <f t="shared" si="315"/>
        <v/>
      </c>
      <c r="AN378" s="21">
        <f t="shared" si="316"/>
        <v>0</v>
      </c>
      <c r="AO378" s="62" t="str">
        <f t="shared" si="317"/>
        <v/>
      </c>
      <c r="AP378" s="21">
        <f t="shared" si="318"/>
        <v>0</v>
      </c>
      <c r="AQ378" s="62" t="str">
        <f t="shared" si="319"/>
        <v/>
      </c>
      <c r="AR378" s="31">
        <f t="shared" si="320"/>
        <v>0</v>
      </c>
      <c r="AS378" s="21">
        <f t="shared" si="321"/>
        <v>0</v>
      </c>
      <c r="AT378" s="62" t="str">
        <f t="shared" si="322"/>
        <v/>
      </c>
      <c r="AU378" s="84">
        <f t="shared" si="323"/>
        <v>0</v>
      </c>
      <c r="AV378" s="32">
        <f t="shared" si="324"/>
        <v>0</v>
      </c>
      <c r="AW378" s="85" t="str">
        <f t="shared" si="325"/>
        <v/>
      </c>
      <c r="AX378" s="86" t="str">
        <f t="shared" si="326"/>
        <v/>
      </c>
    </row>
    <row r="379" spans="1:50" x14ac:dyDescent="0.2">
      <c r="A379" s="29" t="str">
        <f t="shared" si="285"/>
        <v/>
      </c>
      <c r="B379" s="32" t="str">
        <f t="shared" si="286"/>
        <v/>
      </c>
      <c r="C379" s="35"/>
      <c r="D379" s="33" t="str">
        <f t="shared" si="287"/>
        <v/>
      </c>
      <c r="E379" s="22" t="str">
        <f t="shared" si="288"/>
        <v/>
      </c>
      <c r="F379" s="23" t="str">
        <f t="shared" si="289"/>
        <v/>
      </c>
      <c r="G379" s="23"/>
      <c r="H379" s="22"/>
      <c r="I379" s="23"/>
      <c r="J379" s="18"/>
      <c r="K379" s="13" t="str">
        <f t="shared" si="290"/>
        <v/>
      </c>
      <c r="L379" s="28" t="str">
        <f t="shared" si="284"/>
        <v/>
      </c>
      <c r="M379" s="10" t="str">
        <f t="shared" si="291"/>
        <v/>
      </c>
      <c r="N379" s="17" t="str">
        <f t="shared" si="292"/>
        <v/>
      </c>
      <c r="O379" s="39" t="str">
        <f t="shared" si="293"/>
        <v/>
      </c>
      <c r="P379" s="41" t="str">
        <f t="shared" si="294"/>
        <v/>
      </c>
      <c r="Q379" s="9" t="str">
        <f t="shared" si="295"/>
        <v/>
      </c>
      <c r="R379" s="14">
        <f t="shared" si="296"/>
        <v>0</v>
      </c>
      <c r="S379" s="61" t="str">
        <f t="shared" si="297"/>
        <v/>
      </c>
      <c r="T379" s="14">
        <f t="shared" si="298"/>
        <v>0</v>
      </c>
      <c r="U379" s="58" t="str">
        <f t="shared" si="299"/>
        <v/>
      </c>
      <c r="V379" s="14">
        <f t="shared" si="300"/>
        <v>0</v>
      </c>
      <c r="W379" s="58" t="str">
        <f t="shared" si="301"/>
        <v/>
      </c>
      <c r="X379" s="14">
        <f t="shared" si="302"/>
        <v>0</v>
      </c>
      <c r="Y379" s="58" t="str">
        <f t="shared" si="303"/>
        <v/>
      </c>
      <c r="Z379" s="31">
        <f t="shared" si="304"/>
        <v>0</v>
      </c>
      <c r="AA379" s="21">
        <f t="shared" si="305"/>
        <v>0</v>
      </c>
      <c r="AB379" s="58" t="str">
        <f t="shared" si="306"/>
        <v/>
      </c>
      <c r="AC379" s="630">
        <f t="shared" si="283"/>
        <v>0</v>
      </c>
      <c r="AD379" s="627"/>
      <c r="AE379" s="21">
        <f t="shared" si="307"/>
        <v>0</v>
      </c>
      <c r="AF379" s="58" t="str">
        <f t="shared" si="308"/>
        <v/>
      </c>
      <c r="AG379" s="21">
        <f t="shared" si="309"/>
        <v>0</v>
      </c>
      <c r="AH379" s="58" t="str">
        <f t="shared" si="310"/>
        <v/>
      </c>
      <c r="AI379" s="21">
        <f t="shared" si="311"/>
        <v>0</v>
      </c>
      <c r="AJ379" s="58" t="str">
        <f t="shared" si="312"/>
        <v/>
      </c>
      <c r="AK379" s="31">
        <f t="shared" si="313"/>
        <v>0</v>
      </c>
      <c r="AL379" s="21">
        <f t="shared" si="314"/>
        <v>0</v>
      </c>
      <c r="AM379" s="62" t="str">
        <f t="shared" si="315"/>
        <v/>
      </c>
      <c r="AN379" s="21">
        <f t="shared" si="316"/>
        <v>0</v>
      </c>
      <c r="AO379" s="62" t="str">
        <f t="shared" si="317"/>
        <v/>
      </c>
      <c r="AP379" s="21">
        <f t="shared" si="318"/>
        <v>0</v>
      </c>
      <c r="AQ379" s="62" t="str">
        <f t="shared" si="319"/>
        <v/>
      </c>
      <c r="AR379" s="31">
        <f t="shared" si="320"/>
        <v>0</v>
      </c>
      <c r="AS379" s="21">
        <f t="shared" si="321"/>
        <v>0</v>
      </c>
      <c r="AT379" s="62" t="str">
        <f t="shared" si="322"/>
        <v/>
      </c>
      <c r="AU379" s="84">
        <f t="shared" si="323"/>
        <v>0</v>
      </c>
      <c r="AV379" s="32">
        <f t="shared" si="324"/>
        <v>0</v>
      </c>
      <c r="AW379" s="85" t="str">
        <f t="shared" si="325"/>
        <v/>
      </c>
      <c r="AX379" s="86" t="str">
        <f t="shared" si="326"/>
        <v/>
      </c>
    </row>
    <row r="380" spans="1:50" x14ac:dyDescent="0.2">
      <c r="A380" s="29" t="str">
        <f t="shared" si="285"/>
        <v/>
      </c>
      <c r="B380" s="32" t="str">
        <f t="shared" si="286"/>
        <v/>
      </c>
      <c r="C380" s="35"/>
      <c r="D380" s="33" t="str">
        <f t="shared" si="287"/>
        <v/>
      </c>
      <c r="E380" s="22" t="str">
        <f t="shared" si="288"/>
        <v/>
      </c>
      <c r="F380" s="23" t="str">
        <f t="shared" si="289"/>
        <v/>
      </c>
      <c r="G380" s="23"/>
      <c r="H380" s="22"/>
      <c r="I380" s="23"/>
      <c r="J380" s="18"/>
      <c r="K380" s="13" t="str">
        <f t="shared" si="290"/>
        <v/>
      </c>
      <c r="L380" s="28" t="str">
        <f t="shared" si="284"/>
        <v/>
      </c>
      <c r="M380" s="10" t="str">
        <f t="shared" si="291"/>
        <v/>
      </c>
      <c r="N380" s="17" t="str">
        <f t="shared" si="292"/>
        <v/>
      </c>
      <c r="O380" s="39" t="str">
        <f t="shared" si="293"/>
        <v/>
      </c>
      <c r="P380" s="41" t="str">
        <f t="shared" si="294"/>
        <v/>
      </c>
      <c r="Q380" s="9" t="str">
        <f t="shared" si="295"/>
        <v/>
      </c>
      <c r="R380" s="14">
        <f t="shared" si="296"/>
        <v>0</v>
      </c>
      <c r="S380" s="61" t="str">
        <f t="shared" si="297"/>
        <v/>
      </c>
      <c r="T380" s="14">
        <f t="shared" si="298"/>
        <v>0</v>
      </c>
      <c r="U380" s="58" t="str">
        <f t="shared" si="299"/>
        <v/>
      </c>
      <c r="V380" s="14">
        <f t="shared" si="300"/>
        <v>0</v>
      </c>
      <c r="W380" s="58" t="str">
        <f t="shared" si="301"/>
        <v/>
      </c>
      <c r="X380" s="14">
        <f t="shared" si="302"/>
        <v>0</v>
      </c>
      <c r="Y380" s="58" t="str">
        <f t="shared" si="303"/>
        <v/>
      </c>
      <c r="Z380" s="31">
        <f t="shared" si="304"/>
        <v>0</v>
      </c>
      <c r="AA380" s="21">
        <f t="shared" si="305"/>
        <v>0</v>
      </c>
      <c r="AB380" s="58" t="str">
        <f t="shared" si="306"/>
        <v/>
      </c>
      <c r="AC380" s="630">
        <f t="shared" si="283"/>
        <v>0</v>
      </c>
      <c r="AD380" s="627"/>
      <c r="AE380" s="21">
        <f t="shared" si="307"/>
        <v>0</v>
      </c>
      <c r="AF380" s="58" t="str">
        <f t="shared" si="308"/>
        <v/>
      </c>
      <c r="AG380" s="21">
        <f t="shared" si="309"/>
        <v>0</v>
      </c>
      <c r="AH380" s="58" t="str">
        <f t="shared" si="310"/>
        <v/>
      </c>
      <c r="AI380" s="21">
        <f t="shared" si="311"/>
        <v>0</v>
      </c>
      <c r="AJ380" s="58" t="str">
        <f t="shared" si="312"/>
        <v/>
      </c>
      <c r="AK380" s="31">
        <f t="shared" si="313"/>
        <v>0</v>
      </c>
      <c r="AL380" s="21">
        <f t="shared" si="314"/>
        <v>0</v>
      </c>
      <c r="AM380" s="62" t="str">
        <f t="shared" si="315"/>
        <v/>
      </c>
      <c r="AN380" s="21">
        <f t="shared" si="316"/>
        <v>0</v>
      </c>
      <c r="AO380" s="62" t="str">
        <f t="shared" si="317"/>
        <v/>
      </c>
      <c r="AP380" s="21">
        <f t="shared" si="318"/>
        <v>0</v>
      </c>
      <c r="AQ380" s="62" t="str">
        <f t="shared" si="319"/>
        <v/>
      </c>
      <c r="AR380" s="31">
        <f t="shared" si="320"/>
        <v>0</v>
      </c>
      <c r="AS380" s="21">
        <f t="shared" si="321"/>
        <v>0</v>
      </c>
      <c r="AT380" s="62" t="str">
        <f t="shared" si="322"/>
        <v/>
      </c>
      <c r="AU380" s="84">
        <f t="shared" si="323"/>
        <v>0</v>
      </c>
      <c r="AV380" s="32">
        <f t="shared" si="324"/>
        <v>0</v>
      </c>
      <c r="AW380" s="85" t="str">
        <f t="shared" si="325"/>
        <v/>
      </c>
      <c r="AX380" s="86" t="str">
        <f t="shared" si="326"/>
        <v/>
      </c>
    </row>
    <row r="381" spans="1:50" x14ac:dyDescent="0.2">
      <c r="A381" s="29" t="str">
        <f t="shared" si="285"/>
        <v/>
      </c>
      <c r="B381" s="32" t="str">
        <f t="shared" si="286"/>
        <v/>
      </c>
      <c r="C381" s="35"/>
      <c r="D381" s="33" t="str">
        <f t="shared" si="287"/>
        <v/>
      </c>
      <c r="E381" s="22" t="str">
        <f t="shared" si="288"/>
        <v/>
      </c>
      <c r="F381" s="23" t="str">
        <f t="shared" si="289"/>
        <v/>
      </c>
      <c r="G381" s="23"/>
      <c r="H381" s="22"/>
      <c r="I381" s="23"/>
      <c r="J381" s="18"/>
      <c r="K381" s="13" t="str">
        <f t="shared" si="290"/>
        <v/>
      </c>
      <c r="L381" s="28" t="str">
        <f t="shared" si="284"/>
        <v/>
      </c>
      <c r="M381" s="10" t="str">
        <f t="shared" si="291"/>
        <v/>
      </c>
      <c r="N381" s="17" t="str">
        <f t="shared" si="292"/>
        <v/>
      </c>
      <c r="O381" s="39" t="str">
        <f t="shared" si="293"/>
        <v/>
      </c>
      <c r="P381" s="41" t="str">
        <f t="shared" si="294"/>
        <v/>
      </c>
      <c r="Q381" s="9" t="str">
        <f t="shared" si="295"/>
        <v/>
      </c>
      <c r="R381" s="14">
        <f t="shared" si="296"/>
        <v>0</v>
      </c>
      <c r="S381" s="61" t="str">
        <f t="shared" si="297"/>
        <v/>
      </c>
      <c r="T381" s="14">
        <f t="shared" si="298"/>
        <v>0</v>
      </c>
      <c r="U381" s="58" t="str">
        <f t="shared" si="299"/>
        <v/>
      </c>
      <c r="V381" s="14">
        <f t="shared" si="300"/>
        <v>0</v>
      </c>
      <c r="W381" s="58" t="str">
        <f t="shared" si="301"/>
        <v/>
      </c>
      <c r="X381" s="14">
        <f t="shared" si="302"/>
        <v>0</v>
      </c>
      <c r="Y381" s="58" t="str">
        <f t="shared" si="303"/>
        <v/>
      </c>
      <c r="Z381" s="31">
        <f t="shared" si="304"/>
        <v>0</v>
      </c>
      <c r="AA381" s="21">
        <f t="shared" si="305"/>
        <v>0</v>
      </c>
      <c r="AB381" s="58" t="str">
        <f t="shared" si="306"/>
        <v/>
      </c>
      <c r="AC381" s="630">
        <f t="shared" si="283"/>
        <v>0</v>
      </c>
      <c r="AD381" s="627"/>
      <c r="AE381" s="21">
        <f t="shared" si="307"/>
        <v>0</v>
      </c>
      <c r="AF381" s="58" t="str">
        <f t="shared" si="308"/>
        <v/>
      </c>
      <c r="AG381" s="21">
        <f t="shared" si="309"/>
        <v>0</v>
      </c>
      <c r="AH381" s="58" t="str">
        <f t="shared" si="310"/>
        <v/>
      </c>
      <c r="AI381" s="21">
        <f t="shared" si="311"/>
        <v>0</v>
      </c>
      <c r="AJ381" s="58" t="str">
        <f t="shared" si="312"/>
        <v/>
      </c>
      <c r="AK381" s="31">
        <f t="shared" si="313"/>
        <v>0</v>
      </c>
      <c r="AL381" s="21">
        <f t="shared" si="314"/>
        <v>0</v>
      </c>
      <c r="AM381" s="62" t="str">
        <f t="shared" si="315"/>
        <v/>
      </c>
      <c r="AN381" s="21">
        <f t="shared" si="316"/>
        <v>0</v>
      </c>
      <c r="AO381" s="62" t="str">
        <f t="shared" si="317"/>
        <v/>
      </c>
      <c r="AP381" s="21">
        <f t="shared" si="318"/>
        <v>0</v>
      </c>
      <c r="AQ381" s="62" t="str">
        <f t="shared" si="319"/>
        <v/>
      </c>
      <c r="AR381" s="31">
        <f t="shared" si="320"/>
        <v>0</v>
      </c>
      <c r="AS381" s="21">
        <f t="shared" si="321"/>
        <v>0</v>
      </c>
      <c r="AT381" s="62" t="str">
        <f t="shared" si="322"/>
        <v/>
      </c>
      <c r="AU381" s="84">
        <f t="shared" si="323"/>
        <v>0</v>
      </c>
      <c r="AV381" s="32">
        <f t="shared" si="324"/>
        <v>0</v>
      </c>
      <c r="AW381" s="85" t="str">
        <f t="shared" si="325"/>
        <v/>
      </c>
      <c r="AX381" s="86" t="str">
        <f t="shared" si="326"/>
        <v/>
      </c>
    </row>
    <row r="382" spans="1:50" x14ac:dyDescent="0.2">
      <c r="A382" s="29" t="str">
        <f t="shared" si="285"/>
        <v/>
      </c>
      <c r="B382" s="32" t="str">
        <f t="shared" si="286"/>
        <v/>
      </c>
      <c r="C382" s="35"/>
      <c r="D382" s="33" t="str">
        <f t="shared" si="287"/>
        <v/>
      </c>
      <c r="E382" s="22" t="str">
        <f t="shared" si="288"/>
        <v/>
      </c>
      <c r="F382" s="23" t="str">
        <f t="shared" si="289"/>
        <v/>
      </c>
      <c r="G382" s="23"/>
      <c r="H382" s="22"/>
      <c r="I382" s="23"/>
      <c r="J382" s="18"/>
      <c r="K382" s="13" t="str">
        <f t="shared" si="290"/>
        <v/>
      </c>
      <c r="L382" s="28" t="str">
        <f t="shared" si="284"/>
        <v/>
      </c>
      <c r="M382" s="10" t="str">
        <f t="shared" si="291"/>
        <v/>
      </c>
      <c r="N382" s="17" t="str">
        <f t="shared" si="292"/>
        <v/>
      </c>
      <c r="O382" s="39" t="str">
        <f t="shared" si="293"/>
        <v/>
      </c>
      <c r="P382" s="41" t="str">
        <f t="shared" si="294"/>
        <v/>
      </c>
      <c r="Q382" s="9" t="str">
        <f t="shared" si="295"/>
        <v/>
      </c>
      <c r="R382" s="14">
        <f t="shared" si="296"/>
        <v>0</v>
      </c>
      <c r="S382" s="61" t="str">
        <f t="shared" si="297"/>
        <v/>
      </c>
      <c r="T382" s="14">
        <f t="shared" si="298"/>
        <v>0</v>
      </c>
      <c r="U382" s="58" t="str">
        <f t="shared" si="299"/>
        <v/>
      </c>
      <c r="V382" s="14">
        <f t="shared" si="300"/>
        <v>0</v>
      </c>
      <c r="W382" s="58" t="str">
        <f t="shared" si="301"/>
        <v/>
      </c>
      <c r="X382" s="14">
        <f t="shared" si="302"/>
        <v>0</v>
      </c>
      <c r="Y382" s="58" t="str">
        <f t="shared" si="303"/>
        <v/>
      </c>
      <c r="Z382" s="31">
        <f t="shared" si="304"/>
        <v>0</v>
      </c>
      <c r="AA382" s="21">
        <f t="shared" si="305"/>
        <v>0</v>
      </c>
      <c r="AB382" s="58" t="str">
        <f t="shared" si="306"/>
        <v/>
      </c>
      <c r="AC382" s="630">
        <f t="shared" si="283"/>
        <v>0</v>
      </c>
      <c r="AD382" s="627"/>
      <c r="AE382" s="21">
        <f t="shared" si="307"/>
        <v>0</v>
      </c>
      <c r="AF382" s="58" t="str">
        <f t="shared" si="308"/>
        <v/>
      </c>
      <c r="AG382" s="21">
        <f t="shared" si="309"/>
        <v>0</v>
      </c>
      <c r="AH382" s="58" t="str">
        <f t="shared" si="310"/>
        <v/>
      </c>
      <c r="AI382" s="21">
        <f t="shared" si="311"/>
        <v>0</v>
      </c>
      <c r="AJ382" s="58" t="str">
        <f t="shared" si="312"/>
        <v/>
      </c>
      <c r="AK382" s="31">
        <f t="shared" si="313"/>
        <v>0</v>
      </c>
      <c r="AL382" s="21">
        <f t="shared" si="314"/>
        <v>0</v>
      </c>
      <c r="AM382" s="62" t="str">
        <f t="shared" si="315"/>
        <v/>
      </c>
      <c r="AN382" s="21">
        <f t="shared" si="316"/>
        <v>0</v>
      </c>
      <c r="AO382" s="62" t="str">
        <f t="shared" si="317"/>
        <v/>
      </c>
      <c r="AP382" s="21">
        <f t="shared" si="318"/>
        <v>0</v>
      </c>
      <c r="AQ382" s="62" t="str">
        <f t="shared" si="319"/>
        <v/>
      </c>
      <c r="AR382" s="31">
        <f t="shared" si="320"/>
        <v>0</v>
      </c>
      <c r="AS382" s="21">
        <f t="shared" si="321"/>
        <v>0</v>
      </c>
      <c r="AT382" s="62" t="str">
        <f t="shared" si="322"/>
        <v/>
      </c>
      <c r="AU382" s="84">
        <f t="shared" si="323"/>
        <v>0</v>
      </c>
      <c r="AV382" s="32">
        <f t="shared" si="324"/>
        <v>0</v>
      </c>
      <c r="AW382" s="85" t="str">
        <f t="shared" si="325"/>
        <v/>
      </c>
      <c r="AX382" s="86" t="str">
        <f t="shared" si="326"/>
        <v/>
      </c>
    </row>
    <row r="383" spans="1:50" x14ac:dyDescent="0.2">
      <c r="A383" s="29" t="str">
        <f t="shared" si="285"/>
        <v/>
      </c>
      <c r="B383" s="32" t="str">
        <f t="shared" si="286"/>
        <v/>
      </c>
      <c r="C383" s="35"/>
      <c r="D383" s="33" t="str">
        <f t="shared" si="287"/>
        <v/>
      </c>
      <c r="E383" s="22" t="str">
        <f t="shared" si="288"/>
        <v/>
      </c>
      <c r="F383" s="23" t="str">
        <f t="shared" si="289"/>
        <v/>
      </c>
      <c r="G383" s="23"/>
      <c r="H383" s="22"/>
      <c r="I383" s="23"/>
      <c r="J383" s="18"/>
      <c r="K383" s="13" t="str">
        <f t="shared" si="290"/>
        <v/>
      </c>
      <c r="L383" s="28" t="str">
        <f t="shared" si="284"/>
        <v/>
      </c>
      <c r="M383" s="10" t="str">
        <f t="shared" si="291"/>
        <v/>
      </c>
      <c r="N383" s="17" t="str">
        <f t="shared" si="292"/>
        <v/>
      </c>
      <c r="O383" s="39" t="str">
        <f t="shared" si="293"/>
        <v/>
      </c>
      <c r="P383" s="41" t="str">
        <f t="shared" si="294"/>
        <v/>
      </c>
      <c r="Q383" s="9" t="str">
        <f t="shared" si="295"/>
        <v/>
      </c>
      <c r="R383" s="14">
        <f t="shared" si="296"/>
        <v>0</v>
      </c>
      <c r="S383" s="61" t="str">
        <f t="shared" si="297"/>
        <v/>
      </c>
      <c r="T383" s="14">
        <f t="shared" si="298"/>
        <v>0</v>
      </c>
      <c r="U383" s="58" t="str">
        <f t="shared" si="299"/>
        <v/>
      </c>
      <c r="V383" s="14">
        <f t="shared" si="300"/>
        <v>0</v>
      </c>
      <c r="W383" s="58" t="str">
        <f t="shared" si="301"/>
        <v/>
      </c>
      <c r="X383" s="14">
        <f t="shared" si="302"/>
        <v>0</v>
      </c>
      <c r="Y383" s="58" t="str">
        <f t="shared" si="303"/>
        <v/>
      </c>
      <c r="Z383" s="31">
        <f t="shared" si="304"/>
        <v>0</v>
      </c>
      <c r="AA383" s="21">
        <f t="shared" si="305"/>
        <v>0</v>
      </c>
      <c r="AB383" s="58" t="str">
        <f t="shared" si="306"/>
        <v/>
      </c>
      <c r="AC383" s="630">
        <f t="shared" si="283"/>
        <v>0</v>
      </c>
      <c r="AD383" s="627"/>
      <c r="AE383" s="21">
        <f t="shared" si="307"/>
        <v>0</v>
      </c>
      <c r="AF383" s="58" t="str">
        <f t="shared" si="308"/>
        <v/>
      </c>
      <c r="AG383" s="21">
        <f t="shared" si="309"/>
        <v>0</v>
      </c>
      <c r="AH383" s="58" t="str">
        <f t="shared" si="310"/>
        <v/>
      </c>
      <c r="AI383" s="21">
        <f t="shared" si="311"/>
        <v>0</v>
      </c>
      <c r="AJ383" s="58" t="str">
        <f t="shared" si="312"/>
        <v/>
      </c>
      <c r="AK383" s="31">
        <f t="shared" si="313"/>
        <v>0</v>
      </c>
      <c r="AL383" s="21">
        <f t="shared" si="314"/>
        <v>0</v>
      </c>
      <c r="AM383" s="62" t="str">
        <f t="shared" si="315"/>
        <v/>
      </c>
      <c r="AN383" s="21">
        <f t="shared" si="316"/>
        <v>0</v>
      </c>
      <c r="AO383" s="62" t="str">
        <f t="shared" si="317"/>
        <v/>
      </c>
      <c r="AP383" s="21">
        <f t="shared" si="318"/>
        <v>0</v>
      </c>
      <c r="AQ383" s="62" t="str">
        <f t="shared" si="319"/>
        <v/>
      </c>
      <c r="AR383" s="31">
        <f t="shared" si="320"/>
        <v>0</v>
      </c>
      <c r="AS383" s="21">
        <f t="shared" si="321"/>
        <v>0</v>
      </c>
      <c r="AT383" s="62" t="str">
        <f t="shared" si="322"/>
        <v/>
      </c>
      <c r="AU383" s="84">
        <f t="shared" si="323"/>
        <v>0</v>
      </c>
      <c r="AV383" s="32">
        <f t="shared" si="324"/>
        <v>0</v>
      </c>
      <c r="AW383" s="85" t="str">
        <f t="shared" si="325"/>
        <v/>
      </c>
      <c r="AX383" s="86" t="str">
        <f t="shared" si="326"/>
        <v/>
      </c>
    </row>
    <row r="384" spans="1:50" x14ac:dyDescent="0.2">
      <c r="A384" s="29" t="str">
        <f t="shared" si="285"/>
        <v/>
      </c>
      <c r="B384" s="32" t="str">
        <f t="shared" si="286"/>
        <v/>
      </c>
      <c r="C384" s="35"/>
      <c r="D384" s="33" t="str">
        <f t="shared" si="287"/>
        <v/>
      </c>
      <c r="E384" s="22" t="str">
        <f t="shared" si="288"/>
        <v/>
      </c>
      <c r="F384" s="23" t="str">
        <f t="shared" si="289"/>
        <v/>
      </c>
      <c r="G384" s="23"/>
      <c r="H384" s="22"/>
      <c r="I384" s="23"/>
      <c r="J384" s="18"/>
      <c r="K384" s="13" t="str">
        <f t="shared" si="290"/>
        <v/>
      </c>
      <c r="L384" s="28" t="str">
        <f t="shared" si="284"/>
        <v/>
      </c>
      <c r="M384" s="10" t="str">
        <f t="shared" si="291"/>
        <v/>
      </c>
      <c r="N384" s="17" t="str">
        <f t="shared" si="292"/>
        <v/>
      </c>
      <c r="O384" s="39" t="str">
        <f t="shared" si="293"/>
        <v/>
      </c>
      <c r="P384" s="41" t="str">
        <f t="shared" si="294"/>
        <v/>
      </c>
      <c r="Q384" s="9" t="str">
        <f t="shared" si="295"/>
        <v/>
      </c>
      <c r="R384" s="14">
        <f t="shared" si="296"/>
        <v>0</v>
      </c>
      <c r="S384" s="61" t="str">
        <f t="shared" si="297"/>
        <v/>
      </c>
      <c r="T384" s="14">
        <f t="shared" si="298"/>
        <v>0</v>
      </c>
      <c r="U384" s="58" t="str">
        <f t="shared" si="299"/>
        <v/>
      </c>
      <c r="V384" s="14">
        <f t="shared" si="300"/>
        <v>0</v>
      </c>
      <c r="W384" s="58" t="str">
        <f t="shared" si="301"/>
        <v/>
      </c>
      <c r="X384" s="14">
        <f t="shared" si="302"/>
        <v>0</v>
      </c>
      <c r="Y384" s="58" t="str">
        <f t="shared" si="303"/>
        <v/>
      </c>
      <c r="Z384" s="31">
        <f t="shared" si="304"/>
        <v>0</v>
      </c>
      <c r="AA384" s="21">
        <f t="shared" si="305"/>
        <v>0</v>
      </c>
      <c r="AB384" s="58" t="str">
        <f t="shared" si="306"/>
        <v/>
      </c>
      <c r="AC384" s="630">
        <f t="shared" si="283"/>
        <v>0</v>
      </c>
      <c r="AD384" s="627"/>
      <c r="AE384" s="21">
        <f t="shared" si="307"/>
        <v>0</v>
      </c>
      <c r="AF384" s="58" t="str">
        <f t="shared" si="308"/>
        <v/>
      </c>
      <c r="AG384" s="21">
        <f t="shared" si="309"/>
        <v>0</v>
      </c>
      <c r="AH384" s="58" t="str">
        <f t="shared" si="310"/>
        <v/>
      </c>
      <c r="AI384" s="21">
        <f t="shared" si="311"/>
        <v>0</v>
      </c>
      <c r="AJ384" s="58" t="str">
        <f t="shared" si="312"/>
        <v/>
      </c>
      <c r="AK384" s="31">
        <f t="shared" si="313"/>
        <v>0</v>
      </c>
      <c r="AL384" s="21">
        <f t="shared" si="314"/>
        <v>0</v>
      </c>
      <c r="AM384" s="62" t="str">
        <f t="shared" si="315"/>
        <v/>
      </c>
      <c r="AN384" s="21">
        <f t="shared" si="316"/>
        <v>0</v>
      </c>
      <c r="AO384" s="62" t="str">
        <f t="shared" si="317"/>
        <v/>
      </c>
      <c r="AP384" s="21">
        <f t="shared" si="318"/>
        <v>0</v>
      </c>
      <c r="AQ384" s="62" t="str">
        <f t="shared" si="319"/>
        <v/>
      </c>
      <c r="AR384" s="31">
        <f t="shared" si="320"/>
        <v>0</v>
      </c>
      <c r="AS384" s="21">
        <f t="shared" si="321"/>
        <v>0</v>
      </c>
      <c r="AT384" s="62" t="str">
        <f t="shared" si="322"/>
        <v/>
      </c>
      <c r="AU384" s="84">
        <f t="shared" si="323"/>
        <v>0</v>
      </c>
      <c r="AV384" s="32">
        <f t="shared" si="324"/>
        <v>0</v>
      </c>
      <c r="AW384" s="85" t="str">
        <f t="shared" si="325"/>
        <v/>
      </c>
      <c r="AX384" s="86" t="str">
        <f t="shared" si="326"/>
        <v/>
      </c>
    </row>
    <row r="385" spans="1:50" x14ac:dyDescent="0.2">
      <c r="A385" s="29" t="str">
        <f t="shared" si="285"/>
        <v/>
      </c>
      <c r="B385" s="32" t="str">
        <f t="shared" si="286"/>
        <v/>
      </c>
      <c r="C385" s="35"/>
      <c r="D385" s="33" t="str">
        <f t="shared" si="287"/>
        <v/>
      </c>
      <c r="E385" s="22" t="str">
        <f t="shared" si="288"/>
        <v/>
      </c>
      <c r="F385" s="23" t="str">
        <f t="shared" si="289"/>
        <v/>
      </c>
      <c r="G385" s="23"/>
      <c r="H385" s="22"/>
      <c r="I385" s="23"/>
      <c r="J385" s="18"/>
      <c r="K385" s="13" t="str">
        <f t="shared" si="290"/>
        <v/>
      </c>
      <c r="L385" s="28" t="str">
        <f t="shared" si="284"/>
        <v/>
      </c>
      <c r="M385" s="10" t="str">
        <f t="shared" si="291"/>
        <v/>
      </c>
      <c r="N385" s="17" t="str">
        <f t="shared" si="292"/>
        <v/>
      </c>
      <c r="O385" s="39" t="str">
        <f t="shared" si="293"/>
        <v/>
      </c>
      <c r="P385" s="41" t="str">
        <f t="shared" si="294"/>
        <v/>
      </c>
      <c r="Q385" s="9" t="str">
        <f t="shared" si="295"/>
        <v/>
      </c>
      <c r="R385" s="14">
        <f t="shared" si="296"/>
        <v>0</v>
      </c>
      <c r="S385" s="61" t="str">
        <f t="shared" si="297"/>
        <v/>
      </c>
      <c r="T385" s="14">
        <f t="shared" si="298"/>
        <v>0</v>
      </c>
      <c r="U385" s="58" t="str">
        <f t="shared" si="299"/>
        <v/>
      </c>
      <c r="V385" s="14">
        <f t="shared" si="300"/>
        <v>0</v>
      </c>
      <c r="W385" s="58" t="str">
        <f t="shared" si="301"/>
        <v/>
      </c>
      <c r="X385" s="14">
        <f t="shared" si="302"/>
        <v>0</v>
      </c>
      <c r="Y385" s="58" t="str">
        <f t="shared" si="303"/>
        <v/>
      </c>
      <c r="Z385" s="31">
        <f t="shared" si="304"/>
        <v>0</v>
      </c>
      <c r="AA385" s="21">
        <f t="shared" si="305"/>
        <v>0</v>
      </c>
      <c r="AB385" s="58" t="str">
        <f t="shared" si="306"/>
        <v/>
      </c>
      <c r="AC385" s="630">
        <f t="shared" si="283"/>
        <v>0</v>
      </c>
      <c r="AD385" s="627"/>
      <c r="AE385" s="21">
        <f t="shared" si="307"/>
        <v>0</v>
      </c>
      <c r="AF385" s="58" t="str">
        <f t="shared" si="308"/>
        <v/>
      </c>
      <c r="AG385" s="21">
        <f t="shared" si="309"/>
        <v>0</v>
      </c>
      <c r="AH385" s="58" t="str">
        <f t="shared" si="310"/>
        <v/>
      </c>
      <c r="AI385" s="21">
        <f t="shared" si="311"/>
        <v>0</v>
      </c>
      <c r="AJ385" s="58" t="str">
        <f t="shared" si="312"/>
        <v/>
      </c>
      <c r="AK385" s="31">
        <f t="shared" si="313"/>
        <v>0</v>
      </c>
      <c r="AL385" s="21">
        <f t="shared" si="314"/>
        <v>0</v>
      </c>
      <c r="AM385" s="62" t="str">
        <f t="shared" si="315"/>
        <v/>
      </c>
      <c r="AN385" s="21">
        <f t="shared" si="316"/>
        <v>0</v>
      </c>
      <c r="AO385" s="62" t="str">
        <f t="shared" si="317"/>
        <v/>
      </c>
      <c r="AP385" s="21">
        <f t="shared" si="318"/>
        <v>0</v>
      </c>
      <c r="AQ385" s="62" t="str">
        <f t="shared" si="319"/>
        <v/>
      </c>
      <c r="AR385" s="31">
        <f t="shared" si="320"/>
        <v>0</v>
      </c>
      <c r="AS385" s="21">
        <f t="shared" si="321"/>
        <v>0</v>
      </c>
      <c r="AT385" s="62" t="str">
        <f t="shared" si="322"/>
        <v/>
      </c>
      <c r="AU385" s="84">
        <f t="shared" si="323"/>
        <v>0</v>
      </c>
      <c r="AV385" s="32">
        <f t="shared" si="324"/>
        <v>0</v>
      </c>
      <c r="AW385" s="85" t="str">
        <f t="shared" si="325"/>
        <v/>
      </c>
      <c r="AX385" s="86" t="str">
        <f t="shared" si="326"/>
        <v/>
      </c>
    </row>
    <row r="386" spans="1:50" x14ac:dyDescent="0.2">
      <c r="A386" s="29" t="str">
        <f t="shared" si="285"/>
        <v/>
      </c>
      <c r="B386" s="32" t="str">
        <f t="shared" si="286"/>
        <v/>
      </c>
      <c r="C386" s="35"/>
      <c r="D386" s="33" t="str">
        <f t="shared" si="287"/>
        <v/>
      </c>
      <c r="E386" s="22" t="str">
        <f t="shared" si="288"/>
        <v/>
      </c>
      <c r="F386" s="23" t="str">
        <f t="shared" si="289"/>
        <v/>
      </c>
      <c r="G386" s="23"/>
      <c r="H386" s="22"/>
      <c r="I386" s="23"/>
      <c r="J386" s="18"/>
      <c r="K386" s="13" t="str">
        <f t="shared" si="290"/>
        <v/>
      </c>
      <c r="L386" s="28" t="str">
        <f t="shared" si="284"/>
        <v/>
      </c>
      <c r="M386" s="10" t="str">
        <f t="shared" si="291"/>
        <v/>
      </c>
      <c r="N386" s="17" t="str">
        <f t="shared" si="292"/>
        <v/>
      </c>
      <c r="O386" s="39" t="str">
        <f t="shared" si="293"/>
        <v/>
      </c>
      <c r="P386" s="41" t="str">
        <f t="shared" si="294"/>
        <v/>
      </c>
      <c r="Q386" s="9" t="str">
        <f t="shared" si="295"/>
        <v/>
      </c>
      <c r="R386" s="14">
        <f t="shared" si="296"/>
        <v>0</v>
      </c>
      <c r="S386" s="61" t="str">
        <f t="shared" si="297"/>
        <v/>
      </c>
      <c r="T386" s="14">
        <f t="shared" si="298"/>
        <v>0</v>
      </c>
      <c r="U386" s="58" t="str">
        <f t="shared" si="299"/>
        <v/>
      </c>
      <c r="V386" s="14">
        <f t="shared" si="300"/>
        <v>0</v>
      </c>
      <c r="W386" s="58" t="str">
        <f t="shared" si="301"/>
        <v/>
      </c>
      <c r="X386" s="14">
        <f t="shared" si="302"/>
        <v>0</v>
      </c>
      <c r="Y386" s="58" t="str">
        <f t="shared" si="303"/>
        <v/>
      </c>
      <c r="Z386" s="31">
        <f t="shared" si="304"/>
        <v>0</v>
      </c>
      <c r="AA386" s="21">
        <f t="shared" si="305"/>
        <v>0</v>
      </c>
      <c r="AB386" s="58" t="str">
        <f t="shared" si="306"/>
        <v/>
      </c>
      <c r="AC386" s="630">
        <f t="shared" si="283"/>
        <v>0</v>
      </c>
      <c r="AD386" s="627"/>
      <c r="AE386" s="21">
        <f t="shared" si="307"/>
        <v>0</v>
      </c>
      <c r="AF386" s="58" t="str">
        <f t="shared" si="308"/>
        <v/>
      </c>
      <c r="AG386" s="21">
        <f t="shared" si="309"/>
        <v>0</v>
      </c>
      <c r="AH386" s="58" t="str">
        <f t="shared" si="310"/>
        <v/>
      </c>
      <c r="AI386" s="21">
        <f t="shared" si="311"/>
        <v>0</v>
      </c>
      <c r="AJ386" s="58" t="str">
        <f t="shared" si="312"/>
        <v/>
      </c>
      <c r="AK386" s="31">
        <f t="shared" si="313"/>
        <v>0</v>
      </c>
      <c r="AL386" s="21">
        <f t="shared" si="314"/>
        <v>0</v>
      </c>
      <c r="AM386" s="62" t="str">
        <f t="shared" si="315"/>
        <v/>
      </c>
      <c r="AN386" s="21">
        <f t="shared" si="316"/>
        <v>0</v>
      </c>
      <c r="AO386" s="62" t="str">
        <f t="shared" si="317"/>
        <v/>
      </c>
      <c r="AP386" s="21">
        <f t="shared" si="318"/>
        <v>0</v>
      </c>
      <c r="AQ386" s="62" t="str">
        <f t="shared" si="319"/>
        <v/>
      </c>
      <c r="AR386" s="31">
        <f t="shared" si="320"/>
        <v>0</v>
      </c>
      <c r="AS386" s="21">
        <f t="shared" si="321"/>
        <v>0</v>
      </c>
      <c r="AT386" s="62" t="str">
        <f t="shared" si="322"/>
        <v/>
      </c>
      <c r="AU386" s="84">
        <f t="shared" si="323"/>
        <v>0</v>
      </c>
      <c r="AV386" s="32">
        <f t="shared" si="324"/>
        <v>0</v>
      </c>
      <c r="AW386" s="85" t="str">
        <f t="shared" si="325"/>
        <v/>
      </c>
      <c r="AX386" s="86" t="str">
        <f t="shared" si="326"/>
        <v/>
      </c>
    </row>
    <row r="387" spans="1:50" x14ac:dyDescent="0.2">
      <c r="A387" s="29" t="str">
        <f t="shared" si="285"/>
        <v/>
      </c>
      <c r="B387" s="32" t="str">
        <f t="shared" si="286"/>
        <v/>
      </c>
      <c r="C387" s="35"/>
      <c r="D387" s="33" t="str">
        <f t="shared" si="287"/>
        <v/>
      </c>
      <c r="E387" s="22" t="str">
        <f t="shared" si="288"/>
        <v/>
      </c>
      <c r="F387" s="23" t="str">
        <f t="shared" si="289"/>
        <v/>
      </c>
      <c r="G387" s="23"/>
      <c r="H387" s="22"/>
      <c r="I387" s="23"/>
      <c r="J387" s="18"/>
      <c r="K387" s="13" t="str">
        <f t="shared" si="290"/>
        <v/>
      </c>
      <c r="L387" s="28" t="str">
        <f t="shared" si="284"/>
        <v/>
      </c>
      <c r="M387" s="10" t="str">
        <f t="shared" si="291"/>
        <v/>
      </c>
      <c r="N387" s="17" t="str">
        <f t="shared" si="292"/>
        <v/>
      </c>
      <c r="O387" s="39" t="str">
        <f t="shared" si="293"/>
        <v/>
      </c>
      <c r="P387" s="41" t="str">
        <f t="shared" si="294"/>
        <v/>
      </c>
      <c r="Q387" s="9" t="str">
        <f t="shared" si="295"/>
        <v/>
      </c>
      <c r="R387" s="14">
        <f t="shared" si="296"/>
        <v>0</v>
      </c>
      <c r="S387" s="61" t="str">
        <f t="shared" si="297"/>
        <v/>
      </c>
      <c r="T387" s="14">
        <f t="shared" si="298"/>
        <v>0</v>
      </c>
      <c r="U387" s="58" t="str">
        <f t="shared" si="299"/>
        <v/>
      </c>
      <c r="V387" s="14">
        <f t="shared" si="300"/>
        <v>0</v>
      </c>
      <c r="W387" s="58" t="str">
        <f t="shared" si="301"/>
        <v/>
      </c>
      <c r="X387" s="14">
        <f t="shared" si="302"/>
        <v>0</v>
      </c>
      <c r="Y387" s="58" t="str">
        <f t="shared" si="303"/>
        <v/>
      </c>
      <c r="Z387" s="31">
        <f t="shared" si="304"/>
        <v>0</v>
      </c>
      <c r="AA387" s="21">
        <f t="shared" si="305"/>
        <v>0</v>
      </c>
      <c r="AB387" s="58" t="str">
        <f t="shared" si="306"/>
        <v/>
      </c>
      <c r="AC387" s="630">
        <f t="shared" si="283"/>
        <v>0</v>
      </c>
      <c r="AD387" s="627"/>
      <c r="AE387" s="21">
        <f t="shared" si="307"/>
        <v>0</v>
      </c>
      <c r="AF387" s="58" t="str">
        <f t="shared" si="308"/>
        <v/>
      </c>
      <c r="AG387" s="21">
        <f t="shared" si="309"/>
        <v>0</v>
      </c>
      <c r="AH387" s="58" t="str">
        <f t="shared" si="310"/>
        <v/>
      </c>
      <c r="AI387" s="21">
        <f t="shared" si="311"/>
        <v>0</v>
      </c>
      <c r="AJ387" s="58" t="str">
        <f t="shared" si="312"/>
        <v/>
      </c>
      <c r="AK387" s="31">
        <f t="shared" si="313"/>
        <v>0</v>
      </c>
      <c r="AL387" s="21">
        <f t="shared" si="314"/>
        <v>0</v>
      </c>
      <c r="AM387" s="62" t="str">
        <f t="shared" si="315"/>
        <v/>
      </c>
      <c r="AN387" s="21">
        <f t="shared" si="316"/>
        <v>0</v>
      </c>
      <c r="AO387" s="62" t="str">
        <f t="shared" si="317"/>
        <v/>
      </c>
      <c r="AP387" s="21">
        <f t="shared" si="318"/>
        <v>0</v>
      </c>
      <c r="AQ387" s="62" t="str">
        <f t="shared" si="319"/>
        <v/>
      </c>
      <c r="AR387" s="31">
        <f t="shared" si="320"/>
        <v>0</v>
      </c>
      <c r="AS387" s="21">
        <f t="shared" si="321"/>
        <v>0</v>
      </c>
      <c r="AT387" s="62" t="str">
        <f t="shared" si="322"/>
        <v/>
      </c>
      <c r="AU387" s="84">
        <f t="shared" si="323"/>
        <v>0</v>
      </c>
      <c r="AV387" s="32">
        <f t="shared" si="324"/>
        <v>0</v>
      </c>
      <c r="AW387" s="85" t="str">
        <f t="shared" si="325"/>
        <v/>
      </c>
      <c r="AX387" s="86" t="str">
        <f t="shared" si="326"/>
        <v/>
      </c>
    </row>
    <row r="388" spans="1:50" x14ac:dyDescent="0.2">
      <c r="A388" s="29" t="str">
        <f t="shared" si="285"/>
        <v/>
      </c>
      <c r="B388" s="32" t="str">
        <f t="shared" si="286"/>
        <v/>
      </c>
      <c r="C388" s="35"/>
      <c r="D388" s="33" t="str">
        <f t="shared" si="287"/>
        <v/>
      </c>
      <c r="E388" s="22" t="str">
        <f t="shared" si="288"/>
        <v/>
      </c>
      <c r="F388" s="23" t="str">
        <f t="shared" si="289"/>
        <v/>
      </c>
      <c r="G388" s="23"/>
      <c r="H388" s="22"/>
      <c r="I388" s="23"/>
      <c r="J388" s="18"/>
      <c r="K388" s="13" t="str">
        <f t="shared" si="290"/>
        <v/>
      </c>
      <c r="L388" s="28" t="str">
        <f t="shared" si="284"/>
        <v/>
      </c>
      <c r="M388" s="10" t="str">
        <f t="shared" si="291"/>
        <v/>
      </c>
      <c r="N388" s="17" t="str">
        <f t="shared" si="292"/>
        <v/>
      </c>
      <c r="O388" s="39" t="str">
        <f t="shared" si="293"/>
        <v/>
      </c>
      <c r="P388" s="41" t="str">
        <f t="shared" si="294"/>
        <v/>
      </c>
      <c r="Q388" s="9" t="str">
        <f t="shared" si="295"/>
        <v/>
      </c>
      <c r="R388" s="14">
        <f t="shared" si="296"/>
        <v>0</v>
      </c>
      <c r="S388" s="61" t="str">
        <f t="shared" si="297"/>
        <v/>
      </c>
      <c r="T388" s="14">
        <f t="shared" si="298"/>
        <v>0</v>
      </c>
      <c r="U388" s="58" t="str">
        <f t="shared" si="299"/>
        <v/>
      </c>
      <c r="V388" s="14">
        <f t="shared" si="300"/>
        <v>0</v>
      </c>
      <c r="W388" s="58" t="str">
        <f t="shared" si="301"/>
        <v/>
      </c>
      <c r="X388" s="14">
        <f t="shared" si="302"/>
        <v>0</v>
      </c>
      <c r="Y388" s="58" t="str">
        <f t="shared" si="303"/>
        <v/>
      </c>
      <c r="Z388" s="31">
        <f t="shared" si="304"/>
        <v>0</v>
      </c>
      <c r="AA388" s="21">
        <f t="shared" si="305"/>
        <v>0</v>
      </c>
      <c r="AB388" s="58" t="str">
        <f t="shared" si="306"/>
        <v/>
      </c>
      <c r="AC388" s="630">
        <f t="shared" si="283"/>
        <v>0</v>
      </c>
      <c r="AD388" s="627"/>
      <c r="AE388" s="21">
        <f t="shared" si="307"/>
        <v>0</v>
      </c>
      <c r="AF388" s="58" t="str">
        <f t="shared" si="308"/>
        <v/>
      </c>
      <c r="AG388" s="21">
        <f t="shared" si="309"/>
        <v>0</v>
      </c>
      <c r="AH388" s="58" t="str">
        <f t="shared" si="310"/>
        <v/>
      </c>
      <c r="AI388" s="21">
        <f t="shared" si="311"/>
        <v>0</v>
      </c>
      <c r="AJ388" s="58" t="str">
        <f t="shared" si="312"/>
        <v/>
      </c>
      <c r="AK388" s="31">
        <f t="shared" si="313"/>
        <v>0</v>
      </c>
      <c r="AL388" s="21">
        <f t="shared" si="314"/>
        <v>0</v>
      </c>
      <c r="AM388" s="62" t="str">
        <f t="shared" si="315"/>
        <v/>
      </c>
      <c r="AN388" s="21">
        <f t="shared" si="316"/>
        <v>0</v>
      </c>
      <c r="AO388" s="62" t="str">
        <f t="shared" si="317"/>
        <v/>
      </c>
      <c r="AP388" s="21">
        <f t="shared" si="318"/>
        <v>0</v>
      </c>
      <c r="AQ388" s="62" t="str">
        <f t="shared" si="319"/>
        <v/>
      </c>
      <c r="AR388" s="31">
        <f t="shared" si="320"/>
        <v>0</v>
      </c>
      <c r="AS388" s="21">
        <f t="shared" si="321"/>
        <v>0</v>
      </c>
      <c r="AT388" s="62" t="str">
        <f t="shared" si="322"/>
        <v/>
      </c>
      <c r="AU388" s="84">
        <f t="shared" si="323"/>
        <v>0</v>
      </c>
      <c r="AV388" s="32">
        <f t="shared" si="324"/>
        <v>0</v>
      </c>
      <c r="AW388" s="85" t="str">
        <f t="shared" si="325"/>
        <v/>
      </c>
      <c r="AX388" s="86" t="str">
        <f t="shared" si="326"/>
        <v/>
      </c>
    </row>
    <row r="389" spans="1:50" x14ac:dyDescent="0.2">
      <c r="A389" s="29" t="str">
        <f t="shared" si="285"/>
        <v/>
      </c>
      <c r="B389" s="32" t="str">
        <f t="shared" si="286"/>
        <v/>
      </c>
      <c r="C389" s="35"/>
      <c r="D389" s="33" t="str">
        <f t="shared" si="287"/>
        <v/>
      </c>
      <c r="E389" s="22" t="str">
        <f t="shared" si="288"/>
        <v/>
      </c>
      <c r="F389" s="23" t="str">
        <f t="shared" si="289"/>
        <v/>
      </c>
      <c r="G389" s="23"/>
      <c r="H389" s="22"/>
      <c r="I389" s="23"/>
      <c r="J389" s="18"/>
      <c r="K389" s="13" t="str">
        <f t="shared" si="290"/>
        <v/>
      </c>
      <c r="L389" s="28" t="str">
        <f t="shared" si="284"/>
        <v/>
      </c>
      <c r="M389" s="10" t="str">
        <f t="shared" si="291"/>
        <v/>
      </c>
      <c r="N389" s="17" t="str">
        <f t="shared" si="292"/>
        <v/>
      </c>
      <c r="O389" s="39" t="str">
        <f t="shared" si="293"/>
        <v/>
      </c>
      <c r="P389" s="41" t="str">
        <f t="shared" si="294"/>
        <v/>
      </c>
      <c r="Q389" s="9" t="str">
        <f t="shared" si="295"/>
        <v/>
      </c>
      <c r="R389" s="14">
        <f t="shared" si="296"/>
        <v>0</v>
      </c>
      <c r="S389" s="61" t="str">
        <f t="shared" si="297"/>
        <v/>
      </c>
      <c r="T389" s="14">
        <f t="shared" si="298"/>
        <v>0</v>
      </c>
      <c r="U389" s="58" t="str">
        <f t="shared" si="299"/>
        <v/>
      </c>
      <c r="V389" s="14">
        <f t="shared" si="300"/>
        <v>0</v>
      </c>
      <c r="W389" s="58" t="str">
        <f t="shared" si="301"/>
        <v/>
      </c>
      <c r="X389" s="14">
        <f t="shared" si="302"/>
        <v>0</v>
      </c>
      <c r="Y389" s="58" t="str">
        <f t="shared" si="303"/>
        <v/>
      </c>
      <c r="Z389" s="31">
        <f t="shared" si="304"/>
        <v>0</v>
      </c>
      <c r="AA389" s="21">
        <f t="shared" si="305"/>
        <v>0</v>
      </c>
      <c r="AB389" s="58" t="str">
        <f t="shared" si="306"/>
        <v/>
      </c>
      <c r="AC389" s="630">
        <f t="shared" si="283"/>
        <v>0</v>
      </c>
      <c r="AD389" s="627"/>
      <c r="AE389" s="21">
        <f t="shared" si="307"/>
        <v>0</v>
      </c>
      <c r="AF389" s="58" t="str">
        <f t="shared" si="308"/>
        <v/>
      </c>
      <c r="AG389" s="21">
        <f t="shared" si="309"/>
        <v>0</v>
      </c>
      <c r="AH389" s="58" t="str">
        <f t="shared" si="310"/>
        <v/>
      </c>
      <c r="AI389" s="21">
        <f t="shared" si="311"/>
        <v>0</v>
      </c>
      <c r="AJ389" s="58" t="str">
        <f t="shared" si="312"/>
        <v/>
      </c>
      <c r="AK389" s="31">
        <f t="shared" si="313"/>
        <v>0</v>
      </c>
      <c r="AL389" s="21">
        <f t="shared" si="314"/>
        <v>0</v>
      </c>
      <c r="AM389" s="62" t="str">
        <f t="shared" si="315"/>
        <v/>
      </c>
      <c r="AN389" s="21">
        <f t="shared" si="316"/>
        <v>0</v>
      </c>
      <c r="AO389" s="62" t="str">
        <f t="shared" si="317"/>
        <v/>
      </c>
      <c r="AP389" s="21">
        <f t="shared" si="318"/>
        <v>0</v>
      </c>
      <c r="AQ389" s="62" t="str">
        <f t="shared" si="319"/>
        <v/>
      </c>
      <c r="AR389" s="31">
        <f t="shared" si="320"/>
        <v>0</v>
      </c>
      <c r="AS389" s="21">
        <f t="shared" si="321"/>
        <v>0</v>
      </c>
      <c r="AT389" s="62" t="str">
        <f t="shared" si="322"/>
        <v/>
      </c>
      <c r="AU389" s="84">
        <f t="shared" si="323"/>
        <v>0</v>
      </c>
      <c r="AV389" s="32">
        <f t="shared" si="324"/>
        <v>0</v>
      </c>
      <c r="AW389" s="85" t="str">
        <f t="shared" si="325"/>
        <v/>
      </c>
      <c r="AX389" s="86" t="str">
        <f t="shared" si="326"/>
        <v/>
      </c>
    </row>
    <row r="390" spans="1:50" x14ac:dyDescent="0.2">
      <c r="A390" s="29" t="str">
        <f t="shared" si="285"/>
        <v/>
      </c>
      <c r="B390" s="32" t="str">
        <f t="shared" si="286"/>
        <v/>
      </c>
      <c r="C390" s="35"/>
      <c r="D390" s="33" t="str">
        <f t="shared" si="287"/>
        <v/>
      </c>
      <c r="E390" s="22" t="str">
        <f t="shared" si="288"/>
        <v/>
      </c>
      <c r="F390" s="23" t="str">
        <f t="shared" si="289"/>
        <v/>
      </c>
      <c r="G390" s="23"/>
      <c r="H390" s="22"/>
      <c r="I390" s="23"/>
      <c r="J390" s="18"/>
      <c r="K390" s="13" t="str">
        <f t="shared" si="290"/>
        <v/>
      </c>
      <c r="L390" s="28" t="str">
        <f t="shared" si="284"/>
        <v/>
      </c>
      <c r="M390" s="10" t="str">
        <f t="shared" si="291"/>
        <v/>
      </c>
      <c r="N390" s="17" t="str">
        <f t="shared" si="292"/>
        <v/>
      </c>
      <c r="O390" s="39" t="str">
        <f t="shared" si="293"/>
        <v/>
      </c>
      <c r="P390" s="41" t="str">
        <f t="shared" si="294"/>
        <v/>
      </c>
      <c r="Q390" s="9" t="str">
        <f t="shared" si="295"/>
        <v/>
      </c>
      <c r="R390" s="14">
        <f t="shared" si="296"/>
        <v>0</v>
      </c>
      <c r="S390" s="61" t="str">
        <f t="shared" si="297"/>
        <v/>
      </c>
      <c r="T390" s="14">
        <f t="shared" si="298"/>
        <v>0</v>
      </c>
      <c r="U390" s="58" t="str">
        <f t="shared" si="299"/>
        <v/>
      </c>
      <c r="V390" s="14">
        <f t="shared" si="300"/>
        <v>0</v>
      </c>
      <c r="W390" s="58" t="str">
        <f t="shared" si="301"/>
        <v/>
      </c>
      <c r="X390" s="14">
        <f t="shared" si="302"/>
        <v>0</v>
      </c>
      <c r="Y390" s="58" t="str">
        <f t="shared" si="303"/>
        <v/>
      </c>
      <c r="Z390" s="31">
        <f t="shared" si="304"/>
        <v>0</v>
      </c>
      <c r="AA390" s="21">
        <f t="shared" si="305"/>
        <v>0</v>
      </c>
      <c r="AB390" s="58" t="str">
        <f t="shared" si="306"/>
        <v/>
      </c>
      <c r="AC390" s="630">
        <f t="shared" si="283"/>
        <v>0</v>
      </c>
      <c r="AD390" s="627"/>
      <c r="AE390" s="21">
        <f t="shared" si="307"/>
        <v>0</v>
      </c>
      <c r="AF390" s="58" t="str">
        <f t="shared" si="308"/>
        <v/>
      </c>
      <c r="AG390" s="21">
        <f t="shared" si="309"/>
        <v>0</v>
      </c>
      <c r="AH390" s="58" t="str">
        <f t="shared" si="310"/>
        <v/>
      </c>
      <c r="AI390" s="21">
        <f t="shared" si="311"/>
        <v>0</v>
      </c>
      <c r="AJ390" s="58" t="str">
        <f t="shared" si="312"/>
        <v/>
      </c>
      <c r="AK390" s="31">
        <f t="shared" si="313"/>
        <v>0</v>
      </c>
      <c r="AL390" s="21">
        <f t="shared" si="314"/>
        <v>0</v>
      </c>
      <c r="AM390" s="62" t="str">
        <f t="shared" si="315"/>
        <v/>
      </c>
      <c r="AN390" s="21">
        <f t="shared" si="316"/>
        <v>0</v>
      </c>
      <c r="AO390" s="62" t="str">
        <f t="shared" si="317"/>
        <v/>
      </c>
      <c r="AP390" s="21">
        <f t="shared" si="318"/>
        <v>0</v>
      </c>
      <c r="AQ390" s="62" t="str">
        <f t="shared" si="319"/>
        <v/>
      </c>
      <c r="AR390" s="31">
        <f t="shared" si="320"/>
        <v>0</v>
      </c>
      <c r="AS390" s="21">
        <f t="shared" si="321"/>
        <v>0</v>
      </c>
      <c r="AT390" s="62" t="str">
        <f t="shared" si="322"/>
        <v/>
      </c>
      <c r="AU390" s="84">
        <f t="shared" si="323"/>
        <v>0</v>
      </c>
      <c r="AV390" s="32">
        <f t="shared" si="324"/>
        <v>0</v>
      </c>
      <c r="AW390" s="85" t="str">
        <f t="shared" si="325"/>
        <v/>
      </c>
      <c r="AX390" s="86" t="str">
        <f t="shared" si="326"/>
        <v/>
      </c>
    </row>
    <row r="391" spans="1:50" x14ac:dyDescent="0.2">
      <c r="A391" s="29" t="str">
        <f t="shared" si="285"/>
        <v/>
      </c>
      <c r="B391" s="32" t="str">
        <f t="shared" si="286"/>
        <v/>
      </c>
      <c r="C391" s="35"/>
      <c r="D391" s="33" t="str">
        <f t="shared" si="287"/>
        <v/>
      </c>
      <c r="E391" s="22" t="str">
        <f t="shared" si="288"/>
        <v/>
      </c>
      <c r="F391" s="23" t="str">
        <f t="shared" si="289"/>
        <v/>
      </c>
      <c r="G391" s="23"/>
      <c r="H391" s="22"/>
      <c r="I391" s="23"/>
      <c r="J391" s="18"/>
      <c r="K391" s="13" t="str">
        <f t="shared" si="290"/>
        <v/>
      </c>
      <c r="L391" s="28" t="str">
        <f t="shared" si="284"/>
        <v/>
      </c>
      <c r="M391" s="10" t="str">
        <f t="shared" si="291"/>
        <v/>
      </c>
      <c r="N391" s="17" t="str">
        <f t="shared" si="292"/>
        <v/>
      </c>
      <c r="O391" s="39" t="str">
        <f t="shared" si="293"/>
        <v/>
      </c>
      <c r="P391" s="41" t="str">
        <f t="shared" si="294"/>
        <v/>
      </c>
      <c r="Q391" s="9" t="str">
        <f t="shared" si="295"/>
        <v/>
      </c>
      <c r="R391" s="14">
        <f t="shared" si="296"/>
        <v>0</v>
      </c>
      <c r="S391" s="61" t="str">
        <f t="shared" si="297"/>
        <v/>
      </c>
      <c r="T391" s="14">
        <f t="shared" si="298"/>
        <v>0</v>
      </c>
      <c r="U391" s="58" t="str">
        <f t="shared" si="299"/>
        <v/>
      </c>
      <c r="V391" s="14">
        <f t="shared" si="300"/>
        <v>0</v>
      </c>
      <c r="W391" s="58" t="str">
        <f t="shared" si="301"/>
        <v/>
      </c>
      <c r="X391" s="14">
        <f t="shared" si="302"/>
        <v>0</v>
      </c>
      <c r="Y391" s="58" t="str">
        <f t="shared" si="303"/>
        <v/>
      </c>
      <c r="Z391" s="31">
        <f t="shared" si="304"/>
        <v>0</v>
      </c>
      <c r="AA391" s="21">
        <f t="shared" si="305"/>
        <v>0</v>
      </c>
      <c r="AB391" s="58" t="str">
        <f t="shared" si="306"/>
        <v/>
      </c>
      <c r="AC391" s="630">
        <f t="shared" si="283"/>
        <v>0</v>
      </c>
      <c r="AD391" s="627"/>
      <c r="AE391" s="21">
        <f t="shared" si="307"/>
        <v>0</v>
      </c>
      <c r="AF391" s="58" t="str">
        <f t="shared" si="308"/>
        <v/>
      </c>
      <c r="AG391" s="21">
        <f t="shared" si="309"/>
        <v>0</v>
      </c>
      <c r="AH391" s="58" t="str">
        <f t="shared" si="310"/>
        <v/>
      </c>
      <c r="AI391" s="21">
        <f t="shared" si="311"/>
        <v>0</v>
      </c>
      <c r="AJ391" s="58" t="str">
        <f t="shared" si="312"/>
        <v/>
      </c>
      <c r="AK391" s="31">
        <f t="shared" si="313"/>
        <v>0</v>
      </c>
      <c r="AL391" s="21">
        <f t="shared" si="314"/>
        <v>0</v>
      </c>
      <c r="AM391" s="62" t="str">
        <f t="shared" si="315"/>
        <v/>
      </c>
      <c r="AN391" s="21">
        <f t="shared" si="316"/>
        <v>0</v>
      </c>
      <c r="AO391" s="62" t="str">
        <f t="shared" si="317"/>
        <v/>
      </c>
      <c r="AP391" s="21">
        <f t="shared" si="318"/>
        <v>0</v>
      </c>
      <c r="AQ391" s="62" t="str">
        <f t="shared" si="319"/>
        <v/>
      </c>
      <c r="AR391" s="31">
        <f t="shared" si="320"/>
        <v>0</v>
      </c>
      <c r="AS391" s="21">
        <f t="shared" si="321"/>
        <v>0</v>
      </c>
      <c r="AT391" s="62" t="str">
        <f t="shared" si="322"/>
        <v/>
      </c>
      <c r="AU391" s="84">
        <f t="shared" si="323"/>
        <v>0</v>
      </c>
      <c r="AV391" s="32">
        <f t="shared" si="324"/>
        <v>0</v>
      </c>
      <c r="AW391" s="85" t="str">
        <f t="shared" si="325"/>
        <v/>
      </c>
      <c r="AX391" s="86" t="str">
        <f t="shared" si="326"/>
        <v/>
      </c>
    </row>
    <row r="392" spans="1:50" x14ac:dyDescent="0.2">
      <c r="A392" s="29" t="str">
        <f t="shared" si="285"/>
        <v/>
      </c>
      <c r="B392" s="32" t="str">
        <f t="shared" si="286"/>
        <v/>
      </c>
      <c r="C392" s="35"/>
      <c r="D392" s="33" t="str">
        <f t="shared" si="287"/>
        <v/>
      </c>
      <c r="E392" s="22" t="str">
        <f t="shared" si="288"/>
        <v/>
      </c>
      <c r="F392" s="23" t="str">
        <f t="shared" si="289"/>
        <v/>
      </c>
      <c r="G392" s="23"/>
      <c r="H392" s="22"/>
      <c r="I392" s="23"/>
      <c r="J392" s="18"/>
      <c r="K392" s="13" t="str">
        <f t="shared" si="290"/>
        <v/>
      </c>
      <c r="L392" s="28" t="str">
        <f t="shared" si="284"/>
        <v/>
      </c>
      <c r="M392" s="10" t="str">
        <f t="shared" si="291"/>
        <v/>
      </c>
      <c r="N392" s="17" t="str">
        <f t="shared" si="292"/>
        <v/>
      </c>
      <c r="O392" s="39" t="str">
        <f t="shared" si="293"/>
        <v/>
      </c>
      <c r="P392" s="41" t="str">
        <f t="shared" si="294"/>
        <v/>
      </c>
      <c r="Q392" s="9" t="str">
        <f t="shared" si="295"/>
        <v/>
      </c>
      <c r="R392" s="14">
        <f t="shared" si="296"/>
        <v>0</v>
      </c>
      <c r="S392" s="61" t="str">
        <f t="shared" si="297"/>
        <v/>
      </c>
      <c r="T392" s="14">
        <f t="shared" si="298"/>
        <v>0</v>
      </c>
      <c r="U392" s="58" t="str">
        <f t="shared" si="299"/>
        <v/>
      </c>
      <c r="V392" s="14">
        <f t="shared" si="300"/>
        <v>0</v>
      </c>
      <c r="W392" s="58" t="str">
        <f t="shared" si="301"/>
        <v/>
      </c>
      <c r="X392" s="14">
        <f t="shared" si="302"/>
        <v>0</v>
      </c>
      <c r="Y392" s="58" t="str">
        <f t="shared" si="303"/>
        <v/>
      </c>
      <c r="Z392" s="31">
        <f t="shared" si="304"/>
        <v>0</v>
      </c>
      <c r="AA392" s="21">
        <f t="shared" si="305"/>
        <v>0</v>
      </c>
      <c r="AB392" s="58" t="str">
        <f t="shared" si="306"/>
        <v/>
      </c>
      <c r="AC392" s="630">
        <f t="shared" si="283"/>
        <v>0</v>
      </c>
      <c r="AD392" s="627"/>
      <c r="AE392" s="21">
        <f t="shared" si="307"/>
        <v>0</v>
      </c>
      <c r="AF392" s="58" t="str">
        <f t="shared" si="308"/>
        <v/>
      </c>
      <c r="AG392" s="21">
        <f t="shared" si="309"/>
        <v>0</v>
      </c>
      <c r="AH392" s="58" t="str">
        <f t="shared" si="310"/>
        <v/>
      </c>
      <c r="AI392" s="21">
        <f t="shared" si="311"/>
        <v>0</v>
      </c>
      <c r="AJ392" s="58" t="str">
        <f t="shared" si="312"/>
        <v/>
      </c>
      <c r="AK392" s="31">
        <f t="shared" si="313"/>
        <v>0</v>
      </c>
      <c r="AL392" s="21">
        <f t="shared" si="314"/>
        <v>0</v>
      </c>
      <c r="AM392" s="62" t="str">
        <f t="shared" si="315"/>
        <v/>
      </c>
      <c r="AN392" s="21">
        <f t="shared" si="316"/>
        <v>0</v>
      </c>
      <c r="AO392" s="62" t="str">
        <f t="shared" si="317"/>
        <v/>
      </c>
      <c r="AP392" s="21">
        <f t="shared" si="318"/>
        <v>0</v>
      </c>
      <c r="AQ392" s="62" t="str">
        <f t="shared" si="319"/>
        <v/>
      </c>
      <c r="AR392" s="31">
        <f t="shared" si="320"/>
        <v>0</v>
      </c>
      <c r="AS392" s="21">
        <f t="shared" si="321"/>
        <v>0</v>
      </c>
      <c r="AT392" s="62" t="str">
        <f t="shared" si="322"/>
        <v/>
      </c>
      <c r="AU392" s="84">
        <f t="shared" si="323"/>
        <v>0</v>
      </c>
      <c r="AV392" s="32">
        <f t="shared" si="324"/>
        <v>0</v>
      </c>
      <c r="AW392" s="85" t="str">
        <f t="shared" si="325"/>
        <v/>
      </c>
      <c r="AX392" s="86" t="str">
        <f t="shared" si="326"/>
        <v/>
      </c>
    </row>
    <row r="393" spans="1:50" x14ac:dyDescent="0.2">
      <c r="A393" s="29" t="str">
        <f t="shared" si="285"/>
        <v/>
      </c>
      <c r="B393" s="32" t="str">
        <f t="shared" si="286"/>
        <v/>
      </c>
      <c r="C393" s="35"/>
      <c r="D393" s="33" t="str">
        <f t="shared" si="287"/>
        <v/>
      </c>
      <c r="E393" s="22" t="str">
        <f t="shared" si="288"/>
        <v/>
      </c>
      <c r="F393" s="23" t="str">
        <f t="shared" si="289"/>
        <v/>
      </c>
      <c r="G393" s="23"/>
      <c r="H393" s="22"/>
      <c r="I393" s="23"/>
      <c r="J393" s="18"/>
      <c r="K393" s="13" t="str">
        <f t="shared" si="290"/>
        <v/>
      </c>
      <c r="L393" s="28" t="str">
        <f t="shared" si="284"/>
        <v/>
      </c>
      <c r="M393" s="10" t="str">
        <f t="shared" si="291"/>
        <v/>
      </c>
      <c r="N393" s="17" t="str">
        <f t="shared" si="292"/>
        <v/>
      </c>
      <c r="O393" s="39" t="str">
        <f t="shared" si="293"/>
        <v/>
      </c>
      <c r="P393" s="41" t="str">
        <f t="shared" si="294"/>
        <v/>
      </c>
      <c r="Q393" s="9" t="str">
        <f t="shared" si="295"/>
        <v/>
      </c>
      <c r="R393" s="14">
        <f t="shared" si="296"/>
        <v>0</v>
      </c>
      <c r="S393" s="61" t="str">
        <f t="shared" si="297"/>
        <v/>
      </c>
      <c r="T393" s="14">
        <f t="shared" si="298"/>
        <v>0</v>
      </c>
      <c r="U393" s="58" t="str">
        <f t="shared" si="299"/>
        <v/>
      </c>
      <c r="V393" s="14">
        <f t="shared" si="300"/>
        <v>0</v>
      </c>
      <c r="W393" s="58" t="str">
        <f t="shared" si="301"/>
        <v/>
      </c>
      <c r="X393" s="14">
        <f t="shared" si="302"/>
        <v>0</v>
      </c>
      <c r="Y393" s="58" t="str">
        <f t="shared" si="303"/>
        <v/>
      </c>
      <c r="Z393" s="31">
        <f t="shared" si="304"/>
        <v>0</v>
      </c>
      <c r="AA393" s="21">
        <f t="shared" si="305"/>
        <v>0</v>
      </c>
      <c r="AB393" s="58" t="str">
        <f t="shared" si="306"/>
        <v/>
      </c>
      <c r="AC393" s="630">
        <f t="shared" si="283"/>
        <v>0</v>
      </c>
      <c r="AD393" s="627"/>
      <c r="AE393" s="21">
        <f t="shared" si="307"/>
        <v>0</v>
      </c>
      <c r="AF393" s="58" t="str">
        <f t="shared" si="308"/>
        <v/>
      </c>
      <c r="AG393" s="21">
        <f t="shared" si="309"/>
        <v>0</v>
      </c>
      <c r="AH393" s="58" t="str">
        <f t="shared" si="310"/>
        <v/>
      </c>
      <c r="AI393" s="21">
        <f t="shared" si="311"/>
        <v>0</v>
      </c>
      <c r="AJ393" s="58" t="str">
        <f t="shared" si="312"/>
        <v/>
      </c>
      <c r="AK393" s="31">
        <f t="shared" si="313"/>
        <v>0</v>
      </c>
      <c r="AL393" s="21">
        <f t="shared" si="314"/>
        <v>0</v>
      </c>
      <c r="AM393" s="62" t="str">
        <f t="shared" si="315"/>
        <v/>
      </c>
      <c r="AN393" s="21">
        <f t="shared" si="316"/>
        <v>0</v>
      </c>
      <c r="AO393" s="62" t="str">
        <f t="shared" si="317"/>
        <v/>
      </c>
      <c r="AP393" s="21">
        <f t="shared" si="318"/>
        <v>0</v>
      </c>
      <c r="AQ393" s="62" t="str">
        <f t="shared" si="319"/>
        <v/>
      </c>
      <c r="AR393" s="31">
        <f t="shared" si="320"/>
        <v>0</v>
      </c>
      <c r="AS393" s="21">
        <f t="shared" si="321"/>
        <v>0</v>
      </c>
      <c r="AT393" s="62" t="str">
        <f t="shared" si="322"/>
        <v/>
      </c>
      <c r="AU393" s="84">
        <f t="shared" si="323"/>
        <v>0</v>
      </c>
      <c r="AV393" s="32">
        <f t="shared" si="324"/>
        <v>0</v>
      </c>
      <c r="AW393" s="85" t="str">
        <f t="shared" si="325"/>
        <v/>
      </c>
      <c r="AX393" s="86" t="str">
        <f t="shared" si="326"/>
        <v/>
      </c>
    </row>
    <row r="394" spans="1:50" x14ac:dyDescent="0.2">
      <c r="A394" s="29" t="str">
        <f t="shared" si="285"/>
        <v/>
      </c>
      <c r="B394" s="32" t="str">
        <f t="shared" si="286"/>
        <v/>
      </c>
      <c r="C394" s="35"/>
      <c r="D394" s="33" t="str">
        <f t="shared" si="287"/>
        <v/>
      </c>
      <c r="E394" s="22" t="str">
        <f t="shared" si="288"/>
        <v/>
      </c>
      <c r="F394" s="23" t="str">
        <f t="shared" si="289"/>
        <v/>
      </c>
      <c r="G394" s="23"/>
      <c r="H394" s="22"/>
      <c r="I394" s="23"/>
      <c r="J394" s="18"/>
      <c r="K394" s="13" t="str">
        <f t="shared" si="290"/>
        <v/>
      </c>
      <c r="L394" s="28" t="str">
        <f t="shared" si="284"/>
        <v/>
      </c>
      <c r="M394" s="10" t="str">
        <f t="shared" si="291"/>
        <v/>
      </c>
      <c r="N394" s="17" t="str">
        <f t="shared" si="292"/>
        <v/>
      </c>
      <c r="O394" s="39" t="str">
        <f t="shared" si="293"/>
        <v/>
      </c>
      <c r="P394" s="41" t="str">
        <f t="shared" si="294"/>
        <v/>
      </c>
      <c r="Q394" s="9" t="str">
        <f t="shared" si="295"/>
        <v/>
      </c>
      <c r="R394" s="14">
        <f t="shared" si="296"/>
        <v>0</v>
      </c>
      <c r="S394" s="61" t="str">
        <f t="shared" si="297"/>
        <v/>
      </c>
      <c r="T394" s="14">
        <f t="shared" si="298"/>
        <v>0</v>
      </c>
      <c r="U394" s="58" t="str">
        <f t="shared" si="299"/>
        <v/>
      </c>
      <c r="V394" s="14">
        <f t="shared" si="300"/>
        <v>0</v>
      </c>
      <c r="W394" s="58" t="str">
        <f t="shared" si="301"/>
        <v/>
      </c>
      <c r="X394" s="14">
        <f t="shared" si="302"/>
        <v>0</v>
      </c>
      <c r="Y394" s="58" t="str">
        <f t="shared" si="303"/>
        <v/>
      </c>
      <c r="Z394" s="31">
        <f t="shared" si="304"/>
        <v>0</v>
      </c>
      <c r="AA394" s="21">
        <f t="shared" si="305"/>
        <v>0</v>
      </c>
      <c r="AB394" s="58" t="str">
        <f t="shared" si="306"/>
        <v/>
      </c>
      <c r="AC394" s="630">
        <f t="shared" si="283"/>
        <v>0</v>
      </c>
      <c r="AD394" s="627"/>
      <c r="AE394" s="21">
        <f t="shared" si="307"/>
        <v>0</v>
      </c>
      <c r="AF394" s="58" t="str">
        <f t="shared" si="308"/>
        <v/>
      </c>
      <c r="AG394" s="21">
        <f t="shared" si="309"/>
        <v>0</v>
      </c>
      <c r="AH394" s="58" t="str">
        <f t="shared" si="310"/>
        <v/>
      </c>
      <c r="AI394" s="21">
        <f t="shared" si="311"/>
        <v>0</v>
      </c>
      <c r="AJ394" s="58" t="str">
        <f t="shared" si="312"/>
        <v/>
      </c>
      <c r="AK394" s="31">
        <f t="shared" si="313"/>
        <v>0</v>
      </c>
      <c r="AL394" s="21">
        <f t="shared" si="314"/>
        <v>0</v>
      </c>
      <c r="AM394" s="62" t="str">
        <f t="shared" si="315"/>
        <v/>
      </c>
      <c r="AN394" s="21">
        <f t="shared" si="316"/>
        <v>0</v>
      </c>
      <c r="AO394" s="62" t="str">
        <f t="shared" si="317"/>
        <v/>
      </c>
      <c r="AP394" s="21">
        <f t="shared" si="318"/>
        <v>0</v>
      </c>
      <c r="AQ394" s="62" t="str">
        <f t="shared" si="319"/>
        <v/>
      </c>
      <c r="AR394" s="31">
        <f t="shared" si="320"/>
        <v>0</v>
      </c>
      <c r="AS394" s="21">
        <f t="shared" si="321"/>
        <v>0</v>
      </c>
      <c r="AT394" s="62" t="str">
        <f t="shared" si="322"/>
        <v/>
      </c>
      <c r="AU394" s="84">
        <f t="shared" si="323"/>
        <v>0</v>
      </c>
      <c r="AV394" s="32">
        <f t="shared" si="324"/>
        <v>0</v>
      </c>
      <c r="AW394" s="85" t="str">
        <f t="shared" si="325"/>
        <v/>
      </c>
      <c r="AX394" s="86" t="str">
        <f t="shared" si="326"/>
        <v/>
      </c>
    </row>
    <row r="395" spans="1:50" x14ac:dyDescent="0.2">
      <c r="A395" s="29" t="str">
        <f t="shared" si="285"/>
        <v/>
      </c>
      <c r="B395" s="32" t="str">
        <f t="shared" si="286"/>
        <v/>
      </c>
      <c r="C395" s="35"/>
      <c r="D395" s="33" t="str">
        <f t="shared" si="287"/>
        <v/>
      </c>
      <c r="E395" s="22" t="str">
        <f t="shared" si="288"/>
        <v/>
      </c>
      <c r="F395" s="23" t="str">
        <f t="shared" si="289"/>
        <v/>
      </c>
      <c r="G395" s="23"/>
      <c r="H395" s="22"/>
      <c r="I395" s="23"/>
      <c r="J395" s="18"/>
      <c r="K395" s="13" t="str">
        <f t="shared" si="290"/>
        <v/>
      </c>
      <c r="L395" s="28" t="str">
        <f t="shared" si="284"/>
        <v/>
      </c>
      <c r="M395" s="10" t="str">
        <f t="shared" si="291"/>
        <v/>
      </c>
      <c r="N395" s="17" t="str">
        <f t="shared" si="292"/>
        <v/>
      </c>
      <c r="O395" s="39" t="str">
        <f t="shared" si="293"/>
        <v/>
      </c>
      <c r="P395" s="41" t="str">
        <f t="shared" si="294"/>
        <v/>
      </c>
      <c r="Q395" s="9" t="str">
        <f t="shared" si="295"/>
        <v/>
      </c>
      <c r="R395" s="14">
        <f t="shared" si="296"/>
        <v>0</v>
      </c>
      <c r="S395" s="61" t="str">
        <f t="shared" si="297"/>
        <v/>
      </c>
      <c r="T395" s="14">
        <f t="shared" si="298"/>
        <v>0</v>
      </c>
      <c r="U395" s="58" t="str">
        <f t="shared" si="299"/>
        <v/>
      </c>
      <c r="V395" s="14">
        <f t="shared" si="300"/>
        <v>0</v>
      </c>
      <c r="W395" s="58" t="str">
        <f t="shared" si="301"/>
        <v/>
      </c>
      <c r="X395" s="14">
        <f t="shared" si="302"/>
        <v>0</v>
      </c>
      <c r="Y395" s="58" t="str">
        <f t="shared" si="303"/>
        <v/>
      </c>
      <c r="Z395" s="31">
        <f t="shared" si="304"/>
        <v>0</v>
      </c>
      <c r="AA395" s="21">
        <f t="shared" si="305"/>
        <v>0</v>
      </c>
      <c r="AB395" s="58" t="str">
        <f t="shared" si="306"/>
        <v/>
      </c>
      <c r="AC395" s="630">
        <f t="shared" si="283"/>
        <v>0</v>
      </c>
      <c r="AD395" s="627"/>
      <c r="AE395" s="21">
        <f t="shared" si="307"/>
        <v>0</v>
      </c>
      <c r="AF395" s="58" t="str">
        <f t="shared" si="308"/>
        <v/>
      </c>
      <c r="AG395" s="21">
        <f t="shared" si="309"/>
        <v>0</v>
      </c>
      <c r="AH395" s="58" t="str">
        <f t="shared" si="310"/>
        <v/>
      </c>
      <c r="AI395" s="21">
        <f t="shared" si="311"/>
        <v>0</v>
      </c>
      <c r="AJ395" s="58" t="str">
        <f t="shared" si="312"/>
        <v/>
      </c>
      <c r="AK395" s="31">
        <f t="shared" si="313"/>
        <v>0</v>
      </c>
      <c r="AL395" s="21">
        <f t="shared" si="314"/>
        <v>0</v>
      </c>
      <c r="AM395" s="62" t="str">
        <f t="shared" si="315"/>
        <v/>
      </c>
      <c r="AN395" s="21">
        <f t="shared" si="316"/>
        <v>0</v>
      </c>
      <c r="AO395" s="62" t="str">
        <f t="shared" si="317"/>
        <v/>
      </c>
      <c r="AP395" s="21">
        <f t="shared" si="318"/>
        <v>0</v>
      </c>
      <c r="AQ395" s="62" t="str">
        <f t="shared" si="319"/>
        <v/>
      </c>
      <c r="AR395" s="31">
        <f t="shared" si="320"/>
        <v>0</v>
      </c>
      <c r="AS395" s="21">
        <f t="shared" si="321"/>
        <v>0</v>
      </c>
      <c r="AT395" s="62" t="str">
        <f t="shared" si="322"/>
        <v/>
      </c>
      <c r="AU395" s="84">
        <f t="shared" si="323"/>
        <v>0</v>
      </c>
      <c r="AV395" s="32">
        <f t="shared" si="324"/>
        <v>0</v>
      </c>
      <c r="AW395" s="85" t="str">
        <f t="shared" si="325"/>
        <v/>
      </c>
      <c r="AX395" s="86" t="str">
        <f t="shared" si="326"/>
        <v/>
      </c>
    </row>
    <row r="396" spans="1:50" x14ac:dyDescent="0.2">
      <c r="A396" s="29" t="str">
        <f t="shared" si="285"/>
        <v/>
      </c>
      <c r="B396" s="32" t="str">
        <f t="shared" si="286"/>
        <v/>
      </c>
      <c r="C396" s="35"/>
      <c r="D396" s="33" t="str">
        <f t="shared" si="287"/>
        <v/>
      </c>
      <c r="E396" s="22" t="str">
        <f t="shared" si="288"/>
        <v/>
      </c>
      <c r="F396" s="23" t="str">
        <f t="shared" si="289"/>
        <v/>
      </c>
      <c r="G396" s="23"/>
      <c r="H396" s="22"/>
      <c r="I396" s="23"/>
      <c r="J396" s="18"/>
      <c r="K396" s="13" t="str">
        <f t="shared" si="290"/>
        <v/>
      </c>
      <c r="L396" s="28" t="str">
        <f t="shared" si="284"/>
        <v/>
      </c>
      <c r="M396" s="10" t="str">
        <f t="shared" si="291"/>
        <v/>
      </c>
      <c r="N396" s="17" t="str">
        <f t="shared" si="292"/>
        <v/>
      </c>
      <c r="O396" s="39" t="str">
        <f t="shared" si="293"/>
        <v/>
      </c>
      <c r="P396" s="41" t="str">
        <f t="shared" si="294"/>
        <v/>
      </c>
      <c r="Q396" s="9" t="str">
        <f t="shared" si="295"/>
        <v/>
      </c>
      <c r="R396" s="14">
        <f t="shared" si="296"/>
        <v>0</v>
      </c>
      <c r="S396" s="61" t="str">
        <f t="shared" si="297"/>
        <v/>
      </c>
      <c r="T396" s="14">
        <f t="shared" si="298"/>
        <v>0</v>
      </c>
      <c r="U396" s="58" t="str">
        <f t="shared" si="299"/>
        <v/>
      </c>
      <c r="V396" s="14">
        <f t="shared" si="300"/>
        <v>0</v>
      </c>
      <c r="W396" s="58" t="str">
        <f t="shared" si="301"/>
        <v/>
      </c>
      <c r="X396" s="14">
        <f t="shared" si="302"/>
        <v>0</v>
      </c>
      <c r="Y396" s="58" t="str">
        <f t="shared" si="303"/>
        <v/>
      </c>
      <c r="Z396" s="31">
        <f t="shared" si="304"/>
        <v>0</v>
      </c>
      <c r="AA396" s="21">
        <f t="shared" si="305"/>
        <v>0</v>
      </c>
      <c r="AB396" s="58" t="str">
        <f t="shared" si="306"/>
        <v/>
      </c>
      <c r="AC396" s="630">
        <f t="shared" si="283"/>
        <v>0</v>
      </c>
      <c r="AD396" s="627"/>
      <c r="AE396" s="21">
        <f t="shared" si="307"/>
        <v>0</v>
      </c>
      <c r="AF396" s="58" t="str">
        <f t="shared" si="308"/>
        <v/>
      </c>
      <c r="AG396" s="21">
        <f t="shared" si="309"/>
        <v>0</v>
      </c>
      <c r="AH396" s="58" t="str">
        <f t="shared" si="310"/>
        <v/>
      </c>
      <c r="AI396" s="21">
        <f t="shared" si="311"/>
        <v>0</v>
      </c>
      <c r="AJ396" s="58" t="str">
        <f t="shared" si="312"/>
        <v/>
      </c>
      <c r="AK396" s="31">
        <f t="shared" si="313"/>
        <v>0</v>
      </c>
      <c r="AL396" s="21">
        <f t="shared" si="314"/>
        <v>0</v>
      </c>
      <c r="AM396" s="62" t="str">
        <f t="shared" si="315"/>
        <v/>
      </c>
      <c r="AN396" s="21">
        <f t="shared" si="316"/>
        <v>0</v>
      </c>
      <c r="AO396" s="62" t="str">
        <f t="shared" si="317"/>
        <v/>
      </c>
      <c r="AP396" s="21">
        <f t="shared" si="318"/>
        <v>0</v>
      </c>
      <c r="AQ396" s="62" t="str">
        <f t="shared" si="319"/>
        <v/>
      </c>
      <c r="AR396" s="31">
        <f t="shared" si="320"/>
        <v>0</v>
      </c>
      <c r="AS396" s="21">
        <f t="shared" si="321"/>
        <v>0</v>
      </c>
      <c r="AT396" s="62" t="str">
        <f t="shared" si="322"/>
        <v/>
      </c>
      <c r="AU396" s="84">
        <f t="shared" si="323"/>
        <v>0</v>
      </c>
      <c r="AV396" s="32">
        <f t="shared" si="324"/>
        <v>0</v>
      </c>
      <c r="AW396" s="85" t="str">
        <f t="shared" si="325"/>
        <v/>
      </c>
      <c r="AX396" s="86" t="str">
        <f t="shared" si="326"/>
        <v/>
      </c>
    </row>
    <row r="397" spans="1:50" x14ac:dyDescent="0.2">
      <c r="A397" s="29" t="str">
        <f t="shared" si="285"/>
        <v/>
      </c>
      <c r="B397" s="32" t="str">
        <f t="shared" si="286"/>
        <v/>
      </c>
      <c r="C397" s="35"/>
      <c r="D397" s="33" t="str">
        <f t="shared" si="287"/>
        <v/>
      </c>
      <c r="E397" s="22" t="str">
        <f t="shared" si="288"/>
        <v/>
      </c>
      <c r="F397" s="23" t="str">
        <f t="shared" si="289"/>
        <v/>
      </c>
      <c r="G397" s="23"/>
      <c r="H397" s="22"/>
      <c r="I397" s="23"/>
      <c r="J397" s="18"/>
      <c r="K397" s="13" t="str">
        <f t="shared" si="290"/>
        <v/>
      </c>
      <c r="L397" s="28" t="str">
        <f t="shared" si="284"/>
        <v/>
      </c>
      <c r="M397" s="10" t="str">
        <f t="shared" si="291"/>
        <v/>
      </c>
      <c r="N397" s="17" t="str">
        <f t="shared" si="292"/>
        <v/>
      </c>
      <c r="O397" s="39" t="str">
        <f t="shared" si="293"/>
        <v/>
      </c>
      <c r="P397" s="41" t="str">
        <f t="shared" si="294"/>
        <v/>
      </c>
      <c r="Q397" s="9" t="str">
        <f t="shared" si="295"/>
        <v/>
      </c>
      <c r="R397" s="14">
        <f t="shared" si="296"/>
        <v>0</v>
      </c>
      <c r="S397" s="61" t="str">
        <f t="shared" si="297"/>
        <v/>
      </c>
      <c r="T397" s="14">
        <f t="shared" si="298"/>
        <v>0</v>
      </c>
      <c r="U397" s="58" t="str">
        <f t="shared" si="299"/>
        <v/>
      </c>
      <c r="V397" s="14">
        <f t="shared" si="300"/>
        <v>0</v>
      </c>
      <c r="W397" s="58" t="str">
        <f t="shared" si="301"/>
        <v/>
      </c>
      <c r="X397" s="14">
        <f t="shared" si="302"/>
        <v>0</v>
      </c>
      <c r="Y397" s="58" t="str">
        <f t="shared" si="303"/>
        <v/>
      </c>
      <c r="Z397" s="31">
        <f t="shared" si="304"/>
        <v>0</v>
      </c>
      <c r="AA397" s="21">
        <f t="shared" si="305"/>
        <v>0</v>
      </c>
      <c r="AB397" s="58" t="str">
        <f t="shared" si="306"/>
        <v/>
      </c>
      <c r="AC397" s="630">
        <f t="shared" si="283"/>
        <v>0</v>
      </c>
      <c r="AD397" s="627"/>
      <c r="AE397" s="21">
        <f t="shared" si="307"/>
        <v>0</v>
      </c>
      <c r="AF397" s="58" t="str">
        <f t="shared" si="308"/>
        <v/>
      </c>
      <c r="AG397" s="21">
        <f t="shared" si="309"/>
        <v>0</v>
      </c>
      <c r="AH397" s="58" t="str">
        <f t="shared" si="310"/>
        <v/>
      </c>
      <c r="AI397" s="21">
        <f t="shared" si="311"/>
        <v>0</v>
      </c>
      <c r="AJ397" s="58" t="str">
        <f t="shared" si="312"/>
        <v/>
      </c>
      <c r="AK397" s="31">
        <f t="shared" si="313"/>
        <v>0</v>
      </c>
      <c r="AL397" s="21">
        <f t="shared" si="314"/>
        <v>0</v>
      </c>
      <c r="AM397" s="62" t="str">
        <f t="shared" si="315"/>
        <v/>
      </c>
      <c r="AN397" s="21">
        <f t="shared" si="316"/>
        <v>0</v>
      </c>
      <c r="AO397" s="62" t="str">
        <f t="shared" si="317"/>
        <v/>
      </c>
      <c r="AP397" s="21">
        <f t="shared" si="318"/>
        <v>0</v>
      </c>
      <c r="AQ397" s="62" t="str">
        <f t="shared" si="319"/>
        <v/>
      </c>
      <c r="AR397" s="31">
        <f t="shared" si="320"/>
        <v>0</v>
      </c>
      <c r="AS397" s="21">
        <f t="shared" si="321"/>
        <v>0</v>
      </c>
      <c r="AT397" s="62" t="str">
        <f t="shared" si="322"/>
        <v/>
      </c>
      <c r="AU397" s="84">
        <f t="shared" si="323"/>
        <v>0</v>
      </c>
      <c r="AV397" s="32">
        <f t="shared" si="324"/>
        <v>0</v>
      </c>
      <c r="AW397" s="85" t="str">
        <f t="shared" si="325"/>
        <v/>
      </c>
      <c r="AX397" s="86" t="str">
        <f t="shared" si="326"/>
        <v/>
      </c>
    </row>
    <row r="398" spans="1:50" x14ac:dyDescent="0.2">
      <c r="A398" s="29" t="str">
        <f t="shared" si="285"/>
        <v/>
      </c>
      <c r="B398" s="32" t="str">
        <f t="shared" si="286"/>
        <v/>
      </c>
      <c r="C398" s="35"/>
      <c r="D398" s="33" t="str">
        <f t="shared" si="287"/>
        <v/>
      </c>
      <c r="E398" s="22" t="str">
        <f t="shared" si="288"/>
        <v/>
      </c>
      <c r="F398" s="23" t="str">
        <f t="shared" si="289"/>
        <v/>
      </c>
      <c r="G398" s="23"/>
      <c r="H398" s="22"/>
      <c r="I398" s="23"/>
      <c r="J398" s="18"/>
      <c r="K398" s="13" t="str">
        <f t="shared" si="290"/>
        <v/>
      </c>
      <c r="L398" s="28" t="str">
        <f t="shared" si="284"/>
        <v/>
      </c>
      <c r="M398" s="10" t="str">
        <f t="shared" si="291"/>
        <v/>
      </c>
      <c r="N398" s="17" t="str">
        <f t="shared" si="292"/>
        <v/>
      </c>
      <c r="O398" s="39" t="str">
        <f t="shared" si="293"/>
        <v/>
      </c>
      <c r="P398" s="41" t="str">
        <f t="shared" si="294"/>
        <v/>
      </c>
      <c r="Q398" s="9" t="str">
        <f t="shared" si="295"/>
        <v/>
      </c>
      <c r="R398" s="14">
        <f t="shared" si="296"/>
        <v>0</v>
      </c>
      <c r="S398" s="61" t="str">
        <f t="shared" si="297"/>
        <v/>
      </c>
      <c r="T398" s="14">
        <f t="shared" si="298"/>
        <v>0</v>
      </c>
      <c r="U398" s="58" t="str">
        <f t="shared" si="299"/>
        <v/>
      </c>
      <c r="V398" s="14">
        <f t="shared" si="300"/>
        <v>0</v>
      </c>
      <c r="W398" s="58" t="str">
        <f t="shared" si="301"/>
        <v/>
      </c>
      <c r="X398" s="14">
        <f t="shared" si="302"/>
        <v>0</v>
      </c>
      <c r="Y398" s="58" t="str">
        <f t="shared" si="303"/>
        <v/>
      </c>
      <c r="Z398" s="31">
        <f t="shared" si="304"/>
        <v>0</v>
      </c>
      <c r="AA398" s="21">
        <f t="shared" si="305"/>
        <v>0</v>
      </c>
      <c r="AB398" s="58" t="str">
        <f t="shared" si="306"/>
        <v/>
      </c>
      <c r="AC398" s="630">
        <f t="shared" si="283"/>
        <v>0</v>
      </c>
      <c r="AD398" s="627"/>
      <c r="AE398" s="21">
        <f t="shared" si="307"/>
        <v>0</v>
      </c>
      <c r="AF398" s="58" t="str">
        <f t="shared" si="308"/>
        <v/>
      </c>
      <c r="AG398" s="21">
        <f t="shared" si="309"/>
        <v>0</v>
      </c>
      <c r="AH398" s="58" t="str">
        <f t="shared" si="310"/>
        <v/>
      </c>
      <c r="AI398" s="21">
        <f t="shared" si="311"/>
        <v>0</v>
      </c>
      <c r="AJ398" s="58" t="str">
        <f t="shared" si="312"/>
        <v/>
      </c>
      <c r="AK398" s="31">
        <f t="shared" si="313"/>
        <v>0</v>
      </c>
      <c r="AL398" s="21">
        <f t="shared" si="314"/>
        <v>0</v>
      </c>
      <c r="AM398" s="62" t="str">
        <f t="shared" si="315"/>
        <v/>
      </c>
      <c r="AN398" s="21">
        <f t="shared" si="316"/>
        <v>0</v>
      </c>
      <c r="AO398" s="62" t="str">
        <f t="shared" si="317"/>
        <v/>
      </c>
      <c r="AP398" s="21">
        <f t="shared" si="318"/>
        <v>0</v>
      </c>
      <c r="AQ398" s="62" t="str">
        <f t="shared" si="319"/>
        <v/>
      </c>
      <c r="AR398" s="31">
        <f t="shared" si="320"/>
        <v>0</v>
      </c>
      <c r="AS398" s="21">
        <f t="shared" si="321"/>
        <v>0</v>
      </c>
      <c r="AT398" s="62" t="str">
        <f t="shared" si="322"/>
        <v/>
      </c>
      <c r="AU398" s="84">
        <f t="shared" si="323"/>
        <v>0</v>
      </c>
      <c r="AV398" s="32">
        <f t="shared" si="324"/>
        <v>0</v>
      </c>
      <c r="AW398" s="85" t="str">
        <f t="shared" si="325"/>
        <v/>
      </c>
      <c r="AX398" s="86" t="str">
        <f t="shared" si="326"/>
        <v/>
      </c>
    </row>
    <row r="399" spans="1:50" x14ac:dyDescent="0.2">
      <c r="A399" s="29" t="str">
        <f t="shared" si="285"/>
        <v/>
      </c>
      <c r="B399" s="32" t="str">
        <f t="shared" si="286"/>
        <v/>
      </c>
      <c r="C399" s="35"/>
      <c r="D399" s="33" t="str">
        <f t="shared" si="287"/>
        <v/>
      </c>
      <c r="E399" s="22" t="str">
        <f t="shared" si="288"/>
        <v/>
      </c>
      <c r="F399" s="23" t="str">
        <f t="shared" si="289"/>
        <v/>
      </c>
      <c r="G399" s="23"/>
      <c r="H399" s="22"/>
      <c r="I399" s="23"/>
      <c r="J399" s="18"/>
      <c r="K399" s="13" t="str">
        <f t="shared" si="290"/>
        <v/>
      </c>
      <c r="L399" s="28" t="str">
        <f t="shared" si="284"/>
        <v/>
      </c>
      <c r="M399" s="10" t="str">
        <f t="shared" si="291"/>
        <v/>
      </c>
      <c r="N399" s="17" t="str">
        <f t="shared" si="292"/>
        <v/>
      </c>
      <c r="O399" s="39" t="str">
        <f t="shared" si="293"/>
        <v/>
      </c>
      <c r="P399" s="41" t="str">
        <f t="shared" si="294"/>
        <v/>
      </c>
      <c r="Q399" s="9" t="str">
        <f t="shared" si="295"/>
        <v/>
      </c>
      <c r="R399" s="14">
        <f t="shared" si="296"/>
        <v>0</v>
      </c>
      <c r="S399" s="61" t="str">
        <f t="shared" si="297"/>
        <v/>
      </c>
      <c r="T399" s="14">
        <f t="shared" si="298"/>
        <v>0</v>
      </c>
      <c r="U399" s="58" t="str">
        <f t="shared" si="299"/>
        <v/>
      </c>
      <c r="V399" s="14">
        <f t="shared" si="300"/>
        <v>0</v>
      </c>
      <c r="W399" s="58" t="str">
        <f t="shared" si="301"/>
        <v/>
      </c>
      <c r="X399" s="14">
        <f t="shared" si="302"/>
        <v>0</v>
      </c>
      <c r="Y399" s="58" t="str">
        <f t="shared" si="303"/>
        <v/>
      </c>
      <c r="Z399" s="31">
        <f t="shared" si="304"/>
        <v>0</v>
      </c>
      <c r="AA399" s="21">
        <f t="shared" si="305"/>
        <v>0</v>
      </c>
      <c r="AB399" s="58" t="str">
        <f t="shared" si="306"/>
        <v/>
      </c>
      <c r="AC399" s="630">
        <f t="shared" si="283"/>
        <v>0</v>
      </c>
      <c r="AD399" s="627"/>
      <c r="AE399" s="21">
        <f t="shared" si="307"/>
        <v>0</v>
      </c>
      <c r="AF399" s="58" t="str">
        <f t="shared" si="308"/>
        <v/>
      </c>
      <c r="AG399" s="21">
        <f t="shared" si="309"/>
        <v>0</v>
      </c>
      <c r="AH399" s="58" t="str">
        <f t="shared" si="310"/>
        <v/>
      </c>
      <c r="AI399" s="21">
        <f t="shared" si="311"/>
        <v>0</v>
      </c>
      <c r="AJ399" s="58" t="str">
        <f t="shared" si="312"/>
        <v/>
      </c>
      <c r="AK399" s="31">
        <f t="shared" si="313"/>
        <v>0</v>
      </c>
      <c r="AL399" s="21">
        <f t="shared" si="314"/>
        <v>0</v>
      </c>
      <c r="AM399" s="62" t="str">
        <f t="shared" si="315"/>
        <v/>
      </c>
      <c r="AN399" s="21">
        <f t="shared" si="316"/>
        <v>0</v>
      </c>
      <c r="AO399" s="62" t="str">
        <f t="shared" si="317"/>
        <v/>
      </c>
      <c r="AP399" s="21">
        <f t="shared" si="318"/>
        <v>0</v>
      </c>
      <c r="AQ399" s="62" t="str">
        <f t="shared" si="319"/>
        <v/>
      </c>
      <c r="AR399" s="31">
        <f t="shared" si="320"/>
        <v>0</v>
      </c>
      <c r="AS399" s="21">
        <f t="shared" si="321"/>
        <v>0</v>
      </c>
      <c r="AT399" s="62" t="str">
        <f t="shared" si="322"/>
        <v/>
      </c>
      <c r="AU399" s="84">
        <f t="shared" si="323"/>
        <v>0</v>
      </c>
      <c r="AV399" s="32">
        <f t="shared" si="324"/>
        <v>0</v>
      </c>
      <c r="AW399" s="85" t="str">
        <f t="shared" si="325"/>
        <v/>
      </c>
      <c r="AX399" s="86" t="str">
        <f t="shared" si="326"/>
        <v/>
      </c>
    </row>
    <row r="400" spans="1:50" x14ac:dyDescent="0.2">
      <c r="A400" s="29" t="str">
        <f t="shared" si="285"/>
        <v/>
      </c>
      <c r="B400" s="32" t="str">
        <f t="shared" si="286"/>
        <v/>
      </c>
      <c r="C400" s="35"/>
      <c r="D400" s="33" t="str">
        <f t="shared" si="287"/>
        <v/>
      </c>
      <c r="E400" s="22" t="str">
        <f t="shared" si="288"/>
        <v/>
      </c>
      <c r="F400" s="23" t="str">
        <f t="shared" si="289"/>
        <v/>
      </c>
      <c r="G400" s="23"/>
      <c r="H400" s="22"/>
      <c r="I400" s="23"/>
      <c r="J400" s="18"/>
      <c r="K400" s="13" t="str">
        <f t="shared" si="290"/>
        <v/>
      </c>
      <c r="L400" s="28" t="str">
        <f t="shared" si="284"/>
        <v/>
      </c>
      <c r="M400" s="10" t="str">
        <f t="shared" si="291"/>
        <v/>
      </c>
      <c r="N400" s="17" t="str">
        <f t="shared" si="292"/>
        <v/>
      </c>
      <c r="O400" s="39" t="str">
        <f t="shared" si="293"/>
        <v/>
      </c>
      <c r="P400" s="41" t="str">
        <f t="shared" si="294"/>
        <v/>
      </c>
      <c r="Q400" s="9" t="str">
        <f t="shared" si="295"/>
        <v/>
      </c>
      <c r="R400" s="14">
        <f t="shared" si="296"/>
        <v>0</v>
      </c>
      <c r="S400" s="61" t="str">
        <f t="shared" si="297"/>
        <v/>
      </c>
      <c r="T400" s="14">
        <f t="shared" si="298"/>
        <v>0</v>
      </c>
      <c r="U400" s="58" t="str">
        <f t="shared" si="299"/>
        <v/>
      </c>
      <c r="V400" s="14">
        <f t="shared" si="300"/>
        <v>0</v>
      </c>
      <c r="W400" s="58" t="str">
        <f t="shared" si="301"/>
        <v/>
      </c>
      <c r="X400" s="14">
        <f t="shared" si="302"/>
        <v>0</v>
      </c>
      <c r="Y400" s="58" t="str">
        <f t="shared" si="303"/>
        <v/>
      </c>
      <c r="Z400" s="31">
        <f t="shared" si="304"/>
        <v>0</v>
      </c>
      <c r="AA400" s="21">
        <f t="shared" si="305"/>
        <v>0</v>
      </c>
      <c r="AB400" s="58" t="str">
        <f t="shared" si="306"/>
        <v/>
      </c>
      <c r="AC400" s="630">
        <f t="shared" si="283"/>
        <v>0</v>
      </c>
      <c r="AD400" s="627"/>
      <c r="AE400" s="21">
        <f t="shared" si="307"/>
        <v>0</v>
      </c>
      <c r="AF400" s="58" t="str">
        <f t="shared" si="308"/>
        <v/>
      </c>
      <c r="AG400" s="21">
        <f t="shared" si="309"/>
        <v>0</v>
      </c>
      <c r="AH400" s="58" t="str">
        <f t="shared" si="310"/>
        <v/>
      </c>
      <c r="AI400" s="21">
        <f t="shared" si="311"/>
        <v>0</v>
      </c>
      <c r="AJ400" s="58" t="str">
        <f t="shared" si="312"/>
        <v/>
      </c>
      <c r="AK400" s="31">
        <f t="shared" si="313"/>
        <v>0</v>
      </c>
      <c r="AL400" s="21">
        <f t="shared" si="314"/>
        <v>0</v>
      </c>
      <c r="AM400" s="62" t="str">
        <f t="shared" si="315"/>
        <v/>
      </c>
      <c r="AN400" s="21">
        <f t="shared" si="316"/>
        <v>0</v>
      </c>
      <c r="AO400" s="62" t="str">
        <f t="shared" si="317"/>
        <v/>
      </c>
      <c r="AP400" s="21">
        <f t="shared" si="318"/>
        <v>0</v>
      </c>
      <c r="AQ400" s="62" t="str">
        <f t="shared" si="319"/>
        <v/>
      </c>
      <c r="AR400" s="31">
        <f t="shared" si="320"/>
        <v>0</v>
      </c>
      <c r="AS400" s="21">
        <f t="shared" si="321"/>
        <v>0</v>
      </c>
      <c r="AT400" s="62" t="str">
        <f t="shared" si="322"/>
        <v/>
      </c>
      <c r="AU400" s="84">
        <f t="shared" si="323"/>
        <v>0</v>
      </c>
      <c r="AV400" s="32">
        <f t="shared" si="324"/>
        <v>0</v>
      </c>
      <c r="AW400" s="85" t="str">
        <f t="shared" si="325"/>
        <v/>
      </c>
      <c r="AX400" s="86" t="str">
        <f t="shared" si="326"/>
        <v/>
      </c>
    </row>
    <row r="401" spans="1:50" x14ac:dyDescent="0.2">
      <c r="A401" s="29" t="str">
        <f t="shared" si="285"/>
        <v/>
      </c>
      <c r="B401" s="32" t="str">
        <f t="shared" si="286"/>
        <v/>
      </c>
      <c r="C401" s="35"/>
      <c r="D401" s="33" t="str">
        <f t="shared" si="287"/>
        <v/>
      </c>
      <c r="E401" s="22" t="str">
        <f t="shared" si="288"/>
        <v/>
      </c>
      <c r="F401" s="23" t="str">
        <f t="shared" si="289"/>
        <v/>
      </c>
      <c r="G401" s="23"/>
      <c r="H401" s="22"/>
      <c r="I401" s="23"/>
      <c r="J401" s="18"/>
      <c r="K401" s="13" t="str">
        <f t="shared" si="290"/>
        <v/>
      </c>
      <c r="L401" s="28" t="str">
        <f t="shared" si="284"/>
        <v/>
      </c>
      <c r="M401" s="10" t="str">
        <f t="shared" si="291"/>
        <v/>
      </c>
      <c r="N401" s="17" t="str">
        <f t="shared" si="292"/>
        <v/>
      </c>
      <c r="O401" s="39" t="str">
        <f t="shared" si="293"/>
        <v/>
      </c>
      <c r="P401" s="41" t="str">
        <f t="shared" si="294"/>
        <v/>
      </c>
      <c r="Q401" s="9" t="str">
        <f t="shared" si="295"/>
        <v/>
      </c>
      <c r="R401" s="14">
        <f t="shared" si="296"/>
        <v>0</v>
      </c>
      <c r="S401" s="61" t="str">
        <f t="shared" si="297"/>
        <v/>
      </c>
      <c r="T401" s="14">
        <f t="shared" si="298"/>
        <v>0</v>
      </c>
      <c r="U401" s="58" t="str">
        <f t="shared" si="299"/>
        <v/>
      </c>
      <c r="V401" s="14">
        <f t="shared" si="300"/>
        <v>0</v>
      </c>
      <c r="W401" s="58" t="str">
        <f t="shared" si="301"/>
        <v/>
      </c>
      <c r="X401" s="14">
        <f t="shared" si="302"/>
        <v>0</v>
      </c>
      <c r="Y401" s="58" t="str">
        <f t="shared" si="303"/>
        <v/>
      </c>
      <c r="Z401" s="31">
        <f t="shared" si="304"/>
        <v>0</v>
      </c>
      <c r="AA401" s="21">
        <f t="shared" si="305"/>
        <v>0</v>
      </c>
      <c r="AB401" s="58" t="str">
        <f t="shared" si="306"/>
        <v/>
      </c>
      <c r="AC401" s="630">
        <f t="shared" si="283"/>
        <v>0</v>
      </c>
      <c r="AD401" s="627"/>
      <c r="AE401" s="21">
        <f t="shared" si="307"/>
        <v>0</v>
      </c>
      <c r="AF401" s="58" t="str">
        <f t="shared" si="308"/>
        <v/>
      </c>
      <c r="AG401" s="21">
        <f t="shared" si="309"/>
        <v>0</v>
      </c>
      <c r="AH401" s="58" t="str">
        <f t="shared" si="310"/>
        <v/>
      </c>
      <c r="AI401" s="21">
        <f t="shared" si="311"/>
        <v>0</v>
      </c>
      <c r="AJ401" s="58" t="str">
        <f t="shared" si="312"/>
        <v/>
      </c>
      <c r="AK401" s="31">
        <f t="shared" si="313"/>
        <v>0</v>
      </c>
      <c r="AL401" s="21">
        <f t="shared" si="314"/>
        <v>0</v>
      </c>
      <c r="AM401" s="62" t="str">
        <f t="shared" si="315"/>
        <v/>
      </c>
      <c r="AN401" s="21">
        <f t="shared" si="316"/>
        <v>0</v>
      </c>
      <c r="AO401" s="62" t="str">
        <f t="shared" si="317"/>
        <v/>
      </c>
      <c r="AP401" s="21">
        <f t="shared" si="318"/>
        <v>0</v>
      </c>
      <c r="AQ401" s="62" t="str">
        <f t="shared" si="319"/>
        <v/>
      </c>
      <c r="AR401" s="31">
        <f t="shared" si="320"/>
        <v>0</v>
      </c>
      <c r="AS401" s="21">
        <f t="shared" si="321"/>
        <v>0</v>
      </c>
      <c r="AT401" s="62" t="str">
        <f t="shared" si="322"/>
        <v/>
      </c>
      <c r="AU401" s="84">
        <f t="shared" si="323"/>
        <v>0</v>
      </c>
      <c r="AV401" s="32">
        <f t="shared" si="324"/>
        <v>0</v>
      </c>
      <c r="AW401" s="85" t="str">
        <f t="shared" si="325"/>
        <v/>
      </c>
      <c r="AX401" s="86" t="str">
        <f t="shared" si="326"/>
        <v/>
      </c>
    </row>
    <row r="402" spans="1:50" x14ac:dyDescent="0.2">
      <c r="A402" s="29" t="str">
        <f t="shared" si="285"/>
        <v/>
      </c>
      <c r="B402" s="32" t="str">
        <f t="shared" si="286"/>
        <v/>
      </c>
      <c r="C402" s="35"/>
      <c r="D402" s="33" t="str">
        <f t="shared" si="287"/>
        <v/>
      </c>
      <c r="E402" s="22" t="str">
        <f t="shared" si="288"/>
        <v/>
      </c>
      <c r="F402" s="23" t="str">
        <f t="shared" si="289"/>
        <v/>
      </c>
      <c r="G402" s="23"/>
      <c r="H402" s="22"/>
      <c r="I402" s="23"/>
      <c r="J402" s="18"/>
      <c r="K402" s="13" t="str">
        <f t="shared" si="290"/>
        <v/>
      </c>
      <c r="L402" s="28" t="str">
        <f t="shared" si="284"/>
        <v/>
      </c>
      <c r="M402" s="10" t="str">
        <f t="shared" si="291"/>
        <v/>
      </c>
      <c r="N402" s="17" t="str">
        <f t="shared" si="292"/>
        <v/>
      </c>
      <c r="O402" s="39" t="str">
        <f t="shared" si="293"/>
        <v/>
      </c>
      <c r="P402" s="41" t="str">
        <f t="shared" si="294"/>
        <v/>
      </c>
      <c r="Q402" s="9" t="str">
        <f t="shared" si="295"/>
        <v/>
      </c>
      <c r="R402" s="14">
        <f t="shared" si="296"/>
        <v>0</v>
      </c>
      <c r="S402" s="61" t="str">
        <f t="shared" si="297"/>
        <v/>
      </c>
      <c r="T402" s="14">
        <f t="shared" si="298"/>
        <v>0</v>
      </c>
      <c r="U402" s="58" t="str">
        <f t="shared" si="299"/>
        <v/>
      </c>
      <c r="V402" s="14">
        <f t="shared" si="300"/>
        <v>0</v>
      </c>
      <c r="W402" s="58" t="str">
        <f t="shared" si="301"/>
        <v/>
      </c>
      <c r="X402" s="14">
        <f t="shared" si="302"/>
        <v>0</v>
      </c>
      <c r="Y402" s="58" t="str">
        <f t="shared" si="303"/>
        <v/>
      </c>
      <c r="Z402" s="31">
        <f t="shared" si="304"/>
        <v>0</v>
      </c>
      <c r="AA402" s="21">
        <f t="shared" si="305"/>
        <v>0</v>
      </c>
      <c r="AB402" s="58" t="str">
        <f t="shared" si="306"/>
        <v/>
      </c>
      <c r="AC402" s="630">
        <f t="shared" si="283"/>
        <v>0</v>
      </c>
      <c r="AD402" s="627"/>
      <c r="AE402" s="21">
        <f t="shared" si="307"/>
        <v>0</v>
      </c>
      <c r="AF402" s="58" t="str">
        <f t="shared" si="308"/>
        <v/>
      </c>
      <c r="AG402" s="21">
        <f t="shared" si="309"/>
        <v>0</v>
      </c>
      <c r="AH402" s="58" t="str">
        <f t="shared" si="310"/>
        <v/>
      </c>
      <c r="AI402" s="21">
        <f t="shared" si="311"/>
        <v>0</v>
      </c>
      <c r="AJ402" s="58" t="str">
        <f t="shared" si="312"/>
        <v/>
      </c>
      <c r="AK402" s="31">
        <f t="shared" si="313"/>
        <v>0</v>
      </c>
      <c r="AL402" s="21">
        <f t="shared" si="314"/>
        <v>0</v>
      </c>
      <c r="AM402" s="62" t="str">
        <f t="shared" si="315"/>
        <v/>
      </c>
      <c r="AN402" s="21">
        <f t="shared" si="316"/>
        <v>0</v>
      </c>
      <c r="AO402" s="62" t="str">
        <f t="shared" si="317"/>
        <v/>
      </c>
      <c r="AP402" s="21">
        <f t="shared" si="318"/>
        <v>0</v>
      </c>
      <c r="AQ402" s="62" t="str">
        <f t="shared" si="319"/>
        <v/>
      </c>
      <c r="AR402" s="31">
        <f t="shared" si="320"/>
        <v>0</v>
      </c>
      <c r="AS402" s="21">
        <f t="shared" si="321"/>
        <v>0</v>
      </c>
      <c r="AT402" s="62" t="str">
        <f t="shared" si="322"/>
        <v/>
      </c>
      <c r="AU402" s="84">
        <f t="shared" si="323"/>
        <v>0</v>
      </c>
      <c r="AV402" s="32">
        <f t="shared" si="324"/>
        <v>0</v>
      </c>
      <c r="AW402" s="85" t="str">
        <f t="shared" si="325"/>
        <v/>
      </c>
      <c r="AX402" s="86" t="str">
        <f t="shared" si="326"/>
        <v/>
      </c>
    </row>
    <row r="403" spans="1:50" x14ac:dyDescent="0.2">
      <c r="A403" s="29" t="str">
        <f t="shared" si="285"/>
        <v/>
      </c>
      <c r="B403" s="32" t="str">
        <f t="shared" si="286"/>
        <v/>
      </c>
      <c r="C403" s="35"/>
      <c r="D403" s="33" t="str">
        <f t="shared" si="287"/>
        <v/>
      </c>
      <c r="E403" s="22" t="str">
        <f t="shared" si="288"/>
        <v/>
      </c>
      <c r="F403" s="23" t="str">
        <f t="shared" si="289"/>
        <v/>
      </c>
      <c r="G403" s="23"/>
      <c r="H403" s="22"/>
      <c r="I403" s="23"/>
      <c r="J403" s="18"/>
      <c r="K403" s="13" t="str">
        <f t="shared" si="290"/>
        <v/>
      </c>
      <c r="L403" s="28" t="str">
        <f t="shared" si="284"/>
        <v/>
      </c>
      <c r="M403" s="10" t="str">
        <f t="shared" si="291"/>
        <v/>
      </c>
      <c r="N403" s="17" t="str">
        <f t="shared" si="292"/>
        <v/>
      </c>
      <c r="O403" s="39" t="str">
        <f t="shared" si="293"/>
        <v/>
      </c>
      <c r="P403" s="41" t="str">
        <f t="shared" si="294"/>
        <v/>
      </c>
      <c r="Q403" s="9" t="str">
        <f t="shared" si="295"/>
        <v/>
      </c>
      <c r="R403" s="14">
        <f t="shared" si="296"/>
        <v>0</v>
      </c>
      <c r="S403" s="61" t="str">
        <f t="shared" si="297"/>
        <v/>
      </c>
      <c r="T403" s="14">
        <f t="shared" si="298"/>
        <v>0</v>
      </c>
      <c r="U403" s="58" t="str">
        <f t="shared" si="299"/>
        <v/>
      </c>
      <c r="V403" s="14">
        <f t="shared" si="300"/>
        <v>0</v>
      </c>
      <c r="W403" s="58" t="str">
        <f t="shared" si="301"/>
        <v/>
      </c>
      <c r="X403" s="14">
        <f t="shared" si="302"/>
        <v>0</v>
      </c>
      <c r="Y403" s="58" t="str">
        <f t="shared" si="303"/>
        <v/>
      </c>
      <c r="Z403" s="31">
        <f t="shared" si="304"/>
        <v>0</v>
      </c>
      <c r="AA403" s="21">
        <f t="shared" si="305"/>
        <v>0</v>
      </c>
      <c r="AB403" s="58" t="str">
        <f t="shared" si="306"/>
        <v/>
      </c>
      <c r="AC403" s="630">
        <f t="shared" si="283"/>
        <v>0</v>
      </c>
      <c r="AD403" s="627"/>
      <c r="AE403" s="21">
        <f t="shared" si="307"/>
        <v>0</v>
      </c>
      <c r="AF403" s="58" t="str">
        <f t="shared" si="308"/>
        <v/>
      </c>
      <c r="AG403" s="21">
        <f t="shared" si="309"/>
        <v>0</v>
      </c>
      <c r="AH403" s="58" t="str">
        <f t="shared" si="310"/>
        <v/>
      </c>
      <c r="AI403" s="21">
        <f t="shared" si="311"/>
        <v>0</v>
      </c>
      <c r="AJ403" s="58" t="str">
        <f t="shared" si="312"/>
        <v/>
      </c>
      <c r="AK403" s="31">
        <f t="shared" si="313"/>
        <v>0</v>
      </c>
      <c r="AL403" s="21">
        <f t="shared" si="314"/>
        <v>0</v>
      </c>
      <c r="AM403" s="62" t="str">
        <f t="shared" si="315"/>
        <v/>
      </c>
      <c r="AN403" s="21">
        <f t="shared" si="316"/>
        <v>0</v>
      </c>
      <c r="AO403" s="62" t="str">
        <f t="shared" si="317"/>
        <v/>
      </c>
      <c r="AP403" s="21">
        <f t="shared" si="318"/>
        <v>0</v>
      </c>
      <c r="AQ403" s="62" t="str">
        <f t="shared" si="319"/>
        <v/>
      </c>
      <c r="AR403" s="31">
        <f t="shared" si="320"/>
        <v>0</v>
      </c>
      <c r="AS403" s="21">
        <f t="shared" si="321"/>
        <v>0</v>
      </c>
      <c r="AT403" s="62" t="str">
        <f t="shared" si="322"/>
        <v/>
      </c>
      <c r="AU403" s="84">
        <f t="shared" si="323"/>
        <v>0</v>
      </c>
      <c r="AV403" s="32">
        <f t="shared" si="324"/>
        <v>0</v>
      </c>
      <c r="AW403" s="85" t="str">
        <f t="shared" si="325"/>
        <v/>
      </c>
      <c r="AX403" s="86" t="str">
        <f t="shared" si="326"/>
        <v/>
      </c>
    </row>
    <row r="404" spans="1:50" x14ac:dyDescent="0.2">
      <c r="A404" s="29" t="str">
        <f t="shared" si="285"/>
        <v/>
      </c>
      <c r="B404" s="32" t="str">
        <f t="shared" si="286"/>
        <v/>
      </c>
      <c r="C404" s="35"/>
      <c r="D404" s="33" t="str">
        <f t="shared" si="287"/>
        <v/>
      </c>
      <c r="E404" s="22" t="str">
        <f t="shared" si="288"/>
        <v/>
      </c>
      <c r="F404" s="23" t="str">
        <f t="shared" si="289"/>
        <v/>
      </c>
      <c r="G404" s="23"/>
      <c r="H404" s="22"/>
      <c r="I404" s="23"/>
      <c r="J404" s="18"/>
      <c r="K404" s="13" t="str">
        <f t="shared" si="290"/>
        <v/>
      </c>
      <c r="L404" s="28" t="str">
        <f t="shared" si="284"/>
        <v/>
      </c>
      <c r="M404" s="10" t="str">
        <f t="shared" si="291"/>
        <v/>
      </c>
      <c r="N404" s="17" t="str">
        <f t="shared" si="292"/>
        <v/>
      </c>
      <c r="O404" s="39" t="str">
        <f t="shared" si="293"/>
        <v/>
      </c>
      <c r="P404" s="41" t="str">
        <f t="shared" si="294"/>
        <v/>
      </c>
      <c r="Q404" s="9" t="str">
        <f t="shared" si="295"/>
        <v/>
      </c>
      <c r="R404" s="14">
        <f t="shared" si="296"/>
        <v>0</v>
      </c>
      <c r="S404" s="61" t="str">
        <f t="shared" si="297"/>
        <v/>
      </c>
      <c r="T404" s="14">
        <f t="shared" si="298"/>
        <v>0</v>
      </c>
      <c r="U404" s="58" t="str">
        <f t="shared" si="299"/>
        <v/>
      </c>
      <c r="V404" s="14">
        <f t="shared" si="300"/>
        <v>0</v>
      </c>
      <c r="W404" s="58" t="str">
        <f t="shared" si="301"/>
        <v/>
      </c>
      <c r="X404" s="14">
        <f t="shared" si="302"/>
        <v>0</v>
      </c>
      <c r="Y404" s="58" t="str">
        <f t="shared" si="303"/>
        <v/>
      </c>
      <c r="Z404" s="31">
        <f t="shared" si="304"/>
        <v>0</v>
      </c>
      <c r="AA404" s="21">
        <f t="shared" si="305"/>
        <v>0</v>
      </c>
      <c r="AB404" s="58" t="str">
        <f t="shared" si="306"/>
        <v/>
      </c>
      <c r="AC404" s="630">
        <f t="shared" si="283"/>
        <v>0</v>
      </c>
      <c r="AD404" s="627"/>
      <c r="AE404" s="21">
        <f t="shared" si="307"/>
        <v>0</v>
      </c>
      <c r="AF404" s="58" t="str">
        <f t="shared" si="308"/>
        <v/>
      </c>
      <c r="AG404" s="21">
        <f t="shared" si="309"/>
        <v>0</v>
      </c>
      <c r="AH404" s="58" t="str">
        <f t="shared" si="310"/>
        <v/>
      </c>
      <c r="AI404" s="21">
        <f t="shared" si="311"/>
        <v>0</v>
      </c>
      <c r="AJ404" s="58" t="str">
        <f t="shared" si="312"/>
        <v/>
      </c>
      <c r="AK404" s="31">
        <f t="shared" si="313"/>
        <v>0</v>
      </c>
      <c r="AL404" s="21">
        <f t="shared" si="314"/>
        <v>0</v>
      </c>
      <c r="AM404" s="62" t="str">
        <f t="shared" si="315"/>
        <v/>
      </c>
      <c r="AN404" s="21">
        <f t="shared" si="316"/>
        <v>0</v>
      </c>
      <c r="AO404" s="62" t="str">
        <f t="shared" si="317"/>
        <v/>
      </c>
      <c r="AP404" s="21">
        <f t="shared" si="318"/>
        <v>0</v>
      </c>
      <c r="AQ404" s="62" t="str">
        <f t="shared" si="319"/>
        <v/>
      </c>
      <c r="AR404" s="31">
        <f t="shared" si="320"/>
        <v>0</v>
      </c>
      <c r="AS404" s="21">
        <f t="shared" si="321"/>
        <v>0</v>
      </c>
      <c r="AT404" s="62" t="str">
        <f t="shared" si="322"/>
        <v/>
      </c>
      <c r="AU404" s="84">
        <f t="shared" si="323"/>
        <v>0</v>
      </c>
      <c r="AV404" s="32">
        <f t="shared" si="324"/>
        <v>0</v>
      </c>
      <c r="AW404" s="85" t="str">
        <f t="shared" si="325"/>
        <v/>
      </c>
      <c r="AX404" s="86" t="str">
        <f t="shared" si="326"/>
        <v/>
      </c>
    </row>
    <row r="405" spans="1:50" x14ac:dyDescent="0.2">
      <c r="A405" s="29" t="str">
        <f t="shared" si="285"/>
        <v/>
      </c>
      <c r="B405" s="32" t="str">
        <f t="shared" si="286"/>
        <v/>
      </c>
      <c r="C405" s="35"/>
      <c r="D405" s="33" t="str">
        <f t="shared" si="287"/>
        <v/>
      </c>
      <c r="E405" s="22" t="str">
        <f t="shared" si="288"/>
        <v/>
      </c>
      <c r="F405" s="23" t="str">
        <f t="shared" si="289"/>
        <v/>
      </c>
      <c r="G405" s="23"/>
      <c r="H405" s="22"/>
      <c r="I405" s="23"/>
      <c r="J405" s="18"/>
      <c r="K405" s="13" t="str">
        <f t="shared" si="290"/>
        <v/>
      </c>
      <c r="L405" s="28" t="str">
        <f t="shared" si="284"/>
        <v/>
      </c>
      <c r="M405" s="10" t="str">
        <f t="shared" si="291"/>
        <v/>
      </c>
      <c r="N405" s="17" t="str">
        <f t="shared" si="292"/>
        <v/>
      </c>
      <c r="O405" s="39" t="str">
        <f t="shared" si="293"/>
        <v/>
      </c>
      <c r="P405" s="41" t="str">
        <f t="shared" si="294"/>
        <v/>
      </c>
      <c r="Q405" s="9" t="str">
        <f t="shared" si="295"/>
        <v/>
      </c>
      <c r="R405" s="14">
        <f t="shared" si="296"/>
        <v>0</v>
      </c>
      <c r="S405" s="61" t="str">
        <f t="shared" si="297"/>
        <v/>
      </c>
      <c r="T405" s="14">
        <f t="shared" si="298"/>
        <v>0</v>
      </c>
      <c r="U405" s="58" t="str">
        <f t="shared" si="299"/>
        <v/>
      </c>
      <c r="V405" s="14">
        <f t="shared" si="300"/>
        <v>0</v>
      </c>
      <c r="W405" s="58" t="str">
        <f t="shared" si="301"/>
        <v/>
      </c>
      <c r="X405" s="14">
        <f t="shared" si="302"/>
        <v>0</v>
      </c>
      <c r="Y405" s="58" t="str">
        <f t="shared" si="303"/>
        <v/>
      </c>
      <c r="Z405" s="31">
        <f t="shared" si="304"/>
        <v>0</v>
      </c>
      <c r="AA405" s="21">
        <f t="shared" si="305"/>
        <v>0</v>
      </c>
      <c r="AB405" s="58" t="str">
        <f t="shared" si="306"/>
        <v/>
      </c>
      <c r="AC405" s="630">
        <f t="shared" ref="AC405:AC468" si="327">COUNTIF(G405:J405,100)</f>
        <v>0</v>
      </c>
      <c r="AD405" s="627"/>
      <c r="AE405" s="21">
        <f t="shared" si="307"/>
        <v>0</v>
      </c>
      <c r="AF405" s="58" t="str">
        <f t="shared" si="308"/>
        <v/>
      </c>
      <c r="AG405" s="21">
        <f t="shared" si="309"/>
        <v>0</v>
      </c>
      <c r="AH405" s="58" t="str">
        <f t="shared" si="310"/>
        <v/>
      </c>
      <c r="AI405" s="21">
        <f t="shared" si="311"/>
        <v>0</v>
      </c>
      <c r="AJ405" s="58" t="str">
        <f t="shared" si="312"/>
        <v/>
      </c>
      <c r="AK405" s="31">
        <f t="shared" si="313"/>
        <v>0</v>
      </c>
      <c r="AL405" s="21">
        <f t="shared" si="314"/>
        <v>0</v>
      </c>
      <c r="AM405" s="62" t="str">
        <f t="shared" si="315"/>
        <v/>
      </c>
      <c r="AN405" s="21">
        <f t="shared" si="316"/>
        <v>0</v>
      </c>
      <c r="AO405" s="62" t="str">
        <f t="shared" si="317"/>
        <v/>
      </c>
      <c r="AP405" s="21">
        <f t="shared" si="318"/>
        <v>0</v>
      </c>
      <c r="AQ405" s="62" t="str">
        <f t="shared" si="319"/>
        <v/>
      </c>
      <c r="AR405" s="31">
        <f t="shared" si="320"/>
        <v>0</v>
      </c>
      <c r="AS405" s="21">
        <f t="shared" si="321"/>
        <v>0</v>
      </c>
      <c r="AT405" s="62" t="str">
        <f t="shared" si="322"/>
        <v/>
      </c>
      <c r="AU405" s="84">
        <f t="shared" si="323"/>
        <v>0</v>
      </c>
      <c r="AV405" s="32">
        <f t="shared" si="324"/>
        <v>0</v>
      </c>
      <c r="AW405" s="85" t="str">
        <f t="shared" si="325"/>
        <v/>
      </c>
      <c r="AX405" s="86" t="str">
        <f t="shared" si="326"/>
        <v/>
      </c>
    </row>
    <row r="406" spans="1:50" x14ac:dyDescent="0.2">
      <c r="A406" s="29" t="str">
        <f t="shared" si="285"/>
        <v/>
      </c>
      <c r="B406" s="32" t="str">
        <f t="shared" si="286"/>
        <v/>
      </c>
      <c r="C406" s="35"/>
      <c r="D406" s="33" t="str">
        <f t="shared" si="287"/>
        <v/>
      </c>
      <c r="E406" s="22" t="str">
        <f t="shared" si="288"/>
        <v/>
      </c>
      <c r="F406" s="23" t="str">
        <f t="shared" si="289"/>
        <v/>
      </c>
      <c r="G406" s="23"/>
      <c r="H406" s="22"/>
      <c r="I406" s="23"/>
      <c r="J406" s="18"/>
      <c r="K406" s="13" t="str">
        <f t="shared" si="290"/>
        <v/>
      </c>
      <c r="L406" s="28" t="str">
        <f t="shared" ref="L406:L469" si="328">IF($N$4="M",IF(A406="","",IF(K406=26,(A406+B406+Q406)*C406*0.02739,IF(K406=24,(A406+B406+Q406)*C406*0.02739,IF(K406=22,(A406+B406+Q406)*C406*0.0333,IF(K406=20,(A406+B406+Q406)*C406*0.0393,IF(K406=18,(A406+B406+Q406)*C406*0.0511,IF(K406=16,(A406+B406+Q406)*C406*0.0628))))))),IF(A406="","",IF(K406=26,(A406+B406+Q406)*C406*0.211,IF(K406=24,(A406+B406+Q406)*C406*0.211,IF(K406=22,(A406+B406+Q406)*C406*0.258,IF(K406=20,(A406+B406+Q406)*C406*0.304,IF(K406=18,(A406+B406+Q406)*C406*0.395,IF(K406=16,(A406+B406+Q406)*C406*0.487))))))))</f>
        <v/>
      </c>
      <c r="M406" s="10" t="str">
        <f t="shared" si="291"/>
        <v/>
      </c>
      <c r="N406" s="17" t="str">
        <f t="shared" si="292"/>
        <v/>
      </c>
      <c r="O406" s="39" t="str">
        <f t="shared" si="293"/>
        <v/>
      </c>
      <c r="P406" s="41" t="str">
        <f t="shared" si="294"/>
        <v/>
      </c>
      <c r="Q406" s="9" t="str">
        <f t="shared" si="295"/>
        <v/>
      </c>
      <c r="R406" s="14">
        <f t="shared" si="296"/>
        <v>0</v>
      </c>
      <c r="S406" s="61" t="str">
        <f t="shared" si="297"/>
        <v/>
      </c>
      <c r="T406" s="14">
        <f t="shared" si="298"/>
        <v>0</v>
      </c>
      <c r="U406" s="58" t="str">
        <f t="shared" si="299"/>
        <v/>
      </c>
      <c r="V406" s="14">
        <f t="shared" si="300"/>
        <v>0</v>
      </c>
      <c r="W406" s="58" t="str">
        <f t="shared" si="301"/>
        <v/>
      </c>
      <c r="X406" s="14">
        <f t="shared" si="302"/>
        <v>0</v>
      </c>
      <c r="Y406" s="58" t="str">
        <f t="shared" si="303"/>
        <v/>
      </c>
      <c r="Z406" s="31">
        <f t="shared" si="304"/>
        <v>0</v>
      </c>
      <c r="AA406" s="21">
        <f t="shared" si="305"/>
        <v>0</v>
      </c>
      <c r="AB406" s="58" t="str">
        <f t="shared" si="306"/>
        <v/>
      </c>
      <c r="AC406" s="630">
        <f t="shared" si="327"/>
        <v>0</v>
      </c>
      <c r="AD406" s="627"/>
      <c r="AE406" s="21">
        <f t="shared" si="307"/>
        <v>0</v>
      </c>
      <c r="AF406" s="58" t="str">
        <f t="shared" si="308"/>
        <v/>
      </c>
      <c r="AG406" s="21">
        <f t="shared" si="309"/>
        <v>0</v>
      </c>
      <c r="AH406" s="58" t="str">
        <f t="shared" si="310"/>
        <v/>
      </c>
      <c r="AI406" s="21">
        <f t="shared" si="311"/>
        <v>0</v>
      </c>
      <c r="AJ406" s="58" t="str">
        <f t="shared" si="312"/>
        <v/>
      </c>
      <c r="AK406" s="31">
        <f t="shared" si="313"/>
        <v>0</v>
      </c>
      <c r="AL406" s="21">
        <f t="shared" si="314"/>
        <v>0</v>
      </c>
      <c r="AM406" s="62" t="str">
        <f t="shared" si="315"/>
        <v/>
      </c>
      <c r="AN406" s="21">
        <f t="shared" si="316"/>
        <v>0</v>
      </c>
      <c r="AO406" s="62" t="str">
        <f t="shared" si="317"/>
        <v/>
      </c>
      <c r="AP406" s="21">
        <f t="shared" si="318"/>
        <v>0</v>
      </c>
      <c r="AQ406" s="62" t="str">
        <f t="shared" si="319"/>
        <v/>
      </c>
      <c r="AR406" s="31">
        <f t="shared" si="320"/>
        <v>0</v>
      </c>
      <c r="AS406" s="21">
        <f t="shared" si="321"/>
        <v>0</v>
      </c>
      <c r="AT406" s="62" t="str">
        <f t="shared" si="322"/>
        <v/>
      </c>
      <c r="AU406" s="84">
        <f t="shared" si="323"/>
        <v>0</v>
      </c>
      <c r="AV406" s="32">
        <f t="shared" si="324"/>
        <v>0</v>
      </c>
      <c r="AW406" s="85" t="str">
        <f t="shared" si="325"/>
        <v/>
      </c>
      <c r="AX406" s="86" t="str">
        <f t="shared" si="326"/>
        <v/>
      </c>
    </row>
    <row r="407" spans="1:50" x14ac:dyDescent="0.2">
      <c r="A407" s="29" t="str">
        <f t="shared" si="285"/>
        <v/>
      </c>
      <c r="B407" s="32" t="str">
        <f t="shared" si="286"/>
        <v/>
      </c>
      <c r="C407" s="35"/>
      <c r="D407" s="33" t="str">
        <f t="shared" si="287"/>
        <v/>
      </c>
      <c r="E407" s="22" t="str">
        <f t="shared" si="288"/>
        <v/>
      </c>
      <c r="F407" s="23" t="str">
        <f t="shared" si="289"/>
        <v/>
      </c>
      <c r="G407" s="23"/>
      <c r="H407" s="22"/>
      <c r="I407" s="23"/>
      <c r="J407" s="18"/>
      <c r="K407" s="13" t="str">
        <f t="shared" si="290"/>
        <v/>
      </c>
      <c r="L407" s="28" t="str">
        <f t="shared" si="328"/>
        <v/>
      </c>
      <c r="M407" s="10" t="str">
        <f t="shared" si="291"/>
        <v/>
      </c>
      <c r="N407" s="17" t="str">
        <f t="shared" si="292"/>
        <v/>
      </c>
      <c r="O407" s="39" t="str">
        <f t="shared" si="293"/>
        <v/>
      </c>
      <c r="P407" s="41" t="str">
        <f t="shared" si="294"/>
        <v/>
      </c>
      <c r="Q407" s="9" t="str">
        <f t="shared" si="295"/>
        <v/>
      </c>
      <c r="R407" s="14">
        <f t="shared" si="296"/>
        <v>0</v>
      </c>
      <c r="S407" s="61" t="str">
        <f t="shared" si="297"/>
        <v/>
      </c>
      <c r="T407" s="14">
        <f t="shared" si="298"/>
        <v>0</v>
      </c>
      <c r="U407" s="58" t="str">
        <f t="shared" si="299"/>
        <v/>
      </c>
      <c r="V407" s="14">
        <f t="shared" si="300"/>
        <v>0</v>
      </c>
      <c r="W407" s="58" t="str">
        <f t="shared" si="301"/>
        <v/>
      </c>
      <c r="X407" s="14">
        <f t="shared" si="302"/>
        <v>0</v>
      </c>
      <c r="Y407" s="58" t="str">
        <f t="shared" si="303"/>
        <v/>
      </c>
      <c r="Z407" s="31">
        <f t="shared" si="304"/>
        <v>0</v>
      </c>
      <c r="AA407" s="21">
        <f t="shared" si="305"/>
        <v>0</v>
      </c>
      <c r="AB407" s="58" t="str">
        <f t="shared" si="306"/>
        <v/>
      </c>
      <c r="AC407" s="630">
        <f t="shared" si="327"/>
        <v>0</v>
      </c>
      <c r="AD407" s="627"/>
      <c r="AE407" s="21">
        <f t="shared" si="307"/>
        <v>0</v>
      </c>
      <c r="AF407" s="58" t="str">
        <f t="shared" si="308"/>
        <v/>
      </c>
      <c r="AG407" s="21">
        <f t="shared" si="309"/>
        <v>0</v>
      </c>
      <c r="AH407" s="58" t="str">
        <f t="shared" si="310"/>
        <v/>
      </c>
      <c r="AI407" s="21">
        <f t="shared" si="311"/>
        <v>0</v>
      </c>
      <c r="AJ407" s="58" t="str">
        <f t="shared" si="312"/>
        <v/>
      </c>
      <c r="AK407" s="31">
        <f t="shared" si="313"/>
        <v>0</v>
      </c>
      <c r="AL407" s="21">
        <f t="shared" si="314"/>
        <v>0</v>
      </c>
      <c r="AM407" s="62" t="str">
        <f t="shared" si="315"/>
        <v/>
      </c>
      <c r="AN407" s="21">
        <f t="shared" si="316"/>
        <v>0</v>
      </c>
      <c r="AO407" s="62" t="str">
        <f t="shared" si="317"/>
        <v/>
      </c>
      <c r="AP407" s="21">
        <f t="shared" si="318"/>
        <v>0</v>
      </c>
      <c r="AQ407" s="62" t="str">
        <f t="shared" si="319"/>
        <v/>
      </c>
      <c r="AR407" s="31">
        <f t="shared" si="320"/>
        <v>0</v>
      </c>
      <c r="AS407" s="21">
        <f t="shared" si="321"/>
        <v>0</v>
      </c>
      <c r="AT407" s="62" t="str">
        <f t="shared" si="322"/>
        <v/>
      </c>
      <c r="AU407" s="84">
        <f t="shared" si="323"/>
        <v>0</v>
      </c>
      <c r="AV407" s="32">
        <f t="shared" si="324"/>
        <v>0</v>
      </c>
      <c r="AW407" s="85" t="str">
        <f t="shared" si="325"/>
        <v/>
      </c>
      <c r="AX407" s="86" t="str">
        <f t="shared" si="326"/>
        <v/>
      </c>
    </row>
    <row r="408" spans="1:50" x14ac:dyDescent="0.2">
      <c r="A408" s="29" t="str">
        <f t="shared" si="285"/>
        <v/>
      </c>
      <c r="B408" s="32" t="str">
        <f t="shared" si="286"/>
        <v/>
      </c>
      <c r="C408" s="35"/>
      <c r="D408" s="33" t="str">
        <f t="shared" si="287"/>
        <v/>
      </c>
      <c r="E408" s="22" t="str">
        <f t="shared" si="288"/>
        <v/>
      </c>
      <c r="F408" s="23" t="str">
        <f t="shared" si="289"/>
        <v/>
      </c>
      <c r="G408" s="23"/>
      <c r="H408" s="22"/>
      <c r="I408" s="23"/>
      <c r="J408" s="18"/>
      <c r="K408" s="13" t="str">
        <f t="shared" si="290"/>
        <v/>
      </c>
      <c r="L408" s="28" t="str">
        <f t="shared" si="328"/>
        <v/>
      </c>
      <c r="M408" s="10" t="str">
        <f t="shared" si="291"/>
        <v/>
      </c>
      <c r="N408" s="17" t="str">
        <f t="shared" si="292"/>
        <v/>
      </c>
      <c r="O408" s="39" t="str">
        <f t="shared" si="293"/>
        <v/>
      </c>
      <c r="P408" s="41" t="str">
        <f t="shared" si="294"/>
        <v/>
      </c>
      <c r="Q408" s="9" t="str">
        <f t="shared" si="295"/>
        <v/>
      </c>
      <c r="R408" s="14">
        <f t="shared" si="296"/>
        <v>0</v>
      </c>
      <c r="S408" s="61" t="str">
        <f t="shared" si="297"/>
        <v/>
      </c>
      <c r="T408" s="14">
        <f t="shared" si="298"/>
        <v>0</v>
      </c>
      <c r="U408" s="58" t="str">
        <f t="shared" si="299"/>
        <v/>
      </c>
      <c r="V408" s="14">
        <f t="shared" si="300"/>
        <v>0</v>
      </c>
      <c r="W408" s="58" t="str">
        <f t="shared" si="301"/>
        <v/>
      </c>
      <c r="X408" s="14">
        <f t="shared" si="302"/>
        <v>0</v>
      </c>
      <c r="Y408" s="58" t="str">
        <f t="shared" si="303"/>
        <v/>
      </c>
      <c r="Z408" s="31">
        <f t="shared" si="304"/>
        <v>0</v>
      </c>
      <c r="AA408" s="21">
        <f t="shared" si="305"/>
        <v>0</v>
      </c>
      <c r="AB408" s="58" t="str">
        <f t="shared" si="306"/>
        <v/>
      </c>
      <c r="AC408" s="630">
        <f t="shared" si="327"/>
        <v>0</v>
      </c>
      <c r="AD408" s="627"/>
      <c r="AE408" s="21">
        <f t="shared" si="307"/>
        <v>0</v>
      </c>
      <c r="AF408" s="58" t="str">
        <f t="shared" si="308"/>
        <v/>
      </c>
      <c r="AG408" s="21">
        <f t="shared" si="309"/>
        <v>0</v>
      </c>
      <c r="AH408" s="58" t="str">
        <f t="shared" si="310"/>
        <v/>
      </c>
      <c r="AI408" s="21">
        <f t="shared" si="311"/>
        <v>0</v>
      </c>
      <c r="AJ408" s="58" t="str">
        <f t="shared" si="312"/>
        <v/>
      </c>
      <c r="AK408" s="31">
        <f t="shared" si="313"/>
        <v>0</v>
      </c>
      <c r="AL408" s="21">
        <f t="shared" si="314"/>
        <v>0</v>
      </c>
      <c r="AM408" s="62" t="str">
        <f t="shared" si="315"/>
        <v/>
      </c>
      <c r="AN408" s="21">
        <f t="shared" si="316"/>
        <v>0</v>
      </c>
      <c r="AO408" s="62" t="str">
        <f t="shared" si="317"/>
        <v/>
      </c>
      <c r="AP408" s="21">
        <f t="shared" si="318"/>
        <v>0</v>
      </c>
      <c r="AQ408" s="62" t="str">
        <f t="shared" si="319"/>
        <v/>
      </c>
      <c r="AR408" s="31">
        <f t="shared" si="320"/>
        <v>0</v>
      </c>
      <c r="AS408" s="21">
        <f t="shared" si="321"/>
        <v>0</v>
      </c>
      <c r="AT408" s="62" t="str">
        <f t="shared" si="322"/>
        <v/>
      </c>
      <c r="AU408" s="84">
        <f t="shared" si="323"/>
        <v>0</v>
      </c>
      <c r="AV408" s="32">
        <f t="shared" si="324"/>
        <v>0</v>
      </c>
      <c r="AW408" s="85" t="str">
        <f t="shared" si="325"/>
        <v/>
      </c>
      <c r="AX408" s="86" t="str">
        <f t="shared" si="326"/>
        <v/>
      </c>
    </row>
    <row r="409" spans="1:50" x14ac:dyDescent="0.2">
      <c r="A409" s="29" t="str">
        <f t="shared" si="285"/>
        <v/>
      </c>
      <c r="B409" s="32" t="str">
        <f t="shared" si="286"/>
        <v/>
      </c>
      <c r="C409" s="35"/>
      <c r="D409" s="33" t="str">
        <f t="shared" si="287"/>
        <v/>
      </c>
      <c r="E409" s="22" t="str">
        <f t="shared" si="288"/>
        <v/>
      </c>
      <c r="F409" s="23" t="str">
        <f t="shared" si="289"/>
        <v/>
      </c>
      <c r="G409" s="23"/>
      <c r="H409" s="22"/>
      <c r="I409" s="23"/>
      <c r="J409" s="18"/>
      <c r="K409" s="13" t="str">
        <f t="shared" si="290"/>
        <v/>
      </c>
      <c r="L409" s="28" t="str">
        <f t="shared" si="328"/>
        <v/>
      </c>
      <c r="M409" s="10" t="str">
        <f t="shared" si="291"/>
        <v/>
      </c>
      <c r="N409" s="17" t="str">
        <f t="shared" si="292"/>
        <v/>
      </c>
      <c r="O409" s="39" t="str">
        <f t="shared" si="293"/>
        <v/>
      </c>
      <c r="P409" s="41" t="str">
        <f t="shared" si="294"/>
        <v/>
      </c>
      <c r="Q409" s="9" t="str">
        <f t="shared" si="295"/>
        <v/>
      </c>
      <c r="R409" s="14">
        <f t="shared" si="296"/>
        <v>0</v>
      </c>
      <c r="S409" s="61" t="str">
        <f t="shared" si="297"/>
        <v/>
      </c>
      <c r="T409" s="14">
        <f t="shared" si="298"/>
        <v>0</v>
      </c>
      <c r="U409" s="58" t="str">
        <f t="shared" si="299"/>
        <v/>
      </c>
      <c r="V409" s="14">
        <f t="shared" si="300"/>
        <v>0</v>
      </c>
      <c r="W409" s="58" t="str">
        <f t="shared" si="301"/>
        <v/>
      </c>
      <c r="X409" s="14">
        <f t="shared" si="302"/>
        <v>0</v>
      </c>
      <c r="Y409" s="58" t="str">
        <f t="shared" si="303"/>
        <v/>
      </c>
      <c r="Z409" s="31">
        <f t="shared" si="304"/>
        <v>0</v>
      </c>
      <c r="AA409" s="21">
        <f t="shared" si="305"/>
        <v>0</v>
      </c>
      <c r="AB409" s="58" t="str">
        <f t="shared" si="306"/>
        <v/>
      </c>
      <c r="AC409" s="630">
        <f t="shared" si="327"/>
        <v>0</v>
      </c>
      <c r="AD409" s="627"/>
      <c r="AE409" s="21">
        <f t="shared" si="307"/>
        <v>0</v>
      </c>
      <c r="AF409" s="58" t="str">
        <f t="shared" si="308"/>
        <v/>
      </c>
      <c r="AG409" s="21">
        <f t="shared" si="309"/>
        <v>0</v>
      </c>
      <c r="AH409" s="58" t="str">
        <f t="shared" si="310"/>
        <v/>
      </c>
      <c r="AI409" s="21">
        <f t="shared" si="311"/>
        <v>0</v>
      </c>
      <c r="AJ409" s="58" t="str">
        <f t="shared" si="312"/>
        <v/>
      </c>
      <c r="AK409" s="31">
        <f t="shared" si="313"/>
        <v>0</v>
      </c>
      <c r="AL409" s="21">
        <f t="shared" si="314"/>
        <v>0</v>
      </c>
      <c r="AM409" s="62" t="str">
        <f t="shared" si="315"/>
        <v/>
      </c>
      <c r="AN409" s="21">
        <f t="shared" si="316"/>
        <v>0</v>
      </c>
      <c r="AO409" s="62" t="str">
        <f t="shared" si="317"/>
        <v/>
      </c>
      <c r="AP409" s="21">
        <f t="shared" si="318"/>
        <v>0</v>
      </c>
      <c r="AQ409" s="62" t="str">
        <f t="shared" si="319"/>
        <v/>
      </c>
      <c r="AR409" s="31">
        <f t="shared" si="320"/>
        <v>0</v>
      </c>
      <c r="AS409" s="21">
        <f t="shared" si="321"/>
        <v>0</v>
      </c>
      <c r="AT409" s="62" t="str">
        <f t="shared" si="322"/>
        <v/>
      </c>
      <c r="AU409" s="84">
        <f t="shared" si="323"/>
        <v>0</v>
      </c>
      <c r="AV409" s="32">
        <f t="shared" si="324"/>
        <v>0</v>
      </c>
      <c r="AW409" s="85" t="str">
        <f t="shared" si="325"/>
        <v/>
      </c>
      <c r="AX409" s="86" t="str">
        <f t="shared" si="326"/>
        <v/>
      </c>
    </row>
    <row r="410" spans="1:50" x14ac:dyDescent="0.2">
      <c r="A410" s="29" t="str">
        <f t="shared" si="285"/>
        <v/>
      </c>
      <c r="B410" s="32" t="str">
        <f t="shared" si="286"/>
        <v/>
      </c>
      <c r="C410" s="35"/>
      <c r="D410" s="33" t="str">
        <f t="shared" si="287"/>
        <v/>
      </c>
      <c r="E410" s="22" t="str">
        <f t="shared" si="288"/>
        <v/>
      </c>
      <c r="F410" s="23" t="str">
        <f t="shared" si="289"/>
        <v/>
      </c>
      <c r="G410" s="23"/>
      <c r="H410" s="22"/>
      <c r="I410" s="23"/>
      <c r="J410" s="18"/>
      <c r="K410" s="13" t="str">
        <f t="shared" si="290"/>
        <v/>
      </c>
      <c r="L410" s="28" t="str">
        <f t="shared" si="328"/>
        <v/>
      </c>
      <c r="M410" s="10" t="str">
        <f t="shared" si="291"/>
        <v/>
      </c>
      <c r="N410" s="17" t="str">
        <f t="shared" si="292"/>
        <v/>
      </c>
      <c r="O410" s="39" t="str">
        <f t="shared" si="293"/>
        <v/>
      </c>
      <c r="P410" s="41" t="str">
        <f t="shared" si="294"/>
        <v/>
      </c>
      <c r="Q410" s="9" t="str">
        <f t="shared" si="295"/>
        <v/>
      </c>
      <c r="R410" s="14">
        <f t="shared" si="296"/>
        <v>0</v>
      </c>
      <c r="S410" s="61" t="str">
        <f t="shared" si="297"/>
        <v/>
      </c>
      <c r="T410" s="14">
        <f t="shared" si="298"/>
        <v>0</v>
      </c>
      <c r="U410" s="58" t="str">
        <f t="shared" si="299"/>
        <v/>
      </c>
      <c r="V410" s="14">
        <f t="shared" si="300"/>
        <v>0</v>
      </c>
      <c r="W410" s="58" t="str">
        <f t="shared" si="301"/>
        <v/>
      </c>
      <c r="X410" s="14">
        <f t="shared" si="302"/>
        <v>0</v>
      </c>
      <c r="Y410" s="58" t="str">
        <f t="shared" si="303"/>
        <v/>
      </c>
      <c r="Z410" s="31">
        <f t="shared" si="304"/>
        <v>0</v>
      </c>
      <c r="AA410" s="21">
        <f t="shared" si="305"/>
        <v>0</v>
      </c>
      <c r="AB410" s="58" t="str">
        <f t="shared" si="306"/>
        <v/>
      </c>
      <c r="AC410" s="630">
        <f t="shared" si="327"/>
        <v>0</v>
      </c>
      <c r="AD410" s="627"/>
      <c r="AE410" s="21">
        <f t="shared" si="307"/>
        <v>0</v>
      </c>
      <c r="AF410" s="58" t="str">
        <f t="shared" si="308"/>
        <v/>
      </c>
      <c r="AG410" s="21">
        <f t="shared" si="309"/>
        <v>0</v>
      </c>
      <c r="AH410" s="58" t="str">
        <f t="shared" si="310"/>
        <v/>
      </c>
      <c r="AI410" s="21">
        <f t="shared" si="311"/>
        <v>0</v>
      </c>
      <c r="AJ410" s="58" t="str">
        <f t="shared" si="312"/>
        <v/>
      </c>
      <c r="AK410" s="31">
        <f t="shared" si="313"/>
        <v>0</v>
      </c>
      <c r="AL410" s="21">
        <f t="shared" si="314"/>
        <v>0</v>
      </c>
      <c r="AM410" s="62" t="str">
        <f t="shared" si="315"/>
        <v/>
      </c>
      <c r="AN410" s="21">
        <f t="shared" si="316"/>
        <v>0</v>
      </c>
      <c r="AO410" s="62" t="str">
        <f t="shared" si="317"/>
        <v/>
      </c>
      <c r="AP410" s="21">
        <f t="shared" si="318"/>
        <v>0</v>
      </c>
      <c r="AQ410" s="62" t="str">
        <f t="shared" si="319"/>
        <v/>
      </c>
      <c r="AR410" s="31">
        <f t="shared" si="320"/>
        <v>0</v>
      </c>
      <c r="AS410" s="21">
        <f t="shared" si="321"/>
        <v>0</v>
      </c>
      <c r="AT410" s="62" t="str">
        <f t="shared" si="322"/>
        <v/>
      </c>
      <c r="AU410" s="84">
        <f t="shared" si="323"/>
        <v>0</v>
      </c>
      <c r="AV410" s="32">
        <f t="shared" si="324"/>
        <v>0</v>
      </c>
      <c r="AW410" s="85" t="str">
        <f t="shared" si="325"/>
        <v/>
      </c>
      <c r="AX410" s="86" t="str">
        <f t="shared" si="326"/>
        <v/>
      </c>
    </row>
    <row r="411" spans="1:50" x14ac:dyDescent="0.2">
      <c r="A411" s="29" t="str">
        <f t="shared" si="285"/>
        <v/>
      </c>
      <c r="B411" s="32" t="str">
        <f t="shared" si="286"/>
        <v/>
      </c>
      <c r="C411" s="35"/>
      <c r="D411" s="33" t="str">
        <f t="shared" si="287"/>
        <v/>
      </c>
      <c r="E411" s="22" t="str">
        <f t="shared" si="288"/>
        <v/>
      </c>
      <c r="F411" s="23" t="str">
        <f t="shared" si="289"/>
        <v/>
      </c>
      <c r="G411" s="23"/>
      <c r="H411" s="22"/>
      <c r="I411" s="23"/>
      <c r="J411" s="18"/>
      <c r="K411" s="13" t="str">
        <f t="shared" si="290"/>
        <v/>
      </c>
      <c r="L411" s="28" t="str">
        <f t="shared" si="328"/>
        <v/>
      </c>
      <c r="M411" s="10" t="str">
        <f t="shared" si="291"/>
        <v/>
      </c>
      <c r="N411" s="17" t="str">
        <f t="shared" si="292"/>
        <v/>
      </c>
      <c r="O411" s="39" t="str">
        <f t="shared" si="293"/>
        <v/>
      </c>
      <c r="P411" s="41" t="str">
        <f t="shared" si="294"/>
        <v/>
      </c>
      <c r="Q411" s="9" t="str">
        <f t="shared" si="295"/>
        <v/>
      </c>
      <c r="R411" s="14">
        <f t="shared" si="296"/>
        <v>0</v>
      </c>
      <c r="S411" s="61" t="str">
        <f t="shared" si="297"/>
        <v/>
      </c>
      <c r="T411" s="14">
        <f t="shared" si="298"/>
        <v>0</v>
      </c>
      <c r="U411" s="58" t="str">
        <f t="shared" si="299"/>
        <v/>
      </c>
      <c r="V411" s="14">
        <f t="shared" si="300"/>
        <v>0</v>
      </c>
      <c r="W411" s="58" t="str">
        <f t="shared" si="301"/>
        <v/>
      </c>
      <c r="X411" s="14">
        <f t="shared" si="302"/>
        <v>0</v>
      </c>
      <c r="Y411" s="58" t="str">
        <f t="shared" si="303"/>
        <v/>
      </c>
      <c r="Z411" s="31">
        <f t="shared" si="304"/>
        <v>0</v>
      </c>
      <c r="AA411" s="21">
        <f t="shared" si="305"/>
        <v>0</v>
      </c>
      <c r="AB411" s="58" t="str">
        <f t="shared" si="306"/>
        <v/>
      </c>
      <c r="AC411" s="630">
        <f t="shared" si="327"/>
        <v>0</v>
      </c>
      <c r="AD411" s="627"/>
      <c r="AE411" s="21">
        <f t="shared" si="307"/>
        <v>0</v>
      </c>
      <c r="AF411" s="58" t="str">
        <f t="shared" si="308"/>
        <v/>
      </c>
      <c r="AG411" s="21">
        <f t="shared" si="309"/>
        <v>0</v>
      </c>
      <c r="AH411" s="58" t="str">
        <f t="shared" si="310"/>
        <v/>
      </c>
      <c r="AI411" s="21">
        <f t="shared" si="311"/>
        <v>0</v>
      </c>
      <c r="AJ411" s="58" t="str">
        <f t="shared" si="312"/>
        <v/>
      </c>
      <c r="AK411" s="31">
        <f t="shared" si="313"/>
        <v>0</v>
      </c>
      <c r="AL411" s="21">
        <f t="shared" si="314"/>
        <v>0</v>
      </c>
      <c r="AM411" s="62" t="str">
        <f t="shared" si="315"/>
        <v/>
      </c>
      <c r="AN411" s="21">
        <f t="shared" si="316"/>
        <v>0</v>
      </c>
      <c r="AO411" s="62" t="str">
        <f t="shared" si="317"/>
        <v/>
      </c>
      <c r="AP411" s="21">
        <f t="shared" si="318"/>
        <v>0</v>
      </c>
      <c r="AQ411" s="62" t="str">
        <f t="shared" si="319"/>
        <v/>
      </c>
      <c r="AR411" s="31">
        <f t="shared" si="320"/>
        <v>0</v>
      </c>
      <c r="AS411" s="21">
        <f t="shared" si="321"/>
        <v>0</v>
      </c>
      <c r="AT411" s="62" t="str">
        <f t="shared" si="322"/>
        <v/>
      </c>
      <c r="AU411" s="84">
        <f t="shared" si="323"/>
        <v>0</v>
      </c>
      <c r="AV411" s="32">
        <f t="shared" si="324"/>
        <v>0</v>
      </c>
      <c r="AW411" s="85" t="str">
        <f t="shared" si="325"/>
        <v/>
      </c>
      <c r="AX411" s="86" t="str">
        <f t="shared" si="326"/>
        <v/>
      </c>
    </row>
    <row r="412" spans="1:50" x14ac:dyDescent="0.2">
      <c r="A412" s="29" t="str">
        <f t="shared" si="285"/>
        <v/>
      </c>
      <c r="B412" s="32" t="str">
        <f t="shared" si="286"/>
        <v/>
      </c>
      <c r="C412" s="35"/>
      <c r="D412" s="33" t="str">
        <f t="shared" si="287"/>
        <v/>
      </c>
      <c r="E412" s="22" t="str">
        <f t="shared" si="288"/>
        <v/>
      </c>
      <c r="F412" s="23" t="str">
        <f t="shared" si="289"/>
        <v/>
      </c>
      <c r="G412" s="23"/>
      <c r="H412" s="22"/>
      <c r="I412" s="23"/>
      <c r="J412" s="18"/>
      <c r="K412" s="13" t="str">
        <f t="shared" si="290"/>
        <v/>
      </c>
      <c r="L412" s="28" t="str">
        <f t="shared" si="328"/>
        <v/>
      </c>
      <c r="M412" s="10" t="str">
        <f t="shared" si="291"/>
        <v/>
      </c>
      <c r="N412" s="17" t="str">
        <f t="shared" si="292"/>
        <v/>
      </c>
      <c r="O412" s="39" t="str">
        <f t="shared" si="293"/>
        <v/>
      </c>
      <c r="P412" s="41" t="str">
        <f t="shared" si="294"/>
        <v/>
      </c>
      <c r="Q412" s="9" t="str">
        <f t="shared" si="295"/>
        <v/>
      </c>
      <c r="R412" s="14">
        <f t="shared" si="296"/>
        <v>0</v>
      </c>
      <c r="S412" s="61" t="str">
        <f t="shared" si="297"/>
        <v/>
      </c>
      <c r="T412" s="14">
        <f t="shared" si="298"/>
        <v>0</v>
      </c>
      <c r="U412" s="58" t="str">
        <f t="shared" si="299"/>
        <v/>
      </c>
      <c r="V412" s="14">
        <f t="shared" si="300"/>
        <v>0</v>
      </c>
      <c r="W412" s="58" t="str">
        <f t="shared" si="301"/>
        <v/>
      </c>
      <c r="X412" s="14">
        <f t="shared" si="302"/>
        <v>0</v>
      </c>
      <c r="Y412" s="58" t="str">
        <f t="shared" si="303"/>
        <v/>
      </c>
      <c r="Z412" s="31">
        <f t="shared" si="304"/>
        <v>0</v>
      </c>
      <c r="AA412" s="21">
        <f t="shared" si="305"/>
        <v>0</v>
      </c>
      <c r="AB412" s="58" t="str">
        <f t="shared" si="306"/>
        <v/>
      </c>
      <c r="AC412" s="630">
        <f t="shared" si="327"/>
        <v>0</v>
      </c>
      <c r="AD412" s="627"/>
      <c r="AE412" s="21">
        <f t="shared" si="307"/>
        <v>0</v>
      </c>
      <c r="AF412" s="58" t="str">
        <f t="shared" si="308"/>
        <v/>
      </c>
      <c r="AG412" s="21">
        <f t="shared" si="309"/>
        <v>0</v>
      </c>
      <c r="AH412" s="58" t="str">
        <f t="shared" si="310"/>
        <v/>
      </c>
      <c r="AI412" s="21">
        <f t="shared" si="311"/>
        <v>0</v>
      </c>
      <c r="AJ412" s="58" t="str">
        <f t="shared" si="312"/>
        <v/>
      </c>
      <c r="AK412" s="31">
        <f t="shared" si="313"/>
        <v>0</v>
      </c>
      <c r="AL412" s="21">
        <f t="shared" si="314"/>
        <v>0</v>
      </c>
      <c r="AM412" s="62" t="str">
        <f t="shared" si="315"/>
        <v/>
      </c>
      <c r="AN412" s="21">
        <f t="shared" si="316"/>
        <v>0</v>
      </c>
      <c r="AO412" s="62" t="str">
        <f t="shared" si="317"/>
        <v/>
      </c>
      <c r="AP412" s="21">
        <f t="shared" si="318"/>
        <v>0</v>
      </c>
      <c r="AQ412" s="62" t="str">
        <f t="shared" si="319"/>
        <v/>
      </c>
      <c r="AR412" s="31">
        <f t="shared" si="320"/>
        <v>0</v>
      </c>
      <c r="AS412" s="21">
        <f t="shared" si="321"/>
        <v>0</v>
      </c>
      <c r="AT412" s="62" t="str">
        <f t="shared" si="322"/>
        <v/>
      </c>
      <c r="AU412" s="84">
        <f t="shared" si="323"/>
        <v>0</v>
      </c>
      <c r="AV412" s="32">
        <f t="shared" si="324"/>
        <v>0</v>
      </c>
      <c r="AW412" s="85" t="str">
        <f t="shared" si="325"/>
        <v/>
      </c>
      <c r="AX412" s="86" t="str">
        <f t="shared" si="326"/>
        <v/>
      </c>
    </row>
    <row r="413" spans="1:50" x14ac:dyDescent="0.2">
      <c r="A413" s="29" t="str">
        <f t="shared" si="285"/>
        <v/>
      </c>
      <c r="B413" s="32" t="str">
        <f t="shared" si="286"/>
        <v/>
      </c>
      <c r="C413" s="35"/>
      <c r="D413" s="33" t="str">
        <f t="shared" si="287"/>
        <v/>
      </c>
      <c r="E413" s="22" t="str">
        <f t="shared" si="288"/>
        <v/>
      </c>
      <c r="F413" s="23" t="str">
        <f t="shared" si="289"/>
        <v/>
      </c>
      <c r="G413" s="23"/>
      <c r="H413" s="22"/>
      <c r="I413" s="23"/>
      <c r="J413" s="18"/>
      <c r="K413" s="13" t="str">
        <f t="shared" si="290"/>
        <v/>
      </c>
      <c r="L413" s="28" t="str">
        <f t="shared" si="328"/>
        <v/>
      </c>
      <c r="M413" s="10" t="str">
        <f t="shared" si="291"/>
        <v/>
      </c>
      <c r="N413" s="17" t="str">
        <f t="shared" si="292"/>
        <v/>
      </c>
      <c r="O413" s="39" t="str">
        <f t="shared" si="293"/>
        <v/>
      </c>
      <c r="P413" s="41" t="str">
        <f t="shared" si="294"/>
        <v/>
      </c>
      <c r="Q413" s="9" t="str">
        <f t="shared" si="295"/>
        <v/>
      </c>
      <c r="R413" s="14">
        <f t="shared" si="296"/>
        <v>0</v>
      </c>
      <c r="S413" s="61" t="str">
        <f t="shared" si="297"/>
        <v/>
      </c>
      <c r="T413" s="14">
        <f t="shared" si="298"/>
        <v>0</v>
      </c>
      <c r="U413" s="58" t="str">
        <f t="shared" si="299"/>
        <v/>
      </c>
      <c r="V413" s="14">
        <f t="shared" si="300"/>
        <v>0</v>
      </c>
      <c r="W413" s="58" t="str">
        <f t="shared" si="301"/>
        <v/>
      </c>
      <c r="X413" s="14">
        <f t="shared" si="302"/>
        <v>0</v>
      </c>
      <c r="Y413" s="58" t="str">
        <f t="shared" si="303"/>
        <v/>
      </c>
      <c r="Z413" s="31">
        <f t="shared" si="304"/>
        <v>0</v>
      </c>
      <c r="AA413" s="21">
        <f t="shared" si="305"/>
        <v>0</v>
      </c>
      <c r="AB413" s="58" t="str">
        <f t="shared" si="306"/>
        <v/>
      </c>
      <c r="AC413" s="630">
        <f t="shared" si="327"/>
        <v>0</v>
      </c>
      <c r="AD413" s="627"/>
      <c r="AE413" s="21">
        <f t="shared" si="307"/>
        <v>0</v>
      </c>
      <c r="AF413" s="58" t="str">
        <f t="shared" si="308"/>
        <v/>
      </c>
      <c r="AG413" s="21">
        <f t="shared" si="309"/>
        <v>0</v>
      </c>
      <c r="AH413" s="58" t="str">
        <f t="shared" si="310"/>
        <v/>
      </c>
      <c r="AI413" s="21">
        <f t="shared" si="311"/>
        <v>0</v>
      </c>
      <c r="AJ413" s="58" t="str">
        <f t="shared" si="312"/>
        <v/>
      </c>
      <c r="AK413" s="31">
        <f t="shared" si="313"/>
        <v>0</v>
      </c>
      <c r="AL413" s="21">
        <f t="shared" si="314"/>
        <v>0</v>
      </c>
      <c r="AM413" s="62" t="str">
        <f t="shared" si="315"/>
        <v/>
      </c>
      <c r="AN413" s="21">
        <f t="shared" si="316"/>
        <v>0</v>
      </c>
      <c r="AO413" s="62" t="str">
        <f t="shared" si="317"/>
        <v/>
      </c>
      <c r="AP413" s="21">
        <f t="shared" si="318"/>
        <v>0</v>
      </c>
      <c r="AQ413" s="62" t="str">
        <f t="shared" si="319"/>
        <v/>
      </c>
      <c r="AR413" s="31">
        <f t="shared" si="320"/>
        <v>0</v>
      </c>
      <c r="AS413" s="21">
        <f t="shared" si="321"/>
        <v>0</v>
      </c>
      <c r="AT413" s="62" t="str">
        <f t="shared" si="322"/>
        <v/>
      </c>
      <c r="AU413" s="84">
        <f t="shared" si="323"/>
        <v>0</v>
      </c>
      <c r="AV413" s="32">
        <f t="shared" si="324"/>
        <v>0</v>
      </c>
      <c r="AW413" s="85" t="str">
        <f t="shared" si="325"/>
        <v/>
      </c>
      <c r="AX413" s="86" t="str">
        <f t="shared" si="326"/>
        <v/>
      </c>
    </row>
    <row r="414" spans="1:50" x14ac:dyDescent="0.2">
      <c r="A414" s="29" t="str">
        <f t="shared" si="285"/>
        <v/>
      </c>
      <c r="B414" s="32" t="str">
        <f t="shared" si="286"/>
        <v/>
      </c>
      <c r="C414" s="35"/>
      <c r="D414" s="33" t="str">
        <f t="shared" si="287"/>
        <v/>
      </c>
      <c r="E414" s="22" t="str">
        <f t="shared" si="288"/>
        <v/>
      </c>
      <c r="F414" s="23" t="str">
        <f t="shared" si="289"/>
        <v/>
      </c>
      <c r="G414" s="23"/>
      <c r="H414" s="22"/>
      <c r="I414" s="23"/>
      <c r="J414" s="18"/>
      <c r="K414" s="13" t="str">
        <f t="shared" si="290"/>
        <v/>
      </c>
      <c r="L414" s="28" t="str">
        <f t="shared" si="328"/>
        <v/>
      </c>
      <c r="M414" s="10" t="str">
        <f t="shared" si="291"/>
        <v/>
      </c>
      <c r="N414" s="17" t="str">
        <f t="shared" si="292"/>
        <v/>
      </c>
      <c r="O414" s="39" t="str">
        <f t="shared" si="293"/>
        <v/>
      </c>
      <c r="P414" s="41" t="str">
        <f t="shared" si="294"/>
        <v/>
      </c>
      <c r="Q414" s="9" t="str">
        <f t="shared" si="295"/>
        <v/>
      </c>
      <c r="R414" s="14">
        <f t="shared" si="296"/>
        <v>0</v>
      </c>
      <c r="S414" s="61" t="str">
        <f t="shared" si="297"/>
        <v/>
      </c>
      <c r="T414" s="14">
        <f t="shared" si="298"/>
        <v>0</v>
      </c>
      <c r="U414" s="58" t="str">
        <f t="shared" si="299"/>
        <v/>
      </c>
      <c r="V414" s="14">
        <f t="shared" si="300"/>
        <v>0</v>
      </c>
      <c r="W414" s="58" t="str">
        <f t="shared" si="301"/>
        <v/>
      </c>
      <c r="X414" s="14">
        <f t="shared" si="302"/>
        <v>0</v>
      </c>
      <c r="Y414" s="58" t="str">
        <f t="shared" si="303"/>
        <v/>
      </c>
      <c r="Z414" s="31">
        <f t="shared" si="304"/>
        <v>0</v>
      </c>
      <c r="AA414" s="21">
        <f t="shared" si="305"/>
        <v>0</v>
      </c>
      <c r="AB414" s="58" t="str">
        <f t="shared" si="306"/>
        <v/>
      </c>
      <c r="AC414" s="630">
        <f t="shared" si="327"/>
        <v>0</v>
      </c>
      <c r="AD414" s="627"/>
      <c r="AE414" s="21">
        <f t="shared" si="307"/>
        <v>0</v>
      </c>
      <c r="AF414" s="58" t="str">
        <f t="shared" si="308"/>
        <v/>
      </c>
      <c r="AG414" s="21">
        <f t="shared" si="309"/>
        <v>0</v>
      </c>
      <c r="AH414" s="58" t="str">
        <f t="shared" si="310"/>
        <v/>
      </c>
      <c r="AI414" s="21">
        <f t="shared" si="311"/>
        <v>0</v>
      </c>
      <c r="AJ414" s="58" t="str">
        <f t="shared" si="312"/>
        <v/>
      </c>
      <c r="AK414" s="31">
        <f t="shared" si="313"/>
        <v>0</v>
      </c>
      <c r="AL414" s="21">
        <f t="shared" si="314"/>
        <v>0</v>
      </c>
      <c r="AM414" s="62" t="str">
        <f t="shared" si="315"/>
        <v/>
      </c>
      <c r="AN414" s="21">
        <f t="shared" si="316"/>
        <v>0</v>
      </c>
      <c r="AO414" s="62" t="str">
        <f t="shared" si="317"/>
        <v/>
      </c>
      <c r="AP414" s="21">
        <f t="shared" si="318"/>
        <v>0</v>
      </c>
      <c r="AQ414" s="62" t="str">
        <f t="shared" si="319"/>
        <v/>
      </c>
      <c r="AR414" s="31">
        <f t="shared" si="320"/>
        <v>0</v>
      </c>
      <c r="AS414" s="21">
        <f t="shared" si="321"/>
        <v>0</v>
      </c>
      <c r="AT414" s="62" t="str">
        <f t="shared" si="322"/>
        <v/>
      </c>
      <c r="AU414" s="84">
        <f t="shared" si="323"/>
        <v>0</v>
      </c>
      <c r="AV414" s="32">
        <f t="shared" si="324"/>
        <v>0</v>
      </c>
      <c r="AW414" s="85" t="str">
        <f t="shared" si="325"/>
        <v/>
      </c>
      <c r="AX414" s="86" t="str">
        <f t="shared" si="326"/>
        <v/>
      </c>
    </row>
    <row r="415" spans="1:50" x14ac:dyDescent="0.2">
      <c r="A415" s="29" t="str">
        <f t="shared" si="285"/>
        <v/>
      </c>
      <c r="B415" s="32" t="str">
        <f t="shared" si="286"/>
        <v/>
      </c>
      <c r="C415" s="35"/>
      <c r="D415" s="33" t="str">
        <f t="shared" si="287"/>
        <v/>
      </c>
      <c r="E415" s="22" t="str">
        <f t="shared" si="288"/>
        <v/>
      </c>
      <c r="F415" s="23" t="str">
        <f t="shared" si="289"/>
        <v/>
      </c>
      <c r="G415" s="23"/>
      <c r="H415" s="22"/>
      <c r="I415" s="23"/>
      <c r="J415" s="18"/>
      <c r="K415" s="13" t="str">
        <f t="shared" si="290"/>
        <v/>
      </c>
      <c r="L415" s="28" t="str">
        <f t="shared" si="328"/>
        <v/>
      </c>
      <c r="M415" s="10" t="str">
        <f t="shared" si="291"/>
        <v/>
      </c>
      <c r="N415" s="17" t="str">
        <f t="shared" si="292"/>
        <v/>
      </c>
      <c r="O415" s="39" t="str">
        <f t="shared" si="293"/>
        <v/>
      </c>
      <c r="P415" s="41" t="str">
        <f t="shared" si="294"/>
        <v/>
      </c>
      <c r="Q415" s="9" t="str">
        <f t="shared" si="295"/>
        <v/>
      </c>
      <c r="R415" s="14">
        <f t="shared" si="296"/>
        <v>0</v>
      </c>
      <c r="S415" s="61" t="str">
        <f t="shared" si="297"/>
        <v/>
      </c>
      <c r="T415" s="14">
        <f t="shared" si="298"/>
        <v>0</v>
      </c>
      <c r="U415" s="58" t="str">
        <f t="shared" si="299"/>
        <v/>
      </c>
      <c r="V415" s="14">
        <f t="shared" si="300"/>
        <v>0</v>
      </c>
      <c r="W415" s="58" t="str">
        <f t="shared" si="301"/>
        <v/>
      </c>
      <c r="X415" s="14">
        <f t="shared" si="302"/>
        <v>0</v>
      </c>
      <c r="Y415" s="58" t="str">
        <f t="shared" si="303"/>
        <v/>
      </c>
      <c r="Z415" s="31">
        <f t="shared" si="304"/>
        <v>0</v>
      </c>
      <c r="AA415" s="21">
        <f t="shared" si="305"/>
        <v>0</v>
      </c>
      <c r="AB415" s="58" t="str">
        <f t="shared" si="306"/>
        <v/>
      </c>
      <c r="AC415" s="630">
        <f t="shared" si="327"/>
        <v>0</v>
      </c>
      <c r="AD415" s="627"/>
      <c r="AE415" s="21">
        <f t="shared" si="307"/>
        <v>0</v>
      </c>
      <c r="AF415" s="58" t="str">
        <f t="shared" si="308"/>
        <v/>
      </c>
      <c r="AG415" s="21">
        <f t="shared" si="309"/>
        <v>0</v>
      </c>
      <c r="AH415" s="58" t="str">
        <f t="shared" si="310"/>
        <v/>
      </c>
      <c r="AI415" s="21">
        <f t="shared" si="311"/>
        <v>0</v>
      </c>
      <c r="AJ415" s="58" t="str">
        <f t="shared" si="312"/>
        <v/>
      </c>
      <c r="AK415" s="31">
        <f t="shared" si="313"/>
        <v>0</v>
      </c>
      <c r="AL415" s="21">
        <f t="shared" si="314"/>
        <v>0</v>
      </c>
      <c r="AM415" s="62" t="str">
        <f t="shared" si="315"/>
        <v/>
      </c>
      <c r="AN415" s="21">
        <f t="shared" si="316"/>
        <v>0</v>
      </c>
      <c r="AO415" s="62" t="str">
        <f t="shared" si="317"/>
        <v/>
      </c>
      <c r="AP415" s="21">
        <f t="shared" si="318"/>
        <v>0</v>
      </c>
      <c r="AQ415" s="62" t="str">
        <f t="shared" si="319"/>
        <v/>
      </c>
      <c r="AR415" s="31">
        <f t="shared" si="320"/>
        <v>0</v>
      </c>
      <c r="AS415" s="21">
        <f t="shared" si="321"/>
        <v>0</v>
      </c>
      <c r="AT415" s="62" t="str">
        <f t="shared" si="322"/>
        <v/>
      </c>
      <c r="AU415" s="84">
        <f t="shared" si="323"/>
        <v>0</v>
      </c>
      <c r="AV415" s="32">
        <f t="shared" si="324"/>
        <v>0</v>
      </c>
      <c r="AW415" s="85" t="str">
        <f t="shared" si="325"/>
        <v/>
      </c>
      <c r="AX415" s="86" t="str">
        <f t="shared" si="326"/>
        <v/>
      </c>
    </row>
    <row r="416" spans="1:50" x14ac:dyDescent="0.2">
      <c r="A416" s="29" t="str">
        <f t="shared" si="285"/>
        <v/>
      </c>
      <c r="B416" s="32" t="str">
        <f t="shared" si="286"/>
        <v/>
      </c>
      <c r="C416" s="35"/>
      <c r="D416" s="33" t="str">
        <f t="shared" si="287"/>
        <v/>
      </c>
      <c r="E416" s="22" t="str">
        <f t="shared" si="288"/>
        <v/>
      </c>
      <c r="F416" s="23" t="str">
        <f t="shared" si="289"/>
        <v/>
      </c>
      <c r="G416" s="23"/>
      <c r="H416" s="22"/>
      <c r="I416" s="23"/>
      <c r="J416" s="18"/>
      <c r="K416" s="13" t="str">
        <f t="shared" si="290"/>
        <v/>
      </c>
      <c r="L416" s="28" t="str">
        <f t="shared" si="328"/>
        <v/>
      </c>
      <c r="M416" s="10" t="str">
        <f t="shared" si="291"/>
        <v/>
      </c>
      <c r="N416" s="17" t="str">
        <f t="shared" si="292"/>
        <v/>
      </c>
      <c r="O416" s="39" t="str">
        <f t="shared" si="293"/>
        <v/>
      </c>
      <c r="P416" s="41" t="str">
        <f t="shared" si="294"/>
        <v/>
      </c>
      <c r="Q416" s="9" t="str">
        <f t="shared" si="295"/>
        <v/>
      </c>
      <c r="R416" s="14">
        <f t="shared" si="296"/>
        <v>0</v>
      </c>
      <c r="S416" s="61" t="str">
        <f t="shared" si="297"/>
        <v/>
      </c>
      <c r="T416" s="14">
        <f t="shared" si="298"/>
        <v>0</v>
      </c>
      <c r="U416" s="58" t="str">
        <f t="shared" si="299"/>
        <v/>
      </c>
      <c r="V416" s="14">
        <f t="shared" si="300"/>
        <v>0</v>
      </c>
      <c r="W416" s="58" t="str">
        <f t="shared" si="301"/>
        <v/>
      </c>
      <c r="X416" s="14">
        <f t="shared" si="302"/>
        <v>0</v>
      </c>
      <c r="Y416" s="58" t="str">
        <f t="shared" si="303"/>
        <v/>
      </c>
      <c r="Z416" s="31">
        <f t="shared" si="304"/>
        <v>0</v>
      </c>
      <c r="AA416" s="21">
        <f t="shared" si="305"/>
        <v>0</v>
      </c>
      <c r="AB416" s="58" t="str">
        <f t="shared" si="306"/>
        <v/>
      </c>
      <c r="AC416" s="630">
        <f t="shared" si="327"/>
        <v>0</v>
      </c>
      <c r="AD416" s="627"/>
      <c r="AE416" s="21">
        <f t="shared" si="307"/>
        <v>0</v>
      </c>
      <c r="AF416" s="58" t="str">
        <f t="shared" si="308"/>
        <v/>
      </c>
      <c r="AG416" s="21">
        <f t="shared" si="309"/>
        <v>0</v>
      </c>
      <c r="AH416" s="58" t="str">
        <f t="shared" si="310"/>
        <v/>
      </c>
      <c r="AI416" s="21">
        <f t="shared" si="311"/>
        <v>0</v>
      </c>
      <c r="AJ416" s="58" t="str">
        <f t="shared" si="312"/>
        <v/>
      </c>
      <c r="AK416" s="31">
        <f t="shared" si="313"/>
        <v>0</v>
      </c>
      <c r="AL416" s="21">
        <f t="shared" si="314"/>
        <v>0</v>
      </c>
      <c r="AM416" s="62" t="str">
        <f t="shared" si="315"/>
        <v/>
      </c>
      <c r="AN416" s="21">
        <f t="shared" si="316"/>
        <v>0</v>
      </c>
      <c r="AO416" s="62" t="str">
        <f t="shared" si="317"/>
        <v/>
      </c>
      <c r="AP416" s="21">
        <f t="shared" si="318"/>
        <v>0</v>
      </c>
      <c r="AQ416" s="62" t="str">
        <f t="shared" si="319"/>
        <v/>
      </c>
      <c r="AR416" s="31">
        <f t="shared" si="320"/>
        <v>0</v>
      </c>
      <c r="AS416" s="21">
        <f t="shared" si="321"/>
        <v>0</v>
      </c>
      <c r="AT416" s="62" t="str">
        <f t="shared" si="322"/>
        <v/>
      </c>
      <c r="AU416" s="84">
        <f t="shared" si="323"/>
        <v>0</v>
      </c>
      <c r="AV416" s="32">
        <f t="shared" si="324"/>
        <v>0</v>
      </c>
      <c r="AW416" s="85" t="str">
        <f t="shared" si="325"/>
        <v/>
      </c>
      <c r="AX416" s="86" t="str">
        <f t="shared" si="326"/>
        <v/>
      </c>
    </row>
    <row r="417" spans="1:50" x14ac:dyDescent="0.2">
      <c r="A417" s="29" t="str">
        <f t="shared" si="285"/>
        <v/>
      </c>
      <c r="B417" s="32" t="str">
        <f t="shared" si="286"/>
        <v/>
      </c>
      <c r="C417" s="35"/>
      <c r="D417" s="33" t="str">
        <f t="shared" si="287"/>
        <v/>
      </c>
      <c r="E417" s="22" t="str">
        <f t="shared" si="288"/>
        <v/>
      </c>
      <c r="F417" s="23" t="str">
        <f t="shared" si="289"/>
        <v/>
      </c>
      <c r="G417" s="23"/>
      <c r="H417" s="22"/>
      <c r="I417" s="23"/>
      <c r="J417" s="18"/>
      <c r="K417" s="13" t="str">
        <f t="shared" si="290"/>
        <v/>
      </c>
      <c r="L417" s="28" t="str">
        <f t="shared" si="328"/>
        <v/>
      </c>
      <c r="M417" s="10" t="str">
        <f t="shared" si="291"/>
        <v/>
      </c>
      <c r="N417" s="17" t="str">
        <f t="shared" si="292"/>
        <v/>
      </c>
      <c r="O417" s="39" t="str">
        <f t="shared" si="293"/>
        <v/>
      </c>
      <c r="P417" s="41" t="str">
        <f t="shared" si="294"/>
        <v/>
      </c>
      <c r="Q417" s="9" t="str">
        <f t="shared" si="295"/>
        <v/>
      </c>
      <c r="R417" s="14">
        <f t="shared" si="296"/>
        <v>0</v>
      </c>
      <c r="S417" s="61" t="str">
        <f t="shared" si="297"/>
        <v/>
      </c>
      <c r="T417" s="14">
        <f t="shared" si="298"/>
        <v>0</v>
      </c>
      <c r="U417" s="58" t="str">
        <f t="shared" si="299"/>
        <v/>
      </c>
      <c r="V417" s="14">
        <f t="shared" si="300"/>
        <v>0</v>
      </c>
      <c r="W417" s="58" t="str">
        <f t="shared" si="301"/>
        <v/>
      </c>
      <c r="X417" s="14">
        <f t="shared" si="302"/>
        <v>0</v>
      </c>
      <c r="Y417" s="58" t="str">
        <f t="shared" si="303"/>
        <v/>
      </c>
      <c r="Z417" s="31">
        <f t="shared" si="304"/>
        <v>0</v>
      </c>
      <c r="AA417" s="21">
        <f t="shared" si="305"/>
        <v>0</v>
      </c>
      <c r="AB417" s="58" t="str">
        <f t="shared" si="306"/>
        <v/>
      </c>
      <c r="AC417" s="630">
        <f t="shared" si="327"/>
        <v>0</v>
      </c>
      <c r="AD417" s="627"/>
      <c r="AE417" s="21">
        <f t="shared" si="307"/>
        <v>0</v>
      </c>
      <c r="AF417" s="58" t="str">
        <f t="shared" si="308"/>
        <v/>
      </c>
      <c r="AG417" s="21">
        <f t="shared" si="309"/>
        <v>0</v>
      </c>
      <c r="AH417" s="58" t="str">
        <f t="shared" si="310"/>
        <v/>
      </c>
      <c r="AI417" s="21">
        <f t="shared" si="311"/>
        <v>0</v>
      </c>
      <c r="AJ417" s="58" t="str">
        <f t="shared" si="312"/>
        <v/>
      </c>
      <c r="AK417" s="31">
        <f t="shared" si="313"/>
        <v>0</v>
      </c>
      <c r="AL417" s="21">
        <f t="shared" si="314"/>
        <v>0</v>
      </c>
      <c r="AM417" s="62" t="str">
        <f t="shared" si="315"/>
        <v/>
      </c>
      <c r="AN417" s="21">
        <f t="shared" si="316"/>
        <v>0</v>
      </c>
      <c r="AO417" s="62" t="str">
        <f t="shared" si="317"/>
        <v/>
      </c>
      <c r="AP417" s="21">
        <f t="shared" si="318"/>
        <v>0</v>
      </c>
      <c r="AQ417" s="62" t="str">
        <f t="shared" si="319"/>
        <v/>
      </c>
      <c r="AR417" s="31">
        <f t="shared" si="320"/>
        <v>0</v>
      </c>
      <c r="AS417" s="21">
        <f t="shared" si="321"/>
        <v>0</v>
      </c>
      <c r="AT417" s="62" t="str">
        <f t="shared" si="322"/>
        <v/>
      </c>
      <c r="AU417" s="84">
        <f t="shared" si="323"/>
        <v>0</v>
      </c>
      <c r="AV417" s="32">
        <f t="shared" si="324"/>
        <v>0</v>
      </c>
      <c r="AW417" s="85" t="str">
        <f t="shared" si="325"/>
        <v/>
      </c>
      <c r="AX417" s="86" t="str">
        <f t="shared" si="326"/>
        <v/>
      </c>
    </row>
    <row r="418" spans="1:50" x14ac:dyDescent="0.2">
      <c r="A418" s="29" t="str">
        <f t="shared" ref="A418:A481" si="329">IF(A417="","",IF(C418="","",A417))</f>
        <v/>
      </c>
      <c r="B418" s="32" t="str">
        <f t="shared" ref="B418:B481" si="330">IF(B417="","",IF(C418="","",B417))</f>
        <v/>
      </c>
      <c r="C418" s="35"/>
      <c r="D418" s="33" t="str">
        <f t="shared" ref="D418:D481" si="331">IF(A418="","",IF(D417="","",D417))</f>
        <v/>
      </c>
      <c r="E418" s="22" t="str">
        <f t="shared" ref="E418:E481" si="332">IF(A418="","",IF(E417="","",E417))</f>
        <v/>
      </c>
      <c r="F418" s="23" t="str">
        <f t="shared" ref="F418:F481" si="333">IF(A418="","",IF(F417="","",F417))</f>
        <v/>
      </c>
      <c r="G418" s="23"/>
      <c r="H418" s="22"/>
      <c r="I418" s="23"/>
      <c r="J418" s="18"/>
      <c r="K418" s="13" t="str">
        <f t="shared" ref="K418:K481" si="334">IF($N$4="M",IF(A418="","",IF(D418=6,16,IF(A418&lt;=$M$5,26,IF(A418&lt;=$M$6,24,IF(A418&lt;=$M$7,22,IF(A418&lt;=$M$8,20,18)))))),IF(A418="","",IF(D418=6,16,IF(A418&lt;=$P$5,26,IF(A418&lt;=$P$6,24,IF(A418&lt;=$P$7,22,IF(A418&lt;=$P$8,20,18)))))))</f>
        <v/>
      </c>
      <c r="L418" s="28" t="str">
        <f t="shared" si="328"/>
        <v/>
      </c>
      <c r="M418" s="10" t="str">
        <f t="shared" ref="M418:M481" si="335">IF(D418=1,0.5,IF(D418=2,"1 F",IF(D418=21,"1 R",IF(D418=3,2,""))))</f>
        <v/>
      </c>
      <c r="N418" s="17" t="str">
        <f t="shared" ref="N418:N481" si="336">IF(M418="","",IF($N$4="M",(A418+B418+Q418)*C418*0.022,(A418+B418+Q418)*C418*0.17))</f>
        <v/>
      </c>
      <c r="O418" s="39" t="str">
        <f t="shared" ref="O418:O481" si="337">IF(D418=4,1,IF(D418=5,2,""))</f>
        <v/>
      </c>
      <c r="P418" s="41" t="str">
        <f t="shared" ref="P418:P481" si="338">IF(O418="","",IF($N$4="M",IF(O418=1,(A418+B418+Q418)*C418*0.022*1.1,(A418+B418+Q418)*C418*0.022*1.15),IF(O418=1,(A418+B418+Q418)*C418*0.17*1.1,(A418+B418+Q418)*C418*0.17*1.15)))</f>
        <v/>
      </c>
      <c r="Q418" s="9" t="str">
        <f t="shared" ref="Q418:Q481" si="339">IF($N$4="M",IF(A418="","",IF(D418=1,50,IF(D418=2,100,IF(D418=21,100,IF(D418=3,200,0))))),IF(A418="","",IF(D418=1,2,IF(D418=2,4,IF(D418=21,4,IF(D418=3,8,0))))))</f>
        <v/>
      </c>
      <c r="R418" s="14">
        <f t="shared" ref="R418:R481" si="340">COUNTIF(G418:J418,7)</f>
        <v>0</v>
      </c>
      <c r="S418" s="61" t="str">
        <f t="shared" ref="S418:S481" si="341">IF(A418="","",IF($N$4="M",A418*B418*0.000011111*R418*1.5,A418*B418/144*R418*1.5))</f>
        <v/>
      </c>
      <c r="T418" s="14">
        <f t="shared" ref="T418:T481" si="342">COUNTIF(G418:J418,71)</f>
        <v>0</v>
      </c>
      <c r="U418" s="58" t="str">
        <f t="shared" ref="U418:U481" si="343">IF(A418="","",IF($N$4="M",A418*B418*0.000011111*T418*1.5,A418*B418/144*T418*1.5))</f>
        <v/>
      </c>
      <c r="V418" s="14">
        <f t="shared" ref="V418:V481" si="344">COUNTIF(G418:J418,8)</f>
        <v>0</v>
      </c>
      <c r="W418" s="58" t="str">
        <f t="shared" ref="W418:W481" si="345">IF(A418="","",IF($N$4="M",(A418+B418)*2*0.0032808*V418,(A418+B418)*2*V418/12))</f>
        <v/>
      </c>
      <c r="X418" s="14">
        <f t="shared" ref="X418:X481" si="346">COUNTIF(G418:J418,81)</f>
        <v>0</v>
      </c>
      <c r="Y418" s="58" t="str">
        <f t="shared" ref="Y418:Y481" si="347">IF(A418="","",IF($N$4="M",(A418+B418)*2*0.0032808*X418,(A418+B418)*2*X418/12))</f>
        <v/>
      </c>
      <c r="Z418" s="31">
        <f t="shared" ref="Z418:Z481" si="348">COUNTIF(G418:J418,9)</f>
        <v>0</v>
      </c>
      <c r="AA418" s="21">
        <f t="shared" ref="AA418:AA481" si="349">COUNTIF(G418:J418,10)</f>
        <v>0</v>
      </c>
      <c r="AB418" s="58" t="str">
        <f t="shared" ref="AB418:AB481" si="350">IF(A418="","",IF($N$4="M",(A418+B418)*2*0.0032808*AA418,(A418+B418)*2*AA418/12))</f>
        <v/>
      </c>
      <c r="AC418" s="630">
        <f t="shared" si="327"/>
        <v>0</v>
      </c>
      <c r="AD418" s="627"/>
      <c r="AE418" s="21">
        <f t="shared" ref="AE418:AE481" si="351">COUNTIF(G418:J418,11)</f>
        <v>0</v>
      </c>
      <c r="AF418" s="58" t="str">
        <f t="shared" ref="AF418:AF481" si="352">IF(A418="","",IF($N$4="M",A418*B418*0.000011111*AE418,A418*B418/144*AE418))</f>
        <v/>
      </c>
      <c r="AG418" s="21">
        <f t="shared" ref="AG418:AG481" si="353">COUNTIF(G418:J418,111)</f>
        <v>0</v>
      </c>
      <c r="AH418" s="58" t="str">
        <f t="shared" ref="AH418:AH481" si="354">IF(A418="","",IF($N$4="M",A418*B418*0.000011111*AG418,A418*B418/144*AG418))</f>
        <v/>
      </c>
      <c r="AI418" s="21">
        <f t="shared" ref="AI418:AI481" si="355">COUNTIF(G418:J418,12)</f>
        <v>0</v>
      </c>
      <c r="AJ418" s="58" t="str">
        <f t="shared" ref="AJ418:AJ481" si="356">IF(A418="","",IF($N$4="M",A418*B418*0.000011111*AI418,A418*B418/144*AI418))</f>
        <v/>
      </c>
      <c r="AK418" s="31">
        <f t="shared" ref="AK418:AK481" si="357">COUNTIF(G418:J418,13)</f>
        <v>0</v>
      </c>
      <c r="AL418" s="21">
        <f t="shared" ref="AL418:AL481" si="358">COUNTIF(G418:J418,131)</f>
        <v>0</v>
      </c>
      <c r="AM418" s="62" t="str">
        <f t="shared" ref="AM418:AM481" si="359">IF(A418="","",IF($N$4="M",A418*B418*0.000011111*AL418,A418*B418/144*AL418))</f>
        <v/>
      </c>
      <c r="AN418" s="21">
        <f t="shared" ref="AN418:AN481" si="360">COUNTIF(G418:J418,14)</f>
        <v>0</v>
      </c>
      <c r="AO418" s="62" t="str">
        <f t="shared" ref="AO418:AO481" si="361">IF(A418="","",IF($N$4="M",A418*B418*0.000011111*AN418,A418*B418/144*AN418))</f>
        <v/>
      </c>
      <c r="AP418" s="21">
        <f t="shared" ref="AP418:AP481" si="362">COUNTIF(G418:J418,141)</f>
        <v>0</v>
      </c>
      <c r="AQ418" s="62" t="str">
        <f t="shared" ref="AQ418:AQ481" si="363">IF(A418="","",IF($N$4="M",A418*B418*0.000011111*AP418,A418*B418/144*AP418))</f>
        <v/>
      </c>
      <c r="AR418" s="31">
        <f t="shared" ref="AR418:AR481" si="364">COUNTIF(G418:J418,15)</f>
        <v>0</v>
      </c>
      <c r="AS418" s="21">
        <f t="shared" ref="AS418:AS481" si="365">COUNTIF(G418:J418,16)</f>
        <v>0</v>
      </c>
      <c r="AT418" s="62" t="str">
        <f t="shared" ref="AT418:AT481" si="366">IF(A418="","",IF($N$4="M",A418*B418*0.000011111*AS418,A418*B418/144*AS418))</f>
        <v/>
      </c>
      <c r="AU418" s="84">
        <f t="shared" ref="AU418:AU481" si="367">IF(D418=61,C418,0)</f>
        <v>0</v>
      </c>
      <c r="AV418" s="32">
        <f t="shared" ref="AV418:AV481" si="368">IF(D418=61,L418,0)</f>
        <v>0</v>
      </c>
      <c r="AW418" s="85" t="str">
        <f t="shared" ref="AW418:AW481" si="369">IF(A418="","",(C418-AU418))</f>
        <v/>
      </c>
      <c r="AX418" s="86" t="str">
        <f t="shared" ref="AX418:AX481" si="370">IF(A418="","",(L418-AV418))</f>
        <v/>
      </c>
    </row>
    <row r="419" spans="1:50" x14ac:dyDescent="0.2">
      <c r="A419" s="29" t="str">
        <f t="shared" si="329"/>
        <v/>
      </c>
      <c r="B419" s="32" t="str">
        <f t="shared" si="330"/>
        <v/>
      </c>
      <c r="C419" s="35"/>
      <c r="D419" s="33" t="str">
        <f t="shared" si="331"/>
        <v/>
      </c>
      <c r="E419" s="22" t="str">
        <f t="shared" si="332"/>
        <v/>
      </c>
      <c r="F419" s="23" t="str">
        <f t="shared" si="333"/>
        <v/>
      </c>
      <c r="G419" s="23"/>
      <c r="H419" s="22"/>
      <c r="I419" s="23"/>
      <c r="J419" s="18"/>
      <c r="K419" s="13" t="str">
        <f t="shared" si="334"/>
        <v/>
      </c>
      <c r="L419" s="28" t="str">
        <f t="shared" si="328"/>
        <v/>
      </c>
      <c r="M419" s="10" t="str">
        <f t="shared" si="335"/>
        <v/>
      </c>
      <c r="N419" s="17" t="str">
        <f t="shared" si="336"/>
        <v/>
      </c>
      <c r="O419" s="39" t="str">
        <f t="shared" si="337"/>
        <v/>
      </c>
      <c r="P419" s="41" t="str">
        <f t="shared" si="338"/>
        <v/>
      </c>
      <c r="Q419" s="9" t="str">
        <f t="shared" si="339"/>
        <v/>
      </c>
      <c r="R419" s="14">
        <f t="shared" si="340"/>
        <v>0</v>
      </c>
      <c r="S419" s="61" t="str">
        <f t="shared" si="341"/>
        <v/>
      </c>
      <c r="T419" s="14">
        <f t="shared" si="342"/>
        <v>0</v>
      </c>
      <c r="U419" s="58" t="str">
        <f t="shared" si="343"/>
        <v/>
      </c>
      <c r="V419" s="14">
        <f t="shared" si="344"/>
        <v>0</v>
      </c>
      <c r="W419" s="58" t="str">
        <f t="shared" si="345"/>
        <v/>
      </c>
      <c r="X419" s="14">
        <f t="shared" si="346"/>
        <v>0</v>
      </c>
      <c r="Y419" s="58" t="str">
        <f t="shared" si="347"/>
        <v/>
      </c>
      <c r="Z419" s="31">
        <f t="shared" si="348"/>
        <v>0</v>
      </c>
      <c r="AA419" s="21">
        <f t="shared" si="349"/>
        <v>0</v>
      </c>
      <c r="AB419" s="58" t="str">
        <f t="shared" si="350"/>
        <v/>
      </c>
      <c r="AC419" s="630">
        <f t="shared" si="327"/>
        <v>0</v>
      </c>
      <c r="AD419" s="627"/>
      <c r="AE419" s="21">
        <f t="shared" si="351"/>
        <v>0</v>
      </c>
      <c r="AF419" s="58" t="str">
        <f t="shared" si="352"/>
        <v/>
      </c>
      <c r="AG419" s="21">
        <f t="shared" si="353"/>
        <v>0</v>
      </c>
      <c r="AH419" s="58" t="str">
        <f t="shared" si="354"/>
        <v/>
      </c>
      <c r="AI419" s="21">
        <f t="shared" si="355"/>
        <v>0</v>
      </c>
      <c r="AJ419" s="58" t="str">
        <f t="shared" si="356"/>
        <v/>
      </c>
      <c r="AK419" s="31">
        <f t="shared" si="357"/>
        <v>0</v>
      </c>
      <c r="AL419" s="21">
        <f t="shared" si="358"/>
        <v>0</v>
      </c>
      <c r="AM419" s="62" t="str">
        <f t="shared" si="359"/>
        <v/>
      </c>
      <c r="AN419" s="21">
        <f t="shared" si="360"/>
        <v>0</v>
      </c>
      <c r="AO419" s="62" t="str">
        <f t="shared" si="361"/>
        <v/>
      </c>
      <c r="AP419" s="21">
        <f t="shared" si="362"/>
        <v>0</v>
      </c>
      <c r="AQ419" s="62" t="str">
        <f t="shared" si="363"/>
        <v/>
      </c>
      <c r="AR419" s="31">
        <f t="shared" si="364"/>
        <v>0</v>
      </c>
      <c r="AS419" s="21">
        <f t="shared" si="365"/>
        <v>0</v>
      </c>
      <c r="AT419" s="62" t="str">
        <f t="shared" si="366"/>
        <v/>
      </c>
      <c r="AU419" s="84">
        <f t="shared" si="367"/>
        <v>0</v>
      </c>
      <c r="AV419" s="32">
        <f t="shared" si="368"/>
        <v>0</v>
      </c>
      <c r="AW419" s="85" t="str">
        <f t="shared" si="369"/>
        <v/>
      </c>
      <c r="AX419" s="86" t="str">
        <f t="shared" si="370"/>
        <v/>
      </c>
    </row>
    <row r="420" spans="1:50" x14ac:dyDescent="0.2">
      <c r="A420" s="29" t="str">
        <f t="shared" si="329"/>
        <v/>
      </c>
      <c r="B420" s="32" t="str">
        <f t="shared" si="330"/>
        <v/>
      </c>
      <c r="C420" s="35"/>
      <c r="D420" s="33" t="str">
        <f t="shared" si="331"/>
        <v/>
      </c>
      <c r="E420" s="22" t="str">
        <f t="shared" si="332"/>
        <v/>
      </c>
      <c r="F420" s="23" t="str">
        <f t="shared" si="333"/>
        <v/>
      </c>
      <c r="G420" s="23"/>
      <c r="H420" s="22"/>
      <c r="I420" s="23"/>
      <c r="J420" s="18"/>
      <c r="K420" s="13" t="str">
        <f t="shared" si="334"/>
        <v/>
      </c>
      <c r="L420" s="28" t="str">
        <f t="shared" si="328"/>
        <v/>
      </c>
      <c r="M420" s="10" t="str">
        <f t="shared" si="335"/>
        <v/>
      </c>
      <c r="N420" s="17" t="str">
        <f t="shared" si="336"/>
        <v/>
      </c>
      <c r="O420" s="39" t="str">
        <f t="shared" si="337"/>
        <v/>
      </c>
      <c r="P420" s="41" t="str">
        <f t="shared" si="338"/>
        <v/>
      </c>
      <c r="Q420" s="9" t="str">
        <f t="shared" si="339"/>
        <v/>
      </c>
      <c r="R420" s="14">
        <f t="shared" si="340"/>
        <v>0</v>
      </c>
      <c r="S420" s="61" t="str">
        <f t="shared" si="341"/>
        <v/>
      </c>
      <c r="T420" s="14">
        <f t="shared" si="342"/>
        <v>0</v>
      </c>
      <c r="U420" s="58" t="str">
        <f t="shared" si="343"/>
        <v/>
      </c>
      <c r="V420" s="14">
        <f t="shared" si="344"/>
        <v>0</v>
      </c>
      <c r="W420" s="58" t="str">
        <f t="shared" si="345"/>
        <v/>
      </c>
      <c r="X420" s="14">
        <f t="shared" si="346"/>
        <v>0</v>
      </c>
      <c r="Y420" s="58" t="str">
        <f t="shared" si="347"/>
        <v/>
      </c>
      <c r="Z420" s="31">
        <f t="shared" si="348"/>
        <v>0</v>
      </c>
      <c r="AA420" s="21">
        <f t="shared" si="349"/>
        <v>0</v>
      </c>
      <c r="AB420" s="58" t="str">
        <f t="shared" si="350"/>
        <v/>
      </c>
      <c r="AC420" s="630">
        <f t="shared" si="327"/>
        <v>0</v>
      </c>
      <c r="AD420" s="627"/>
      <c r="AE420" s="21">
        <f t="shared" si="351"/>
        <v>0</v>
      </c>
      <c r="AF420" s="58" t="str">
        <f t="shared" si="352"/>
        <v/>
      </c>
      <c r="AG420" s="21">
        <f t="shared" si="353"/>
        <v>0</v>
      </c>
      <c r="AH420" s="58" t="str">
        <f t="shared" si="354"/>
        <v/>
      </c>
      <c r="AI420" s="21">
        <f t="shared" si="355"/>
        <v>0</v>
      </c>
      <c r="AJ420" s="58" t="str">
        <f t="shared" si="356"/>
        <v/>
      </c>
      <c r="AK420" s="31">
        <f t="shared" si="357"/>
        <v>0</v>
      </c>
      <c r="AL420" s="21">
        <f t="shared" si="358"/>
        <v>0</v>
      </c>
      <c r="AM420" s="62" t="str">
        <f t="shared" si="359"/>
        <v/>
      </c>
      <c r="AN420" s="21">
        <f t="shared" si="360"/>
        <v>0</v>
      </c>
      <c r="AO420" s="62" t="str">
        <f t="shared" si="361"/>
        <v/>
      </c>
      <c r="AP420" s="21">
        <f t="shared" si="362"/>
        <v>0</v>
      </c>
      <c r="AQ420" s="62" t="str">
        <f t="shared" si="363"/>
        <v/>
      </c>
      <c r="AR420" s="31">
        <f t="shared" si="364"/>
        <v>0</v>
      </c>
      <c r="AS420" s="21">
        <f t="shared" si="365"/>
        <v>0</v>
      </c>
      <c r="AT420" s="62" t="str">
        <f t="shared" si="366"/>
        <v/>
      </c>
      <c r="AU420" s="84">
        <f t="shared" si="367"/>
        <v>0</v>
      </c>
      <c r="AV420" s="32">
        <f t="shared" si="368"/>
        <v>0</v>
      </c>
      <c r="AW420" s="85" t="str">
        <f t="shared" si="369"/>
        <v/>
      </c>
      <c r="AX420" s="86" t="str">
        <f t="shared" si="370"/>
        <v/>
      </c>
    </row>
    <row r="421" spans="1:50" x14ac:dyDescent="0.2">
      <c r="A421" s="29" t="str">
        <f t="shared" si="329"/>
        <v/>
      </c>
      <c r="B421" s="32" t="str">
        <f t="shared" si="330"/>
        <v/>
      </c>
      <c r="C421" s="35"/>
      <c r="D421" s="33" t="str">
        <f t="shared" si="331"/>
        <v/>
      </c>
      <c r="E421" s="22" t="str">
        <f t="shared" si="332"/>
        <v/>
      </c>
      <c r="F421" s="23" t="str">
        <f t="shared" si="333"/>
        <v/>
      </c>
      <c r="G421" s="23"/>
      <c r="H421" s="22"/>
      <c r="I421" s="23"/>
      <c r="J421" s="18"/>
      <c r="K421" s="13" t="str">
        <f t="shared" si="334"/>
        <v/>
      </c>
      <c r="L421" s="28" t="str">
        <f t="shared" si="328"/>
        <v/>
      </c>
      <c r="M421" s="10" t="str">
        <f t="shared" si="335"/>
        <v/>
      </c>
      <c r="N421" s="17" t="str">
        <f t="shared" si="336"/>
        <v/>
      </c>
      <c r="O421" s="39" t="str">
        <f t="shared" si="337"/>
        <v/>
      </c>
      <c r="P421" s="41" t="str">
        <f t="shared" si="338"/>
        <v/>
      </c>
      <c r="Q421" s="9" t="str">
        <f t="shared" si="339"/>
        <v/>
      </c>
      <c r="R421" s="14">
        <f t="shared" si="340"/>
        <v>0</v>
      </c>
      <c r="S421" s="61" t="str">
        <f t="shared" si="341"/>
        <v/>
      </c>
      <c r="T421" s="14">
        <f t="shared" si="342"/>
        <v>0</v>
      </c>
      <c r="U421" s="58" t="str">
        <f t="shared" si="343"/>
        <v/>
      </c>
      <c r="V421" s="14">
        <f t="shared" si="344"/>
        <v>0</v>
      </c>
      <c r="W421" s="58" t="str">
        <f t="shared" si="345"/>
        <v/>
      </c>
      <c r="X421" s="14">
        <f t="shared" si="346"/>
        <v>0</v>
      </c>
      <c r="Y421" s="58" t="str">
        <f t="shared" si="347"/>
        <v/>
      </c>
      <c r="Z421" s="31">
        <f t="shared" si="348"/>
        <v>0</v>
      </c>
      <c r="AA421" s="21">
        <f t="shared" si="349"/>
        <v>0</v>
      </c>
      <c r="AB421" s="58" t="str">
        <f t="shared" si="350"/>
        <v/>
      </c>
      <c r="AC421" s="630">
        <f t="shared" si="327"/>
        <v>0</v>
      </c>
      <c r="AD421" s="627"/>
      <c r="AE421" s="21">
        <f t="shared" si="351"/>
        <v>0</v>
      </c>
      <c r="AF421" s="58" t="str">
        <f t="shared" si="352"/>
        <v/>
      </c>
      <c r="AG421" s="21">
        <f t="shared" si="353"/>
        <v>0</v>
      </c>
      <c r="AH421" s="58" t="str">
        <f t="shared" si="354"/>
        <v/>
      </c>
      <c r="AI421" s="21">
        <f t="shared" si="355"/>
        <v>0</v>
      </c>
      <c r="AJ421" s="58" t="str">
        <f t="shared" si="356"/>
        <v/>
      </c>
      <c r="AK421" s="31">
        <f t="shared" si="357"/>
        <v>0</v>
      </c>
      <c r="AL421" s="21">
        <f t="shared" si="358"/>
        <v>0</v>
      </c>
      <c r="AM421" s="62" t="str">
        <f t="shared" si="359"/>
        <v/>
      </c>
      <c r="AN421" s="21">
        <f t="shared" si="360"/>
        <v>0</v>
      </c>
      <c r="AO421" s="62" t="str">
        <f t="shared" si="361"/>
        <v/>
      </c>
      <c r="AP421" s="21">
        <f t="shared" si="362"/>
        <v>0</v>
      </c>
      <c r="AQ421" s="62" t="str">
        <f t="shared" si="363"/>
        <v/>
      </c>
      <c r="AR421" s="31">
        <f t="shared" si="364"/>
        <v>0</v>
      </c>
      <c r="AS421" s="21">
        <f t="shared" si="365"/>
        <v>0</v>
      </c>
      <c r="AT421" s="62" t="str">
        <f t="shared" si="366"/>
        <v/>
      </c>
      <c r="AU421" s="84">
        <f t="shared" si="367"/>
        <v>0</v>
      </c>
      <c r="AV421" s="32">
        <f t="shared" si="368"/>
        <v>0</v>
      </c>
      <c r="AW421" s="85" t="str">
        <f t="shared" si="369"/>
        <v/>
      </c>
      <c r="AX421" s="86" t="str">
        <f t="shared" si="370"/>
        <v/>
      </c>
    </row>
    <row r="422" spans="1:50" x14ac:dyDescent="0.2">
      <c r="A422" s="29" t="str">
        <f t="shared" si="329"/>
        <v/>
      </c>
      <c r="B422" s="32" t="str">
        <f t="shared" si="330"/>
        <v/>
      </c>
      <c r="C422" s="35"/>
      <c r="D422" s="33" t="str">
        <f t="shared" si="331"/>
        <v/>
      </c>
      <c r="E422" s="22" t="str">
        <f t="shared" si="332"/>
        <v/>
      </c>
      <c r="F422" s="23" t="str">
        <f t="shared" si="333"/>
        <v/>
      </c>
      <c r="G422" s="23"/>
      <c r="H422" s="22"/>
      <c r="I422" s="23"/>
      <c r="J422" s="18"/>
      <c r="K422" s="13" t="str">
        <f t="shared" si="334"/>
        <v/>
      </c>
      <c r="L422" s="28" t="str">
        <f t="shared" si="328"/>
        <v/>
      </c>
      <c r="M422" s="10" t="str">
        <f t="shared" si="335"/>
        <v/>
      </c>
      <c r="N422" s="17" t="str">
        <f t="shared" si="336"/>
        <v/>
      </c>
      <c r="O422" s="39" t="str">
        <f t="shared" si="337"/>
        <v/>
      </c>
      <c r="P422" s="41" t="str">
        <f t="shared" si="338"/>
        <v/>
      </c>
      <c r="Q422" s="9" t="str">
        <f t="shared" si="339"/>
        <v/>
      </c>
      <c r="R422" s="14">
        <f t="shared" si="340"/>
        <v>0</v>
      </c>
      <c r="S422" s="61" t="str">
        <f t="shared" si="341"/>
        <v/>
      </c>
      <c r="T422" s="14">
        <f t="shared" si="342"/>
        <v>0</v>
      </c>
      <c r="U422" s="58" t="str">
        <f t="shared" si="343"/>
        <v/>
      </c>
      <c r="V422" s="14">
        <f t="shared" si="344"/>
        <v>0</v>
      </c>
      <c r="W422" s="58" t="str">
        <f t="shared" si="345"/>
        <v/>
      </c>
      <c r="X422" s="14">
        <f t="shared" si="346"/>
        <v>0</v>
      </c>
      <c r="Y422" s="58" t="str">
        <f t="shared" si="347"/>
        <v/>
      </c>
      <c r="Z422" s="31">
        <f t="shared" si="348"/>
        <v>0</v>
      </c>
      <c r="AA422" s="21">
        <f t="shared" si="349"/>
        <v>0</v>
      </c>
      <c r="AB422" s="58" t="str">
        <f t="shared" si="350"/>
        <v/>
      </c>
      <c r="AC422" s="630">
        <f t="shared" si="327"/>
        <v>0</v>
      </c>
      <c r="AD422" s="627"/>
      <c r="AE422" s="21">
        <f t="shared" si="351"/>
        <v>0</v>
      </c>
      <c r="AF422" s="58" t="str">
        <f t="shared" si="352"/>
        <v/>
      </c>
      <c r="AG422" s="21">
        <f t="shared" si="353"/>
        <v>0</v>
      </c>
      <c r="AH422" s="58" t="str">
        <f t="shared" si="354"/>
        <v/>
      </c>
      <c r="AI422" s="21">
        <f t="shared" si="355"/>
        <v>0</v>
      </c>
      <c r="AJ422" s="58" t="str">
        <f t="shared" si="356"/>
        <v/>
      </c>
      <c r="AK422" s="31">
        <f t="shared" si="357"/>
        <v>0</v>
      </c>
      <c r="AL422" s="21">
        <f t="shared" si="358"/>
        <v>0</v>
      </c>
      <c r="AM422" s="62" t="str">
        <f t="shared" si="359"/>
        <v/>
      </c>
      <c r="AN422" s="21">
        <f t="shared" si="360"/>
        <v>0</v>
      </c>
      <c r="AO422" s="62" t="str">
        <f t="shared" si="361"/>
        <v/>
      </c>
      <c r="AP422" s="21">
        <f t="shared" si="362"/>
        <v>0</v>
      </c>
      <c r="AQ422" s="62" t="str">
        <f t="shared" si="363"/>
        <v/>
      </c>
      <c r="AR422" s="31">
        <f t="shared" si="364"/>
        <v>0</v>
      </c>
      <c r="AS422" s="21">
        <f t="shared" si="365"/>
        <v>0</v>
      </c>
      <c r="AT422" s="62" t="str">
        <f t="shared" si="366"/>
        <v/>
      </c>
      <c r="AU422" s="84">
        <f t="shared" si="367"/>
        <v>0</v>
      </c>
      <c r="AV422" s="32">
        <f t="shared" si="368"/>
        <v>0</v>
      </c>
      <c r="AW422" s="85" t="str">
        <f t="shared" si="369"/>
        <v/>
      </c>
      <c r="AX422" s="86" t="str">
        <f t="shared" si="370"/>
        <v/>
      </c>
    </row>
    <row r="423" spans="1:50" x14ac:dyDescent="0.2">
      <c r="A423" s="29" t="str">
        <f t="shared" si="329"/>
        <v/>
      </c>
      <c r="B423" s="32" t="str">
        <f t="shared" si="330"/>
        <v/>
      </c>
      <c r="C423" s="35"/>
      <c r="D423" s="33" t="str">
        <f t="shared" si="331"/>
        <v/>
      </c>
      <c r="E423" s="22" t="str">
        <f t="shared" si="332"/>
        <v/>
      </c>
      <c r="F423" s="23" t="str">
        <f t="shared" si="333"/>
        <v/>
      </c>
      <c r="G423" s="23"/>
      <c r="H423" s="22"/>
      <c r="I423" s="23"/>
      <c r="J423" s="18"/>
      <c r="K423" s="13" t="str">
        <f t="shared" si="334"/>
        <v/>
      </c>
      <c r="L423" s="28" t="str">
        <f t="shared" si="328"/>
        <v/>
      </c>
      <c r="M423" s="10" t="str">
        <f t="shared" si="335"/>
        <v/>
      </c>
      <c r="N423" s="17" t="str">
        <f t="shared" si="336"/>
        <v/>
      </c>
      <c r="O423" s="39" t="str">
        <f t="shared" si="337"/>
        <v/>
      </c>
      <c r="P423" s="41" t="str">
        <f t="shared" si="338"/>
        <v/>
      </c>
      <c r="Q423" s="9" t="str">
        <f t="shared" si="339"/>
        <v/>
      </c>
      <c r="R423" s="14">
        <f t="shared" si="340"/>
        <v>0</v>
      </c>
      <c r="S423" s="61" t="str">
        <f t="shared" si="341"/>
        <v/>
      </c>
      <c r="T423" s="14">
        <f t="shared" si="342"/>
        <v>0</v>
      </c>
      <c r="U423" s="58" t="str">
        <f t="shared" si="343"/>
        <v/>
      </c>
      <c r="V423" s="14">
        <f t="shared" si="344"/>
        <v>0</v>
      </c>
      <c r="W423" s="58" t="str">
        <f t="shared" si="345"/>
        <v/>
      </c>
      <c r="X423" s="14">
        <f t="shared" si="346"/>
        <v>0</v>
      </c>
      <c r="Y423" s="58" t="str">
        <f t="shared" si="347"/>
        <v/>
      </c>
      <c r="Z423" s="31">
        <f t="shared" si="348"/>
        <v>0</v>
      </c>
      <c r="AA423" s="21">
        <f t="shared" si="349"/>
        <v>0</v>
      </c>
      <c r="AB423" s="58" t="str">
        <f t="shared" si="350"/>
        <v/>
      </c>
      <c r="AC423" s="630">
        <f t="shared" si="327"/>
        <v>0</v>
      </c>
      <c r="AD423" s="627"/>
      <c r="AE423" s="21">
        <f t="shared" si="351"/>
        <v>0</v>
      </c>
      <c r="AF423" s="58" t="str">
        <f t="shared" si="352"/>
        <v/>
      </c>
      <c r="AG423" s="21">
        <f t="shared" si="353"/>
        <v>0</v>
      </c>
      <c r="AH423" s="58" t="str">
        <f t="shared" si="354"/>
        <v/>
      </c>
      <c r="AI423" s="21">
        <f t="shared" si="355"/>
        <v>0</v>
      </c>
      <c r="AJ423" s="58" t="str">
        <f t="shared" si="356"/>
        <v/>
      </c>
      <c r="AK423" s="31">
        <f t="shared" si="357"/>
        <v>0</v>
      </c>
      <c r="AL423" s="21">
        <f t="shared" si="358"/>
        <v>0</v>
      </c>
      <c r="AM423" s="62" t="str">
        <f t="shared" si="359"/>
        <v/>
      </c>
      <c r="AN423" s="21">
        <f t="shared" si="360"/>
        <v>0</v>
      </c>
      <c r="AO423" s="62" t="str">
        <f t="shared" si="361"/>
        <v/>
      </c>
      <c r="AP423" s="21">
        <f t="shared" si="362"/>
        <v>0</v>
      </c>
      <c r="AQ423" s="62" t="str">
        <f t="shared" si="363"/>
        <v/>
      </c>
      <c r="AR423" s="31">
        <f t="shared" si="364"/>
        <v>0</v>
      </c>
      <c r="AS423" s="21">
        <f t="shared" si="365"/>
        <v>0</v>
      </c>
      <c r="AT423" s="62" t="str">
        <f t="shared" si="366"/>
        <v/>
      </c>
      <c r="AU423" s="84">
        <f t="shared" si="367"/>
        <v>0</v>
      </c>
      <c r="AV423" s="32">
        <f t="shared" si="368"/>
        <v>0</v>
      </c>
      <c r="AW423" s="85" t="str">
        <f t="shared" si="369"/>
        <v/>
      </c>
      <c r="AX423" s="86" t="str">
        <f t="shared" si="370"/>
        <v/>
      </c>
    </row>
    <row r="424" spans="1:50" x14ac:dyDescent="0.2">
      <c r="A424" s="29" t="str">
        <f t="shared" si="329"/>
        <v/>
      </c>
      <c r="B424" s="32" t="str">
        <f t="shared" si="330"/>
        <v/>
      </c>
      <c r="C424" s="35"/>
      <c r="D424" s="33" t="str">
        <f t="shared" si="331"/>
        <v/>
      </c>
      <c r="E424" s="22" t="str">
        <f t="shared" si="332"/>
        <v/>
      </c>
      <c r="F424" s="23" t="str">
        <f t="shared" si="333"/>
        <v/>
      </c>
      <c r="G424" s="23"/>
      <c r="H424" s="22"/>
      <c r="I424" s="23"/>
      <c r="J424" s="18"/>
      <c r="K424" s="13" t="str">
        <f t="shared" si="334"/>
        <v/>
      </c>
      <c r="L424" s="28" t="str">
        <f t="shared" si="328"/>
        <v/>
      </c>
      <c r="M424" s="10" t="str">
        <f t="shared" si="335"/>
        <v/>
      </c>
      <c r="N424" s="17" t="str">
        <f t="shared" si="336"/>
        <v/>
      </c>
      <c r="O424" s="39" t="str">
        <f t="shared" si="337"/>
        <v/>
      </c>
      <c r="P424" s="41" t="str">
        <f t="shared" si="338"/>
        <v/>
      </c>
      <c r="Q424" s="9" t="str">
        <f t="shared" si="339"/>
        <v/>
      </c>
      <c r="R424" s="14">
        <f t="shared" si="340"/>
        <v>0</v>
      </c>
      <c r="S424" s="61" t="str">
        <f t="shared" si="341"/>
        <v/>
      </c>
      <c r="T424" s="14">
        <f t="shared" si="342"/>
        <v>0</v>
      </c>
      <c r="U424" s="58" t="str">
        <f t="shared" si="343"/>
        <v/>
      </c>
      <c r="V424" s="14">
        <f t="shared" si="344"/>
        <v>0</v>
      </c>
      <c r="W424" s="58" t="str">
        <f t="shared" si="345"/>
        <v/>
      </c>
      <c r="X424" s="14">
        <f t="shared" si="346"/>
        <v>0</v>
      </c>
      <c r="Y424" s="58" t="str">
        <f t="shared" si="347"/>
        <v/>
      </c>
      <c r="Z424" s="31">
        <f t="shared" si="348"/>
        <v>0</v>
      </c>
      <c r="AA424" s="21">
        <f t="shared" si="349"/>
        <v>0</v>
      </c>
      <c r="AB424" s="58" t="str">
        <f t="shared" si="350"/>
        <v/>
      </c>
      <c r="AC424" s="630">
        <f t="shared" si="327"/>
        <v>0</v>
      </c>
      <c r="AD424" s="627"/>
      <c r="AE424" s="21">
        <f t="shared" si="351"/>
        <v>0</v>
      </c>
      <c r="AF424" s="58" t="str">
        <f t="shared" si="352"/>
        <v/>
      </c>
      <c r="AG424" s="21">
        <f t="shared" si="353"/>
        <v>0</v>
      </c>
      <c r="AH424" s="58" t="str">
        <f t="shared" si="354"/>
        <v/>
      </c>
      <c r="AI424" s="21">
        <f t="shared" si="355"/>
        <v>0</v>
      </c>
      <c r="AJ424" s="58" t="str">
        <f t="shared" si="356"/>
        <v/>
      </c>
      <c r="AK424" s="31">
        <f t="shared" si="357"/>
        <v>0</v>
      </c>
      <c r="AL424" s="21">
        <f t="shared" si="358"/>
        <v>0</v>
      </c>
      <c r="AM424" s="62" t="str">
        <f t="shared" si="359"/>
        <v/>
      </c>
      <c r="AN424" s="21">
        <f t="shared" si="360"/>
        <v>0</v>
      </c>
      <c r="AO424" s="62" t="str">
        <f t="shared" si="361"/>
        <v/>
      </c>
      <c r="AP424" s="21">
        <f t="shared" si="362"/>
        <v>0</v>
      </c>
      <c r="AQ424" s="62" t="str">
        <f t="shared" si="363"/>
        <v/>
      </c>
      <c r="AR424" s="31">
        <f t="shared" si="364"/>
        <v>0</v>
      </c>
      <c r="AS424" s="21">
        <f t="shared" si="365"/>
        <v>0</v>
      </c>
      <c r="AT424" s="62" t="str">
        <f t="shared" si="366"/>
        <v/>
      </c>
      <c r="AU424" s="84">
        <f t="shared" si="367"/>
        <v>0</v>
      </c>
      <c r="AV424" s="32">
        <f t="shared" si="368"/>
        <v>0</v>
      </c>
      <c r="AW424" s="85" t="str">
        <f t="shared" si="369"/>
        <v/>
      </c>
      <c r="AX424" s="86" t="str">
        <f t="shared" si="370"/>
        <v/>
      </c>
    </row>
    <row r="425" spans="1:50" x14ac:dyDescent="0.2">
      <c r="A425" s="29" t="str">
        <f t="shared" si="329"/>
        <v/>
      </c>
      <c r="B425" s="32" t="str">
        <f t="shared" si="330"/>
        <v/>
      </c>
      <c r="C425" s="35"/>
      <c r="D425" s="33" t="str">
        <f t="shared" si="331"/>
        <v/>
      </c>
      <c r="E425" s="22" t="str">
        <f t="shared" si="332"/>
        <v/>
      </c>
      <c r="F425" s="23" t="str">
        <f t="shared" si="333"/>
        <v/>
      </c>
      <c r="G425" s="23"/>
      <c r="H425" s="22"/>
      <c r="I425" s="23"/>
      <c r="J425" s="18"/>
      <c r="K425" s="13" t="str">
        <f t="shared" si="334"/>
        <v/>
      </c>
      <c r="L425" s="28" t="str">
        <f t="shared" si="328"/>
        <v/>
      </c>
      <c r="M425" s="10" t="str">
        <f t="shared" si="335"/>
        <v/>
      </c>
      <c r="N425" s="17" t="str">
        <f t="shared" si="336"/>
        <v/>
      </c>
      <c r="O425" s="39" t="str">
        <f t="shared" si="337"/>
        <v/>
      </c>
      <c r="P425" s="41" t="str">
        <f t="shared" si="338"/>
        <v/>
      </c>
      <c r="Q425" s="9" t="str">
        <f t="shared" si="339"/>
        <v/>
      </c>
      <c r="R425" s="14">
        <f t="shared" si="340"/>
        <v>0</v>
      </c>
      <c r="S425" s="61" t="str">
        <f t="shared" si="341"/>
        <v/>
      </c>
      <c r="T425" s="14">
        <f t="shared" si="342"/>
        <v>0</v>
      </c>
      <c r="U425" s="58" t="str">
        <f t="shared" si="343"/>
        <v/>
      </c>
      <c r="V425" s="14">
        <f t="shared" si="344"/>
        <v>0</v>
      </c>
      <c r="W425" s="58" t="str">
        <f t="shared" si="345"/>
        <v/>
      </c>
      <c r="X425" s="14">
        <f t="shared" si="346"/>
        <v>0</v>
      </c>
      <c r="Y425" s="58" t="str">
        <f t="shared" si="347"/>
        <v/>
      </c>
      <c r="Z425" s="31">
        <f t="shared" si="348"/>
        <v>0</v>
      </c>
      <c r="AA425" s="21">
        <f t="shared" si="349"/>
        <v>0</v>
      </c>
      <c r="AB425" s="58" t="str">
        <f t="shared" si="350"/>
        <v/>
      </c>
      <c r="AC425" s="630">
        <f t="shared" si="327"/>
        <v>0</v>
      </c>
      <c r="AD425" s="627"/>
      <c r="AE425" s="21">
        <f t="shared" si="351"/>
        <v>0</v>
      </c>
      <c r="AF425" s="58" t="str">
        <f t="shared" si="352"/>
        <v/>
      </c>
      <c r="AG425" s="21">
        <f t="shared" si="353"/>
        <v>0</v>
      </c>
      <c r="AH425" s="58" t="str">
        <f t="shared" si="354"/>
        <v/>
      </c>
      <c r="AI425" s="21">
        <f t="shared" si="355"/>
        <v>0</v>
      </c>
      <c r="AJ425" s="58" t="str">
        <f t="shared" si="356"/>
        <v/>
      </c>
      <c r="AK425" s="31">
        <f t="shared" si="357"/>
        <v>0</v>
      </c>
      <c r="AL425" s="21">
        <f t="shared" si="358"/>
        <v>0</v>
      </c>
      <c r="AM425" s="62" t="str">
        <f t="shared" si="359"/>
        <v/>
      </c>
      <c r="AN425" s="21">
        <f t="shared" si="360"/>
        <v>0</v>
      </c>
      <c r="AO425" s="62" t="str">
        <f t="shared" si="361"/>
        <v/>
      </c>
      <c r="AP425" s="21">
        <f t="shared" si="362"/>
        <v>0</v>
      </c>
      <c r="AQ425" s="62" t="str">
        <f t="shared" si="363"/>
        <v/>
      </c>
      <c r="AR425" s="31">
        <f t="shared" si="364"/>
        <v>0</v>
      </c>
      <c r="AS425" s="21">
        <f t="shared" si="365"/>
        <v>0</v>
      </c>
      <c r="AT425" s="62" t="str">
        <f t="shared" si="366"/>
        <v/>
      </c>
      <c r="AU425" s="84">
        <f t="shared" si="367"/>
        <v>0</v>
      </c>
      <c r="AV425" s="32">
        <f t="shared" si="368"/>
        <v>0</v>
      </c>
      <c r="AW425" s="85" t="str">
        <f t="shared" si="369"/>
        <v/>
      </c>
      <c r="AX425" s="86" t="str">
        <f t="shared" si="370"/>
        <v/>
      </c>
    </row>
    <row r="426" spans="1:50" x14ac:dyDescent="0.2">
      <c r="A426" s="29" t="str">
        <f t="shared" si="329"/>
        <v/>
      </c>
      <c r="B426" s="32" t="str">
        <f t="shared" si="330"/>
        <v/>
      </c>
      <c r="C426" s="35"/>
      <c r="D426" s="33" t="str">
        <f t="shared" si="331"/>
        <v/>
      </c>
      <c r="E426" s="22" t="str">
        <f t="shared" si="332"/>
        <v/>
      </c>
      <c r="F426" s="23" t="str">
        <f t="shared" si="333"/>
        <v/>
      </c>
      <c r="G426" s="23"/>
      <c r="H426" s="22"/>
      <c r="I426" s="23"/>
      <c r="J426" s="18"/>
      <c r="K426" s="13" t="str">
        <f t="shared" si="334"/>
        <v/>
      </c>
      <c r="L426" s="28" t="str">
        <f t="shared" si="328"/>
        <v/>
      </c>
      <c r="M426" s="10" t="str">
        <f t="shared" si="335"/>
        <v/>
      </c>
      <c r="N426" s="17" t="str">
        <f t="shared" si="336"/>
        <v/>
      </c>
      <c r="O426" s="39" t="str">
        <f t="shared" si="337"/>
        <v/>
      </c>
      <c r="P426" s="41" t="str">
        <f t="shared" si="338"/>
        <v/>
      </c>
      <c r="Q426" s="9" t="str">
        <f t="shared" si="339"/>
        <v/>
      </c>
      <c r="R426" s="14">
        <f t="shared" si="340"/>
        <v>0</v>
      </c>
      <c r="S426" s="61" t="str">
        <f t="shared" si="341"/>
        <v/>
      </c>
      <c r="T426" s="14">
        <f t="shared" si="342"/>
        <v>0</v>
      </c>
      <c r="U426" s="58" t="str">
        <f t="shared" si="343"/>
        <v/>
      </c>
      <c r="V426" s="14">
        <f t="shared" si="344"/>
        <v>0</v>
      </c>
      <c r="W426" s="58" t="str">
        <f t="shared" si="345"/>
        <v/>
      </c>
      <c r="X426" s="14">
        <f t="shared" si="346"/>
        <v>0</v>
      </c>
      <c r="Y426" s="58" t="str">
        <f t="shared" si="347"/>
        <v/>
      </c>
      <c r="Z426" s="31">
        <f t="shared" si="348"/>
        <v>0</v>
      </c>
      <c r="AA426" s="21">
        <f t="shared" si="349"/>
        <v>0</v>
      </c>
      <c r="AB426" s="58" t="str">
        <f t="shared" si="350"/>
        <v/>
      </c>
      <c r="AC426" s="630">
        <f t="shared" si="327"/>
        <v>0</v>
      </c>
      <c r="AD426" s="627"/>
      <c r="AE426" s="21">
        <f t="shared" si="351"/>
        <v>0</v>
      </c>
      <c r="AF426" s="58" t="str">
        <f t="shared" si="352"/>
        <v/>
      </c>
      <c r="AG426" s="21">
        <f t="shared" si="353"/>
        <v>0</v>
      </c>
      <c r="AH426" s="58" t="str">
        <f t="shared" si="354"/>
        <v/>
      </c>
      <c r="AI426" s="21">
        <f t="shared" si="355"/>
        <v>0</v>
      </c>
      <c r="AJ426" s="58" t="str">
        <f t="shared" si="356"/>
        <v/>
      </c>
      <c r="AK426" s="31">
        <f t="shared" si="357"/>
        <v>0</v>
      </c>
      <c r="AL426" s="21">
        <f t="shared" si="358"/>
        <v>0</v>
      </c>
      <c r="AM426" s="62" t="str">
        <f t="shared" si="359"/>
        <v/>
      </c>
      <c r="AN426" s="21">
        <f t="shared" si="360"/>
        <v>0</v>
      </c>
      <c r="AO426" s="62" t="str">
        <f t="shared" si="361"/>
        <v/>
      </c>
      <c r="AP426" s="21">
        <f t="shared" si="362"/>
        <v>0</v>
      </c>
      <c r="AQ426" s="62" t="str">
        <f t="shared" si="363"/>
        <v/>
      </c>
      <c r="AR426" s="31">
        <f t="shared" si="364"/>
        <v>0</v>
      </c>
      <c r="AS426" s="21">
        <f t="shared" si="365"/>
        <v>0</v>
      </c>
      <c r="AT426" s="62" t="str">
        <f t="shared" si="366"/>
        <v/>
      </c>
      <c r="AU426" s="84">
        <f t="shared" si="367"/>
        <v>0</v>
      </c>
      <c r="AV426" s="32">
        <f t="shared" si="368"/>
        <v>0</v>
      </c>
      <c r="AW426" s="85" t="str">
        <f t="shared" si="369"/>
        <v/>
      </c>
      <c r="AX426" s="86" t="str">
        <f t="shared" si="370"/>
        <v/>
      </c>
    </row>
    <row r="427" spans="1:50" x14ac:dyDescent="0.2">
      <c r="A427" s="29" t="str">
        <f t="shared" si="329"/>
        <v/>
      </c>
      <c r="B427" s="32" t="str">
        <f t="shared" si="330"/>
        <v/>
      </c>
      <c r="C427" s="35"/>
      <c r="D427" s="33" t="str">
        <f t="shared" si="331"/>
        <v/>
      </c>
      <c r="E427" s="22" t="str">
        <f t="shared" si="332"/>
        <v/>
      </c>
      <c r="F427" s="23" t="str">
        <f t="shared" si="333"/>
        <v/>
      </c>
      <c r="G427" s="23"/>
      <c r="H427" s="22"/>
      <c r="I427" s="23"/>
      <c r="J427" s="18"/>
      <c r="K427" s="13" t="str">
        <f t="shared" si="334"/>
        <v/>
      </c>
      <c r="L427" s="28" t="str">
        <f t="shared" si="328"/>
        <v/>
      </c>
      <c r="M427" s="10" t="str">
        <f t="shared" si="335"/>
        <v/>
      </c>
      <c r="N427" s="17" t="str">
        <f t="shared" si="336"/>
        <v/>
      </c>
      <c r="O427" s="39" t="str">
        <f t="shared" si="337"/>
        <v/>
      </c>
      <c r="P427" s="41" t="str">
        <f t="shared" si="338"/>
        <v/>
      </c>
      <c r="Q427" s="9" t="str">
        <f t="shared" si="339"/>
        <v/>
      </c>
      <c r="R427" s="14">
        <f t="shared" si="340"/>
        <v>0</v>
      </c>
      <c r="S427" s="61" t="str">
        <f t="shared" si="341"/>
        <v/>
      </c>
      <c r="T427" s="14">
        <f t="shared" si="342"/>
        <v>0</v>
      </c>
      <c r="U427" s="58" t="str">
        <f t="shared" si="343"/>
        <v/>
      </c>
      <c r="V427" s="14">
        <f t="shared" si="344"/>
        <v>0</v>
      </c>
      <c r="W427" s="58" t="str">
        <f t="shared" si="345"/>
        <v/>
      </c>
      <c r="X427" s="14">
        <f t="shared" si="346"/>
        <v>0</v>
      </c>
      <c r="Y427" s="58" t="str">
        <f t="shared" si="347"/>
        <v/>
      </c>
      <c r="Z427" s="31">
        <f t="shared" si="348"/>
        <v>0</v>
      </c>
      <c r="AA427" s="21">
        <f t="shared" si="349"/>
        <v>0</v>
      </c>
      <c r="AB427" s="58" t="str">
        <f t="shared" si="350"/>
        <v/>
      </c>
      <c r="AC427" s="630">
        <f t="shared" si="327"/>
        <v>0</v>
      </c>
      <c r="AD427" s="627"/>
      <c r="AE427" s="21">
        <f t="shared" si="351"/>
        <v>0</v>
      </c>
      <c r="AF427" s="58" t="str">
        <f t="shared" si="352"/>
        <v/>
      </c>
      <c r="AG427" s="21">
        <f t="shared" si="353"/>
        <v>0</v>
      </c>
      <c r="AH427" s="58" t="str">
        <f t="shared" si="354"/>
        <v/>
      </c>
      <c r="AI427" s="21">
        <f t="shared" si="355"/>
        <v>0</v>
      </c>
      <c r="AJ427" s="58" t="str">
        <f t="shared" si="356"/>
        <v/>
      </c>
      <c r="AK427" s="31">
        <f t="shared" si="357"/>
        <v>0</v>
      </c>
      <c r="AL427" s="21">
        <f t="shared" si="358"/>
        <v>0</v>
      </c>
      <c r="AM427" s="62" t="str">
        <f t="shared" si="359"/>
        <v/>
      </c>
      <c r="AN427" s="21">
        <f t="shared" si="360"/>
        <v>0</v>
      </c>
      <c r="AO427" s="62" t="str">
        <f t="shared" si="361"/>
        <v/>
      </c>
      <c r="AP427" s="21">
        <f t="shared" si="362"/>
        <v>0</v>
      </c>
      <c r="AQ427" s="62" t="str">
        <f t="shared" si="363"/>
        <v/>
      </c>
      <c r="AR427" s="31">
        <f t="shared" si="364"/>
        <v>0</v>
      </c>
      <c r="AS427" s="21">
        <f t="shared" si="365"/>
        <v>0</v>
      </c>
      <c r="AT427" s="62" t="str">
        <f t="shared" si="366"/>
        <v/>
      </c>
      <c r="AU427" s="84">
        <f t="shared" si="367"/>
        <v>0</v>
      </c>
      <c r="AV427" s="32">
        <f t="shared" si="368"/>
        <v>0</v>
      </c>
      <c r="AW427" s="85" t="str">
        <f t="shared" si="369"/>
        <v/>
      </c>
      <c r="AX427" s="86" t="str">
        <f t="shared" si="370"/>
        <v/>
      </c>
    </row>
    <row r="428" spans="1:50" x14ac:dyDescent="0.2">
      <c r="A428" s="29" t="str">
        <f t="shared" si="329"/>
        <v/>
      </c>
      <c r="B428" s="32" t="str">
        <f t="shared" si="330"/>
        <v/>
      </c>
      <c r="C428" s="35"/>
      <c r="D428" s="33" t="str">
        <f t="shared" si="331"/>
        <v/>
      </c>
      <c r="E428" s="22" t="str">
        <f t="shared" si="332"/>
        <v/>
      </c>
      <c r="F428" s="23" t="str">
        <f t="shared" si="333"/>
        <v/>
      </c>
      <c r="G428" s="23"/>
      <c r="H428" s="22"/>
      <c r="I428" s="23"/>
      <c r="J428" s="18"/>
      <c r="K428" s="13" t="str">
        <f t="shared" si="334"/>
        <v/>
      </c>
      <c r="L428" s="28" t="str">
        <f t="shared" si="328"/>
        <v/>
      </c>
      <c r="M428" s="10" t="str">
        <f t="shared" si="335"/>
        <v/>
      </c>
      <c r="N428" s="17" t="str">
        <f t="shared" si="336"/>
        <v/>
      </c>
      <c r="O428" s="39" t="str">
        <f t="shared" si="337"/>
        <v/>
      </c>
      <c r="P428" s="41" t="str">
        <f t="shared" si="338"/>
        <v/>
      </c>
      <c r="Q428" s="9" t="str">
        <f t="shared" si="339"/>
        <v/>
      </c>
      <c r="R428" s="14">
        <f t="shared" si="340"/>
        <v>0</v>
      </c>
      <c r="S428" s="61" t="str">
        <f t="shared" si="341"/>
        <v/>
      </c>
      <c r="T428" s="14">
        <f t="shared" si="342"/>
        <v>0</v>
      </c>
      <c r="U428" s="58" t="str">
        <f t="shared" si="343"/>
        <v/>
      </c>
      <c r="V428" s="14">
        <f t="shared" si="344"/>
        <v>0</v>
      </c>
      <c r="W428" s="58" t="str">
        <f t="shared" si="345"/>
        <v/>
      </c>
      <c r="X428" s="14">
        <f t="shared" si="346"/>
        <v>0</v>
      </c>
      <c r="Y428" s="58" t="str">
        <f t="shared" si="347"/>
        <v/>
      </c>
      <c r="Z428" s="31">
        <f t="shared" si="348"/>
        <v>0</v>
      </c>
      <c r="AA428" s="21">
        <f t="shared" si="349"/>
        <v>0</v>
      </c>
      <c r="AB428" s="58" t="str">
        <f t="shared" si="350"/>
        <v/>
      </c>
      <c r="AC428" s="630">
        <f t="shared" si="327"/>
        <v>0</v>
      </c>
      <c r="AD428" s="627"/>
      <c r="AE428" s="21">
        <f t="shared" si="351"/>
        <v>0</v>
      </c>
      <c r="AF428" s="58" t="str">
        <f t="shared" si="352"/>
        <v/>
      </c>
      <c r="AG428" s="21">
        <f t="shared" si="353"/>
        <v>0</v>
      </c>
      <c r="AH428" s="58" t="str">
        <f t="shared" si="354"/>
        <v/>
      </c>
      <c r="AI428" s="21">
        <f t="shared" si="355"/>
        <v>0</v>
      </c>
      <c r="AJ428" s="58" t="str">
        <f t="shared" si="356"/>
        <v/>
      </c>
      <c r="AK428" s="31">
        <f t="shared" si="357"/>
        <v>0</v>
      </c>
      <c r="AL428" s="21">
        <f t="shared" si="358"/>
        <v>0</v>
      </c>
      <c r="AM428" s="62" t="str">
        <f t="shared" si="359"/>
        <v/>
      </c>
      <c r="AN428" s="21">
        <f t="shared" si="360"/>
        <v>0</v>
      </c>
      <c r="AO428" s="62" t="str">
        <f t="shared" si="361"/>
        <v/>
      </c>
      <c r="AP428" s="21">
        <f t="shared" si="362"/>
        <v>0</v>
      </c>
      <c r="AQ428" s="62" t="str">
        <f t="shared" si="363"/>
        <v/>
      </c>
      <c r="AR428" s="31">
        <f t="shared" si="364"/>
        <v>0</v>
      </c>
      <c r="AS428" s="21">
        <f t="shared" si="365"/>
        <v>0</v>
      </c>
      <c r="AT428" s="62" t="str">
        <f t="shared" si="366"/>
        <v/>
      </c>
      <c r="AU428" s="84">
        <f t="shared" si="367"/>
        <v>0</v>
      </c>
      <c r="AV428" s="32">
        <f t="shared" si="368"/>
        <v>0</v>
      </c>
      <c r="AW428" s="85" t="str">
        <f t="shared" si="369"/>
        <v/>
      </c>
      <c r="AX428" s="86" t="str">
        <f t="shared" si="370"/>
        <v/>
      </c>
    </row>
    <row r="429" spans="1:50" x14ac:dyDescent="0.2">
      <c r="A429" s="29" t="str">
        <f t="shared" si="329"/>
        <v/>
      </c>
      <c r="B429" s="32" t="str">
        <f t="shared" si="330"/>
        <v/>
      </c>
      <c r="C429" s="35"/>
      <c r="D429" s="33" t="str">
        <f t="shared" si="331"/>
        <v/>
      </c>
      <c r="E429" s="22" t="str">
        <f t="shared" si="332"/>
        <v/>
      </c>
      <c r="F429" s="23" t="str">
        <f t="shared" si="333"/>
        <v/>
      </c>
      <c r="G429" s="23"/>
      <c r="H429" s="22"/>
      <c r="I429" s="23"/>
      <c r="J429" s="18"/>
      <c r="K429" s="13" t="str">
        <f t="shared" si="334"/>
        <v/>
      </c>
      <c r="L429" s="28" t="str">
        <f t="shared" si="328"/>
        <v/>
      </c>
      <c r="M429" s="10" t="str">
        <f t="shared" si="335"/>
        <v/>
      </c>
      <c r="N429" s="17" t="str">
        <f t="shared" si="336"/>
        <v/>
      </c>
      <c r="O429" s="39" t="str">
        <f t="shared" si="337"/>
        <v/>
      </c>
      <c r="P429" s="41" t="str">
        <f t="shared" si="338"/>
        <v/>
      </c>
      <c r="Q429" s="9" t="str">
        <f t="shared" si="339"/>
        <v/>
      </c>
      <c r="R429" s="14">
        <f t="shared" si="340"/>
        <v>0</v>
      </c>
      <c r="S429" s="61" t="str">
        <f t="shared" si="341"/>
        <v/>
      </c>
      <c r="T429" s="14">
        <f t="shared" si="342"/>
        <v>0</v>
      </c>
      <c r="U429" s="58" t="str">
        <f t="shared" si="343"/>
        <v/>
      </c>
      <c r="V429" s="14">
        <f t="shared" si="344"/>
        <v>0</v>
      </c>
      <c r="W429" s="58" t="str">
        <f t="shared" si="345"/>
        <v/>
      </c>
      <c r="X429" s="14">
        <f t="shared" si="346"/>
        <v>0</v>
      </c>
      <c r="Y429" s="58" t="str">
        <f t="shared" si="347"/>
        <v/>
      </c>
      <c r="Z429" s="31">
        <f t="shared" si="348"/>
        <v>0</v>
      </c>
      <c r="AA429" s="21">
        <f t="shared" si="349"/>
        <v>0</v>
      </c>
      <c r="AB429" s="58" t="str">
        <f t="shared" si="350"/>
        <v/>
      </c>
      <c r="AC429" s="630">
        <f t="shared" si="327"/>
        <v>0</v>
      </c>
      <c r="AD429" s="627"/>
      <c r="AE429" s="21">
        <f t="shared" si="351"/>
        <v>0</v>
      </c>
      <c r="AF429" s="58" t="str">
        <f t="shared" si="352"/>
        <v/>
      </c>
      <c r="AG429" s="21">
        <f t="shared" si="353"/>
        <v>0</v>
      </c>
      <c r="AH429" s="58" t="str">
        <f t="shared" si="354"/>
        <v/>
      </c>
      <c r="AI429" s="21">
        <f t="shared" si="355"/>
        <v>0</v>
      </c>
      <c r="AJ429" s="58" t="str">
        <f t="shared" si="356"/>
        <v/>
      </c>
      <c r="AK429" s="31">
        <f t="shared" si="357"/>
        <v>0</v>
      </c>
      <c r="AL429" s="21">
        <f t="shared" si="358"/>
        <v>0</v>
      </c>
      <c r="AM429" s="62" t="str">
        <f t="shared" si="359"/>
        <v/>
      </c>
      <c r="AN429" s="21">
        <f t="shared" si="360"/>
        <v>0</v>
      </c>
      <c r="AO429" s="62" t="str">
        <f t="shared" si="361"/>
        <v/>
      </c>
      <c r="AP429" s="21">
        <f t="shared" si="362"/>
        <v>0</v>
      </c>
      <c r="AQ429" s="62" t="str">
        <f t="shared" si="363"/>
        <v/>
      </c>
      <c r="AR429" s="31">
        <f t="shared" si="364"/>
        <v>0</v>
      </c>
      <c r="AS429" s="21">
        <f t="shared" si="365"/>
        <v>0</v>
      </c>
      <c r="AT429" s="62" t="str">
        <f t="shared" si="366"/>
        <v/>
      </c>
      <c r="AU429" s="84">
        <f t="shared" si="367"/>
        <v>0</v>
      </c>
      <c r="AV429" s="32">
        <f t="shared" si="368"/>
        <v>0</v>
      </c>
      <c r="AW429" s="85" t="str">
        <f t="shared" si="369"/>
        <v/>
      </c>
      <c r="AX429" s="86" t="str">
        <f t="shared" si="370"/>
        <v/>
      </c>
    </row>
    <row r="430" spans="1:50" x14ac:dyDescent="0.2">
      <c r="A430" s="29" t="str">
        <f t="shared" si="329"/>
        <v/>
      </c>
      <c r="B430" s="32" t="str">
        <f t="shared" si="330"/>
        <v/>
      </c>
      <c r="C430" s="35"/>
      <c r="D430" s="33" t="str">
        <f t="shared" si="331"/>
        <v/>
      </c>
      <c r="E430" s="22" t="str">
        <f t="shared" si="332"/>
        <v/>
      </c>
      <c r="F430" s="23" t="str">
        <f t="shared" si="333"/>
        <v/>
      </c>
      <c r="G430" s="23"/>
      <c r="H430" s="22"/>
      <c r="I430" s="23"/>
      <c r="J430" s="18"/>
      <c r="K430" s="13" t="str">
        <f t="shared" si="334"/>
        <v/>
      </c>
      <c r="L430" s="28" t="str">
        <f t="shared" si="328"/>
        <v/>
      </c>
      <c r="M430" s="10" t="str">
        <f t="shared" si="335"/>
        <v/>
      </c>
      <c r="N430" s="17" t="str">
        <f t="shared" si="336"/>
        <v/>
      </c>
      <c r="O430" s="39" t="str">
        <f t="shared" si="337"/>
        <v/>
      </c>
      <c r="P430" s="41" t="str">
        <f t="shared" si="338"/>
        <v/>
      </c>
      <c r="Q430" s="9" t="str">
        <f t="shared" si="339"/>
        <v/>
      </c>
      <c r="R430" s="14">
        <f t="shared" si="340"/>
        <v>0</v>
      </c>
      <c r="S430" s="61" t="str">
        <f t="shared" si="341"/>
        <v/>
      </c>
      <c r="T430" s="14">
        <f t="shared" si="342"/>
        <v>0</v>
      </c>
      <c r="U430" s="58" t="str">
        <f t="shared" si="343"/>
        <v/>
      </c>
      <c r="V430" s="14">
        <f t="shared" si="344"/>
        <v>0</v>
      </c>
      <c r="W430" s="58" t="str">
        <f t="shared" si="345"/>
        <v/>
      </c>
      <c r="X430" s="14">
        <f t="shared" si="346"/>
        <v>0</v>
      </c>
      <c r="Y430" s="58" t="str">
        <f t="shared" si="347"/>
        <v/>
      </c>
      <c r="Z430" s="31">
        <f t="shared" si="348"/>
        <v>0</v>
      </c>
      <c r="AA430" s="21">
        <f t="shared" si="349"/>
        <v>0</v>
      </c>
      <c r="AB430" s="58" t="str">
        <f t="shared" si="350"/>
        <v/>
      </c>
      <c r="AC430" s="630">
        <f t="shared" si="327"/>
        <v>0</v>
      </c>
      <c r="AD430" s="627"/>
      <c r="AE430" s="21">
        <f t="shared" si="351"/>
        <v>0</v>
      </c>
      <c r="AF430" s="58" t="str">
        <f t="shared" si="352"/>
        <v/>
      </c>
      <c r="AG430" s="21">
        <f t="shared" si="353"/>
        <v>0</v>
      </c>
      <c r="AH430" s="58" t="str">
        <f t="shared" si="354"/>
        <v/>
      </c>
      <c r="AI430" s="21">
        <f t="shared" si="355"/>
        <v>0</v>
      </c>
      <c r="AJ430" s="58" t="str">
        <f t="shared" si="356"/>
        <v/>
      </c>
      <c r="AK430" s="31">
        <f t="shared" si="357"/>
        <v>0</v>
      </c>
      <c r="AL430" s="21">
        <f t="shared" si="358"/>
        <v>0</v>
      </c>
      <c r="AM430" s="62" t="str">
        <f t="shared" si="359"/>
        <v/>
      </c>
      <c r="AN430" s="21">
        <f t="shared" si="360"/>
        <v>0</v>
      </c>
      <c r="AO430" s="62" t="str">
        <f t="shared" si="361"/>
        <v/>
      </c>
      <c r="AP430" s="21">
        <f t="shared" si="362"/>
        <v>0</v>
      </c>
      <c r="AQ430" s="62" t="str">
        <f t="shared" si="363"/>
        <v/>
      </c>
      <c r="AR430" s="31">
        <f t="shared" si="364"/>
        <v>0</v>
      </c>
      <c r="AS430" s="21">
        <f t="shared" si="365"/>
        <v>0</v>
      </c>
      <c r="AT430" s="62" t="str">
        <f t="shared" si="366"/>
        <v/>
      </c>
      <c r="AU430" s="84">
        <f t="shared" si="367"/>
        <v>0</v>
      </c>
      <c r="AV430" s="32">
        <f t="shared" si="368"/>
        <v>0</v>
      </c>
      <c r="AW430" s="85" t="str">
        <f t="shared" si="369"/>
        <v/>
      </c>
      <c r="AX430" s="86" t="str">
        <f t="shared" si="370"/>
        <v/>
      </c>
    </row>
    <row r="431" spans="1:50" x14ac:dyDescent="0.2">
      <c r="A431" s="29" t="str">
        <f t="shared" si="329"/>
        <v/>
      </c>
      <c r="B431" s="32" t="str">
        <f t="shared" si="330"/>
        <v/>
      </c>
      <c r="C431" s="35"/>
      <c r="D431" s="33" t="str">
        <f t="shared" si="331"/>
        <v/>
      </c>
      <c r="E431" s="22" t="str">
        <f t="shared" si="332"/>
        <v/>
      </c>
      <c r="F431" s="23" t="str">
        <f t="shared" si="333"/>
        <v/>
      </c>
      <c r="G431" s="23"/>
      <c r="H431" s="22"/>
      <c r="I431" s="23"/>
      <c r="J431" s="18"/>
      <c r="K431" s="13" t="str">
        <f t="shared" si="334"/>
        <v/>
      </c>
      <c r="L431" s="28" t="str">
        <f t="shared" si="328"/>
        <v/>
      </c>
      <c r="M431" s="10" t="str">
        <f t="shared" si="335"/>
        <v/>
      </c>
      <c r="N431" s="17" t="str">
        <f t="shared" si="336"/>
        <v/>
      </c>
      <c r="O431" s="39" t="str">
        <f t="shared" si="337"/>
        <v/>
      </c>
      <c r="P431" s="41" t="str">
        <f t="shared" si="338"/>
        <v/>
      </c>
      <c r="Q431" s="9" t="str">
        <f t="shared" si="339"/>
        <v/>
      </c>
      <c r="R431" s="14">
        <f t="shared" si="340"/>
        <v>0</v>
      </c>
      <c r="S431" s="61" t="str">
        <f t="shared" si="341"/>
        <v/>
      </c>
      <c r="T431" s="14">
        <f t="shared" si="342"/>
        <v>0</v>
      </c>
      <c r="U431" s="58" t="str">
        <f t="shared" si="343"/>
        <v/>
      </c>
      <c r="V431" s="14">
        <f t="shared" si="344"/>
        <v>0</v>
      </c>
      <c r="W431" s="58" t="str">
        <f t="shared" si="345"/>
        <v/>
      </c>
      <c r="X431" s="14">
        <f t="shared" si="346"/>
        <v>0</v>
      </c>
      <c r="Y431" s="58" t="str">
        <f t="shared" si="347"/>
        <v/>
      </c>
      <c r="Z431" s="31">
        <f t="shared" si="348"/>
        <v>0</v>
      </c>
      <c r="AA431" s="21">
        <f t="shared" si="349"/>
        <v>0</v>
      </c>
      <c r="AB431" s="58" t="str">
        <f t="shared" si="350"/>
        <v/>
      </c>
      <c r="AC431" s="630">
        <f t="shared" si="327"/>
        <v>0</v>
      </c>
      <c r="AD431" s="627"/>
      <c r="AE431" s="21">
        <f t="shared" si="351"/>
        <v>0</v>
      </c>
      <c r="AF431" s="58" t="str">
        <f t="shared" si="352"/>
        <v/>
      </c>
      <c r="AG431" s="21">
        <f t="shared" si="353"/>
        <v>0</v>
      </c>
      <c r="AH431" s="58" t="str">
        <f t="shared" si="354"/>
        <v/>
      </c>
      <c r="AI431" s="21">
        <f t="shared" si="355"/>
        <v>0</v>
      </c>
      <c r="AJ431" s="58" t="str">
        <f t="shared" si="356"/>
        <v/>
      </c>
      <c r="AK431" s="31">
        <f t="shared" si="357"/>
        <v>0</v>
      </c>
      <c r="AL431" s="21">
        <f t="shared" si="358"/>
        <v>0</v>
      </c>
      <c r="AM431" s="62" t="str">
        <f t="shared" si="359"/>
        <v/>
      </c>
      <c r="AN431" s="21">
        <f t="shared" si="360"/>
        <v>0</v>
      </c>
      <c r="AO431" s="62" t="str">
        <f t="shared" si="361"/>
        <v/>
      </c>
      <c r="AP431" s="21">
        <f t="shared" si="362"/>
        <v>0</v>
      </c>
      <c r="AQ431" s="62" t="str">
        <f t="shared" si="363"/>
        <v/>
      </c>
      <c r="AR431" s="31">
        <f t="shared" si="364"/>
        <v>0</v>
      </c>
      <c r="AS431" s="21">
        <f t="shared" si="365"/>
        <v>0</v>
      </c>
      <c r="AT431" s="62" t="str">
        <f t="shared" si="366"/>
        <v/>
      </c>
      <c r="AU431" s="84">
        <f t="shared" si="367"/>
        <v>0</v>
      </c>
      <c r="AV431" s="32">
        <f t="shared" si="368"/>
        <v>0</v>
      </c>
      <c r="AW431" s="85" t="str">
        <f t="shared" si="369"/>
        <v/>
      </c>
      <c r="AX431" s="86" t="str">
        <f t="shared" si="370"/>
        <v/>
      </c>
    </row>
    <row r="432" spans="1:50" x14ac:dyDescent="0.2">
      <c r="A432" s="29" t="str">
        <f t="shared" si="329"/>
        <v/>
      </c>
      <c r="B432" s="32" t="str">
        <f t="shared" si="330"/>
        <v/>
      </c>
      <c r="C432" s="35"/>
      <c r="D432" s="33" t="str">
        <f t="shared" si="331"/>
        <v/>
      </c>
      <c r="E432" s="22" t="str">
        <f t="shared" si="332"/>
        <v/>
      </c>
      <c r="F432" s="23" t="str">
        <f t="shared" si="333"/>
        <v/>
      </c>
      <c r="G432" s="23"/>
      <c r="H432" s="22"/>
      <c r="I432" s="23"/>
      <c r="J432" s="18"/>
      <c r="K432" s="13" t="str">
        <f t="shared" si="334"/>
        <v/>
      </c>
      <c r="L432" s="28" t="str">
        <f t="shared" si="328"/>
        <v/>
      </c>
      <c r="M432" s="10" t="str">
        <f t="shared" si="335"/>
        <v/>
      </c>
      <c r="N432" s="17" t="str">
        <f t="shared" si="336"/>
        <v/>
      </c>
      <c r="O432" s="39" t="str">
        <f t="shared" si="337"/>
        <v/>
      </c>
      <c r="P432" s="41" t="str">
        <f t="shared" si="338"/>
        <v/>
      </c>
      <c r="Q432" s="9" t="str">
        <f t="shared" si="339"/>
        <v/>
      </c>
      <c r="R432" s="14">
        <f t="shared" si="340"/>
        <v>0</v>
      </c>
      <c r="S432" s="61" t="str">
        <f t="shared" si="341"/>
        <v/>
      </c>
      <c r="T432" s="14">
        <f t="shared" si="342"/>
        <v>0</v>
      </c>
      <c r="U432" s="58" t="str">
        <f t="shared" si="343"/>
        <v/>
      </c>
      <c r="V432" s="14">
        <f t="shared" si="344"/>
        <v>0</v>
      </c>
      <c r="W432" s="58" t="str">
        <f t="shared" si="345"/>
        <v/>
      </c>
      <c r="X432" s="14">
        <f t="shared" si="346"/>
        <v>0</v>
      </c>
      <c r="Y432" s="58" t="str">
        <f t="shared" si="347"/>
        <v/>
      </c>
      <c r="Z432" s="31">
        <f t="shared" si="348"/>
        <v>0</v>
      </c>
      <c r="AA432" s="21">
        <f t="shared" si="349"/>
        <v>0</v>
      </c>
      <c r="AB432" s="58" t="str">
        <f t="shared" si="350"/>
        <v/>
      </c>
      <c r="AC432" s="630">
        <f t="shared" si="327"/>
        <v>0</v>
      </c>
      <c r="AD432" s="627"/>
      <c r="AE432" s="21">
        <f t="shared" si="351"/>
        <v>0</v>
      </c>
      <c r="AF432" s="58" t="str">
        <f t="shared" si="352"/>
        <v/>
      </c>
      <c r="AG432" s="21">
        <f t="shared" si="353"/>
        <v>0</v>
      </c>
      <c r="AH432" s="58" t="str">
        <f t="shared" si="354"/>
        <v/>
      </c>
      <c r="AI432" s="21">
        <f t="shared" si="355"/>
        <v>0</v>
      </c>
      <c r="AJ432" s="58" t="str">
        <f t="shared" si="356"/>
        <v/>
      </c>
      <c r="AK432" s="31">
        <f t="shared" si="357"/>
        <v>0</v>
      </c>
      <c r="AL432" s="21">
        <f t="shared" si="358"/>
        <v>0</v>
      </c>
      <c r="AM432" s="62" t="str">
        <f t="shared" si="359"/>
        <v/>
      </c>
      <c r="AN432" s="21">
        <f t="shared" si="360"/>
        <v>0</v>
      </c>
      <c r="AO432" s="62" t="str">
        <f t="shared" si="361"/>
        <v/>
      </c>
      <c r="AP432" s="21">
        <f t="shared" si="362"/>
        <v>0</v>
      </c>
      <c r="AQ432" s="62" t="str">
        <f t="shared" si="363"/>
        <v/>
      </c>
      <c r="AR432" s="31">
        <f t="shared" si="364"/>
        <v>0</v>
      </c>
      <c r="AS432" s="21">
        <f t="shared" si="365"/>
        <v>0</v>
      </c>
      <c r="AT432" s="62" t="str">
        <f t="shared" si="366"/>
        <v/>
      </c>
      <c r="AU432" s="84">
        <f t="shared" si="367"/>
        <v>0</v>
      </c>
      <c r="AV432" s="32">
        <f t="shared" si="368"/>
        <v>0</v>
      </c>
      <c r="AW432" s="85" t="str">
        <f t="shared" si="369"/>
        <v/>
      </c>
      <c r="AX432" s="86" t="str">
        <f t="shared" si="370"/>
        <v/>
      </c>
    </row>
    <row r="433" spans="1:50" x14ac:dyDescent="0.2">
      <c r="A433" s="29" t="str">
        <f t="shared" si="329"/>
        <v/>
      </c>
      <c r="B433" s="32" t="str">
        <f t="shared" si="330"/>
        <v/>
      </c>
      <c r="C433" s="35"/>
      <c r="D433" s="33" t="str">
        <f t="shared" si="331"/>
        <v/>
      </c>
      <c r="E433" s="22" t="str">
        <f t="shared" si="332"/>
        <v/>
      </c>
      <c r="F433" s="23" t="str">
        <f t="shared" si="333"/>
        <v/>
      </c>
      <c r="G433" s="23"/>
      <c r="H433" s="22"/>
      <c r="I433" s="23"/>
      <c r="J433" s="18"/>
      <c r="K433" s="13" t="str">
        <f t="shared" si="334"/>
        <v/>
      </c>
      <c r="L433" s="28" t="str">
        <f t="shared" si="328"/>
        <v/>
      </c>
      <c r="M433" s="10" t="str">
        <f t="shared" si="335"/>
        <v/>
      </c>
      <c r="N433" s="17" t="str">
        <f t="shared" si="336"/>
        <v/>
      </c>
      <c r="O433" s="39" t="str">
        <f t="shared" si="337"/>
        <v/>
      </c>
      <c r="P433" s="41" t="str">
        <f t="shared" si="338"/>
        <v/>
      </c>
      <c r="Q433" s="9" t="str">
        <f t="shared" si="339"/>
        <v/>
      </c>
      <c r="R433" s="14">
        <f t="shared" si="340"/>
        <v>0</v>
      </c>
      <c r="S433" s="61" t="str">
        <f t="shared" si="341"/>
        <v/>
      </c>
      <c r="T433" s="14">
        <f t="shared" si="342"/>
        <v>0</v>
      </c>
      <c r="U433" s="58" t="str">
        <f t="shared" si="343"/>
        <v/>
      </c>
      <c r="V433" s="14">
        <f t="shared" si="344"/>
        <v>0</v>
      </c>
      <c r="W433" s="58" t="str">
        <f t="shared" si="345"/>
        <v/>
      </c>
      <c r="X433" s="14">
        <f t="shared" si="346"/>
        <v>0</v>
      </c>
      <c r="Y433" s="58" t="str">
        <f t="shared" si="347"/>
        <v/>
      </c>
      <c r="Z433" s="31">
        <f t="shared" si="348"/>
        <v>0</v>
      </c>
      <c r="AA433" s="21">
        <f t="shared" si="349"/>
        <v>0</v>
      </c>
      <c r="AB433" s="58" t="str">
        <f t="shared" si="350"/>
        <v/>
      </c>
      <c r="AC433" s="630">
        <f t="shared" si="327"/>
        <v>0</v>
      </c>
      <c r="AD433" s="627"/>
      <c r="AE433" s="21">
        <f t="shared" si="351"/>
        <v>0</v>
      </c>
      <c r="AF433" s="58" t="str">
        <f t="shared" si="352"/>
        <v/>
      </c>
      <c r="AG433" s="21">
        <f t="shared" si="353"/>
        <v>0</v>
      </c>
      <c r="AH433" s="58" t="str">
        <f t="shared" si="354"/>
        <v/>
      </c>
      <c r="AI433" s="21">
        <f t="shared" si="355"/>
        <v>0</v>
      </c>
      <c r="AJ433" s="58" t="str">
        <f t="shared" si="356"/>
        <v/>
      </c>
      <c r="AK433" s="31">
        <f t="shared" si="357"/>
        <v>0</v>
      </c>
      <c r="AL433" s="21">
        <f t="shared" si="358"/>
        <v>0</v>
      </c>
      <c r="AM433" s="62" t="str">
        <f t="shared" si="359"/>
        <v/>
      </c>
      <c r="AN433" s="21">
        <f t="shared" si="360"/>
        <v>0</v>
      </c>
      <c r="AO433" s="62" t="str">
        <f t="shared" si="361"/>
        <v/>
      </c>
      <c r="AP433" s="21">
        <f t="shared" si="362"/>
        <v>0</v>
      </c>
      <c r="AQ433" s="62" t="str">
        <f t="shared" si="363"/>
        <v/>
      </c>
      <c r="AR433" s="31">
        <f t="shared" si="364"/>
        <v>0</v>
      </c>
      <c r="AS433" s="21">
        <f t="shared" si="365"/>
        <v>0</v>
      </c>
      <c r="AT433" s="62" t="str">
        <f t="shared" si="366"/>
        <v/>
      </c>
      <c r="AU433" s="84">
        <f t="shared" si="367"/>
        <v>0</v>
      </c>
      <c r="AV433" s="32">
        <f t="shared" si="368"/>
        <v>0</v>
      </c>
      <c r="AW433" s="85" t="str">
        <f t="shared" si="369"/>
        <v/>
      </c>
      <c r="AX433" s="86" t="str">
        <f t="shared" si="370"/>
        <v/>
      </c>
    </row>
    <row r="434" spans="1:50" x14ac:dyDescent="0.2">
      <c r="A434" s="29" t="str">
        <f t="shared" si="329"/>
        <v/>
      </c>
      <c r="B434" s="32" t="str">
        <f t="shared" si="330"/>
        <v/>
      </c>
      <c r="C434" s="35"/>
      <c r="D434" s="33" t="str">
        <f t="shared" si="331"/>
        <v/>
      </c>
      <c r="E434" s="22" t="str">
        <f t="shared" si="332"/>
        <v/>
      </c>
      <c r="F434" s="23" t="str">
        <f t="shared" si="333"/>
        <v/>
      </c>
      <c r="G434" s="23"/>
      <c r="H434" s="22"/>
      <c r="I434" s="23"/>
      <c r="J434" s="18"/>
      <c r="K434" s="13" t="str">
        <f t="shared" si="334"/>
        <v/>
      </c>
      <c r="L434" s="28" t="str">
        <f t="shared" si="328"/>
        <v/>
      </c>
      <c r="M434" s="10" t="str">
        <f t="shared" si="335"/>
        <v/>
      </c>
      <c r="N434" s="17" t="str">
        <f t="shared" si="336"/>
        <v/>
      </c>
      <c r="O434" s="39" t="str">
        <f t="shared" si="337"/>
        <v/>
      </c>
      <c r="P434" s="41" t="str">
        <f t="shared" si="338"/>
        <v/>
      </c>
      <c r="Q434" s="9" t="str">
        <f t="shared" si="339"/>
        <v/>
      </c>
      <c r="R434" s="14">
        <f t="shared" si="340"/>
        <v>0</v>
      </c>
      <c r="S434" s="61" t="str">
        <f t="shared" si="341"/>
        <v/>
      </c>
      <c r="T434" s="14">
        <f t="shared" si="342"/>
        <v>0</v>
      </c>
      <c r="U434" s="58" t="str">
        <f t="shared" si="343"/>
        <v/>
      </c>
      <c r="V434" s="14">
        <f t="shared" si="344"/>
        <v>0</v>
      </c>
      <c r="W434" s="58" t="str">
        <f t="shared" si="345"/>
        <v/>
      </c>
      <c r="X434" s="14">
        <f t="shared" si="346"/>
        <v>0</v>
      </c>
      <c r="Y434" s="58" t="str">
        <f t="shared" si="347"/>
        <v/>
      </c>
      <c r="Z434" s="31">
        <f t="shared" si="348"/>
        <v>0</v>
      </c>
      <c r="AA434" s="21">
        <f t="shared" si="349"/>
        <v>0</v>
      </c>
      <c r="AB434" s="58" t="str">
        <f t="shared" si="350"/>
        <v/>
      </c>
      <c r="AC434" s="630">
        <f t="shared" si="327"/>
        <v>0</v>
      </c>
      <c r="AD434" s="627"/>
      <c r="AE434" s="21">
        <f t="shared" si="351"/>
        <v>0</v>
      </c>
      <c r="AF434" s="58" t="str">
        <f t="shared" si="352"/>
        <v/>
      </c>
      <c r="AG434" s="21">
        <f t="shared" si="353"/>
        <v>0</v>
      </c>
      <c r="AH434" s="58" t="str">
        <f t="shared" si="354"/>
        <v/>
      </c>
      <c r="AI434" s="21">
        <f t="shared" si="355"/>
        <v>0</v>
      </c>
      <c r="AJ434" s="58" t="str">
        <f t="shared" si="356"/>
        <v/>
      </c>
      <c r="AK434" s="31">
        <f t="shared" si="357"/>
        <v>0</v>
      </c>
      <c r="AL434" s="21">
        <f t="shared" si="358"/>
        <v>0</v>
      </c>
      <c r="AM434" s="62" t="str">
        <f t="shared" si="359"/>
        <v/>
      </c>
      <c r="AN434" s="21">
        <f t="shared" si="360"/>
        <v>0</v>
      </c>
      <c r="AO434" s="62" t="str">
        <f t="shared" si="361"/>
        <v/>
      </c>
      <c r="AP434" s="21">
        <f t="shared" si="362"/>
        <v>0</v>
      </c>
      <c r="AQ434" s="62" t="str">
        <f t="shared" si="363"/>
        <v/>
      </c>
      <c r="AR434" s="31">
        <f t="shared" si="364"/>
        <v>0</v>
      </c>
      <c r="AS434" s="21">
        <f t="shared" si="365"/>
        <v>0</v>
      </c>
      <c r="AT434" s="62" t="str">
        <f t="shared" si="366"/>
        <v/>
      </c>
      <c r="AU434" s="84">
        <f t="shared" si="367"/>
        <v>0</v>
      </c>
      <c r="AV434" s="32">
        <f t="shared" si="368"/>
        <v>0</v>
      </c>
      <c r="AW434" s="85" t="str">
        <f t="shared" si="369"/>
        <v/>
      </c>
      <c r="AX434" s="86" t="str">
        <f t="shared" si="370"/>
        <v/>
      </c>
    </row>
    <row r="435" spans="1:50" x14ac:dyDescent="0.2">
      <c r="A435" s="29" t="str">
        <f t="shared" si="329"/>
        <v/>
      </c>
      <c r="B435" s="32" t="str">
        <f t="shared" si="330"/>
        <v/>
      </c>
      <c r="C435" s="35"/>
      <c r="D435" s="33" t="str">
        <f t="shared" si="331"/>
        <v/>
      </c>
      <c r="E435" s="22" t="str">
        <f t="shared" si="332"/>
        <v/>
      </c>
      <c r="F435" s="23" t="str">
        <f t="shared" si="333"/>
        <v/>
      </c>
      <c r="G435" s="23"/>
      <c r="H435" s="22"/>
      <c r="I435" s="23"/>
      <c r="J435" s="18"/>
      <c r="K435" s="13" t="str">
        <f t="shared" si="334"/>
        <v/>
      </c>
      <c r="L435" s="28" t="str">
        <f t="shared" si="328"/>
        <v/>
      </c>
      <c r="M435" s="10" t="str">
        <f t="shared" si="335"/>
        <v/>
      </c>
      <c r="N435" s="17" t="str">
        <f t="shared" si="336"/>
        <v/>
      </c>
      <c r="O435" s="39" t="str">
        <f t="shared" si="337"/>
        <v/>
      </c>
      <c r="P435" s="41" t="str">
        <f t="shared" si="338"/>
        <v/>
      </c>
      <c r="Q435" s="9" t="str">
        <f t="shared" si="339"/>
        <v/>
      </c>
      <c r="R435" s="14">
        <f t="shared" si="340"/>
        <v>0</v>
      </c>
      <c r="S435" s="61" t="str">
        <f t="shared" si="341"/>
        <v/>
      </c>
      <c r="T435" s="14">
        <f t="shared" si="342"/>
        <v>0</v>
      </c>
      <c r="U435" s="58" t="str">
        <f t="shared" si="343"/>
        <v/>
      </c>
      <c r="V435" s="14">
        <f t="shared" si="344"/>
        <v>0</v>
      </c>
      <c r="W435" s="58" t="str">
        <f t="shared" si="345"/>
        <v/>
      </c>
      <c r="X435" s="14">
        <f t="shared" si="346"/>
        <v>0</v>
      </c>
      <c r="Y435" s="58" t="str">
        <f t="shared" si="347"/>
        <v/>
      </c>
      <c r="Z435" s="31">
        <f t="shared" si="348"/>
        <v>0</v>
      </c>
      <c r="AA435" s="21">
        <f t="shared" si="349"/>
        <v>0</v>
      </c>
      <c r="AB435" s="58" t="str">
        <f t="shared" si="350"/>
        <v/>
      </c>
      <c r="AC435" s="630">
        <f t="shared" si="327"/>
        <v>0</v>
      </c>
      <c r="AD435" s="627"/>
      <c r="AE435" s="21">
        <f t="shared" si="351"/>
        <v>0</v>
      </c>
      <c r="AF435" s="58" t="str">
        <f t="shared" si="352"/>
        <v/>
      </c>
      <c r="AG435" s="21">
        <f t="shared" si="353"/>
        <v>0</v>
      </c>
      <c r="AH435" s="58" t="str">
        <f t="shared" si="354"/>
        <v/>
      </c>
      <c r="AI435" s="21">
        <f t="shared" si="355"/>
        <v>0</v>
      </c>
      <c r="AJ435" s="58" t="str">
        <f t="shared" si="356"/>
        <v/>
      </c>
      <c r="AK435" s="31">
        <f t="shared" si="357"/>
        <v>0</v>
      </c>
      <c r="AL435" s="21">
        <f t="shared" si="358"/>
        <v>0</v>
      </c>
      <c r="AM435" s="62" t="str">
        <f t="shared" si="359"/>
        <v/>
      </c>
      <c r="AN435" s="21">
        <f t="shared" si="360"/>
        <v>0</v>
      </c>
      <c r="AO435" s="62" t="str">
        <f t="shared" si="361"/>
        <v/>
      </c>
      <c r="AP435" s="21">
        <f t="shared" si="362"/>
        <v>0</v>
      </c>
      <c r="AQ435" s="62" t="str">
        <f t="shared" si="363"/>
        <v/>
      </c>
      <c r="AR435" s="31">
        <f t="shared" si="364"/>
        <v>0</v>
      </c>
      <c r="AS435" s="21">
        <f t="shared" si="365"/>
        <v>0</v>
      </c>
      <c r="AT435" s="62" t="str">
        <f t="shared" si="366"/>
        <v/>
      </c>
      <c r="AU435" s="84">
        <f t="shared" si="367"/>
        <v>0</v>
      </c>
      <c r="AV435" s="32">
        <f t="shared" si="368"/>
        <v>0</v>
      </c>
      <c r="AW435" s="85" t="str">
        <f t="shared" si="369"/>
        <v/>
      </c>
      <c r="AX435" s="86" t="str">
        <f t="shared" si="370"/>
        <v/>
      </c>
    </row>
    <row r="436" spans="1:50" x14ac:dyDescent="0.2">
      <c r="A436" s="29" t="str">
        <f t="shared" si="329"/>
        <v/>
      </c>
      <c r="B436" s="32" t="str">
        <f t="shared" si="330"/>
        <v/>
      </c>
      <c r="C436" s="35"/>
      <c r="D436" s="33" t="str">
        <f t="shared" si="331"/>
        <v/>
      </c>
      <c r="E436" s="22" t="str">
        <f t="shared" si="332"/>
        <v/>
      </c>
      <c r="F436" s="23" t="str">
        <f t="shared" si="333"/>
        <v/>
      </c>
      <c r="G436" s="23"/>
      <c r="H436" s="22"/>
      <c r="I436" s="23"/>
      <c r="J436" s="18"/>
      <c r="K436" s="13" t="str">
        <f t="shared" si="334"/>
        <v/>
      </c>
      <c r="L436" s="28" t="str">
        <f t="shared" si="328"/>
        <v/>
      </c>
      <c r="M436" s="10" t="str">
        <f t="shared" si="335"/>
        <v/>
      </c>
      <c r="N436" s="17" t="str">
        <f t="shared" si="336"/>
        <v/>
      </c>
      <c r="O436" s="39" t="str">
        <f t="shared" si="337"/>
        <v/>
      </c>
      <c r="P436" s="41" t="str">
        <f t="shared" si="338"/>
        <v/>
      </c>
      <c r="Q436" s="9" t="str">
        <f t="shared" si="339"/>
        <v/>
      </c>
      <c r="R436" s="14">
        <f t="shared" si="340"/>
        <v>0</v>
      </c>
      <c r="S436" s="61" t="str">
        <f t="shared" si="341"/>
        <v/>
      </c>
      <c r="T436" s="14">
        <f t="shared" si="342"/>
        <v>0</v>
      </c>
      <c r="U436" s="58" t="str">
        <f t="shared" si="343"/>
        <v/>
      </c>
      <c r="V436" s="14">
        <f t="shared" si="344"/>
        <v>0</v>
      </c>
      <c r="W436" s="58" t="str">
        <f t="shared" si="345"/>
        <v/>
      </c>
      <c r="X436" s="14">
        <f t="shared" si="346"/>
        <v>0</v>
      </c>
      <c r="Y436" s="58" t="str">
        <f t="shared" si="347"/>
        <v/>
      </c>
      <c r="Z436" s="31">
        <f t="shared" si="348"/>
        <v>0</v>
      </c>
      <c r="AA436" s="21">
        <f t="shared" si="349"/>
        <v>0</v>
      </c>
      <c r="AB436" s="58" t="str">
        <f t="shared" si="350"/>
        <v/>
      </c>
      <c r="AC436" s="630">
        <f t="shared" si="327"/>
        <v>0</v>
      </c>
      <c r="AD436" s="627"/>
      <c r="AE436" s="21">
        <f t="shared" si="351"/>
        <v>0</v>
      </c>
      <c r="AF436" s="58" t="str">
        <f t="shared" si="352"/>
        <v/>
      </c>
      <c r="AG436" s="21">
        <f t="shared" si="353"/>
        <v>0</v>
      </c>
      <c r="AH436" s="58" t="str">
        <f t="shared" si="354"/>
        <v/>
      </c>
      <c r="AI436" s="21">
        <f t="shared" si="355"/>
        <v>0</v>
      </c>
      <c r="AJ436" s="58" t="str">
        <f t="shared" si="356"/>
        <v/>
      </c>
      <c r="AK436" s="31">
        <f t="shared" si="357"/>
        <v>0</v>
      </c>
      <c r="AL436" s="21">
        <f t="shared" si="358"/>
        <v>0</v>
      </c>
      <c r="AM436" s="62" t="str">
        <f t="shared" si="359"/>
        <v/>
      </c>
      <c r="AN436" s="21">
        <f t="shared" si="360"/>
        <v>0</v>
      </c>
      <c r="AO436" s="62" t="str">
        <f t="shared" si="361"/>
        <v/>
      </c>
      <c r="AP436" s="21">
        <f t="shared" si="362"/>
        <v>0</v>
      </c>
      <c r="AQ436" s="62" t="str">
        <f t="shared" si="363"/>
        <v/>
      </c>
      <c r="AR436" s="31">
        <f t="shared" si="364"/>
        <v>0</v>
      </c>
      <c r="AS436" s="21">
        <f t="shared" si="365"/>
        <v>0</v>
      </c>
      <c r="AT436" s="62" t="str">
        <f t="shared" si="366"/>
        <v/>
      </c>
      <c r="AU436" s="84">
        <f t="shared" si="367"/>
        <v>0</v>
      </c>
      <c r="AV436" s="32">
        <f t="shared" si="368"/>
        <v>0</v>
      </c>
      <c r="AW436" s="85" t="str">
        <f t="shared" si="369"/>
        <v/>
      </c>
      <c r="AX436" s="86" t="str">
        <f t="shared" si="370"/>
        <v/>
      </c>
    </row>
    <row r="437" spans="1:50" x14ac:dyDescent="0.2">
      <c r="A437" s="29" t="str">
        <f t="shared" si="329"/>
        <v/>
      </c>
      <c r="B437" s="32" t="str">
        <f t="shared" si="330"/>
        <v/>
      </c>
      <c r="C437" s="35"/>
      <c r="D437" s="33" t="str">
        <f t="shared" si="331"/>
        <v/>
      </c>
      <c r="E437" s="22" t="str">
        <f t="shared" si="332"/>
        <v/>
      </c>
      <c r="F437" s="23" t="str">
        <f t="shared" si="333"/>
        <v/>
      </c>
      <c r="G437" s="23"/>
      <c r="H437" s="22"/>
      <c r="I437" s="23"/>
      <c r="J437" s="18"/>
      <c r="K437" s="13" t="str">
        <f t="shared" si="334"/>
        <v/>
      </c>
      <c r="L437" s="28" t="str">
        <f t="shared" si="328"/>
        <v/>
      </c>
      <c r="M437" s="10" t="str">
        <f t="shared" si="335"/>
        <v/>
      </c>
      <c r="N437" s="17" t="str">
        <f t="shared" si="336"/>
        <v/>
      </c>
      <c r="O437" s="39" t="str">
        <f t="shared" si="337"/>
        <v/>
      </c>
      <c r="P437" s="41" t="str">
        <f t="shared" si="338"/>
        <v/>
      </c>
      <c r="Q437" s="9" t="str">
        <f t="shared" si="339"/>
        <v/>
      </c>
      <c r="R437" s="14">
        <f t="shared" si="340"/>
        <v>0</v>
      </c>
      <c r="S437" s="61" t="str">
        <f t="shared" si="341"/>
        <v/>
      </c>
      <c r="T437" s="14">
        <f t="shared" si="342"/>
        <v>0</v>
      </c>
      <c r="U437" s="58" t="str">
        <f t="shared" si="343"/>
        <v/>
      </c>
      <c r="V437" s="14">
        <f t="shared" si="344"/>
        <v>0</v>
      </c>
      <c r="W437" s="58" t="str">
        <f t="shared" si="345"/>
        <v/>
      </c>
      <c r="X437" s="14">
        <f t="shared" si="346"/>
        <v>0</v>
      </c>
      <c r="Y437" s="58" t="str">
        <f t="shared" si="347"/>
        <v/>
      </c>
      <c r="Z437" s="31">
        <f t="shared" si="348"/>
        <v>0</v>
      </c>
      <c r="AA437" s="21">
        <f t="shared" si="349"/>
        <v>0</v>
      </c>
      <c r="AB437" s="58" t="str">
        <f t="shared" si="350"/>
        <v/>
      </c>
      <c r="AC437" s="630">
        <f t="shared" si="327"/>
        <v>0</v>
      </c>
      <c r="AD437" s="627"/>
      <c r="AE437" s="21">
        <f t="shared" si="351"/>
        <v>0</v>
      </c>
      <c r="AF437" s="58" t="str">
        <f t="shared" si="352"/>
        <v/>
      </c>
      <c r="AG437" s="21">
        <f t="shared" si="353"/>
        <v>0</v>
      </c>
      <c r="AH437" s="58" t="str">
        <f t="shared" si="354"/>
        <v/>
      </c>
      <c r="AI437" s="21">
        <f t="shared" si="355"/>
        <v>0</v>
      </c>
      <c r="AJ437" s="58" t="str">
        <f t="shared" si="356"/>
        <v/>
      </c>
      <c r="AK437" s="31">
        <f t="shared" si="357"/>
        <v>0</v>
      </c>
      <c r="AL437" s="21">
        <f t="shared" si="358"/>
        <v>0</v>
      </c>
      <c r="AM437" s="62" t="str">
        <f t="shared" si="359"/>
        <v/>
      </c>
      <c r="AN437" s="21">
        <f t="shared" si="360"/>
        <v>0</v>
      </c>
      <c r="AO437" s="62" t="str">
        <f t="shared" si="361"/>
        <v/>
      </c>
      <c r="AP437" s="21">
        <f t="shared" si="362"/>
        <v>0</v>
      </c>
      <c r="AQ437" s="62" t="str">
        <f t="shared" si="363"/>
        <v/>
      </c>
      <c r="AR437" s="31">
        <f t="shared" si="364"/>
        <v>0</v>
      </c>
      <c r="AS437" s="21">
        <f t="shared" si="365"/>
        <v>0</v>
      </c>
      <c r="AT437" s="62" t="str">
        <f t="shared" si="366"/>
        <v/>
      </c>
      <c r="AU437" s="84">
        <f t="shared" si="367"/>
        <v>0</v>
      </c>
      <c r="AV437" s="32">
        <f t="shared" si="368"/>
        <v>0</v>
      </c>
      <c r="AW437" s="85" t="str">
        <f t="shared" si="369"/>
        <v/>
      </c>
      <c r="AX437" s="86" t="str">
        <f t="shared" si="370"/>
        <v/>
      </c>
    </row>
    <row r="438" spans="1:50" x14ac:dyDescent="0.2">
      <c r="A438" s="29" t="str">
        <f t="shared" si="329"/>
        <v/>
      </c>
      <c r="B438" s="32" t="str">
        <f t="shared" si="330"/>
        <v/>
      </c>
      <c r="C438" s="35"/>
      <c r="D438" s="33" t="str">
        <f t="shared" si="331"/>
        <v/>
      </c>
      <c r="E438" s="22" t="str">
        <f t="shared" si="332"/>
        <v/>
      </c>
      <c r="F438" s="23" t="str">
        <f t="shared" si="333"/>
        <v/>
      </c>
      <c r="G438" s="23"/>
      <c r="H438" s="22"/>
      <c r="I438" s="23"/>
      <c r="J438" s="18"/>
      <c r="K438" s="13" t="str">
        <f t="shared" si="334"/>
        <v/>
      </c>
      <c r="L438" s="28" t="str">
        <f t="shared" si="328"/>
        <v/>
      </c>
      <c r="M438" s="10" t="str">
        <f t="shared" si="335"/>
        <v/>
      </c>
      <c r="N438" s="17" t="str">
        <f t="shared" si="336"/>
        <v/>
      </c>
      <c r="O438" s="39" t="str">
        <f t="shared" si="337"/>
        <v/>
      </c>
      <c r="P438" s="41" t="str">
        <f t="shared" si="338"/>
        <v/>
      </c>
      <c r="Q438" s="9" t="str">
        <f t="shared" si="339"/>
        <v/>
      </c>
      <c r="R438" s="14">
        <f t="shared" si="340"/>
        <v>0</v>
      </c>
      <c r="S438" s="61" t="str">
        <f t="shared" si="341"/>
        <v/>
      </c>
      <c r="T438" s="14">
        <f t="shared" si="342"/>
        <v>0</v>
      </c>
      <c r="U438" s="58" t="str">
        <f t="shared" si="343"/>
        <v/>
      </c>
      <c r="V438" s="14">
        <f t="shared" si="344"/>
        <v>0</v>
      </c>
      <c r="W438" s="58" t="str">
        <f t="shared" si="345"/>
        <v/>
      </c>
      <c r="X438" s="14">
        <f t="shared" si="346"/>
        <v>0</v>
      </c>
      <c r="Y438" s="58" t="str">
        <f t="shared" si="347"/>
        <v/>
      </c>
      <c r="Z438" s="31">
        <f t="shared" si="348"/>
        <v>0</v>
      </c>
      <c r="AA438" s="21">
        <f t="shared" si="349"/>
        <v>0</v>
      </c>
      <c r="AB438" s="58" t="str">
        <f t="shared" si="350"/>
        <v/>
      </c>
      <c r="AC438" s="630">
        <f t="shared" si="327"/>
        <v>0</v>
      </c>
      <c r="AD438" s="627"/>
      <c r="AE438" s="21">
        <f t="shared" si="351"/>
        <v>0</v>
      </c>
      <c r="AF438" s="58" t="str">
        <f t="shared" si="352"/>
        <v/>
      </c>
      <c r="AG438" s="21">
        <f t="shared" si="353"/>
        <v>0</v>
      </c>
      <c r="AH438" s="58" t="str">
        <f t="shared" si="354"/>
        <v/>
      </c>
      <c r="AI438" s="21">
        <f t="shared" si="355"/>
        <v>0</v>
      </c>
      <c r="AJ438" s="58" t="str">
        <f t="shared" si="356"/>
        <v/>
      </c>
      <c r="AK438" s="31">
        <f t="shared" si="357"/>
        <v>0</v>
      </c>
      <c r="AL438" s="21">
        <f t="shared" si="358"/>
        <v>0</v>
      </c>
      <c r="AM438" s="62" t="str">
        <f t="shared" si="359"/>
        <v/>
      </c>
      <c r="AN438" s="21">
        <f t="shared" si="360"/>
        <v>0</v>
      </c>
      <c r="AO438" s="62" t="str">
        <f t="shared" si="361"/>
        <v/>
      </c>
      <c r="AP438" s="21">
        <f t="shared" si="362"/>
        <v>0</v>
      </c>
      <c r="AQ438" s="62" t="str">
        <f t="shared" si="363"/>
        <v/>
      </c>
      <c r="AR438" s="31">
        <f t="shared" si="364"/>
        <v>0</v>
      </c>
      <c r="AS438" s="21">
        <f t="shared" si="365"/>
        <v>0</v>
      </c>
      <c r="AT438" s="62" t="str">
        <f t="shared" si="366"/>
        <v/>
      </c>
      <c r="AU438" s="84">
        <f t="shared" si="367"/>
        <v>0</v>
      </c>
      <c r="AV438" s="32">
        <f t="shared" si="368"/>
        <v>0</v>
      </c>
      <c r="AW438" s="85" t="str">
        <f t="shared" si="369"/>
        <v/>
      </c>
      <c r="AX438" s="86" t="str">
        <f t="shared" si="370"/>
        <v/>
      </c>
    </row>
    <row r="439" spans="1:50" x14ac:dyDescent="0.2">
      <c r="A439" s="29" t="str">
        <f t="shared" si="329"/>
        <v/>
      </c>
      <c r="B439" s="32" t="str">
        <f t="shared" si="330"/>
        <v/>
      </c>
      <c r="C439" s="35"/>
      <c r="D439" s="33" t="str">
        <f t="shared" si="331"/>
        <v/>
      </c>
      <c r="E439" s="22" t="str">
        <f t="shared" si="332"/>
        <v/>
      </c>
      <c r="F439" s="23" t="str">
        <f t="shared" si="333"/>
        <v/>
      </c>
      <c r="G439" s="23"/>
      <c r="H439" s="22"/>
      <c r="I439" s="23"/>
      <c r="J439" s="18"/>
      <c r="K439" s="13" t="str">
        <f t="shared" si="334"/>
        <v/>
      </c>
      <c r="L439" s="28" t="str">
        <f t="shared" si="328"/>
        <v/>
      </c>
      <c r="M439" s="10" t="str">
        <f t="shared" si="335"/>
        <v/>
      </c>
      <c r="N439" s="17" t="str">
        <f t="shared" si="336"/>
        <v/>
      </c>
      <c r="O439" s="39" t="str">
        <f t="shared" si="337"/>
        <v/>
      </c>
      <c r="P439" s="41" t="str">
        <f t="shared" si="338"/>
        <v/>
      </c>
      <c r="Q439" s="9" t="str">
        <f t="shared" si="339"/>
        <v/>
      </c>
      <c r="R439" s="14">
        <f t="shared" si="340"/>
        <v>0</v>
      </c>
      <c r="S439" s="61" t="str">
        <f t="shared" si="341"/>
        <v/>
      </c>
      <c r="T439" s="14">
        <f t="shared" si="342"/>
        <v>0</v>
      </c>
      <c r="U439" s="58" t="str">
        <f t="shared" si="343"/>
        <v/>
      </c>
      <c r="V439" s="14">
        <f t="shared" si="344"/>
        <v>0</v>
      </c>
      <c r="W439" s="58" t="str">
        <f t="shared" si="345"/>
        <v/>
      </c>
      <c r="X439" s="14">
        <f t="shared" si="346"/>
        <v>0</v>
      </c>
      <c r="Y439" s="58" t="str">
        <f t="shared" si="347"/>
        <v/>
      </c>
      <c r="Z439" s="31">
        <f t="shared" si="348"/>
        <v>0</v>
      </c>
      <c r="AA439" s="21">
        <f t="shared" si="349"/>
        <v>0</v>
      </c>
      <c r="AB439" s="58" t="str">
        <f t="shared" si="350"/>
        <v/>
      </c>
      <c r="AC439" s="630">
        <f t="shared" si="327"/>
        <v>0</v>
      </c>
      <c r="AD439" s="627"/>
      <c r="AE439" s="21">
        <f t="shared" si="351"/>
        <v>0</v>
      </c>
      <c r="AF439" s="58" t="str">
        <f t="shared" si="352"/>
        <v/>
      </c>
      <c r="AG439" s="21">
        <f t="shared" si="353"/>
        <v>0</v>
      </c>
      <c r="AH439" s="58" t="str">
        <f t="shared" si="354"/>
        <v/>
      </c>
      <c r="AI439" s="21">
        <f t="shared" si="355"/>
        <v>0</v>
      </c>
      <c r="AJ439" s="58" t="str">
        <f t="shared" si="356"/>
        <v/>
      </c>
      <c r="AK439" s="31">
        <f t="shared" si="357"/>
        <v>0</v>
      </c>
      <c r="AL439" s="21">
        <f t="shared" si="358"/>
        <v>0</v>
      </c>
      <c r="AM439" s="62" t="str">
        <f t="shared" si="359"/>
        <v/>
      </c>
      <c r="AN439" s="21">
        <f t="shared" si="360"/>
        <v>0</v>
      </c>
      <c r="AO439" s="62" t="str">
        <f t="shared" si="361"/>
        <v/>
      </c>
      <c r="AP439" s="21">
        <f t="shared" si="362"/>
        <v>0</v>
      </c>
      <c r="AQ439" s="62" t="str">
        <f t="shared" si="363"/>
        <v/>
      </c>
      <c r="AR439" s="31">
        <f t="shared" si="364"/>
        <v>0</v>
      </c>
      <c r="AS439" s="21">
        <f t="shared" si="365"/>
        <v>0</v>
      </c>
      <c r="AT439" s="62" t="str">
        <f t="shared" si="366"/>
        <v/>
      </c>
      <c r="AU439" s="84">
        <f t="shared" si="367"/>
        <v>0</v>
      </c>
      <c r="AV439" s="32">
        <f t="shared" si="368"/>
        <v>0</v>
      </c>
      <c r="AW439" s="85" t="str">
        <f t="shared" si="369"/>
        <v/>
      </c>
      <c r="AX439" s="86" t="str">
        <f t="shared" si="370"/>
        <v/>
      </c>
    </row>
    <row r="440" spans="1:50" x14ac:dyDescent="0.2">
      <c r="A440" s="29" t="str">
        <f t="shared" si="329"/>
        <v/>
      </c>
      <c r="B440" s="32" t="str">
        <f t="shared" si="330"/>
        <v/>
      </c>
      <c r="C440" s="35"/>
      <c r="D440" s="33" t="str">
        <f t="shared" si="331"/>
        <v/>
      </c>
      <c r="E440" s="22" t="str">
        <f t="shared" si="332"/>
        <v/>
      </c>
      <c r="F440" s="23" t="str">
        <f t="shared" si="333"/>
        <v/>
      </c>
      <c r="G440" s="23"/>
      <c r="H440" s="22"/>
      <c r="I440" s="23"/>
      <c r="J440" s="18"/>
      <c r="K440" s="13" t="str">
        <f t="shared" si="334"/>
        <v/>
      </c>
      <c r="L440" s="28" t="str">
        <f t="shared" si="328"/>
        <v/>
      </c>
      <c r="M440" s="10" t="str">
        <f t="shared" si="335"/>
        <v/>
      </c>
      <c r="N440" s="17" t="str">
        <f t="shared" si="336"/>
        <v/>
      </c>
      <c r="O440" s="39" t="str">
        <f t="shared" si="337"/>
        <v/>
      </c>
      <c r="P440" s="41" t="str">
        <f t="shared" si="338"/>
        <v/>
      </c>
      <c r="Q440" s="9" t="str">
        <f t="shared" si="339"/>
        <v/>
      </c>
      <c r="R440" s="14">
        <f t="shared" si="340"/>
        <v>0</v>
      </c>
      <c r="S440" s="61" t="str">
        <f t="shared" si="341"/>
        <v/>
      </c>
      <c r="T440" s="14">
        <f t="shared" si="342"/>
        <v>0</v>
      </c>
      <c r="U440" s="58" t="str">
        <f t="shared" si="343"/>
        <v/>
      </c>
      <c r="V440" s="14">
        <f t="shared" si="344"/>
        <v>0</v>
      </c>
      <c r="W440" s="58" t="str">
        <f t="shared" si="345"/>
        <v/>
      </c>
      <c r="X440" s="14">
        <f t="shared" si="346"/>
        <v>0</v>
      </c>
      <c r="Y440" s="58" t="str">
        <f t="shared" si="347"/>
        <v/>
      </c>
      <c r="Z440" s="31">
        <f t="shared" si="348"/>
        <v>0</v>
      </c>
      <c r="AA440" s="21">
        <f t="shared" si="349"/>
        <v>0</v>
      </c>
      <c r="AB440" s="58" t="str">
        <f t="shared" si="350"/>
        <v/>
      </c>
      <c r="AC440" s="630">
        <f t="shared" si="327"/>
        <v>0</v>
      </c>
      <c r="AD440" s="627"/>
      <c r="AE440" s="21">
        <f t="shared" si="351"/>
        <v>0</v>
      </c>
      <c r="AF440" s="58" t="str">
        <f t="shared" si="352"/>
        <v/>
      </c>
      <c r="AG440" s="21">
        <f t="shared" si="353"/>
        <v>0</v>
      </c>
      <c r="AH440" s="58" t="str">
        <f t="shared" si="354"/>
        <v/>
      </c>
      <c r="AI440" s="21">
        <f t="shared" si="355"/>
        <v>0</v>
      </c>
      <c r="AJ440" s="58" t="str">
        <f t="shared" si="356"/>
        <v/>
      </c>
      <c r="AK440" s="31">
        <f t="shared" si="357"/>
        <v>0</v>
      </c>
      <c r="AL440" s="21">
        <f t="shared" si="358"/>
        <v>0</v>
      </c>
      <c r="AM440" s="62" t="str">
        <f t="shared" si="359"/>
        <v/>
      </c>
      <c r="AN440" s="21">
        <f t="shared" si="360"/>
        <v>0</v>
      </c>
      <c r="AO440" s="62" t="str">
        <f t="shared" si="361"/>
        <v/>
      </c>
      <c r="AP440" s="21">
        <f t="shared" si="362"/>
        <v>0</v>
      </c>
      <c r="AQ440" s="62" t="str">
        <f t="shared" si="363"/>
        <v/>
      </c>
      <c r="AR440" s="31">
        <f t="shared" si="364"/>
        <v>0</v>
      </c>
      <c r="AS440" s="21">
        <f t="shared" si="365"/>
        <v>0</v>
      </c>
      <c r="AT440" s="62" t="str">
        <f t="shared" si="366"/>
        <v/>
      </c>
      <c r="AU440" s="84">
        <f t="shared" si="367"/>
        <v>0</v>
      </c>
      <c r="AV440" s="32">
        <f t="shared" si="368"/>
        <v>0</v>
      </c>
      <c r="AW440" s="85" t="str">
        <f t="shared" si="369"/>
        <v/>
      </c>
      <c r="AX440" s="86" t="str">
        <f t="shared" si="370"/>
        <v/>
      </c>
    </row>
    <row r="441" spans="1:50" x14ac:dyDescent="0.2">
      <c r="A441" s="29" t="str">
        <f t="shared" si="329"/>
        <v/>
      </c>
      <c r="B441" s="32" t="str">
        <f t="shared" si="330"/>
        <v/>
      </c>
      <c r="C441" s="35"/>
      <c r="D441" s="33" t="str">
        <f t="shared" si="331"/>
        <v/>
      </c>
      <c r="E441" s="22" t="str">
        <f t="shared" si="332"/>
        <v/>
      </c>
      <c r="F441" s="23" t="str">
        <f t="shared" si="333"/>
        <v/>
      </c>
      <c r="G441" s="23"/>
      <c r="H441" s="22"/>
      <c r="I441" s="23"/>
      <c r="J441" s="18"/>
      <c r="K441" s="13" t="str">
        <f t="shared" si="334"/>
        <v/>
      </c>
      <c r="L441" s="28" t="str">
        <f t="shared" si="328"/>
        <v/>
      </c>
      <c r="M441" s="10" t="str">
        <f t="shared" si="335"/>
        <v/>
      </c>
      <c r="N441" s="17" t="str">
        <f t="shared" si="336"/>
        <v/>
      </c>
      <c r="O441" s="39" t="str">
        <f t="shared" si="337"/>
        <v/>
      </c>
      <c r="P441" s="41" t="str">
        <f t="shared" si="338"/>
        <v/>
      </c>
      <c r="Q441" s="9" t="str">
        <f t="shared" si="339"/>
        <v/>
      </c>
      <c r="R441" s="14">
        <f t="shared" si="340"/>
        <v>0</v>
      </c>
      <c r="S441" s="61" t="str">
        <f t="shared" si="341"/>
        <v/>
      </c>
      <c r="T441" s="14">
        <f t="shared" si="342"/>
        <v>0</v>
      </c>
      <c r="U441" s="58" t="str">
        <f t="shared" si="343"/>
        <v/>
      </c>
      <c r="V441" s="14">
        <f t="shared" si="344"/>
        <v>0</v>
      </c>
      <c r="W441" s="58" t="str">
        <f t="shared" si="345"/>
        <v/>
      </c>
      <c r="X441" s="14">
        <f t="shared" si="346"/>
        <v>0</v>
      </c>
      <c r="Y441" s="58" t="str">
        <f t="shared" si="347"/>
        <v/>
      </c>
      <c r="Z441" s="31">
        <f t="shared" si="348"/>
        <v>0</v>
      </c>
      <c r="AA441" s="21">
        <f t="shared" si="349"/>
        <v>0</v>
      </c>
      <c r="AB441" s="58" t="str">
        <f t="shared" si="350"/>
        <v/>
      </c>
      <c r="AC441" s="630">
        <f t="shared" si="327"/>
        <v>0</v>
      </c>
      <c r="AD441" s="627"/>
      <c r="AE441" s="21">
        <f t="shared" si="351"/>
        <v>0</v>
      </c>
      <c r="AF441" s="58" t="str">
        <f t="shared" si="352"/>
        <v/>
      </c>
      <c r="AG441" s="21">
        <f t="shared" si="353"/>
        <v>0</v>
      </c>
      <c r="AH441" s="58" t="str">
        <f t="shared" si="354"/>
        <v/>
      </c>
      <c r="AI441" s="21">
        <f t="shared" si="355"/>
        <v>0</v>
      </c>
      <c r="AJ441" s="58" t="str">
        <f t="shared" si="356"/>
        <v/>
      </c>
      <c r="AK441" s="31">
        <f t="shared" si="357"/>
        <v>0</v>
      </c>
      <c r="AL441" s="21">
        <f t="shared" si="358"/>
        <v>0</v>
      </c>
      <c r="AM441" s="62" t="str">
        <f t="shared" si="359"/>
        <v/>
      </c>
      <c r="AN441" s="21">
        <f t="shared" si="360"/>
        <v>0</v>
      </c>
      <c r="AO441" s="62" t="str">
        <f t="shared" si="361"/>
        <v/>
      </c>
      <c r="AP441" s="21">
        <f t="shared" si="362"/>
        <v>0</v>
      </c>
      <c r="AQ441" s="62" t="str">
        <f t="shared" si="363"/>
        <v/>
      </c>
      <c r="AR441" s="31">
        <f t="shared" si="364"/>
        <v>0</v>
      </c>
      <c r="AS441" s="21">
        <f t="shared" si="365"/>
        <v>0</v>
      </c>
      <c r="AT441" s="62" t="str">
        <f t="shared" si="366"/>
        <v/>
      </c>
      <c r="AU441" s="84">
        <f t="shared" si="367"/>
        <v>0</v>
      </c>
      <c r="AV441" s="32">
        <f t="shared" si="368"/>
        <v>0</v>
      </c>
      <c r="AW441" s="85" t="str">
        <f t="shared" si="369"/>
        <v/>
      </c>
      <c r="AX441" s="86" t="str">
        <f t="shared" si="370"/>
        <v/>
      </c>
    </row>
    <row r="442" spans="1:50" x14ac:dyDescent="0.2">
      <c r="A442" s="29" t="str">
        <f t="shared" si="329"/>
        <v/>
      </c>
      <c r="B442" s="32" t="str">
        <f t="shared" si="330"/>
        <v/>
      </c>
      <c r="C442" s="35"/>
      <c r="D442" s="33" t="str">
        <f t="shared" si="331"/>
        <v/>
      </c>
      <c r="E442" s="22" t="str">
        <f t="shared" si="332"/>
        <v/>
      </c>
      <c r="F442" s="23" t="str">
        <f t="shared" si="333"/>
        <v/>
      </c>
      <c r="G442" s="23"/>
      <c r="H442" s="22"/>
      <c r="I442" s="23"/>
      <c r="J442" s="18"/>
      <c r="K442" s="13" t="str">
        <f t="shared" si="334"/>
        <v/>
      </c>
      <c r="L442" s="28" t="str">
        <f t="shared" si="328"/>
        <v/>
      </c>
      <c r="M442" s="10" t="str">
        <f t="shared" si="335"/>
        <v/>
      </c>
      <c r="N442" s="17" t="str">
        <f t="shared" si="336"/>
        <v/>
      </c>
      <c r="O442" s="39" t="str">
        <f t="shared" si="337"/>
        <v/>
      </c>
      <c r="P442" s="41" t="str">
        <f t="shared" si="338"/>
        <v/>
      </c>
      <c r="Q442" s="9" t="str">
        <f t="shared" si="339"/>
        <v/>
      </c>
      <c r="R442" s="14">
        <f t="shared" si="340"/>
        <v>0</v>
      </c>
      <c r="S442" s="61" t="str">
        <f t="shared" si="341"/>
        <v/>
      </c>
      <c r="T442" s="14">
        <f t="shared" si="342"/>
        <v>0</v>
      </c>
      <c r="U442" s="58" t="str">
        <f t="shared" si="343"/>
        <v/>
      </c>
      <c r="V442" s="14">
        <f t="shared" si="344"/>
        <v>0</v>
      </c>
      <c r="W442" s="58" t="str">
        <f t="shared" si="345"/>
        <v/>
      </c>
      <c r="X442" s="14">
        <f t="shared" si="346"/>
        <v>0</v>
      </c>
      <c r="Y442" s="58" t="str">
        <f t="shared" si="347"/>
        <v/>
      </c>
      <c r="Z442" s="31">
        <f t="shared" si="348"/>
        <v>0</v>
      </c>
      <c r="AA442" s="21">
        <f t="shared" si="349"/>
        <v>0</v>
      </c>
      <c r="AB442" s="58" t="str">
        <f t="shared" si="350"/>
        <v/>
      </c>
      <c r="AC442" s="630">
        <f t="shared" si="327"/>
        <v>0</v>
      </c>
      <c r="AD442" s="627"/>
      <c r="AE442" s="21">
        <f t="shared" si="351"/>
        <v>0</v>
      </c>
      <c r="AF442" s="58" t="str">
        <f t="shared" si="352"/>
        <v/>
      </c>
      <c r="AG442" s="21">
        <f t="shared" si="353"/>
        <v>0</v>
      </c>
      <c r="AH442" s="58" t="str">
        <f t="shared" si="354"/>
        <v/>
      </c>
      <c r="AI442" s="21">
        <f t="shared" si="355"/>
        <v>0</v>
      </c>
      <c r="AJ442" s="58" t="str">
        <f t="shared" si="356"/>
        <v/>
      </c>
      <c r="AK442" s="31">
        <f t="shared" si="357"/>
        <v>0</v>
      </c>
      <c r="AL442" s="21">
        <f t="shared" si="358"/>
        <v>0</v>
      </c>
      <c r="AM442" s="62" t="str">
        <f t="shared" si="359"/>
        <v/>
      </c>
      <c r="AN442" s="21">
        <f t="shared" si="360"/>
        <v>0</v>
      </c>
      <c r="AO442" s="62" t="str">
        <f t="shared" si="361"/>
        <v/>
      </c>
      <c r="AP442" s="21">
        <f t="shared" si="362"/>
        <v>0</v>
      </c>
      <c r="AQ442" s="62" t="str">
        <f t="shared" si="363"/>
        <v/>
      </c>
      <c r="AR442" s="31">
        <f t="shared" si="364"/>
        <v>0</v>
      </c>
      <c r="AS442" s="21">
        <f t="shared" si="365"/>
        <v>0</v>
      </c>
      <c r="AT442" s="62" t="str">
        <f t="shared" si="366"/>
        <v/>
      </c>
      <c r="AU442" s="84">
        <f t="shared" si="367"/>
        <v>0</v>
      </c>
      <c r="AV442" s="32">
        <f t="shared" si="368"/>
        <v>0</v>
      </c>
      <c r="AW442" s="85" t="str">
        <f t="shared" si="369"/>
        <v/>
      </c>
      <c r="AX442" s="86" t="str">
        <f t="shared" si="370"/>
        <v/>
      </c>
    </row>
    <row r="443" spans="1:50" x14ac:dyDescent="0.2">
      <c r="A443" s="29" t="str">
        <f t="shared" si="329"/>
        <v/>
      </c>
      <c r="B443" s="32" t="str">
        <f t="shared" si="330"/>
        <v/>
      </c>
      <c r="C443" s="35"/>
      <c r="D443" s="33" t="str">
        <f t="shared" si="331"/>
        <v/>
      </c>
      <c r="E443" s="22" t="str">
        <f t="shared" si="332"/>
        <v/>
      </c>
      <c r="F443" s="23" t="str">
        <f t="shared" si="333"/>
        <v/>
      </c>
      <c r="G443" s="23"/>
      <c r="H443" s="22"/>
      <c r="I443" s="23"/>
      <c r="J443" s="18"/>
      <c r="K443" s="13" t="str">
        <f t="shared" si="334"/>
        <v/>
      </c>
      <c r="L443" s="28" t="str">
        <f t="shared" si="328"/>
        <v/>
      </c>
      <c r="M443" s="10" t="str">
        <f t="shared" si="335"/>
        <v/>
      </c>
      <c r="N443" s="17" t="str">
        <f t="shared" si="336"/>
        <v/>
      </c>
      <c r="O443" s="39" t="str">
        <f t="shared" si="337"/>
        <v/>
      </c>
      <c r="P443" s="41" t="str">
        <f t="shared" si="338"/>
        <v/>
      </c>
      <c r="Q443" s="9" t="str">
        <f t="shared" si="339"/>
        <v/>
      </c>
      <c r="R443" s="14">
        <f t="shared" si="340"/>
        <v>0</v>
      </c>
      <c r="S443" s="61" t="str">
        <f t="shared" si="341"/>
        <v/>
      </c>
      <c r="T443" s="14">
        <f t="shared" si="342"/>
        <v>0</v>
      </c>
      <c r="U443" s="58" t="str">
        <f t="shared" si="343"/>
        <v/>
      </c>
      <c r="V443" s="14">
        <f t="shared" si="344"/>
        <v>0</v>
      </c>
      <c r="W443" s="58" t="str">
        <f t="shared" si="345"/>
        <v/>
      </c>
      <c r="X443" s="14">
        <f t="shared" si="346"/>
        <v>0</v>
      </c>
      <c r="Y443" s="58" t="str">
        <f t="shared" si="347"/>
        <v/>
      </c>
      <c r="Z443" s="31">
        <f t="shared" si="348"/>
        <v>0</v>
      </c>
      <c r="AA443" s="21">
        <f t="shared" si="349"/>
        <v>0</v>
      </c>
      <c r="AB443" s="58" t="str">
        <f t="shared" si="350"/>
        <v/>
      </c>
      <c r="AC443" s="630">
        <f t="shared" si="327"/>
        <v>0</v>
      </c>
      <c r="AD443" s="627"/>
      <c r="AE443" s="21">
        <f t="shared" si="351"/>
        <v>0</v>
      </c>
      <c r="AF443" s="58" t="str">
        <f t="shared" si="352"/>
        <v/>
      </c>
      <c r="AG443" s="21">
        <f t="shared" si="353"/>
        <v>0</v>
      </c>
      <c r="AH443" s="58" t="str">
        <f t="shared" si="354"/>
        <v/>
      </c>
      <c r="AI443" s="21">
        <f t="shared" si="355"/>
        <v>0</v>
      </c>
      <c r="AJ443" s="58" t="str">
        <f t="shared" si="356"/>
        <v/>
      </c>
      <c r="AK443" s="31">
        <f t="shared" si="357"/>
        <v>0</v>
      </c>
      <c r="AL443" s="21">
        <f t="shared" si="358"/>
        <v>0</v>
      </c>
      <c r="AM443" s="62" t="str">
        <f t="shared" si="359"/>
        <v/>
      </c>
      <c r="AN443" s="21">
        <f t="shared" si="360"/>
        <v>0</v>
      </c>
      <c r="AO443" s="62" t="str">
        <f t="shared" si="361"/>
        <v/>
      </c>
      <c r="AP443" s="21">
        <f t="shared" si="362"/>
        <v>0</v>
      </c>
      <c r="AQ443" s="62" t="str">
        <f t="shared" si="363"/>
        <v/>
      </c>
      <c r="AR443" s="31">
        <f t="shared" si="364"/>
        <v>0</v>
      </c>
      <c r="AS443" s="21">
        <f t="shared" si="365"/>
        <v>0</v>
      </c>
      <c r="AT443" s="62" t="str">
        <f t="shared" si="366"/>
        <v/>
      </c>
      <c r="AU443" s="84">
        <f t="shared" si="367"/>
        <v>0</v>
      </c>
      <c r="AV443" s="32">
        <f t="shared" si="368"/>
        <v>0</v>
      </c>
      <c r="AW443" s="85" t="str">
        <f t="shared" si="369"/>
        <v/>
      </c>
      <c r="AX443" s="86" t="str">
        <f t="shared" si="370"/>
        <v/>
      </c>
    </row>
    <row r="444" spans="1:50" x14ac:dyDescent="0.2">
      <c r="A444" s="29" t="str">
        <f t="shared" si="329"/>
        <v/>
      </c>
      <c r="B444" s="32" t="str">
        <f t="shared" si="330"/>
        <v/>
      </c>
      <c r="C444" s="35"/>
      <c r="D444" s="33" t="str">
        <f t="shared" si="331"/>
        <v/>
      </c>
      <c r="E444" s="22" t="str">
        <f t="shared" si="332"/>
        <v/>
      </c>
      <c r="F444" s="23" t="str">
        <f t="shared" si="333"/>
        <v/>
      </c>
      <c r="G444" s="23"/>
      <c r="H444" s="22"/>
      <c r="I444" s="23"/>
      <c r="J444" s="18"/>
      <c r="K444" s="13" t="str">
        <f t="shared" si="334"/>
        <v/>
      </c>
      <c r="L444" s="28" t="str">
        <f t="shared" si="328"/>
        <v/>
      </c>
      <c r="M444" s="10" t="str">
        <f t="shared" si="335"/>
        <v/>
      </c>
      <c r="N444" s="17" t="str">
        <f t="shared" si="336"/>
        <v/>
      </c>
      <c r="O444" s="39" t="str">
        <f t="shared" si="337"/>
        <v/>
      </c>
      <c r="P444" s="41" t="str">
        <f t="shared" si="338"/>
        <v/>
      </c>
      <c r="Q444" s="9" t="str">
        <f t="shared" si="339"/>
        <v/>
      </c>
      <c r="R444" s="14">
        <f t="shared" si="340"/>
        <v>0</v>
      </c>
      <c r="S444" s="61" t="str">
        <f t="shared" si="341"/>
        <v/>
      </c>
      <c r="T444" s="14">
        <f t="shared" si="342"/>
        <v>0</v>
      </c>
      <c r="U444" s="58" t="str">
        <f t="shared" si="343"/>
        <v/>
      </c>
      <c r="V444" s="14">
        <f t="shared" si="344"/>
        <v>0</v>
      </c>
      <c r="W444" s="58" t="str">
        <f t="shared" si="345"/>
        <v/>
      </c>
      <c r="X444" s="14">
        <f t="shared" si="346"/>
        <v>0</v>
      </c>
      <c r="Y444" s="58" t="str">
        <f t="shared" si="347"/>
        <v/>
      </c>
      <c r="Z444" s="31">
        <f t="shared" si="348"/>
        <v>0</v>
      </c>
      <c r="AA444" s="21">
        <f t="shared" si="349"/>
        <v>0</v>
      </c>
      <c r="AB444" s="58" t="str">
        <f t="shared" si="350"/>
        <v/>
      </c>
      <c r="AC444" s="630">
        <f t="shared" si="327"/>
        <v>0</v>
      </c>
      <c r="AD444" s="627"/>
      <c r="AE444" s="21">
        <f t="shared" si="351"/>
        <v>0</v>
      </c>
      <c r="AF444" s="58" t="str">
        <f t="shared" si="352"/>
        <v/>
      </c>
      <c r="AG444" s="21">
        <f t="shared" si="353"/>
        <v>0</v>
      </c>
      <c r="AH444" s="58" t="str">
        <f t="shared" si="354"/>
        <v/>
      </c>
      <c r="AI444" s="21">
        <f t="shared" si="355"/>
        <v>0</v>
      </c>
      <c r="AJ444" s="58" t="str">
        <f t="shared" si="356"/>
        <v/>
      </c>
      <c r="AK444" s="31">
        <f t="shared" si="357"/>
        <v>0</v>
      </c>
      <c r="AL444" s="21">
        <f t="shared" si="358"/>
        <v>0</v>
      </c>
      <c r="AM444" s="62" t="str">
        <f t="shared" si="359"/>
        <v/>
      </c>
      <c r="AN444" s="21">
        <f t="shared" si="360"/>
        <v>0</v>
      </c>
      <c r="AO444" s="62" t="str">
        <f t="shared" si="361"/>
        <v/>
      </c>
      <c r="AP444" s="21">
        <f t="shared" si="362"/>
        <v>0</v>
      </c>
      <c r="AQ444" s="62" t="str">
        <f t="shared" si="363"/>
        <v/>
      </c>
      <c r="AR444" s="31">
        <f t="shared" si="364"/>
        <v>0</v>
      </c>
      <c r="AS444" s="21">
        <f t="shared" si="365"/>
        <v>0</v>
      </c>
      <c r="AT444" s="62" t="str">
        <f t="shared" si="366"/>
        <v/>
      </c>
      <c r="AU444" s="84">
        <f t="shared" si="367"/>
        <v>0</v>
      </c>
      <c r="AV444" s="32">
        <f t="shared" si="368"/>
        <v>0</v>
      </c>
      <c r="AW444" s="85" t="str">
        <f t="shared" si="369"/>
        <v/>
      </c>
      <c r="AX444" s="86" t="str">
        <f t="shared" si="370"/>
        <v/>
      </c>
    </row>
    <row r="445" spans="1:50" x14ac:dyDescent="0.2">
      <c r="A445" s="29" t="str">
        <f t="shared" si="329"/>
        <v/>
      </c>
      <c r="B445" s="32" t="str">
        <f t="shared" si="330"/>
        <v/>
      </c>
      <c r="C445" s="35"/>
      <c r="D445" s="33" t="str">
        <f t="shared" si="331"/>
        <v/>
      </c>
      <c r="E445" s="22" t="str">
        <f t="shared" si="332"/>
        <v/>
      </c>
      <c r="F445" s="23" t="str">
        <f t="shared" si="333"/>
        <v/>
      </c>
      <c r="G445" s="23"/>
      <c r="H445" s="22"/>
      <c r="I445" s="23"/>
      <c r="J445" s="18"/>
      <c r="K445" s="13" t="str">
        <f t="shared" si="334"/>
        <v/>
      </c>
      <c r="L445" s="28" t="str">
        <f t="shared" si="328"/>
        <v/>
      </c>
      <c r="M445" s="10" t="str">
        <f t="shared" si="335"/>
        <v/>
      </c>
      <c r="N445" s="17" t="str">
        <f t="shared" si="336"/>
        <v/>
      </c>
      <c r="O445" s="39" t="str">
        <f t="shared" si="337"/>
        <v/>
      </c>
      <c r="P445" s="41" t="str">
        <f t="shared" si="338"/>
        <v/>
      </c>
      <c r="Q445" s="9" t="str">
        <f t="shared" si="339"/>
        <v/>
      </c>
      <c r="R445" s="14">
        <f t="shared" si="340"/>
        <v>0</v>
      </c>
      <c r="S445" s="61" t="str">
        <f t="shared" si="341"/>
        <v/>
      </c>
      <c r="T445" s="14">
        <f t="shared" si="342"/>
        <v>0</v>
      </c>
      <c r="U445" s="58" t="str">
        <f t="shared" si="343"/>
        <v/>
      </c>
      <c r="V445" s="14">
        <f t="shared" si="344"/>
        <v>0</v>
      </c>
      <c r="W445" s="58" t="str">
        <f t="shared" si="345"/>
        <v/>
      </c>
      <c r="X445" s="14">
        <f t="shared" si="346"/>
        <v>0</v>
      </c>
      <c r="Y445" s="58" t="str">
        <f t="shared" si="347"/>
        <v/>
      </c>
      <c r="Z445" s="31">
        <f t="shared" si="348"/>
        <v>0</v>
      </c>
      <c r="AA445" s="21">
        <f t="shared" si="349"/>
        <v>0</v>
      </c>
      <c r="AB445" s="58" t="str">
        <f t="shared" si="350"/>
        <v/>
      </c>
      <c r="AC445" s="630">
        <f t="shared" si="327"/>
        <v>0</v>
      </c>
      <c r="AD445" s="627"/>
      <c r="AE445" s="21">
        <f t="shared" si="351"/>
        <v>0</v>
      </c>
      <c r="AF445" s="58" t="str">
        <f t="shared" si="352"/>
        <v/>
      </c>
      <c r="AG445" s="21">
        <f t="shared" si="353"/>
        <v>0</v>
      </c>
      <c r="AH445" s="58" t="str">
        <f t="shared" si="354"/>
        <v/>
      </c>
      <c r="AI445" s="21">
        <f t="shared" si="355"/>
        <v>0</v>
      </c>
      <c r="AJ445" s="58" t="str">
        <f t="shared" si="356"/>
        <v/>
      </c>
      <c r="AK445" s="31">
        <f t="shared" si="357"/>
        <v>0</v>
      </c>
      <c r="AL445" s="21">
        <f t="shared" si="358"/>
        <v>0</v>
      </c>
      <c r="AM445" s="62" t="str">
        <f t="shared" si="359"/>
        <v/>
      </c>
      <c r="AN445" s="21">
        <f t="shared" si="360"/>
        <v>0</v>
      </c>
      <c r="AO445" s="62" t="str">
        <f t="shared" si="361"/>
        <v/>
      </c>
      <c r="AP445" s="21">
        <f t="shared" si="362"/>
        <v>0</v>
      </c>
      <c r="AQ445" s="62" t="str">
        <f t="shared" si="363"/>
        <v/>
      </c>
      <c r="AR445" s="31">
        <f t="shared" si="364"/>
        <v>0</v>
      </c>
      <c r="AS445" s="21">
        <f t="shared" si="365"/>
        <v>0</v>
      </c>
      <c r="AT445" s="62" t="str">
        <f t="shared" si="366"/>
        <v/>
      </c>
      <c r="AU445" s="84">
        <f t="shared" si="367"/>
        <v>0</v>
      </c>
      <c r="AV445" s="32">
        <f t="shared" si="368"/>
        <v>0</v>
      </c>
      <c r="AW445" s="85" t="str">
        <f t="shared" si="369"/>
        <v/>
      </c>
      <c r="AX445" s="86" t="str">
        <f t="shared" si="370"/>
        <v/>
      </c>
    </row>
    <row r="446" spans="1:50" x14ac:dyDescent="0.2">
      <c r="A446" s="29" t="str">
        <f t="shared" si="329"/>
        <v/>
      </c>
      <c r="B446" s="32" t="str">
        <f t="shared" si="330"/>
        <v/>
      </c>
      <c r="C446" s="35"/>
      <c r="D446" s="33" t="str">
        <f t="shared" si="331"/>
        <v/>
      </c>
      <c r="E446" s="22" t="str">
        <f t="shared" si="332"/>
        <v/>
      </c>
      <c r="F446" s="23" t="str">
        <f t="shared" si="333"/>
        <v/>
      </c>
      <c r="G446" s="23"/>
      <c r="H446" s="22"/>
      <c r="I446" s="23"/>
      <c r="J446" s="18"/>
      <c r="K446" s="13" t="str">
        <f t="shared" si="334"/>
        <v/>
      </c>
      <c r="L446" s="28" t="str">
        <f t="shared" si="328"/>
        <v/>
      </c>
      <c r="M446" s="10" t="str">
        <f t="shared" si="335"/>
        <v/>
      </c>
      <c r="N446" s="17" t="str">
        <f t="shared" si="336"/>
        <v/>
      </c>
      <c r="O446" s="39" t="str">
        <f t="shared" si="337"/>
        <v/>
      </c>
      <c r="P446" s="41" t="str">
        <f t="shared" si="338"/>
        <v/>
      </c>
      <c r="Q446" s="9" t="str">
        <f t="shared" si="339"/>
        <v/>
      </c>
      <c r="R446" s="14">
        <f t="shared" si="340"/>
        <v>0</v>
      </c>
      <c r="S446" s="61" t="str">
        <f t="shared" si="341"/>
        <v/>
      </c>
      <c r="T446" s="14">
        <f t="shared" si="342"/>
        <v>0</v>
      </c>
      <c r="U446" s="58" t="str">
        <f t="shared" si="343"/>
        <v/>
      </c>
      <c r="V446" s="14">
        <f t="shared" si="344"/>
        <v>0</v>
      </c>
      <c r="W446" s="58" t="str">
        <f t="shared" si="345"/>
        <v/>
      </c>
      <c r="X446" s="14">
        <f t="shared" si="346"/>
        <v>0</v>
      </c>
      <c r="Y446" s="58" t="str">
        <f t="shared" si="347"/>
        <v/>
      </c>
      <c r="Z446" s="31">
        <f t="shared" si="348"/>
        <v>0</v>
      </c>
      <c r="AA446" s="21">
        <f t="shared" si="349"/>
        <v>0</v>
      </c>
      <c r="AB446" s="58" t="str">
        <f t="shared" si="350"/>
        <v/>
      </c>
      <c r="AC446" s="630">
        <f t="shared" si="327"/>
        <v>0</v>
      </c>
      <c r="AD446" s="627"/>
      <c r="AE446" s="21">
        <f t="shared" si="351"/>
        <v>0</v>
      </c>
      <c r="AF446" s="58" t="str">
        <f t="shared" si="352"/>
        <v/>
      </c>
      <c r="AG446" s="21">
        <f t="shared" si="353"/>
        <v>0</v>
      </c>
      <c r="AH446" s="58" t="str">
        <f t="shared" si="354"/>
        <v/>
      </c>
      <c r="AI446" s="21">
        <f t="shared" si="355"/>
        <v>0</v>
      </c>
      <c r="AJ446" s="58" t="str">
        <f t="shared" si="356"/>
        <v/>
      </c>
      <c r="AK446" s="31">
        <f t="shared" si="357"/>
        <v>0</v>
      </c>
      <c r="AL446" s="21">
        <f t="shared" si="358"/>
        <v>0</v>
      </c>
      <c r="AM446" s="62" t="str">
        <f t="shared" si="359"/>
        <v/>
      </c>
      <c r="AN446" s="21">
        <f t="shared" si="360"/>
        <v>0</v>
      </c>
      <c r="AO446" s="62" t="str">
        <f t="shared" si="361"/>
        <v/>
      </c>
      <c r="AP446" s="21">
        <f t="shared" si="362"/>
        <v>0</v>
      </c>
      <c r="AQ446" s="62" t="str">
        <f t="shared" si="363"/>
        <v/>
      </c>
      <c r="AR446" s="31">
        <f t="shared" si="364"/>
        <v>0</v>
      </c>
      <c r="AS446" s="21">
        <f t="shared" si="365"/>
        <v>0</v>
      </c>
      <c r="AT446" s="62" t="str">
        <f t="shared" si="366"/>
        <v/>
      </c>
      <c r="AU446" s="84">
        <f t="shared" si="367"/>
        <v>0</v>
      </c>
      <c r="AV446" s="32">
        <f t="shared" si="368"/>
        <v>0</v>
      </c>
      <c r="AW446" s="85" t="str">
        <f t="shared" si="369"/>
        <v/>
      </c>
      <c r="AX446" s="86" t="str">
        <f t="shared" si="370"/>
        <v/>
      </c>
    </row>
    <row r="447" spans="1:50" x14ac:dyDescent="0.2">
      <c r="A447" s="29" t="str">
        <f t="shared" si="329"/>
        <v/>
      </c>
      <c r="B447" s="32" t="str">
        <f t="shared" si="330"/>
        <v/>
      </c>
      <c r="C447" s="35"/>
      <c r="D447" s="33" t="str">
        <f t="shared" si="331"/>
        <v/>
      </c>
      <c r="E447" s="22" t="str">
        <f t="shared" si="332"/>
        <v/>
      </c>
      <c r="F447" s="23" t="str">
        <f t="shared" si="333"/>
        <v/>
      </c>
      <c r="G447" s="23"/>
      <c r="H447" s="22"/>
      <c r="I447" s="23"/>
      <c r="J447" s="18"/>
      <c r="K447" s="13" t="str">
        <f t="shared" si="334"/>
        <v/>
      </c>
      <c r="L447" s="28" t="str">
        <f t="shared" si="328"/>
        <v/>
      </c>
      <c r="M447" s="10" t="str">
        <f t="shared" si="335"/>
        <v/>
      </c>
      <c r="N447" s="17" t="str">
        <f t="shared" si="336"/>
        <v/>
      </c>
      <c r="O447" s="39" t="str">
        <f t="shared" si="337"/>
        <v/>
      </c>
      <c r="P447" s="41" t="str">
        <f t="shared" si="338"/>
        <v/>
      </c>
      <c r="Q447" s="9" t="str">
        <f t="shared" si="339"/>
        <v/>
      </c>
      <c r="R447" s="14">
        <f t="shared" si="340"/>
        <v>0</v>
      </c>
      <c r="S447" s="61" t="str">
        <f t="shared" si="341"/>
        <v/>
      </c>
      <c r="T447" s="14">
        <f t="shared" si="342"/>
        <v>0</v>
      </c>
      <c r="U447" s="58" t="str">
        <f t="shared" si="343"/>
        <v/>
      </c>
      <c r="V447" s="14">
        <f t="shared" si="344"/>
        <v>0</v>
      </c>
      <c r="W447" s="58" t="str">
        <f t="shared" si="345"/>
        <v/>
      </c>
      <c r="X447" s="14">
        <f t="shared" si="346"/>
        <v>0</v>
      </c>
      <c r="Y447" s="58" t="str">
        <f t="shared" si="347"/>
        <v/>
      </c>
      <c r="Z447" s="31">
        <f t="shared" si="348"/>
        <v>0</v>
      </c>
      <c r="AA447" s="21">
        <f t="shared" si="349"/>
        <v>0</v>
      </c>
      <c r="AB447" s="58" t="str">
        <f t="shared" si="350"/>
        <v/>
      </c>
      <c r="AC447" s="630">
        <f t="shared" si="327"/>
        <v>0</v>
      </c>
      <c r="AD447" s="627"/>
      <c r="AE447" s="21">
        <f t="shared" si="351"/>
        <v>0</v>
      </c>
      <c r="AF447" s="58" t="str">
        <f t="shared" si="352"/>
        <v/>
      </c>
      <c r="AG447" s="21">
        <f t="shared" si="353"/>
        <v>0</v>
      </c>
      <c r="AH447" s="58" t="str">
        <f t="shared" si="354"/>
        <v/>
      </c>
      <c r="AI447" s="21">
        <f t="shared" si="355"/>
        <v>0</v>
      </c>
      <c r="AJ447" s="58" t="str">
        <f t="shared" si="356"/>
        <v/>
      </c>
      <c r="AK447" s="31">
        <f t="shared" si="357"/>
        <v>0</v>
      </c>
      <c r="AL447" s="21">
        <f t="shared" si="358"/>
        <v>0</v>
      </c>
      <c r="AM447" s="62" t="str">
        <f t="shared" si="359"/>
        <v/>
      </c>
      <c r="AN447" s="21">
        <f t="shared" si="360"/>
        <v>0</v>
      </c>
      <c r="AO447" s="62" t="str">
        <f t="shared" si="361"/>
        <v/>
      </c>
      <c r="AP447" s="21">
        <f t="shared" si="362"/>
        <v>0</v>
      </c>
      <c r="AQ447" s="62" t="str">
        <f t="shared" si="363"/>
        <v/>
      </c>
      <c r="AR447" s="31">
        <f t="shared" si="364"/>
        <v>0</v>
      </c>
      <c r="AS447" s="21">
        <f t="shared" si="365"/>
        <v>0</v>
      </c>
      <c r="AT447" s="62" t="str">
        <f t="shared" si="366"/>
        <v/>
      </c>
      <c r="AU447" s="84">
        <f t="shared" si="367"/>
        <v>0</v>
      </c>
      <c r="AV447" s="32">
        <f t="shared" si="368"/>
        <v>0</v>
      </c>
      <c r="AW447" s="85" t="str">
        <f t="shared" si="369"/>
        <v/>
      </c>
      <c r="AX447" s="86" t="str">
        <f t="shared" si="370"/>
        <v/>
      </c>
    </row>
    <row r="448" spans="1:50" x14ac:dyDescent="0.2">
      <c r="A448" s="29" t="str">
        <f t="shared" si="329"/>
        <v/>
      </c>
      <c r="B448" s="32" t="str">
        <f t="shared" si="330"/>
        <v/>
      </c>
      <c r="C448" s="35"/>
      <c r="D448" s="33" t="str">
        <f t="shared" si="331"/>
        <v/>
      </c>
      <c r="E448" s="22" t="str">
        <f t="shared" si="332"/>
        <v/>
      </c>
      <c r="F448" s="23" t="str">
        <f t="shared" si="333"/>
        <v/>
      </c>
      <c r="G448" s="23"/>
      <c r="H448" s="22"/>
      <c r="I448" s="23"/>
      <c r="J448" s="18"/>
      <c r="K448" s="13" t="str">
        <f t="shared" si="334"/>
        <v/>
      </c>
      <c r="L448" s="28" t="str">
        <f t="shared" si="328"/>
        <v/>
      </c>
      <c r="M448" s="10" t="str">
        <f t="shared" si="335"/>
        <v/>
      </c>
      <c r="N448" s="17" t="str">
        <f t="shared" si="336"/>
        <v/>
      </c>
      <c r="O448" s="39" t="str">
        <f t="shared" si="337"/>
        <v/>
      </c>
      <c r="P448" s="41" t="str">
        <f t="shared" si="338"/>
        <v/>
      </c>
      <c r="Q448" s="9" t="str">
        <f t="shared" si="339"/>
        <v/>
      </c>
      <c r="R448" s="14">
        <f t="shared" si="340"/>
        <v>0</v>
      </c>
      <c r="S448" s="61" t="str">
        <f t="shared" si="341"/>
        <v/>
      </c>
      <c r="T448" s="14">
        <f t="shared" si="342"/>
        <v>0</v>
      </c>
      <c r="U448" s="58" t="str">
        <f t="shared" si="343"/>
        <v/>
      </c>
      <c r="V448" s="14">
        <f t="shared" si="344"/>
        <v>0</v>
      </c>
      <c r="W448" s="58" t="str">
        <f t="shared" si="345"/>
        <v/>
      </c>
      <c r="X448" s="14">
        <f t="shared" si="346"/>
        <v>0</v>
      </c>
      <c r="Y448" s="58" t="str">
        <f t="shared" si="347"/>
        <v/>
      </c>
      <c r="Z448" s="31">
        <f t="shared" si="348"/>
        <v>0</v>
      </c>
      <c r="AA448" s="21">
        <f t="shared" si="349"/>
        <v>0</v>
      </c>
      <c r="AB448" s="58" t="str">
        <f t="shared" si="350"/>
        <v/>
      </c>
      <c r="AC448" s="630">
        <f t="shared" si="327"/>
        <v>0</v>
      </c>
      <c r="AD448" s="627"/>
      <c r="AE448" s="21">
        <f t="shared" si="351"/>
        <v>0</v>
      </c>
      <c r="AF448" s="58" t="str">
        <f t="shared" si="352"/>
        <v/>
      </c>
      <c r="AG448" s="21">
        <f t="shared" si="353"/>
        <v>0</v>
      </c>
      <c r="AH448" s="58" t="str">
        <f t="shared" si="354"/>
        <v/>
      </c>
      <c r="AI448" s="21">
        <f t="shared" si="355"/>
        <v>0</v>
      </c>
      <c r="AJ448" s="58" t="str">
        <f t="shared" si="356"/>
        <v/>
      </c>
      <c r="AK448" s="31">
        <f t="shared" si="357"/>
        <v>0</v>
      </c>
      <c r="AL448" s="21">
        <f t="shared" si="358"/>
        <v>0</v>
      </c>
      <c r="AM448" s="62" t="str">
        <f t="shared" si="359"/>
        <v/>
      </c>
      <c r="AN448" s="21">
        <f t="shared" si="360"/>
        <v>0</v>
      </c>
      <c r="AO448" s="62" t="str">
        <f t="shared" si="361"/>
        <v/>
      </c>
      <c r="AP448" s="21">
        <f t="shared" si="362"/>
        <v>0</v>
      </c>
      <c r="AQ448" s="62" t="str">
        <f t="shared" si="363"/>
        <v/>
      </c>
      <c r="AR448" s="31">
        <f t="shared" si="364"/>
        <v>0</v>
      </c>
      <c r="AS448" s="21">
        <f t="shared" si="365"/>
        <v>0</v>
      </c>
      <c r="AT448" s="62" t="str">
        <f t="shared" si="366"/>
        <v/>
      </c>
      <c r="AU448" s="84">
        <f t="shared" si="367"/>
        <v>0</v>
      </c>
      <c r="AV448" s="32">
        <f t="shared" si="368"/>
        <v>0</v>
      </c>
      <c r="AW448" s="85" t="str">
        <f t="shared" si="369"/>
        <v/>
      </c>
      <c r="AX448" s="86" t="str">
        <f t="shared" si="370"/>
        <v/>
      </c>
    </row>
    <row r="449" spans="1:50" x14ac:dyDescent="0.2">
      <c r="A449" s="29" t="str">
        <f t="shared" si="329"/>
        <v/>
      </c>
      <c r="B449" s="32" t="str">
        <f t="shared" si="330"/>
        <v/>
      </c>
      <c r="C449" s="35"/>
      <c r="D449" s="33" t="str">
        <f t="shared" si="331"/>
        <v/>
      </c>
      <c r="E449" s="22" t="str">
        <f t="shared" si="332"/>
        <v/>
      </c>
      <c r="F449" s="23" t="str">
        <f t="shared" si="333"/>
        <v/>
      </c>
      <c r="G449" s="23"/>
      <c r="H449" s="22"/>
      <c r="I449" s="23"/>
      <c r="J449" s="18"/>
      <c r="K449" s="13" t="str">
        <f t="shared" si="334"/>
        <v/>
      </c>
      <c r="L449" s="28" t="str">
        <f t="shared" si="328"/>
        <v/>
      </c>
      <c r="M449" s="10" t="str">
        <f t="shared" si="335"/>
        <v/>
      </c>
      <c r="N449" s="17" t="str">
        <f t="shared" si="336"/>
        <v/>
      </c>
      <c r="O449" s="39" t="str">
        <f t="shared" si="337"/>
        <v/>
      </c>
      <c r="P449" s="41" t="str">
        <f t="shared" si="338"/>
        <v/>
      </c>
      <c r="Q449" s="9" t="str">
        <f t="shared" si="339"/>
        <v/>
      </c>
      <c r="R449" s="14">
        <f t="shared" si="340"/>
        <v>0</v>
      </c>
      <c r="S449" s="61" t="str">
        <f t="shared" si="341"/>
        <v/>
      </c>
      <c r="T449" s="14">
        <f t="shared" si="342"/>
        <v>0</v>
      </c>
      <c r="U449" s="58" t="str">
        <f t="shared" si="343"/>
        <v/>
      </c>
      <c r="V449" s="14">
        <f t="shared" si="344"/>
        <v>0</v>
      </c>
      <c r="W449" s="58" t="str">
        <f t="shared" si="345"/>
        <v/>
      </c>
      <c r="X449" s="14">
        <f t="shared" si="346"/>
        <v>0</v>
      </c>
      <c r="Y449" s="58" t="str">
        <f t="shared" si="347"/>
        <v/>
      </c>
      <c r="Z449" s="31">
        <f t="shared" si="348"/>
        <v>0</v>
      </c>
      <c r="AA449" s="21">
        <f t="shared" si="349"/>
        <v>0</v>
      </c>
      <c r="AB449" s="58" t="str">
        <f t="shared" si="350"/>
        <v/>
      </c>
      <c r="AC449" s="630">
        <f t="shared" si="327"/>
        <v>0</v>
      </c>
      <c r="AD449" s="627"/>
      <c r="AE449" s="21">
        <f t="shared" si="351"/>
        <v>0</v>
      </c>
      <c r="AF449" s="58" t="str">
        <f t="shared" si="352"/>
        <v/>
      </c>
      <c r="AG449" s="21">
        <f t="shared" si="353"/>
        <v>0</v>
      </c>
      <c r="AH449" s="58" t="str">
        <f t="shared" si="354"/>
        <v/>
      </c>
      <c r="AI449" s="21">
        <f t="shared" si="355"/>
        <v>0</v>
      </c>
      <c r="AJ449" s="58" t="str">
        <f t="shared" si="356"/>
        <v/>
      </c>
      <c r="AK449" s="31">
        <f t="shared" si="357"/>
        <v>0</v>
      </c>
      <c r="AL449" s="21">
        <f t="shared" si="358"/>
        <v>0</v>
      </c>
      <c r="AM449" s="62" t="str">
        <f t="shared" si="359"/>
        <v/>
      </c>
      <c r="AN449" s="21">
        <f t="shared" si="360"/>
        <v>0</v>
      </c>
      <c r="AO449" s="62" t="str">
        <f t="shared" si="361"/>
        <v/>
      </c>
      <c r="AP449" s="21">
        <f t="shared" si="362"/>
        <v>0</v>
      </c>
      <c r="AQ449" s="62" t="str">
        <f t="shared" si="363"/>
        <v/>
      </c>
      <c r="AR449" s="31">
        <f t="shared" si="364"/>
        <v>0</v>
      </c>
      <c r="AS449" s="21">
        <f t="shared" si="365"/>
        <v>0</v>
      </c>
      <c r="AT449" s="62" t="str">
        <f t="shared" si="366"/>
        <v/>
      </c>
      <c r="AU449" s="84">
        <f t="shared" si="367"/>
        <v>0</v>
      </c>
      <c r="AV449" s="32">
        <f t="shared" si="368"/>
        <v>0</v>
      </c>
      <c r="AW449" s="85" t="str">
        <f t="shared" si="369"/>
        <v/>
      </c>
      <c r="AX449" s="86" t="str">
        <f t="shared" si="370"/>
        <v/>
      </c>
    </row>
    <row r="450" spans="1:50" x14ac:dyDescent="0.2">
      <c r="A450" s="29" t="str">
        <f t="shared" si="329"/>
        <v/>
      </c>
      <c r="B450" s="32" t="str">
        <f t="shared" si="330"/>
        <v/>
      </c>
      <c r="C450" s="35"/>
      <c r="D450" s="33" t="str">
        <f t="shared" si="331"/>
        <v/>
      </c>
      <c r="E450" s="22" t="str">
        <f t="shared" si="332"/>
        <v/>
      </c>
      <c r="F450" s="23" t="str">
        <f t="shared" si="333"/>
        <v/>
      </c>
      <c r="G450" s="23"/>
      <c r="H450" s="22"/>
      <c r="I450" s="23"/>
      <c r="J450" s="18"/>
      <c r="K450" s="13" t="str">
        <f t="shared" si="334"/>
        <v/>
      </c>
      <c r="L450" s="28" t="str">
        <f t="shared" si="328"/>
        <v/>
      </c>
      <c r="M450" s="10" t="str">
        <f t="shared" si="335"/>
        <v/>
      </c>
      <c r="N450" s="17" t="str">
        <f t="shared" si="336"/>
        <v/>
      </c>
      <c r="O450" s="39" t="str">
        <f t="shared" si="337"/>
        <v/>
      </c>
      <c r="P450" s="41" t="str">
        <f t="shared" si="338"/>
        <v/>
      </c>
      <c r="Q450" s="9" t="str">
        <f t="shared" si="339"/>
        <v/>
      </c>
      <c r="R450" s="14">
        <f t="shared" si="340"/>
        <v>0</v>
      </c>
      <c r="S450" s="61" t="str">
        <f t="shared" si="341"/>
        <v/>
      </c>
      <c r="T450" s="14">
        <f t="shared" si="342"/>
        <v>0</v>
      </c>
      <c r="U450" s="58" t="str">
        <f t="shared" si="343"/>
        <v/>
      </c>
      <c r="V450" s="14">
        <f t="shared" si="344"/>
        <v>0</v>
      </c>
      <c r="W450" s="58" t="str">
        <f t="shared" si="345"/>
        <v/>
      </c>
      <c r="X450" s="14">
        <f t="shared" si="346"/>
        <v>0</v>
      </c>
      <c r="Y450" s="58" t="str">
        <f t="shared" si="347"/>
        <v/>
      </c>
      <c r="Z450" s="31">
        <f t="shared" si="348"/>
        <v>0</v>
      </c>
      <c r="AA450" s="21">
        <f t="shared" si="349"/>
        <v>0</v>
      </c>
      <c r="AB450" s="58" t="str">
        <f t="shared" si="350"/>
        <v/>
      </c>
      <c r="AC450" s="630">
        <f t="shared" si="327"/>
        <v>0</v>
      </c>
      <c r="AD450" s="627"/>
      <c r="AE450" s="21">
        <f t="shared" si="351"/>
        <v>0</v>
      </c>
      <c r="AF450" s="58" t="str">
        <f t="shared" si="352"/>
        <v/>
      </c>
      <c r="AG450" s="21">
        <f t="shared" si="353"/>
        <v>0</v>
      </c>
      <c r="AH450" s="58" t="str">
        <f t="shared" si="354"/>
        <v/>
      </c>
      <c r="AI450" s="21">
        <f t="shared" si="355"/>
        <v>0</v>
      </c>
      <c r="AJ450" s="58" t="str">
        <f t="shared" si="356"/>
        <v/>
      </c>
      <c r="AK450" s="31">
        <f t="shared" si="357"/>
        <v>0</v>
      </c>
      <c r="AL450" s="21">
        <f t="shared" si="358"/>
        <v>0</v>
      </c>
      <c r="AM450" s="62" t="str">
        <f t="shared" si="359"/>
        <v/>
      </c>
      <c r="AN450" s="21">
        <f t="shared" si="360"/>
        <v>0</v>
      </c>
      <c r="AO450" s="62" t="str">
        <f t="shared" si="361"/>
        <v/>
      </c>
      <c r="AP450" s="21">
        <f t="shared" si="362"/>
        <v>0</v>
      </c>
      <c r="AQ450" s="62" t="str">
        <f t="shared" si="363"/>
        <v/>
      </c>
      <c r="AR450" s="31">
        <f t="shared" si="364"/>
        <v>0</v>
      </c>
      <c r="AS450" s="21">
        <f t="shared" si="365"/>
        <v>0</v>
      </c>
      <c r="AT450" s="62" t="str">
        <f t="shared" si="366"/>
        <v/>
      </c>
      <c r="AU450" s="84">
        <f t="shared" si="367"/>
        <v>0</v>
      </c>
      <c r="AV450" s="32">
        <f t="shared" si="368"/>
        <v>0</v>
      </c>
      <c r="AW450" s="85" t="str">
        <f t="shared" si="369"/>
        <v/>
      </c>
      <c r="AX450" s="86" t="str">
        <f t="shared" si="370"/>
        <v/>
      </c>
    </row>
    <row r="451" spans="1:50" x14ac:dyDescent="0.2">
      <c r="A451" s="29" t="str">
        <f t="shared" si="329"/>
        <v/>
      </c>
      <c r="B451" s="32" t="str">
        <f t="shared" si="330"/>
        <v/>
      </c>
      <c r="C451" s="35"/>
      <c r="D451" s="33" t="str">
        <f t="shared" si="331"/>
        <v/>
      </c>
      <c r="E451" s="22" t="str">
        <f t="shared" si="332"/>
        <v/>
      </c>
      <c r="F451" s="23" t="str">
        <f t="shared" si="333"/>
        <v/>
      </c>
      <c r="G451" s="23"/>
      <c r="H451" s="22"/>
      <c r="I451" s="23"/>
      <c r="J451" s="18"/>
      <c r="K451" s="13" t="str">
        <f t="shared" si="334"/>
        <v/>
      </c>
      <c r="L451" s="28" t="str">
        <f t="shared" si="328"/>
        <v/>
      </c>
      <c r="M451" s="10" t="str">
        <f t="shared" si="335"/>
        <v/>
      </c>
      <c r="N451" s="17" t="str">
        <f t="shared" si="336"/>
        <v/>
      </c>
      <c r="O451" s="39" t="str">
        <f t="shared" si="337"/>
        <v/>
      </c>
      <c r="P451" s="41" t="str">
        <f t="shared" si="338"/>
        <v/>
      </c>
      <c r="Q451" s="9" t="str">
        <f t="shared" si="339"/>
        <v/>
      </c>
      <c r="R451" s="14">
        <f t="shared" si="340"/>
        <v>0</v>
      </c>
      <c r="S451" s="61" t="str">
        <f t="shared" si="341"/>
        <v/>
      </c>
      <c r="T451" s="14">
        <f t="shared" si="342"/>
        <v>0</v>
      </c>
      <c r="U451" s="58" t="str">
        <f t="shared" si="343"/>
        <v/>
      </c>
      <c r="V451" s="14">
        <f t="shared" si="344"/>
        <v>0</v>
      </c>
      <c r="W451" s="58" t="str">
        <f t="shared" si="345"/>
        <v/>
      </c>
      <c r="X451" s="14">
        <f t="shared" si="346"/>
        <v>0</v>
      </c>
      <c r="Y451" s="58" t="str">
        <f t="shared" si="347"/>
        <v/>
      </c>
      <c r="Z451" s="31">
        <f t="shared" si="348"/>
        <v>0</v>
      </c>
      <c r="AA451" s="21">
        <f t="shared" si="349"/>
        <v>0</v>
      </c>
      <c r="AB451" s="58" t="str">
        <f t="shared" si="350"/>
        <v/>
      </c>
      <c r="AC451" s="630">
        <f t="shared" si="327"/>
        <v>0</v>
      </c>
      <c r="AD451" s="627"/>
      <c r="AE451" s="21">
        <f t="shared" si="351"/>
        <v>0</v>
      </c>
      <c r="AF451" s="58" t="str">
        <f t="shared" si="352"/>
        <v/>
      </c>
      <c r="AG451" s="21">
        <f t="shared" si="353"/>
        <v>0</v>
      </c>
      <c r="AH451" s="58" t="str">
        <f t="shared" si="354"/>
        <v/>
      </c>
      <c r="AI451" s="21">
        <f t="shared" si="355"/>
        <v>0</v>
      </c>
      <c r="AJ451" s="58" t="str">
        <f t="shared" si="356"/>
        <v/>
      </c>
      <c r="AK451" s="31">
        <f t="shared" si="357"/>
        <v>0</v>
      </c>
      <c r="AL451" s="21">
        <f t="shared" si="358"/>
        <v>0</v>
      </c>
      <c r="AM451" s="62" t="str">
        <f t="shared" si="359"/>
        <v/>
      </c>
      <c r="AN451" s="21">
        <f t="shared" si="360"/>
        <v>0</v>
      </c>
      <c r="AO451" s="62" t="str">
        <f t="shared" si="361"/>
        <v/>
      </c>
      <c r="AP451" s="21">
        <f t="shared" si="362"/>
        <v>0</v>
      </c>
      <c r="AQ451" s="62" t="str">
        <f t="shared" si="363"/>
        <v/>
      </c>
      <c r="AR451" s="31">
        <f t="shared" si="364"/>
        <v>0</v>
      </c>
      <c r="AS451" s="21">
        <f t="shared" si="365"/>
        <v>0</v>
      </c>
      <c r="AT451" s="62" t="str">
        <f t="shared" si="366"/>
        <v/>
      </c>
      <c r="AU451" s="84">
        <f t="shared" si="367"/>
        <v>0</v>
      </c>
      <c r="AV451" s="32">
        <f t="shared" si="368"/>
        <v>0</v>
      </c>
      <c r="AW451" s="85" t="str">
        <f t="shared" si="369"/>
        <v/>
      </c>
      <c r="AX451" s="86" t="str">
        <f t="shared" si="370"/>
        <v/>
      </c>
    </row>
    <row r="452" spans="1:50" x14ac:dyDescent="0.2">
      <c r="A452" s="29" t="str">
        <f t="shared" si="329"/>
        <v/>
      </c>
      <c r="B452" s="32" t="str">
        <f t="shared" si="330"/>
        <v/>
      </c>
      <c r="C452" s="35"/>
      <c r="D452" s="33" t="str">
        <f t="shared" si="331"/>
        <v/>
      </c>
      <c r="E452" s="22" t="str">
        <f t="shared" si="332"/>
        <v/>
      </c>
      <c r="F452" s="23" t="str">
        <f t="shared" si="333"/>
        <v/>
      </c>
      <c r="G452" s="23"/>
      <c r="H452" s="22"/>
      <c r="I452" s="23"/>
      <c r="J452" s="18"/>
      <c r="K452" s="13" t="str">
        <f t="shared" si="334"/>
        <v/>
      </c>
      <c r="L452" s="28" t="str">
        <f t="shared" si="328"/>
        <v/>
      </c>
      <c r="M452" s="10" t="str">
        <f t="shared" si="335"/>
        <v/>
      </c>
      <c r="N452" s="17" t="str">
        <f t="shared" si="336"/>
        <v/>
      </c>
      <c r="O452" s="39" t="str">
        <f t="shared" si="337"/>
        <v/>
      </c>
      <c r="P452" s="41" t="str">
        <f t="shared" si="338"/>
        <v/>
      </c>
      <c r="Q452" s="9" t="str">
        <f t="shared" si="339"/>
        <v/>
      </c>
      <c r="R452" s="14">
        <f t="shared" si="340"/>
        <v>0</v>
      </c>
      <c r="S452" s="61" t="str">
        <f t="shared" si="341"/>
        <v/>
      </c>
      <c r="T452" s="14">
        <f t="shared" si="342"/>
        <v>0</v>
      </c>
      <c r="U452" s="58" t="str">
        <f t="shared" si="343"/>
        <v/>
      </c>
      <c r="V452" s="14">
        <f t="shared" si="344"/>
        <v>0</v>
      </c>
      <c r="W452" s="58" t="str">
        <f t="shared" si="345"/>
        <v/>
      </c>
      <c r="X452" s="14">
        <f t="shared" si="346"/>
        <v>0</v>
      </c>
      <c r="Y452" s="58" t="str">
        <f t="shared" si="347"/>
        <v/>
      </c>
      <c r="Z452" s="31">
        <f t="shared" si="348"/>
        <v>0</v>
      </c>
      <c r="AA452" s="21">
        <f t="shared" si="349"/>
        <v>0</v>
      </c>
      <c r="AB452" s="58" t="str">
        <f t="shared" si="350"/>
        <v/>
      </c>
      <c r="AC452" s="630">
        <f t="shared" si="327"/>
        <v>0</v>
      </c>
      <c r="AD452" s="627"/>
      <c r="AE452" s="21">
        <f t="shared" si="351"/>
        <v>0</v>
      </c>
      <c r="AF452" s="58" t="str">
        <f t="shared" si="352"/>
        <v/>
      </c>
      <c r="AG452" s="21">
        <f t="shared" si="353"/>
        <v>0</v>
      </c>
      <c r="AH452" s="58" t="str">
        <f t="shared" si="354"/>
        <v/>
      </c>
      <c r="AI452" s="21">
        <f t="shared" si="355"/>
        <v>0</v>
      </c>
      <c r="AJ452" s="58" t="str">
        <f t="shared" si="356"/>
        <v/>
      </c>
      <c r="AK452" s="31">
        <f t="shared" si="357"/>
        <v>0</v>
      </c>
      <c r="AL452" s="21">
        <f t="shared" si="358"/>
        <v>0</v>
      </c>
      <c r="AM452" s="62" t="str">
        <f t="shared" si="359"/>
        <v/>
      </c>
      <c r="AN452" s="21">
        <f t="shared" si="360"/>
        <v>0</v>
      </c>
      <c r="AO452" s="62" t="str">
        <f t="shared" si="361"/>
        <v/>
      </c>
      <c r="AP452" s="21">
        <f t="shared" si="362"/>
        <v>0</v>
      </c>
      <c r="AQ452" s="62" t="str">
        <f t="shared" si="363"/>
        <v/>
      </c>
      <c r="AR452" s="31">
        <f t="shared" si="364"/>
        <v>0</v>
      </c>
      <c r="AS452" s="21">
        <f t="shared" si="365"/>
        <v>0</v>
      </c>
      <c r="AT452" s="62" t="str">
        <f t="shared" si="366"/>
        <v/>
      </c>
      <c r="AU452" s="84">
        <f t="shared" si="367"/>
        <v>0</v>
      </c>
      <c r="AV452" s="32">
        <f t="shared" si="368"/>
        <v>0</v>
      </c>
      <c r="AW452" s="85" t="str">
        <f t="shared" si="369"/>
        <v/>
      </c>
      <c r="AX452" s="86" t="str">
        <f t="shared" si="370"/>
        <v/>
      </c>
    </row>
    <row r="453" spans="1:50" x14ac:dyDescent="0.2">
      <c r="A453" s="29" t="str">
        <f t="shared" si="329"/>
        <v/>
      </c>
      <c r="B453" s="32" t="str">
        <f t="shared" si="330"/>
        <v/>
      </c>
      <c r="C453" s="35"/>
      <c r="D453" s="33" t="str">
        <f t="shared" si="331"/>
        <v/>
      </c>
      <c r="E453" s="22" t="str">
        <f t="shared" si="332"/>
        <v/>
      </c>
      <c r="F453" s="23" t="str">
        <f t="shared" si="333"/>
        <v/>
      </c>
      <c r="G453" s="23"/>
      <c r="H453" s="22"/>
      <c r="I453" s="23"/>
      <c r="J453" s="18"/>
      <c r="K453" s="13" t="str">
        <f t="shared" si="334"/>
        <v/>
      </c>
      <c r="L453" s="28" t="str">
        <f t="shared" si="328"/>
        <v/>
      </c>
      <c r="M453" s="10" t="str">
        <f t="shared" si="335"/>
        <v/>
      </c>
      <c r="N453" s="17" t="str">
        <f t="shared" si="336"/>
        <v/>
      </c>
      <c r="O453" s="39" t="str">
        <f t="shared" si="337"/>
        <v/>
      </c>
      <c r="P453" s="41" t="str">
        <f t="shared" si="338"/>
        <v/>
      </c>
      <c r="Q453" s="9" t="str">
        <f t="shared" si="339"/>
        <v/>
      </c>
      <c r="R453" s="14">
        <f t="shared" si="340"/>
        <v>0</v>
      </c>
      <c r="S453" s="61" t="str">
        <f t="shared" si="341"/>
        <v/>
      </c>
      <c r="T453" s="14">
        <f t="shared" si="342"/>
        <v>0</v>
      </c>
      <c r="U453" s="58" t="str">
        <f t="shared" si="343"/>
        <v/>
      </c>
      <c r="V453" s="14">
        <f t="shared" si="344"/>
        <v>0</v>
      </c>
      <c r="W453" s="58" t="str">
        <f t="shared" si="345"/>
        <v/>
      </c>
      <c r="X453" s="14">
        <f t="shared" si="346"/>
        <v>0</v>
      </c>
      <c r="Y453" s="58" t="str">
        <f t="shared" si="347"/>
        <v/>
      </c>
      <c r="Z453" s="31">
        <f t="shared" si="348"/>
        <v>0</v>
      </c>
      <c r="AA453" s="21">
        <f t="shared" si="349"/>
        <v>0</v>
      </c>
      <c r="AB453" s="58" t="str">
        <f t="shared" si="350"/>
        <v/>
      </c>
      <c r="AC453" s="630">
        <f t="shared" si="327"/>
        <v>0</v>
      </c>
      <c r="AD453" s="627"/>
      <c r="AE453" s="21">
        <f t="shared" si="351"/>
        <v>0</v>
      </c>
      <c r="AF453" s="58" t="str">
        <f t="shared" si="352"/>
        <v/>
      </c>
      <c r="AG453" s="21">
        <f t="shared" si="353"/>
        <v>0</v>
      </c>
      <c r="AH453" s="58" t="str">
        <f t="shared" si="354"/>
        <v/>
      </c>
      <c r="AI453" s="21">
        <f t="shared" si="355"/>
        <v>0</v>
      </c>
      <c r="AJ453" s="58" t="str">
        <f t="shared" si="356"/>
        <v/>
      </c>
      <c r="AK453" s="31">
        <f t="shared" si="357"/>
        <v>0</v>
      </c>
      <c r="AL453" s="21">
        <f t="shared" si="358"/>
        <v>0</v>
      </c>
      <c r="AM453" s="62" t="str">
        <f t="shared" si="359"/>
        <v/>
      </c>
      <c r="AN453" s="21">
        <f t="shared" si="360"/>
        <v>0</v>
      </c>
      <c r="AO453" s="62" t="str">
        <f t="shared" si="361"/>
        <v/>
      </c>
      <c r="AP453" s="21">
        <f t="shared" si="362"/>
        <v>0</v>
      </c>
      <c r="AQ453" s="62" t="str">
        <f t="shared" si="363"/>
        <v/>
      </c>
      <c r="AR453" s="31">
        <f t="shared" si="364"/>
        <v>0</v>
      </c>
      <c r="AS453" s="21">
        <f t="shared" si="365"/>
        <v>0</v>
      </c>
      <c r="AT453" s="62" t="str">
        <f t="shared" si="366"/>
        <v/>
      </c>
      <c r="AU453" s="84">
        <f t="shared" si="367"/>
        <v>0</v>
      </c>
      <c r="AV453" s="32">
        <f t="shared" si="368"/>
        <v>0</v>
      </c>
      <c r="AW453" s="85" t="str">
        <f t="shared" si="369"/>
        <v/>
      </c>
      <c r="AX453" s="86" t="str">
        <f t="shared" si="370"/>
        <v/>
      </c>
    </row>
    <row r="454" spans="1:50" x14ac:dyDescent="0.2">
      <c r="A454" s="29" t="str">
        <f t="shared" si="329"/>
        <v/>
      </c>
      <c r="B454" s="32" t="str">
        <f t="shared" si="330"/>
        <v/>
      </c>
      <c r="C454" s="35"/>
      <c r="D454" s="33" t="str">
        <f t="shared" si="331"/>
        <v/>
      </c>
      <c r="E454" s="22" t="str">
        <f t="shared" si="332"/>
        <v/>
      </c>
      <c r="F454" s="23" t="str">
        <f t="shared" si="333"/>
        <v/>
      </c>
      <c r="G454" s="23"/>
      <c r="H454" s="22"/>
      <c r="I454" s="23"/>
      <c r="J454" s="18"/>
      <c r="K454" s="13" t="str">
        <f t="shared" si="334"/>
        <v/>
      </c>
      <c r="L454" s="28" t="str">
        <f t="shared" si="328"/>
        <v/>
      </c>
      <c r="M454" s="10" t="str">
        <f t="shared" si="335"/>
        <v/>
      </c>
      <c r="N454" s="17" t="str">
        <f t="shared" si="336"/>
        <v/>
      </c>
      <c r="O454" s="39" t="str">
        <f t="shared" si="337"/>
        <v/>
      </c>
      <c r="P454" s="41" t="str">
        <f t="shared" si="338"/>
        <v/>
      </c>
      <c r="Q454" s="9" t="str">
        <f t="shared" si="339"/>
        <v/>
      </c>
      <c r="R454" s="14">
        <f t="shared" si="340"/>
        <v>0</v>
      </c>
      <c r="S454" s="61" t="str">
        <f t="shared" si="341"/>
        <v/>
      </c>
      <c r="T454" s="14">
        <f t="shared" si="342"/>
        <v>0</v>
      </c>
      <c r="U454" s="58" t="str">
        <f t="shared" si="343"/>
        <v/>
      </c>
      <c r="V454" s="14">
        <f t="shared" si="344"/>
        <v>0</v>
      </c>
      <c r="W454" s="58" t="str">
        <f t="shared" si="345"/>
        <v/>
      </c>
      <c r="X454" s="14">
        <f t="shared" si="346"/>
        <v>0</v>
      </c>
      <c r="Y454" s="58" t="str">
        <f t="shared" si="347"/>
        <v/>
      </c>
      <c r="Z454" s="31">
        <f t="shared" si="348"/>
        <v>0</v>
      </c>
      <c r="AA454" s="21">
        <f t="shared" si="349"/>
        <v>0</v>
      </c>
      <c r="AB454" s="58" t="str">
        <f t="shared" si="350"/>
        <v/>
      </c>
      <c r="AC454" s="630">
        <f t="shared" si="327"/>
        <v>0</v>
      </c>
      <c r="AD454" s="627"/>
      <c r="AE454" s="21">
        <f t="shared" si="351"/>
        <v>0</v>
      </c>
      <c r="AF454" s="58" t="str">
        <f t="shared" si="352"/>
        <v/>
      </c>
      <c r="AG454" s="21">
        <f t="shared" si="353"/>
        <v>0</v>
      </c>
      <c r="AH454" s="58" t="str">
        <f t="shared" si="354"/>
        <v/>
      </c>
      <c r="AI454" s="21">
        <f t="shared" si="355"/>
        <v>0</v>
      </c>
      <c r="AJ454" s="58" t="str">
        <f t="shared" si="356"/>
        <v/>
      </c>
      <c r="AK454" s="31">
        <f t="shared" si="357"/>
        <v>0</v>
      </c>
      <c r="AL454" s="21">
        <f t="shared" si="358"/>
        <v>0</v>
      </c>
      <c r="AM454" s="62" t="str">
        <f t="shared" si="359"/>
        <v/>
      </c>
      <c r="AN454" s="21">
        <f t="shared" si="360"/>
        <v>0</v>
      </c>
      <c r="AO454" s="62" t="str">
        <f t="shared" si="361"/>
        <v/>
      </c>
      <c r="AP454" s="21">
        <f t="shared" si="362"/>
        <v>0</v>
      </c>
      <c r="AQ454" s="62" t="str">
        <f t="shared" si="363"/>
        <v/>
      </c>
      <c r="AR454" s="31">
        <f t="shared" si="364"/>
        <v>0</v>
      </c>
      <c r="AS454" s="21">
        <f t="shared" si="365"/>
        <v>0</v>
      </c>
      <c r="AT454" s="62" t="str">
        <f t="shared" si="366"/>
        <v/>
      </c>
      <c r="AU454" s="84">
        <f t="shared" si="367"/>
        <v>0</v>
      </c>
      <c r="AV454" s="32">
        <f t="shared" si="368"/>
        <v>0</v>
      </c>
      <c r="AW454" s="85" t="str">
        <f t="shared" si="369"/>
        <v/>
      </c>
      <c r="AX454" s="86" t="str">
        <f t="shared" si="370"/>
        <v/>
      </c>
    </row>
    <row r="455" spans="1:50" x14ac:dyDescent="0.2">
      <c r="A455" s="29" t="str">
        <f t="shared" si="329"/>
        <v/>
      </c>
      <c r="B455" s="32" t="str">
        <f t="shared" si="330"/>
        <v/>
      </c>
      <c r="C455" s="35"/>
      <c r="D455" s="33" t="str">
        <f t="shared" si="331"/>
        <v/>
      </c>
      <c r="E455" s="22" t="str">
        <f t="shared" si="332"/>
        <v/>
      </c>
      <c r="F455" s="23" t="str">
        <f t="shared" si="333"/>
        <v/>
      </c>
      <c r="G455" s="23"/>
      <c r="H455" s="22"/>
      <c r="I455" s="23"/>
      <c r="J455" s="18"/>
      <c r="K455" s="13" t="str">
        <f t="shared" si="334"/>
        <v/>
      </c>
      <c r="L455" s="28" t="str">
        <f t="shared" si="328"/>
        <v/>
      </c>
      <c r="M455" s="10" t="str">
        <f t="shared" si="335"/>
        <v/>
      </c>
      <c r="N455" s="17" t="str">
        <f t="shared" si="336"/>
        <v/>
      </c>
      <c r="O455" s="39" t="str">
        <f t="shared" si="337"/>
        <v/>
      </c>
      <c r="P455" s="41" t="str">
        <f t="shared" si="338"/>
        <v/>
      </c>
      <c r="Q455" s="9" t="str">
        <f t="shared" si="339"/>
        <v/>
      </c>
      <c r="R455" s="14">
        <f t="shared" si="340"/>
        <v>0</v>
      </c>
      <c r="S455" s="61" t="str">
        <f t="shared" si="341"/>
        <v/>
      </c>
      <c r="T455" s="14">
        <f t="shared" si="342"/>
        <v>0</v>
      </c>
      <c r="U455" s="58" t="str">
        <f t="shared" si="343"/>
        <v/>
      </c>
      <c r="V455" s="14">
        <f t="shared" si="344"/>
        <v>0</v>
      </c>
      <c r="W455" s="58" t="str">
        <f t="shared" si="345"/>
        <v/>
      </c>
      <c r="X455" s="14">
        <f t="shared" si="346"/>
        <v>0</v>
      </c>
      <c r="Y455" s="58" t="str">
        <f t="shared" si="347"/>
        <v/>
      </c>
      <c r="Z455" s="31">
        <f t="shared" si="348"/>
        <v>0</v>
      </c>
      <c r="AA455" s="21">
        <f t="shared" si="349"/>
        <v>0</v>
      </c>
      <c r="AB455" s="58" t="str">
        <f t="shared" si="350"/>
        <v/>
      </c>
      <c r="AC455" s="630">
        <f t="shared" si="327"/>
        <v>0</v>
      </c>
      <c r="AD455" s="627"/>
      <c r="AE455" s="21">
        <f t="shared" si="351"/>
        <v>0</v>
      </c>
      <c r="AF455" s="58" t="str">
        <f t="shared" si="352"/>
        <v/>
      </c>
      <c r="AG455" s="21">
        <f t="shared" si="353"/>
        <v>0</v>
      </c>
      <c r="AH455" s="58" t="str">
        <f t="shared" si="354"/>
        <v/>
      </c>
      <c r="AI455" s="21">
        <f t="shared" si="355"/>
        <v>0</v>
      </c>
      <c r="AJ455" s="58" t="str">
        <f t="shared" si="356"/>
        <v/>
      </c>
      <c r="AK455" s="31">
        <f t="shared" si="357"/>
        <v>0</v>
      </c>
      <c r="AL455" s="21">
        <f t="shared" si="358"/>
        <v>0</v>
      </c>
      <c r="AM455" s="62" t="str">
        <f t="shared" si="359"/>
        <v/>
      </c>
      <c r="AN455" s="21">
        <f t="shared" si="360"/>
        <v>0</v>
      </c>
      <c r="AO455" s="62" t="str">
        <f t="shared" si="361"/>
        <v/>
      </c>
      <c r="AP455" s="21">
        <f t="shared" si="362"/>
        <v>0</v>
      </c>
      <c r="AQ455" s="62" t="str">
        <f t="shared" si="363"/>
        <v/>
      </c>
      <c r="AR455" s="31">
        <f t="shared" si="364"/>
        <v>0</v>
      </c>
      <c r="AS455" s="21">
        <f t="shared" si="365"/>
        <v>0</v>
      </c>
      <c r="AT455" s="62" t="str">
        <f t="shared" si="366"/>
        <v/>
      </c>
      <c r="AU455" s="84">
        <f t="shared" si="367"/>
        <v>0</v>
      </c>
      <c r="AV455" s="32">
        <f t="shared" si="368"/>
        <v>0</v>
      </c>
      <c r="AW455" s="85" t="str">
        <f t="shared" si="369"/>
        <v/>
      </c>
      <c r="AX455" s="86" t="str">
        <f t="shared" si="370"/>
        <v/>
      </c>
    </row>
    <row r="456" spans="1:50" x14ac:dyDescent="0.2">
      <c r="A456" s="29" t="str">
        <f t="shared" si="329"/>
        <v/>
      </c>
      <c r="B456" s="32" t="str">
        <f t="shared" si="330"/>
        <v/>
      </c>
      <c r="C456" s="35"/>
      <c r="D456" s="33" t="str">
        <f t="shared" si="331"/>
        <v/>
      </c>
      <c r="E456" s="22" t="str">
        <f t="shared" si="332"/>
        <v/>
      </c>
      <c r="F456" s="23" t="str">
        <f t="shared" si="333"/>
        <v/>
      </c>
      <c r="G456" s="23"/>
      <c r="H456" s="22"/>
      <c r="I456" s="23"/>
      <c r="J456" s="18"/>
      <c r="K456" s="13" t="str">
        <f t="shared" si="334"/>
        <v/>
      </c>
      <c r="L456" s="28" t="str">
        <f t="shared" si="328"/>
        <v/>
      </c>
      <c r="M456" s="10" t="str">
        <f t="shared" si="335"/>
        <v/>
      </c>
      <c r="N456" s="17" t="str">
        <f t="shared" si="336"/>
        <v/>
      </c>
      <c r="O456" s="39" t="str">
        <f t="shared" si="337"/>
        <v/>
      </c>
      <c r="P456" s="41" t="str">
        <f t="shared" si="338"/>
        <v/>
      </c>
      <c r="Q456" s="9" t="str">
        <f t="shared" si="339"/>
        <v/>
      </c>
      <c r="R456" s="14">
        <f t="shared" si="340"/>
        <v>0</v>
      </c>
      <c r="S456" s="61" t="str">
        <f t="shared" si="341"/>
        <v/>
      </c>
      <c r="T456" s="14">
        <f t="shared" si="342"/>
        <v>0</v>
      </c>
      <c r="U456" s="58" t="str">
        <f t="shared" si="343"/>
        <v/>
      </c>
      <c r="V456" s="14">
        <f t="shared" si="344"/>
        <v>0</v>
      </c>
      <c r="W456" s="58" t="str">
        <f t="shared" si="345"/>
        <v/>
      </c>
      <c r="X456" s="14">
        <f t="shared" si="346"/>
        <v>0</v>
      </c>
      <c r="Y456" s="58" t="str">
        <f t="shared" si="347"/>
        <v/>
      </c>
      <c r="Z456" s="31">
        <f t="shared" si="348"/>
        <v>0</v>
      </c>
      <c r="AA456" s="21">
        <f t="shared" si="349"/>
        <v>0</v>
      </c>
      <c r="AB456" s="58" t="str">
        <f t="shared" si="350"/>
        <v/>
      </c>
      <c r="AC456" s="630">
        <f t="shared" si="327"/>
        <v>0</v>
      </c>
      <c r="AD456" s="627"/>
      <c r="AE456" s="21">
        <f t="shared" si="351"/>
        <v>0</v>
      </c>
      <c r="AF456" s="58" t="str">
        <f t="shared" si="352"/>
        <v/>
      </c>
      <c r="AG456" s="21">
        <f t="shared" si="353"/>
        <v>0</v>
      </c>
      <c r="AH456" s="58" t="str">
        <f t="shared" si="354"/>
        <v/>
      </c>
      <c r="AI456" s="21">
        <f t="shared" si="355"/>
        <v>0</v>
      </c>
      <c r="AJ456" s="58" t="str">
        <f t="shared" si="356"/>
        <v/>
      </c>
      <c r="AK456" s="31">
        <f t="shared" si="357"/>
        <v>0</v>
      </c>
      <c r="AL456" s="21">
        <f t="shared" si="358"/>
        <v>0</v>
      </c>
      <c r="AM456" s="62" t="str">
        <f t="shared" si="359"/>
        <v/>
      </c>
      <c r="AN456" s="21">
        <f t="shared" si="360"/>
        <v>0</v>
      </c>
      <c r="AO456" s="62" t="str">
        <f t="shared" si="361"/>
        <v/>
      </c>
      <c r="AP456" s="21">
        <f t="shared" si="362"/>
        <v>0</v>
      </c>
      <c r="AQ456" s="62" t="str">
        <f t="shared" si="363"/>
        <v/>
      </c>
      <c r="AR456" s="31">
        <f t="shared" si="364"/>
        <v>0</v>
      </c>
      <c r="AS456" s="21">
        <f t="shared" si="365"/>
        <v>0</v>
      </c>
      <c r="AT456" s="62" t="str">
        <f t="shared" si="366"/>
        <v/>
      </c>
      <c r="AU456" s="84">
        <f t="shared" si="367"/>
        <v>0</v>
      </c>
      <c r="AV456" s="32">
        <f t="shared" si="368"/>
        <v>0</v>
      </c>
      <c r="AW456" s="85" t="str">
        <f t="shared" si="369"/>
        <v/>
      </c>
      <c r="AX456" s="86" t="str">
        <f t="shared" si="370"/>
        <v/>
      </c>
    </row>
    <row r="457" spans="1:50" x14ac:dyDescent="0.2">
      <c r="A457" s="29" t="str">
        <f t="shared" si="329"/>
        <v/>
      </c>
      <c r="B457" s="32" t="str">
        <f t="shared" si="330"/>
        <v/>
      </c>
      <c r="C457" s="35"/>
      <c r="D457" s="33" t="str">
        <f t="shared" si="331"/>
        <v/>
      </c>
      <c r="E457" s="22" t="str">
        <f t="shared" si="332"/>
        <v/>
      </c>
      <c r="F457" s="23" t="str">
        <f t="shared" si="333"/>
        <v/>
      </c>
      <c r="G457" s="23"/>
      <c r="H457" s="22"/>
      <c r="I457" s="23"/>
      <c r="J457" s="18"/>
      <c r="K457" s="13" t="str">
        <f t="shared" si="334"/>
        <v/>
      </c>
      <c r="L457" s="28" t="str">
        <f t="shared" si="328"/>
        <v/>
      </c>
      <c r="M457" s="10" t="str">
        <f t="shared" si="335"/>
        <v/>
      </c>
      <c r="N457" s="17" t="str">
        <f t="shared" si="336"/>
        <v/>
      </c>
      <c r="O457" s="39" t="str">
        <f t="shared" si="337"/>
        <v/>
      </c>
      <c r="P457" s="41" t="str">
        <f t="shared" si="338"/>
        <v/>
      </c>
      <c r="Q457" s="9" t="str">
        <f t="shared" si="339"/>
        <v/>
      </c>
      <c r="R457" s="14">
        <f t="shared" si="340"/>
        <v>0</v>
      </c>
      <c r="S457" s="61" t="str">
        <f t="shared" si="341"/>
        <v/>
      </c>
      <c r="T457" s="14">
        <f t="shared" si="342"/>
        <v>0</v>
      </c>
      <c r="U457" s="58" t="str">
        <f t="shared" si="343"/>
        <v/>
      </c>
      <c r="V457" s="14">
        <f t="shared" si="344"/>
        <v>0</v>
      </c>
      <c r="W457" s="58" t="str">
        <f t="shared" si="345"/>
        <v/>
      </c>
      <c r="X457" s="14">
        <f t="shared" si="346"/>
        <v>0</v>
      </c>
      <c r="Y457" s="58" t="str">
        <f t="shared" si="347"/>
        <v/>
      </c>
      <c r="Z457" s="31">
        <f t="shared" si="348"/>
        <v>0</v>
      </c>
      <c r="AA457" s="21">
        <f t="shared" si="349"/>
        <v>0</v>
      </c>
      <c r="AB457" s="58" t="str">
        <f t="shared" si="350"/>
        <v/>
      </c>
      <c r="AC457" s="630">
        <f t="shared" si="327"/>
        <v>0</v>
      </c>
      <c r="AD457" s="627"/>
      <c r="AE457" s="21">
        <f t="shared" si="351"/>
        <v>0</v>
      </c>
      <c r="AF457" s="58" t="str">
        <f t="shared" si="352"/>
        <v/>
      </c>
      <c r="AG457" s="21">
        <f t="shared" si="353"/>
        <v>0</v>
      </c>
      <c r="AH457" s="58" t="str">
        <f t="shared" si="354"/>
        <v/>
      </c>
      <c r="AI457" s="21">
        <f t="shared" si="355"/>
        <v>0</v>
      </c>
      <c r="AJ457" s="58" t="str">
        <f t="shared" si="356"/>
        <v/>
      </c>
      <c r="AK457" s="31">
        <f t="shared" si="357"/>
        <v>0</v>
      </c>
      <c r="AL457" s="21">
        <f t="shared" si="358"/>
        <v>0</v>
      </c>
      <c r="AM457" s="62" t="str">
        <f t="shared" si="359"/>
        <v/>
      </c>
      <c r="AN457" s="21">
        <f t="shared" si="360"/>
        <v>0</v>
      </c>
      <c r="AO457" s="62" t="str">
        <f t="shared" si="361"/>
        <v/>
      </c>
      <c r="AP457" s="21">
        <f t="shared" si="362"/>
        <v>0</v>
      </c>
      <c r="AQ457" s="62" t="str">
        <f t="shared" si="363"/>
        <v/>
      </c>
      <c r="AR457" s="31">
        <f t="shared" si="364"/>
        <v>0</v>
      </c>
      <c r="AS457" s="21">
        <f t="shared" si="365"/>
        <v>0</v>
      </c>
      <c r="AT457" s="62" t="str">
        <f t="shared" si="366"/>
        <v/>
      </c>
      <c r="AU457" s="84">
        <f t="shared" si="367"/>
        <v>0</v>
      </c>
      <c r="AV457" s="32">
        <f t="shared" si="368"/>
        <v>0</v>
      </c>
      <c r="AW457" s="85" t="str">
        <f t="shared" si="369"/>
        <v/>
      </c>
      <c r="AX457" s="86" t="str">
        <f t="shared" si="370"/>
        <v/>
      </c>
    </row>
    <row r="458" spans="1:50" x14ac:dyDescent="0.2">
      <c r="A458" s="29" t="str">
        <f t="shared" si="329"/>
        <v/>
      </c>
      <c r="B458" s="32" t="str">
        <f t="shared" si="330"/>
        <v/>
      </c>
      <c r="C458" s="35"/>
      <c r="D458" s="33" t="str">
        <f t="shared" si="331"/>
        <v/>
      </c>
      <c r="E458" s="22" t="str">
        <f t="shared" si="332"/>
        <v/>
      </c>
      <c r="F458" s="23" t="str">
        <f t="shared" si="333"/>
        <v/>
      </c>
      <c r="G458" s="23"/>
      <c r="H458" s="22"/>
      <c r="I458" s="23"/>
      <c r="J458" s="18"/>
      <c r="K458" s="13" t="str">
        <f t="shared" si="334"/>
        <v/>
      </c>
      <c r="L458" s="28" t="str">
        <f t="shared" si="328"/>
        <v/>
      </c>
      <c r="M458" s="10" t="str">
        <f t="shared" si="335"/>
        <v/>
      </c>
      <c r="N458" s="17" t="str">
        <f t="shared" si="336"/>
        <v/>
      </c>
      <c r="O458" s="39" t="str">
        <f t="shared" si="337"/>
        <v/>
      </c>
      <c r="P458" s="41" t="str">
        <f t="shared" si="338"/>
        <v/>
      </c>
      <c r="Q458" s="9" t="str">
        <f t="shared" si="339"/>
        <v/>
      </c>
      <c r="R458" s="14">
        <f t="shared" si="340"/>
        <v>0</v>
      </c>
      <c r="S458" s="61" t="str">
        <f t="shared" si="341"/>
        <v/>
      </c>
      <c r="T458" s="14">
        <f t="shared" si="342"/>
        <v>0</v>
      </c>
      <c r="U458" s="58" t="str">
        <f t="shared" si="343"/>
        <v/>
      </c>
      <c r="V458" s="14">
        <f t="shared" si="344"/>
        <v>0</v>
      </c>
      <c r="W458" s="58" t="str">
        <f t="shared" si="345"/>
        <v/>
      </c>
      <c r="X458" s="14">
        <f t="shared" si="346"/>
        <v>0</v>
      </c>
      <c r="Y458" s="58" t="str">
        <f t="shared" si="347"/>
        <v/>
      </c>
      <c r="Z458" s="31">
        <f t="shared" si="348"/>
        <v>0</v>
      </c>
      <c r="AA458" s="21">
        <f t="shared" si="349"/>
        <v>0</v>
      </c>
      <c r="AB458" s="58" t="str">
        <f t="shared" si="350"/>
        <v/>
      </c>
      <c r="AC458" s="630">
        <f t="shared" si="327"/>
        <v>0</v>
      </c>
      <c r="AD458" s="627"/>
      <c r="AE458" s="21">
        <f t="shared" si="351"/>
        <v>0</v>
      </c>
      <c r="AF458" s="58" t="str">
        <f t="shared" si="352"/>
        <v/>
      </c>
      <c r="AG458" s="21">
        <f t="shared" si="353"/>
        <v>0</v>
      </c>
      <c r="AH458" s="58" t="str">
        <f t="shared" si="354"/>
        <v/>
      </c>
      <c r="AI458" s="21">
        <f t="shared" si="355"/>
        <v>0</v>
      </c>
      <c r="AJ458" s="58" t="str">
        <f t="shared" si="356"/>
        <v/>
      </c>
      <c r="AK458" s="31">
        <f t="shared" si="357"/>
        <v>0</v>
      </c>
      <c r="AL458" s="21">
        <f t="shared" si="358"/>
        <v>0</v>
      </c>
      <c r="AM458" s="62" t="str">
        <f t="shared" si="359"/>
        <v/>
      </c>
      <c r="AN458" s="21">
        <f t="shared" si="360"/>
        <v>0</v>
      </c>
      <c r="AO458" s="62" t="str">
        <f t="shared" si="361"/>
        <v/>
      </c>
      <c r="AP458" s="21">
        <f t="shared" si="362"/>
        <v>0</v>
      </c>
      <c r="AQ458" s="62" t="str">
        <f t="shared" si="363"/>
        <v/>
      </c>
      <c r="AR458" s="31">
        <f t="shared" si="364"/>
        <v>0</v>
      </c>
      <c r="AS458" s="21">
        <f t="shared" si="365"/>
        <v>0</v>
      </c>
      <c r="AT458" s="62" t="str">
        <f t="shared" si="366"/>
        <v/>
      </c>
      <c r="AU458" s="84">
        <f t="shared" si="367"/>
        <v>0</v>
      </c>
      <c r="AV458" s="32">
        <f t="shared" si="368"/>
        <v>0</v>
      </c>
      <c r="AW458" s="85" t="str">
        <f t="shared" si="369"/>
        <v/>
      </c>
      <c r="AX458" s="86" t="str">
        <f t="shared" si="370"/>
        <v/>
      </c>
    </row>
    <row r="459" spans="1:50" x14ac:dyDescent="0.2">
      <c r="A459" s="29" t="str">
        <f t="shared" si="329"/>
        <v/>
      </c>
      <c r="B459" s="32" t="str">
        <f t="shared" si="330"/>
        <v/>
      </c>
      <c r="C459" s="35"/>
      <c r="D459" s="33" t="str">
        <f t="shared" si="331"/>
        <v/>
      </c>
      <c r="E459" s="22" t="str">
        <f t="shared" si="332"/>
        <v/>
      </c>
      <c r="F459" s="23" t="str">
        <f t="shared" si="333"/>
        <v/>
      </c>
      <c r="G459" s="23"/>
      <c r="H459" s="22"/>
      <c r="I459" s="23"/>
      <c r="J459" s="18"/>
      <c r="K459" s="13" t="str">
        <f t="shared" si="334"/>
        <v/>
      </c>
      <c r="L459" s="28" t="str">
        <f t="shared" si="328"/>
        <v/>
      </c>
      <c r="M459" s="10" t="str">
        <f t="shared" si="335"/>
        <v/>
      </c>
      <c r="N459" s="17" t="str">
        <f t="shared" si="336"/>
        <v/>
      </c>
      <c r="O459" s="39" t="str">
        <f t="shared" si="337"/>
        <v/>
      </c>
      <c r="P459" s="41" t="str">
        <f t="shared" si="338"/>
        <v/>
      </c>
      <c r="Q459" s="9" t="str">
        <f t="shared" si="339"/>
        <v/>
      </c>
      <c r="R459" s="14">
        <f t="shared" si="340"/>
        <v>0</v>
      </c>
      <c r="S459" s="61" t="str">
        <f t="shared" si="341"/>
        <v/>
      </c>
      <c r="T459" s="14">
        <f t="shared" si="342"/>
        <v>0</v>
      </c>
      <c r="U459" s="58" t="str">
        <f t="shared" si="343"/>
        <v/>
      </c>
      <c r="V459" s="14">
        <f t="shared" si="344"/>
        <v>0</v>
      </c>
      <c r="W459" s="58" t="str">
        <f t="shared" si="345"/>
        <v/>
      </c>
      <c r="X459" s="14">
        <f t="shared" si="346"/>
        <v>0</v>
      </c>
      <c r="Y459" s="58" t="str">
        <f t="shared" si="347"/>
        <v/>
      </c>
      <c r="Z459" s="31">
        <f t="shared" si="348"/>
        <v>0</v>
      </c>
      <c r="AA459" s="21">
        <f t="shared" si="349"/>
        <v>0</v>
      </c>
      <c r="AB459" s="58" t="str">
        <f t="shared" si="350"/>
        <v/>
      </c>
      <c r="AC459" s="630">
        <f t="shared" si="327"/>
        <v>0</v>
      </c>
      <c r="AD459" s="627"/>
      <c r="AE459" s="21">
        <f t="shared" si="351"/>
        <v>0</v>
      </c>
      <c r="AF459" s="58" t="str">
        <f t="shared" si="352"/>
        <v/>
      </c>
      <c r="AG459" s="21">
        <f t="shared" si="353"/>
        <v>0</v>
      </c>
      <c r="AH459" s="58" t="str">
        <f t="shared" si="354"/>
        <v/>
      </c>
      <c r="AI459" s="21">
        <f t="shared" si="355"/>
        <v>0</v>
      </c>
      <c r="AJ459" s="58" t="str">
        <f t="shared" si="356"/>
        <v/>
      </c>
      <c r="AK459" s="31">
        <f t="shared" si="357"/>
        <v>0</v>
      </c>
      <c r="AL459" s="21">
        <f t="shared" si="358"/>
        <v>0</v>
      </c>
      <c r="AM459" s="62" t="str">
        <f t="shared" si="359"/>
        <v/>
      </c>
      <c r="AN459" s="21">
        <f t="shared" si="360"/>
        <v>0</v>
      </c>
      <c r="AO459" s="62" t="str">
        <f t="shared" si="361"/>
        <v/>
      </c>
      <c r="AP459" s="21">
        <f t="shared" si="362"/>
        <v>0</v>
      </c>
      <c r="AQ459" s="62" t="str">
        <f t="shared" si="363"/>
        <v/>
      </c>
      <c r="AR459" s="31">
        <f t="shared" si="364"/>
        <v>0</v>
      </c>
      <c r="AS459" s="21">
        <f t="shared" si="365"/>
        <v>0</v>
      </c>
      <c r="AT459" s="62" t="str">
        <f t="shared" si="366"/>
        <v/>
      </c>
      <c r="AU459" s="84">
        <f t="shared" si="367"/>
        <v>0</v>
      </c>
      <c r="AV459" s="32">
        <f t="shared" si="368"/>
        <v>0</v>
      </c>
      <c r="AW459" s="85" t="str">
        <f t="shared" si="369"/>
        <v/>
      </c>
      <c r="AX459" s="86" t="str">
        <f t="shared" si="370"/>
        <v/>
      </c>
    </row>
    <row r="460" spans="1:50" x14ac:dyDescent="0.2">
      <c r="A460" s="29" t="str">
        <f t="shared" si="329"/>
        <v/>
      </c>
      <c r="B460" s="32" t="str">
        <f t="shared" si="330"/>
        <v/>
      </c>
      <c r="C460" s="35"/>
      <c r="D460" s="33" t="str">
        <f t="shared" si="331"/>
        <v/>
      </c>
      <c r="E460" s="22" t="str">
        <f t="shared" si="332"/>
        <v/>
      </c>
      <c r="F460" s="23" t="str">
        <f t="shared" si="333"/>
        <v/>
      </c>
      <c r="G460" s="23"/>
      <c r="H460" s="22"/>
      <c r="I460" s="23"/>
      <c r="J460" s="18"/>
      <c r="K460" s="13" t="str">
        <f t="shared" si="334"/>
        <v/>
      </c>
      <c r="L460" s="28" t="str">
        <f t="shared" si="328"/>
        <v/>
      </c>
      <c r="M460" s="10" t="str">
        <f t="shared" si="335"/>
        <v/>
      </c>
      <c r="N460" s="17" t="str">
        <f t="shared" si="336"/>
        <v/>
      </c>
      <c r="O460" s="39" t="str">
        <f t="shared" si="337"/>
        <v/>
      </c>
      <c r="P460" s="41" t="str">
        <f t="shared" si="338"/>
        <v/>
      </c>
      <c r="Q460" s="9" t="str">
        <f t="shared" si="339"/>
        <v/>
      </c>
      <c r="R460" s="14">
        <f t="shared" si="340"/>
        <v>0</v>
      </c>
      <c r="S460" s="61" t="str">
        <f t="shared" si="341"/>
        <v/>
      </c>
      <c r="T460" s="14">
        <f t="shared" si="342"/>
        <v>0</v>
      </c>
      <c r="U460" s="58" t="str">
        <f t="shared" si="343"/>
        <v/>
      </c>
      <c r="V460" s="14">
        <f t="shared" si="344"/>
        <v>0</v>
      </c>
      <c r="W460" s="58" t="str">
        <f t="shared" si="345"/>
        <v/>
      </c>
      <c r="X460" s="14">
        <f t="shared" si="346"/>
        <v>0</v>
      </c>
      <c r="Y460" s="58" t="str">
        <f t="shared" si="347"/>
        <v/>
      </c>
      <c r="Z460" s="31">
        <f t="shared" si="348"/>
        <v>0</v>
      </c>
      <c r="AA460" s="21">
        <f t="shared" si="349"/>
        <v>0</v>
      </c>
      <c r="AB460" s="58" t="str">
        <f t="shared" si="350"/>
        <v/>
      </c>
      <c r="AC460" s="630">
        <f t="shared" si="327"/>
        <v>0</v>
      </c>
      <c r="AD460" s="627"/>
      <c r="AE460" s="21">
        <f t="shared" si="351"/>
        <v>0</v>
      </c>
      <c r="AF460" s="58" t="str">
        <f t="shared" si="352"/>
        <v/>
      </c>
      <c r="AG460" s="21">
        <f t="shared" si="353"/>
        <v>0</v>
      </c>
      <c r="AH460" s="58" t="str">
        <f t="shared" si="354"/>
        <v/>
      </c>
      <c r="AI460" s="21">
        <f t="shared" si="355"/>
        <v>0</v>
      </c>
      <c r="AJ460" s="58" t="str">
        <f t="shared" si="356"/>
        <v/>
      </c>
      <c r="AK460" s="31">
        <f t="shared" si="357"/>
        <v>0</v>
      </c>
      <c r="AL460" s="21">
        <f t="shared" si="358"/>
        <v>0</v>
      </c>
      <c r="AM460" s="62" t="str">
        <f t="shared" si="359"/>
        <v/>
      </c>
      <c r="AN460" s="21">
        <f t="shared" si="360"/>
        <v>0</v>
      </c>
      <c r="AO460" s="62" t="str">
        <f t="shared" si="361"/>
        <v/>
      </c>
      <c r="AP460" s="21">
        <f t="shared" si="362"/>
        <v>0</v>
      </c>
      <c r="AQ460" s="62" t="str">
        <f t="shared" si="363"/>
        <v/>
      </c>
      <c r="AR460" s="31">
        <f t="shared" si="364"/>
        <v>0</v>
      </c>
      <c r="AS460" s="21">
        <f t="shared" si="365"/>
        <v>0</v>
      </c>
      <c r="AT460" s="62" t="str">
        <f t="shared" si="366"/>
        <v/>
      </c>
      <c r="AU460" s="84">
        <f t="shared" si="367"/>
        <v>0</v>
      </c>
      <c r="AV460" s="32">
        <f t="shared" si="368"/>
        <v>0</v>
      </c>
      <c r="AW460" s="85" t="str">
        <f t="shared" si="369"/>
        <v/>
      </c>
      <c r="AX460" s="86" t="str">
        <f t="shared" si="370"/>
        <v/>
      </c>
    </row>
    <row r="461" spans="1:50" x14ac:dyDescent="0.2">
      <c r="A461" s="29" t="str">
        <f t="shared" si="329"/>
        <v/>
      </c>
      <c r="B461" s="32" t="str">
        <f t="shared" si="330"/>
        <v/>
      </c>
      <c r="C461" s="35"/>
      <c r="D461" s="33" t="str">
        <f t="shared" si="331"/>
        <v/>
      </c>
      <c r="E461" s="22" t="str">
        <f t="shared" si="332"/>
        <v/>
      </c>
      <c r="F461" s="23" t="str">
        <f t="shared" si="333"/>
        <v/>
      </c>
      <c r="G461" s="23"/>
      <c r="H461" s="22"/>
      <c r="I461" s="23"/>
      <c r="J461" s="18"/>
      <c r="K461" s="13" t="str">
        <f t="shared" si="334"/>
        <v/>
      </c>
      <c r="L461" s="28" t="str">
        <f t="shared" si="328"/>
        <v/>
      </c>
      <c r="M461" s="10" t="str">
        <f t="shared" si="335"/>
        <v/>
      </c>
      <c r="N461" s="17" t="str">
        <f t="shared" si="336"/>
        <v/>
      </c>
      <c r="O461" s="39" t="str">
        <f t="shared" si="337"/>
        <v/>
      </c>
      <c r="P461" s="41" t="str">
        <f t="shared" si="338"/>
        <v/>
      </c>
      <c r="Q461" s="9" t="str">
        <f t="shared" si="339"/>
        <v/>
      </c>
      <c r="R461" s="14">
        <f t="shared" si="340"/>
        <v>0</v>
      </c>
      <c r="S461" s="61" t="str">
        <f t="shared" si="341"/>
        <v/>
      </c>
      <c r="T461" s="14">
        <f t="shared" si="342"/>
        <v>0</v>
      </c>
      <c r="U461" s="58" t="str">
        <f t="shared" si="343"/>
        <v/>
      </c>
      <c r="V461" s="14">
        <f t="shared" si="344"/>
        <v>0</v>
      </c>
      <c r="W461" s="58" t="str">
        <f t="shared" si="345"/>
        <v/>
      </c>
      <c r="X461" s="14">
        <f t="shared" si="346"/>
        <v>0</v>
      </c>
      <c r="Y461" s="58" t="str">
        <f t="shared" si="347"/>
        <v/>
      </c>
      <c r="Z461" s="31">
        <f t="shared" si="348"/>
        <v>0</v>
      </c>
      <c r="AA461" s="21">
        <f t="shared" si="349"/>
        <v>0</v>
      </c>
      <c r="AB461" s="58" t="str">
        <f t="shared" si="350"/>
        <v/>
      </c>
      <c r="AC461" s="630">
        <f t="shared" si="327"/>
        <v>0</v>
      </c>
      <c r="AD461" s="627"/>
      <c r="AE461" s="21">
        <f t="shared" si="351"/>
        <v>0</v>
      </c>
      <c r="AF461" s="58" t="str">
        <f t="shared" si="352"/>
        <v/>
      </c>
      <c r="AG461" s="21">
        <f t="shared" si="353"/>
        <v>0</v>
      </c>
      <c r="AH461" s="58" t="str">
        <f t="shared" si="354"/>
        <v/>
      </c>
      <c r="AI461" s="21">
        <f t="shared" si="355"/>
        <v>0</v>
      </c>
      <c r="AJ461" s="58" t="str">
        <f t="shared" si="356"/>
        <v/>
      </c>
      <c r="AK461" s="31">
        <f t="shared" si="357"/>
        <v>0</v>
      </c>
      <c r="AL461" s="21">
        <f t="shared" si="358"/>
        <v>0</v>
      </c>
      <c r="AM461" s="62" t="str">
        <f t="shared" si="359"/>
        <v/>
      </c>
      <c r="AN461" s="21">
        <f t="shared" si="360"/>
        <v>0</v>
      </c>
      <c r="AO461" s="62" t="str">
        <f t="shared" si="361"/>
        <v/>
      </c>
      <c r="AP461" s="21">
        <f t="shared" si="362"/>
        <v>0</v>
      </c>
      <c r="AQ461" s="62" t="str">
        <f t="shared" si="363"/>
        <v/>
      </c>
      <c r="AR461" s="31">
        <f t="shared" si="364"/>
        <v>0</v>
      </c>
      <c r="AS461" s="21">
        <f t="shared" si="365"/>
        <v>0</v>
      </c>
      <c r="AT461" s="62" t="str">
        <f t="shared" si="366"/>
        <v/>
      </c>
      <c r="AU461" s="84">
        <f t="shared" si="367"/>
        <v>0</v>
      </c>
      <c r="AV461" s="32">
        <f t="shared" si="368"/>
        <v>0</v>
      </c>
      <c r="AW461" s="85" t="str">
        <f t="shared" si="369"/>
        <v/>
      </c>
      <c r="AX461" s="86" t="str">
        <f t="shared" si="370"/>
        <v/>
      </c>
    </row>
    <row r="462" spans="1:50" x14ac:dyDescent="0.2">
      <c r="A462" s="29" t="str">
        <f t="shared" si="329"/>
        <v/>
      </c>
      <c r="B462" s="32" t="str">
        <f t="shared" si="330"/>
        <v/>
      </c>
      <c r="C462" s="35"/>
      <c r="D462" s="33" t="str">
        <f t="shared" si="331"/>
        <v/>
      </c>
      <c r="E462" s="22" t="str">
        <f t="shared" si="332"/>
        <v/>
      </c>
      <c r="F462" s="23" t="str">
        <f t="shared" si="333"/>
        <v/>
      </c>
      <c r="G462" s="23"/>
      <c r="H462" s="22"/>
      <c r="I462" s="23"/>
      <c r="J462" s="18"/>
      <c r="K462" s="13" t="str">
        <f t="shared" si="334"/>
        <v/>
      </c>
      <c r="L462" s="28" t="str">
        <f t="shared" si="328"/>
        <v/>
      </c>
      <c r="M462" s="10" t="str">
        <f t="shared" si="335"/>
        <v/>
      </c>
      <c r="N462" s="17" t="str">
        <f t="shared" si="336"/>
        <v/>
      </c>
      <c r="O462" s="39" t="str">
        <f t="shared" si="337"/>
        <v/>
      </c>
      <c r="P462" s="41" t="str">
        <f t="shared" si="338"/>
        <v/>
      </c>
      <c r="Q462" s="9" t="str">
        <f t="shared" si="339"/>
        <v/>
      </c>
      <c r="R462" s="14">
        <f t="shared" si="340"/>
        <v>0</v>
      </c>
      <c r="S462" s="61" t="str">
        <f t="shared" si="341"/>
        <v/>
      </c>
      <c r="T462" s="14">
        <f t="shared" si="342"/>
        <v>0</v>
      </c>
      <c r="U462" s="58" t="str">
        <f t="shared" si="343"/>
        <v/>
      </c>
      <c r="V462" s="14">
        <f t="shared" si="344"/>
        <v>0</v>
      </c>
      <c r="W462" s="58" t="str">
        <f t="shared" si="345"/>
        <v/>
      </c>
      <c r="X462" s="14">
        <f t="shared" si="346"/>
        <v>0</v>
      </c>
      <c r="Y462" s="58" t="str">
        <f t="shared" si="347"/>
        <v/>
      </c>
      <c r="Z462" s="31">
        <f t="shared" si="348"/>
        <v>0</v>
      </c>
      <c r="AA462" s="21">
        <f t="shared" si="349"/>
        <v>0</v>
      </c>
      <c r="AB462" s="58" t="str">
        <f t="shared" si="350"/>
        <v/>
      </c>
      <c r="AC462" s="630">
        <f t="shared" si="327"/>
        <v>0</v>
      </c>
      <c r="AD462" s="627"/>
      <c r="AE462" s="21">
        <f t="shared" si="351"/>
        <v>0</v>
      </c>
      <c r="AF462" s="58" t="str">
        <f t="shared" si="352"/>
        <v/>
      </c>
      <c r="AG462" s="21">
        <f t="shared" si="353"/>
        <v>0</v>
      </c>
      <c r="AH462" s="58" t="str">
        <f t="shared" si="354"/>
        <v/>
      </c>
      <c r="AI462" s="21">
        <f t="shared" si="355"/>
        <v>0</v>
      </c>
      <c r="AJ462" s="58" t="str">
        <f t="shared" si="356"/>
        <v/>
      </c>
      <c r="AK462" s="31">
        <f t="shared" si="357"/>
        <v>0</v>
      </c>
      <c r="AL462" s="21">
        <f t="shared" si="358"/>
        <v>0</v>
      </c>
      <c r="AM462" s="62" t="str">
        <f t="shared" si="359"/>
        <v/>
      </c>
      <c r="AN462" s="21">
        <f t="shared" si="360"/>
        <v>0</v>
      </c>
      <c r="AO462" s="62" t="str">
        <f t="shared" si="361"/>
        <v/>
      </c>
      <c r="AP462" s="21">
        <f t="shared" si="362"/>
        <v>0</v>
      </c>
      <c r="AQ462" s="62" t="str">
        <f t="shared" si="363"/>
        <v/>
      </c>
      <c r="AR462" s="31">
        <f t="shared" si="364"/>
        <v>0</v>
      </c>
      <c r="AS462" s="21">
        <f t="shared" si="365"/>
        <v>0</v>
      </c>
      <c r="AT462" s="62" t="str">
        <f t="shared" si="366"/>
        <v/>
      </c>
      <c r="AU462" s="84">
        <f t="shared" si="367"/>
        <v>0</v>
      </c>
      <c r="AV462" s="32">
        <f t="shared" si="368"/>
        <v>0</v>
      </c>
      <c r="AW462" s="85" t="str">
        <f t="shared" si="369"/>
        <v/>
      </c>
      <c r="AX462" s="86" t="str">
        <f t="shared" si="370"/>
        <v/>
      </c>
    </row>
    <row r="463" spans="1:50" x14ac:dyDescent="0.2">
      <c r="A463" s="29" t="str">
        <f t="shared" si="329"/>
        <v/>
      </c>
      <c r="B463" s="32" t="str">
        <f t="shared" si="330"/>
        <v/>
      </c>
      <c r="C463" s="35"/>
      <c r="D463" s="33" t="str">
        <f t="shared" si="331"/>
        <v/>
      </c>
      <c r="E463" s="22" t="str">
        <f t="shared" si="332"/>
        <v/>
      </c>
      <c r="F463" s="23" t="str">
        <f t="shared" si="333"/>
        <v/>
      </c>
      <c r="G463" s="23"/>
      <c r="H463" s="22"/>
      <c r="I463" s="23"/>
      <c r="J463" s="18"/>
      <c r="K463" s="13" t="str">
        <f t="shared" si="334"/>
        <v/>
      </c>
      <c r="L463" s="28" t="str">
        <f t="shared" si="328"/>
        <v/>
      </c>
      <c r="M463" s="10" t="str">
        <f t="shared" si="335"/>
        <v/>
      </c>
      <c r="N463" s="17" t="str">
        <f t="shared" si="336"/>
        <v/>
      </c>
      <c r="O463" s="39" t="str">
        <f t="shared" si="337"/>
        <v/>
      </c>
      <c r="P463" s="41" t="str">
        <f t="shared" si="338"/>
        <v/>
      </c>
      <c r="Q463" s="9" t="str">
        <f t="shared" si="339"/>
        <v/>
      </c>
      <c r="R463" s="14">
        <f t="shared" si="340"/>
        <v>0</v>
      </c>
      <c r="S463" s="61" t="str">
        <f t="shared" si="341"/>
        <v/>
      </c>
      <c r="T463" s="14">
        <f t="shared" si="342"/>
        <v>0</v>
      </c>
      <c r="U463" s="58" t="str">
        <f t="shared" si="343"/>
        <v/>
      </c>
      <c r="V463" s="14">
        <f t="shared" si="344"/>
        <v>0</v>
      </c>
      <c r="W463" s="58" t="str">
        <f t="shared" si="345"/>
        <v/>
      </c>
      <c r="X463" s="14">
        <f t="shared" si="346"/>
        <v>0</v>
      </c>
      <c r="Y463" s="58" t="str">
        <f t="shared" si="347"/>
        <v/>
      </c>
      <c r="Z463" s="31">
        <f t="shared" si="348"/>
        <v>0</v>
      </c>
      <c r="AA463" s="21">
        <f t="shared" si="349"/>
        <v>0</v>
      </c>
      <c r="AB463" s="58" t="str">
        <f t="shared" si="350"/>
        <v/>
      </c>
      <c r="AC463" s="630">
        <f t="shared" si="327"/>
        <v>0</v>
      </c>
      <c r="AD463" s="627"/>
      <c r="AE463" s="21">
        <f t="shared" si="351"/>
        <v>0</v>
      </c>
      <c r="AF463" s="58" t="str">
        <f t="shared" si="352"/>
        <v/>
      </c>
      <c r="AG463" s="21">
        <f t="shared" si="353"/>
        <v>0</v>
      </c>
      <c r="AH463" s="58" t="str">
        <f t="shared" si="354"/>
        <v/>
      </c>
      <c r="AI463" s="21">
        <f t="shared" si="355"/>
        <v>0</v>
      </c>
      <c r="AJ463" s="58" t="str">
        <f t="shared" si="356"/>
        <v/>
      </c>
      <c r="AK463" s="31">
        <f t="shared" si="357"/>
        <v>0</v>
      </c>
      <c r="AL463" s="21">
        <f t="shared" si="358"/>
        <v>0</v>
      </c>
      <c r="AM463" s="62" t="str">
        <f t="shared" si="359"/>
        <v/>
      </c>
      <c r="AN463" s="21">
        <f t="shared" si="360"/>
        <v>0</v>
      </c>
      <c r="AO463" s="62" t="str">
        <f t="shared" si="361"/>
        <v/>
      </c>
      <c r="AP463" s="21">
        <f t="shared" si="362"/>
        <v>0</v>
      </c>
      <c r="AQ463" s="62" t="str">
        <f t="shared" si="363"/>
        <v/>
      </c>
      <c r="AR463" s="31">
        <f t="shared" si="364"/>
        <v>0</v>
      </c>
      <c r="AS463" s="21">
        <f t="shared" si="365"/>
        <v>0</v>
      </c>
      <c r="AT463" s="62" t="str">
        <f t="shared" si="366"/>
        <v/>
      </c>
      <c r="AU463" s="84">
        <f t="shared" si="367"/>
        <v>0</v>
      </c>
      <c r="AV463" s="32">
        <f t="shared" si="368"/>
        <v>0</v>
      </c>
      <c r="AW463" s="85" t="str">
        <f t="shared" si="369"/>
        <v/>
      </c>
      <c r="AX463" s="86" t="str">
        <f t="shared" si="370"/>
        <v/>
      </c>
    </row>
    <row r="464" spans="1:50" x14ac:dyDescent="0.2">
      <c r="A464" s="29" t="str">
        <f t="shared" si="329"/>
        <v/>
      </c>
      <c r="B464" s="32" t="str">
        <f t="shared" si="330"/>
        <v/>
      </c>
      <c r="C464" s="35"/>
      <c r="D464" s="33" t="str">
        <f t="shared" si="331"/>
        <v/>
      </c>
      <c r="E464" s="22" t="str">
        <f t="shared" si="332"/>
        <v/>
      </c>
      <c r="F464" s="23" t="str">
        <f t="shared" si="333"/>
        <v/>
      </c>
      <c r="G464" s="23"/>
      <c r="H464" s="22"/>
      <c r="I464" s="23"/>
      <c r="J464" s="18"/>
      <c r="K464" s="13" t="str">
        <f t="shared" si="334"/>
        <v/>
      </c>
      <c r="L464" s="28" t="str">
        <f t="shared" si="328"/>
        <v/>
      </c>
      <c r="M464" s="10" t="str">
        <f t="shared" si="335"/>
        <v/>
      </c>
      <c r="N464" s="17" t="str">
        <f t="shared" si="336"/>
        <v/>
      </c>
      <c r="O464" s="39" t="str">
        <f t="shared" si="337"/>
        <v/>
      </c>
      <c r="P464" s="41" t="str">
        <f t="shared" si="338"/>
        <v/>
      </c>
      <c r="Q464" s="9" t="str">
        <f t="shared" si="339"/>
        <v/>
      </c>
      <c r="R464" s="14">
        <f t="shared" si="340"/>
        <v>0</v>
      </c>
      <c r="S464" s="61" t="str">
        <f t="shared" si="341"/>
        <v/>
      </c>
      <c r="T464" s="14">
        <f t="shared" si="342"/>
        <v>0</v>
      </c>
      <c r="U464" s="58" t="str">
        <f t="shared" si="343"/>
        <v/>
      </c>
      <c r="V464" s="14">
        <f t="shared" si="344"/>
        <v>0</v>
      </c>
      <c r="W464" s="58" t="str">
        <f t="shared" si="345"/>
        <v/>
      </c>
      <c r="X464" s="14">
        <f t="shared" si="346"/>
        <v>0</v>
      </c>
      <c r="Y464" s="58" t="str">
        <f t="shared" si="347"/>
        <v/>
      </c>
      <c r="Z464" s="31">
        <f t="shared" si="348"/>
        <v>0</v>
      </c>
      <c r="AA464" s="21">
        <f t="shared" si="349"/>
        <v>0</v>
      </c>
      <c r="AB464" s="58" t="str">
        <f t="shared" si="350"/>
        <v/>
      </c>
      <c r="AC464" s="630">
        <f t="shared" si="327"/>
        <v>0</v>
      </c>
      <c r="AD464" s="627"/>
      <c r="AE464" s="21">
        <f t="shared" si="351"/>
        <v>0</v>
      </c>
      <c r="AF464" s="58" t="str">
        <f t="shared" si="352"/>
        <v/>
      </c>
      <c r="AG464" s="21">
        <f t="shared" si="353"/>
        <v>0</v>
      </c>
      <c r="AH464" s="58" t="str">
        <f t="shared" si="354"/>
        <v/>
      </c>
      <c r="AI464" s="21">
        <f t="shared" si="355"/>
        <v>0</v>
      </c>
      <c r="AJ464" s="58" t="str">
        <f t="shared" si="356"/>
        <v/>
      </c>
      <c r="AK464" s="31">
        <f t="shared" si="357"/>
        <v>0</v>
      </c>
      <c r="AL464" s="21">
        <f t="shared" si="358"/>
        <v>0</v>
      </c>
      <c r="AM464" s="62" t="str">
        <f t="shared" si="359"/>
        <v/>
      </c>
      <c r="AN464" s="21">
        <f t="shared" si="360"/>
        <v>0</v>
      </c>
      <c r="AO464" s="62" t="str">
        <f t="shared" si="361"/>
        <v/>
      </c>
      <c r="AP464" s="21">
        <f t="shared" si="362"/>
        <v>0</v>
      </c>
      <c r="AQ464" s="62" t="str">
        <f t="shared" si="363"/>
        <v/>
      </c>
      <c r="AR464" s="31">
        <f t="shared" si="364"/>
        <v>0</v>
      </c>
      <c r="AS464" s="21">
        <f t="shared" si="365"/>
        <v>0</v>
      </c>
      <c r="AT464" s="62" t="str">
        <f t="shared" si="366"/>
        <v/>
      </c>
      <c r="AU464" s="84">
        <f t="shared" si="367"/>
        <v>0</v>
      </c>
      <c r="AV464" s="32">
        <f t="shared" si="368"/>
        <v>0</v>
      </c>
      <c r="AW464" s="85" t="str">
        <f t="shared" si="369"/>
        <v/>
      </c>
      <c r="AX464" s="86" t="str">
        <f t="shared" si="370"/>
        <v/>
      </c>
    </row>
    <row r="465" spans="1:50" x14ac:dyDescent="0.2">
      <c r="A465" s="29" t="str">
        <f t="shared" si="329"/>
        <v/>
      </c>
      <c r="B465" s="32" t="str">
        <f t="shared" si="330"/>
        <v/>
      </c>
      <c r="C465" s="35"/>
      <c r="D465" s="33" t="str">
        <f t="shared" si="331"/>
        <v/>
      </c>
      <c r="E465" s="22" t="str">
        <f t="shared" si="332"/>
        <v/>
      </c>
      <c r="F465" s="23" t="str">
        <f t="shared" si="333"/>
        <v/>
      </c>
      <c r="G465" s="23"/>
      <c r="H465" s="22"/>
      <c r="I465" s="23"/>
      <c r="J465" s="18"/>
      <c r="K465" s="13" t="str">
        <f t="shared" si="334"/>
        <v/>
      </c>
      <c r="L465" s="28" t="str">
        <f t="shared" si="328"/>
        <v/>
      </c>
      <c r="M465" s="10" t="str">
        <f t="shared" si="335"/>
        <v/>
      </c>
      <c r="N465" s="17" t="str">
        <f t="shared" si="336"/>
        <v/>
      </c>
      <c r="O465" s="39" t="str">
        <f t="shared" si="337"/>
        <v/>
      </c>
      <c r="P465" s="41" t="str">
        <f t="shared" si="338"/>
        <v/>
      </c>
      <c r="Q465" s="9" t="str">
        <f t="shared" si="339"/>
        <v/>
      </c>
      <c r="R465" s="14">
        <f t="shared" si="340"/>
        <v>0</v>
      </c>
      <c r="S465" s="61" t="str">
        <f t="shared" si="341"/>
        <v/>
      </c>
      <c r="T465" s="14">
        <f t="shared" si="342"/>
        <v>0</v>
      </c>
      <c r="U465" s="58" t="str">
        <f t="shared" si="343"/>
        <v/>
      </c>
      <c r="V465" s="14">
        <f t="shared" si="344"/>
        <v>0</v>
      </c>
      <c r="W465" s="58" t="str">
        <f t="shared" si="345"/>
        <v/>
      </c>
      <c r="X465" s="14">
        <f t="shared" si="346"/>
        <v>0</v>
      </c>
      <c r="Y465" s="58" t="str">
        <f t="shared" si="347"/>
        <v/>
      </c>
      <c r="Z465" s="31">
        <f t="shared" si="348"/>
        <v>0</v>
      </c>
      <c r="AA465" s="21">
        <f t="shared" si="349"/>
        <v>0</v>
      </c>
      <c r="AB465" s="58" t="str">
        <f t="shared" si="350"/>
        <v/>
      </c>
      <c r="AC465" s="630">
        <f t="shared" si="327"/>
        <v>0</v>
      </c>
      <c r="AD465" s="627"/>
      <c r="AE465" s="21">
        <f t="shared" si="351"/>
        <v>0</v>
      </c>
      <c r="AF465" s="58" t="str">
        <f t="shared" si="352"/>
        <v/>
      </c>
      <c r="AG465" s="21">
        <f t="shared" si="353"/>
        <v>0</v>
      </c>
      <c r="AH465" s="58" t="str">
        <f t="shared" si="354"/>
        <v/>
      </c>
      <c r="AI465" s="21">
        <f t="shared" si="355"/>
        <v>0</v>
      </c>
      <c r="AJ465" s="58" t="str">
        <f t="shared" si="356"/>
        <v/>
      </c>
      <c r="AK465" s="31">
        <f t="shared" si="357"/>
        <v>0</v>
      </c>
      <c r="AL465" s="21">
        <f t="shared" si="358"/>
        <v>0</v>
      </c>
      <c r="AM465" s="62" t="str">
        <f t="shared" si="359"/>
        <v/>
      </c>
      <c r="AN465" s="21">
        <f t="shared" si="360"/>
        <v>0</v>
      </c>
      <c r="AO465" s="62" t="str">
        <f t="shared" si="361"/>
        <v/>
      </c>
      <c r="AP465" s="21">
        <f t="shared" si="362"/>
        <v>0</v>
      </c>
      <c r="AQ465" s="62" t="str">
        <f t="shared" si="363"/>
        <v/>
      </c>
      <c r="AR465" s="31">
        <f t="shared" si="364"/>
        <v>0</v>
      </c>
      <c r="AS465" s="21">
        <f t="shared" si="365"/>
        <v>0</v>
      </c>
      <c r="AT465" s="62" t="str">
        <f t="shared" si="366"/>
        <v/>
      </c>
      <c r="AU465" s="84">
        <f t="shared" si="367"/>
        <v>0</v>
      </c>
      <c r="AV465" s="32">
        <f t="shared" si="368"/>
        <v>0</v>
      </c>
      <c r="AW465" s="85" t="str">
        <f t="shared" si="369"/>
        <v/>
      </c>
      <c r="AX465" s="86" t="str">
        <f t="shared" si="370"/>
        <v/>
      </c>
    </row>
    <row r="466" spans="1:50" x14ac:dyDescent="0.2">
      <c r="A466" s="29" t="str">
        <f t="shared" si="329"/>
        <v/>
      </c>
      <c r="B466" s="32" t="str">
        <f t="shared" si="330"/>
        <v/>
      </c>
      <c r="C466" s="35"/>
      <c r="D466" s="33" t="str">
        <f t="shared" si="331"/>
        <v/>
      </c>
      <c r="E466" s="22" t="str">
        <f t="shared" si="332"/>
        <v/>
      </c>
      <c r="F466" s="23" t="str">
        <f t="shared" si="333"/>
        <v/>
      </c>
      <c r="G466" s="23"/>
      <c r="H466" s="22"/>
      <c r="I466" s="23"/>
      <c r="J466" s="18"/>
      <c r="K466" s="13" t="str">
        <f t="shared" si="334"/>
        <v/>
      </c>
      <c r="L466" s="28" t="str">
        <f t="shared" si="328"/>
        <v/>
      </c>
      <c r="M466" s="10" t="str">
        <f t="shared" si="335"/>
        <v/>
      </c>
      <c r="N466" s="17" t="str">
        <f t="shared" si="336"/>
        <v/>
      </c>
      <c r="O466" s="39" t="str">
        <f t="shared" si="337"/>
        <v/>
      </c>
      <c r="P466" s="41" t="str">
        <f t="shared" si="338"/>
        <v/>
      </c>
      <c r="Q466" s="9" t="str">
        <f t="shared" si="339"/>
        <v/>
      </c>
      <c r="R466" s="14">
        <f t="shared" si="340"/>
        <v>0</v>
      </c>
      <c r="S466" s="61" t="str">
        <f t="shared" si="341"/>
        <v/>
      </c>
      <c r="T466" s="14">
        <f t="shared" si="342"/>
        <v>0</v>
      </c>
      <c r="U466" s="58" t="str">
        <f t="shared" si="343"/>
        <v/>
      </c>
      <c r="V466" s="14">
        <f t="shared" si="344"/>
        <v>0</v>
      </c>
      <c r="W466" s="58" t="str">
        <f t="shared" si="345"/>
        <v/>
      </c>
      <c r="X466" s="14">
        <f t="shared" si="346"/>
        <v>0</v>
      </c>
      <c r="Y466" s="58" t="str">
        <f t="shared" si="347"/>
        <v/>
      </c>
      <c r="Z466" s="31">
        <f t="shared" si="348"/>
        <v>0</v>
      </c>
      <c r="AA466" s="21">
        <f t="shared" si="349"/>
        <v>0</v>
      </c>
      <c r="AB466" s="58" t="str">
        <f t="shared" si="350"/>
        <v/>
      </c>
      <c r="AC466" s="630">
        <f t="shared" si="327"/>
        <v>0</v>
      </c>
      <c r="AD466" s="627"/>
      <c r="AE466" s="21">
        <f t="shared" si="351"/>
        <v>0</v>
      </c>
      <c r="AF466" s="58" t="str">
        <f t="shared" si="352"/>
        <v/>
      </c>
      <c r="AG466" s="21">
        <f t="shared" si="353"/>
        <v>0</v>
      </c>
      <c r="AH466" s="58" t="str">
        <f t="shared" si="354"/>
        <v/>
      </c>
      <c r="AI466" s="21">
        <f t="shared" si="355"/>
        <v>0</v>
      </c>
      <c r="AJ466" s="58" t="str">
        <f t="shared" si="356"/>
        <v/>
      </c>
      <c r="AK466" s="31">
        <f t="shared" si="357"/>
        <v>0</v>
      </c>
      <c r="AL466" s="21">
        <f t="shared" si="358"/>
        <v>0</v>
      </c>
      <c r="AM466" s="62" t="str">
        <f t="shared" si="359"/>
        <v/>
      </c>
      <c r="AN466" s="21">
        <f t="shared" si="360"/>
        <v>0</v>
      </c>
      <c r="AO466" s="62" t="str">
        <f t="shared" si="361"/>
        <v/>
      </c>
      <c r="AP466" s="21">
        <f t="shared" si="362"/>
        <v>0</v>
      </c>
      <c r="AQ466" s="62" t="str">
        <f t="shared" si="363"/>
        <v/>
      </c>
      <c r="AR466" s="31">
        <f t="shared" si="364"/>
        <v>0</v>
      </c>
      <c r="AS466" s="21">
        <f t="shared" si="365"/>
        <v>0</v>
      </c>
      <c r="AT466" s="62" t="str">
        <f t="shared" si="366"/>
        <v/>
      </c>
      <c r="AU466" s="84">
        <f t="shared" si="367"/>
        <v>0</v>
      </c>
      <c r="AV466" s="32">
        <f t="shared" si="368"/>
        <v>0</v>
      </c>
      <c r="AW466" s="85" t="str">
        <f t="shared" si="369"/>
        <v/>
      </c>
      <c r="AX466" s="86" t="str">
        <f t="shared" si="370"/>
        <v/>
      </c>
    </row>
    <row r="467" spans="1:50" x14ac:dyDescent="0.2">
      <c r="A467" s="29" t="str">
        <f t="shared" si="329"/>
        <v/>
      </c>
      <c r="B467" s="32" t="str">
        <f t="shared" si="330"/>
        <v/>
      </c>
      <c r="C467" s="35"/>
      <c r="D467" s="33" t="str">
        <f t="shared" si="331"/>
        <v/>
      </c>
      <c r="E467" s="22" t="str">
        <f t="shared" si="332"/>
        <v/>
      </c>
      <c r="F467" s="23" t="str">
        <f t="shared" si="333"/>
        <v/>
      </c>
      <c r="G467" s="23"/>
      <c r="H467" s="22"/>
      <c r="I467" s="23"/>
      <c r="J467" s="18"/>
      <c r="K467" s="13" t="str">
        <f t="shared" si="334"/>
        <v/>
      </c>
      <c r="L467" s="28" t="str">
        <f t="shared" si="328"/>
        <v/>
      </c>
      <c r="M467" s="10" t="str">
        <f t="shared" si="335"/>
        <v/>
      </c>
      <c r="N467" s="17" t="str">
        <f t="shared" si="336"/>
        <v/>
      </c>
      <c r="O467" s="39" t="str">
        <f t="shared" si="337"/>
        <v/>
      </c>
      <c r="P467" s="41" t="str">
        <f t="shared" si="338"/>
        <v/>
      </c>
      <c r="Q467" s="9" t="str">
        <f t="shared" si="339"/>
        <v/>
      </c>
      <c r="R467" s="14">
        <f t="shared" si="340"/>
        <v>0</v>
      </c>
      <c r="S467" s="61" t="str">
        <f t="shared" si="341"/>
        <v/>
      </c>
      <c r="T467" s="14">
        <f t="shared" si="342"/>
        <v>0</v>
      </c>
      <c r="U467" s="58" t="str">
        <f t="shared" si="343"/>
        <v/>
      </c>
      <c r="V467" s="14">
        <f t="shared" si="344"/>
        <v>0</v>
      </c>
      <c r="W467" s="58" t="str">
        <f t="shared" si="345"/>
        <v/>
      </c>
      <c r="X467" s="14">
        <f t="shared" si="346"/>
        <v>0</v>
      </c>
      <c r="Y467" s="58" t="str">
        <f t="shared" si="347"/>
        <v/>
      </c>
      <c r="Z467" s="31">
        <f t="shared" si="348"/>
        <v>0</v>
      </c>
      <c r="AA467" s="21">
        <f t="shared" si="349"/>
        <v>0</v>
      </c>
      <c r="AB467" s="58" t="str">
        <f t="shared" si="350"/>
        <v/>
      </c>
      <c r="AC467" s="630">
        <f t="shared" si="327"/>
        <v>0</v>
      </c>
      <c r="AD467" s="627"/>
      <c r="AE467" s="21">
        <f t="shared" si="351"/>
        <v>0</v>
      </c>
      <c r="AF467" s="58" t="str">
        <f t="shared" si="352"/>
        <v/>
      </c>
      <c r="AG467" s="21">
        <f t="shared" si="353"/>
        <v>0</v>
      </c>
      <c r="AH467" s="58" t="str">
        <f t="shared" si="354"/>
        <v/>
      </c>
      <c r="AI467" s="21">
        <f t="shared" si="355"/>
        <v>0</v>
      </c>
      <c r="AJ467" s="58" t="str">
        <f t="shared" si="356"/>
        <v/>
      </c>
      <c r="AK467" s="31">
        <f t="shared" si="357"/>
        <v>0</v>
      </c>
      <c r="AL467" s="21">
        <f t="shared" si="358"/>
        <v>0</v>
      </c>
      <c r="AM467" s="62" t="str">
        <f t="shared" si="359"/>
        <v/>
      </c>
      <c r="AN467" s="21">
        <f t="shared" si="360"/>
        <v>0</v>
      </c>
      <c r="AO467" s="62" t="str">
        <f t="shared" si="361"/>
        <v/>
      </c>
      <c r="AP467" s="21">
        <f t="shared" si="362"/>
        <v>0</v>
      </c>
      <c r="AQ467" s="62" t="str">
        <f t="shared" si="363"/>
        <v/>
      </c>
      <c r="AR467" s="31">
        <f t="shared" si="364"/>
        <v>0</v>
      </c>
      <c r="AS467" s="21">
        <f t="shared" si="365"/>
        <v>0</v>
      </c>
      <c r="AT467" s="62" t="str">
        <f t="shared" si="366"/>
        <v/>
      </c>
      <c r="AU467" s="84">
        <f t="shared" si="367"/>
        <v>0</v>
      </c>
      <c r="AV467" s="32">
        <f t="shared" si="368"/>
        <v>0</v>
      </c>
      <c r="AW467" s="85" t="str">
        <f t="shared" si="369"/>
        <v/>
      </c>
      <c r="AX467" s="86" t="str">
        <f t="shared" si="370"/>
        <v/>
      </c>
    </row>
    <row r="468" spans="1:50" x14ac:dyDescent="0.2">
      <c r="A468" s="29" t="str">
        <f t="shared" si="329"/>
        <v/>
      </c>
      <c r="B468" s="32" t="str">
        <f t="shared" si="330"/>
        <v/>
      </c>
      <c r="C468" s="35"/>
      <c r="D468" s="33" t="str">
        <f t="shared" si="331"/>
        <v/>
      </c>
      <c r="E468" s="22" t="str">
        <f t="shared" si="332"/>
        <v/>
      </c>
      <c r="F468" s="23" t="str">
        <f t="shared" si="333"/>
        <v/>
      </c>
      <c r="G468" s="23"/>
      <c r="H468" s="22"/>
      <c r="I468" s="23"/>
      <c r="J468" s="18"/>
      <c r="K468" s="13" t="str">
        <f t="shared" si="334"/>
        <v/>
      </c>
      <c r="L468" s="28" t="str">
        <f t="shared" si="328"/>
        <v/>
      </c>
      <c r="M468" s="10" t="str">
        <f t="shared" si="335"/>
        <v/>
      </c>
      <c r="N468" s="17" t="str">
        <f t="shared" si="336"/>
        <v/>
      </c>
      <c r="O468" s="39" t="str">
        <f t="shared" si="337"/>
        <v/>
      </c>
      <c r="P468" s="41" t="str">
        <f t="shared" si="338"/>
        <v/>
      </c>
      <c r="Q468" s="9" t="str">
        <f t="shared" si="339"/>
        <v/>
      </c>
      <c r="R468" s="14">
        <f t="shared" si="340"/>
        <v>0</v>
      </c>
      <c r="S468" s="61" t="str">
        <f t="shared" si="341"/>
        <v/>
      </c>
      <c r="T468" s="14">
        <f t="shared" si="342"/>
        <v>0</v>
      </c>
      <c r="U468" s="58" t="str">
        <f t="shared" si="343"/>
        <v/>
      </c>
      <c r="V468" s="14">
        <f t="shared" si="344"/>
        <v>0</v>
      </c>
      <c r="W468" s="58" t="str">
        <f t="shared" si="345"/>
        <v/>
      </c>
      <c r="X468" s="14">
        <f t="shared" si="346"/>
        <v>0</v>
      </c>
      <c r="Y468" s="58" t="str">
        <f t="shared" si="347"/>
        <v/>
      </c>
      <c r="Z468" s="31">
        <f t="shared" si="348"/>
        <v>0</v>
      </c>
      <c r="AA468" s="21">
        <f t="shared" si="349"/>
        <v>0</v>
      </c>
      <c r="AB468" s="58" t="str">
        <f t="shared" si="350"/>
        <v/>
      </c>
      <c r="AC468" s="630">
        <f t="shared" si="327"/>
        <v>0</v>
      </c>
      <c r="AD468" s="627"/>
      <c r="AE468" s="21">
        <f t="shared" si="351"/>
        <v>0</v>
      </c>
      <c r="AF468" s="58" t="str">
        <f t="shared" si="352"/>
        <v/>
      </c>
      <c r="AG468" s="21">
        <f t="shared" si="353"/>
        <v>0</v>
      </c>
      <c r="AH468" s="58" t="str">
        <f t="shared" si="354"/>
        <v/>
      </c>
      <c r="AI468" s="21">
        <f t="shared" si="355"/>
        <v>0</v>
      </c>
      <c r="AJ468" s="58" t="str">
        <f t="shared" si="356"/>
        <v/>
      </c>
      <c r="AK468" s="31">
        <f t="shared" si="357"/>
        <v>0</v>
      </c>
      <c r="AL468" s="21">
        <f t="shared" si="358"/>
        <v>0</v>
      </c>
      <c r="AM468" s="62" t="str">
        <f t="shared" si="359"/>
        <v/>
      </c>
      <c r="AN468" s="21">
        <f t="shared" si="360"/>
        <v>0</v>
      </c>
      <c r="AO468" s="62" t="str">
        <f t="shared" si="361"/>
        <v/>
      </c>
      <c r="AP468" s="21">
        <f t="shared" si="362"/>
        <v>0</v>
      </c>
      <c r="AQ468" s="62" t="str">
        <f t="shared" si="363"/>
        <v/>
      </c>
      <c r="AR468" s="31">
        <f t="shared" si="364"/>
        <v>0</v>
      </c>
      <c r="AS468" s="21">
        <f t="shared" si="365"/>
        <v>0</v>
      </c>
      <c r="AT468" s="62" t="str">
        <f t="shared" si="366"/>
        <v/>
      </c>
      <c r="AU468" s="84">
        <f t="shared" si="367"/>
        <v>0</v>
      </c>
      <c r="AV468" s="32">
        <f t="shared" si="368"/>
        <v>0</v>
      </c>
      <c r="AW468" s="85" t="str">
        <f t="shared" si="369"/>
        <v/>
      </c>
      <c r="AX468" s="86" t="str">
        <f t="shared" si="370"/>
        <v/>
      </c>
    </row>
    <row r="469" spans="1:50" x14ac:dyDescent="0.2">
      <c r="A469" s="29" t="str">
        <f t="shared" si="329"/>
        <v/>
      </c>
      <c r="B469" s="32" t="str">
        <f t="shared" si="330"/>
        <v/>
      </c>
      <c r="C469" s="35"/>
      <c r="D469" s="33" t="str">
        <f t="shared" si="331"/>
        <v/>
      </c>
      <c r="E469" s="22" t="str">
        <f t="shared" si="332"/>
        <v/>
      </c>
      <c r="F469" s="23" t="str">
        <f t="shared" si="333"/>
        <v/>
      </c>
      <c r="G469" s="23"/>
      <c r="H469" s="22"/>
      <c r="I469" s="23"/>
      <c r="J469" s="18"/>
      <c r="K469" s="13" t="str">
        <f t="shared" si="334"/>
        <v/>
      </c>
      <c r="L469" s="28" t="str">
        <f t="shared" si="328"/>
        <v/>
      </c>
      <c r="M469" s="10" t="str">
        <f t="shared" si="335"/>
        <v/>
      </c>
      <c r="N469" s="17" t="str">
        <f t="shared" si="336"/>
        <v/>
      </c>
      <c r="O469" s="39" t="str">
        <f t="shared" si="337"/>
        <v/>
      </c>
      <c r="P469" s="41" t="str">
        <f t="shared" si="338"/>
        <v/>
      </c>
      <c r="Q469" s="9" t="str">
        <f t="shared" si="339"/>
        <v/>
      </c>
      <c r="R469" s="14">
        <f t="shared" si="340"/>
        <v>0</v>
      </c>
      <c r="S469" s="61" t="str">
        <f t="shared" si="341"/>
        <v/>
      </c>
      <c r="T469" s="14">
        <f t="shared" si="342"/>
        <v>0</v>
      </c>
      <c r="U469" s="58" t="str">
        <f t="shared" si="343"/>
        <v/>
      </c>
      <c r="V469" s="14">
        <f t="shared" si="344"/>
        <v>0</v>
      </c>
      <c r="W469" s="58" t="str">
        <f t="shared" si="345"/>
        <v/>
      </c>
      <c r="X469" s="14">
        <f t="shared" si="346"/>
        <v>0</v>
      </c>
      <c r="Y469" s="58" t="str">
        <f t="shared" si="347"/>
        <v/>
      </c>
      <c r="Z469" s="31">
        <f t="shared" si="348"/>
        <v>0</v>
      </c>
      <c r="AA469" s="21">
        <f t="shared" si="349"/>
        <v>0</v>
      </c>
      <c r="AB469" s="58" t="str">
        <f t="shared" si="350"/>
        <v/>
      </c>
      <c r="AC469" s="630">
        <f t="shared" ref="AC469:AC532" si="371">COUNTIF(G469:J469,100)</f>
        <v>0</v>
      </c>
      <c r="AD469" s="627"/>
      <c r="AE469" s="21">
        <f t="shared" si="351"/>
        <v>0</v>
      </c>
      <c r="AF469" s="58" t="str">
        <f t="shared" si="352"/>
        <v/>
      </c>
      <c r="AG469" s="21">
        <f t="shared" si="353"/>
        <v>0</v>
      </c>
      <c r="AH469" s="58" t="str">
        <f t="shared" si="354"/>
        <v/>
      </c>
      <c r="AI469" s="21">
        <f t="shared" si="355"/>
        <v>0</v>
      </c>
      <c r="AJ469" s="58" t="str">
        <f t="shared" si="356"/>
        <v/>
      </c>
      <c r="AK469" s="31">
        <f t="shared" si="357"/>
        <v>0</v>
      </c>
      <c r="AL469" s="21">
        <f t="shared" si="358"/>
        <v>0</v>
      </c>
      <c r="AM469" s="62" t="str">
        <f t="shared" si="359"/>
        <v/>
      </c>
      <c r="AN469" s="21">
        <f t="shared" si="360"/>
        <v>0</v>
      </c>
      <c r="AO469" s="62" t="str">
        <f t="shared" si="361"/>
        <v/>
      </c>
      <c r="AP469" s="21">
        <f t="shared" si="362"/>
        <v>0</v>
      </c>
      <c r="AQ469" s="62" t="str">
        <f t="shared" si="363"/>
        <v/>
      </c>
      <c r="AR469" s="31">
        <f t="shared" si="364"/>
        <v>0</v>
      </c>
      <c r="AS469" s="21">
        <f t="shared" si="365"/>
        <v>0</v>
      </c>
      <c r="AT469" s="62" t="str">
        <f t="shared" si="366"/>
        <v/>
      </c>
      <c r="AU469" s="84">
        <f t="shared" si="367"/>
        <v>0</v>
      </c>
      <c r="AV469" s="32">
        <f t="shared" si="368"/>
        <v>0</v>
      </c>
      <c r="AW469" s="85" t="str">
        <f t="shared" si="369"/>
        <v/>
      </c>
      <c r="AX469" s="86" t="str">
        <f t="shared" si="370"/>
        <v/>
      </c>
    </row>
    <row r="470" spans="1:50" x14ac:dyDescent="0.2">
      <c r="A470" s="29" t="str">
        <f t="shared" si="329"/>
        <v/>
      </c>
      <c r="B470" s="32" t="str">
        <f t="shared" si="330"/>
        <v/>
      </c>
      <c r="C470" s="35"/>
      <c r="D470" s="33" t="str">
        <f t="shared" si="331"/>
        <v/>
      </c>
      <c r="E470" s="22" t="str">
        <f t="shared" si="332"/>
        <v/>
      </c>
      <c r="F470" s="23" t="str">
        <f t="shared" si="333"/>
        <v/>
      </c>
      <c r="G470" s="23"/>
      <c r="H470" s="22"/>
      <c r="I470" s="23"/>
      <c r="J470" s="18"/>
      <c r="K470" s="13" t="str">
        <f t="shared" si="334"/>
        <v/>
      </c>
      <c r="L470" s="28" t="str">
        <f t="shared" ref="L470:L481" si="372">IF($N$4="M",IF(A470="","",IF(K470=26,(A470+B470+Q470)*C470*0.02739,IF(K470=24,(A470+B470+Q470)*C470*0.02739,IF(K470=22,(A470+B470+Q470)*C470*0.0333,IF(K470=20,(A470+B470+Q470)*C470*0.0393,IF(K470=18,(A470+B470+Q470)*C470*0.0511,IF(K470=16,(A470+B470+Q470)*C470*0.0628))))))),IF(A470="","",IF(K470=26,(A470+B470+Q470)*C470*0.211,IF(K470=24,(A470+B470+Q470)*C470*0.211,IF(K470=22,(A470+B470+Q470)*C470*0.258,IF(K470=20,(A470+B470+Q470)*C470*0.304,IF(K470=18,(A470+B470+Q470)*C470*0.395,IF(K470=16,(A470+B470+Q470)*C470*0.487))))))))</f>
        <v/>
      </c>
      <c r="M470" s="10" t="str">
        <f t="shared" si="335"/>
        <v/>
      </c>
      <c r="N470" s="17" t="str">
        <f t="shared" si="336"/>
        <v/>
      </c>
      <c r="O470" s="39" t="str">
        <f t="shared" si="337"/>
        <v/>
      </c>
      <c r="P470" s="41" t="str">
        <f t="shared" si="338"/>
        <v/>
      </c>
      <c r="Q470" s="9" t="str">
        <f t="shared" si="339"/>
        <v/>
      </c>
      <c r="R470" s="14">
        <f t="shared" si="340"/>
        <v>0</v>
      </c>
      <c r="S470" s="61" t="str">
        <f t="shared" si="341"/>
        <v/>
      </c>
      <c r="T470" s="14">
        <f t="shared" si="342"/>
        <v>0</v>
      </c>
      <c r="U470" s="58" t="str">
        <f t="shared" si="343"/>
        <v/>
      </c>
      <c r="V470" s="14">
        <f t="shared" si="344"/>
        <v>0</v>
      </c>
      <c r="W470" s="58" t="str">
        <f t="shared" si="345"/>
        <v/>
      </c>
      <c r="X470" s="14">
        <f t="shared" si="346"/>
        <v>0</v>
      </c>
      <c r="Y470" s="58" t="str">
        <f t="shared" si="347"/>
        <v/>
      </c>
      <c r="Z470" s="31">
        <f t="shared" si="348"/>
        <v>0</v>
      </c>
      <c r="AA470" s="21">
        <f t="shared" si="349"/>
        <v>0</v>
      </c>
      <c r="AB470" s="58" t="str">
        <f t="shared" si="350"/>
        <v/>
      </c>
      <c r="AC470" s="630">
        <f t="shared" si="371"/>
        <v>0</v>
      </c>
      <c r="AD470" s="627"/>
      <c r="AE470" s="21">
        <f t="shared" si="351"/>
        <v>0</v>
      </c>
      <c r="AF470" s="58" t="str">
        <f t="shared" si="352"/>
        <v/>
      </c>
      <c r="AG470" s="21">
        <f t="shared" si="353"/>
        <v>0</v>
      </c>
      <c r="AH470" s="58" t="str">
        <f t="shared" si="354"/>
        <v/>
      </c>
      <c r="AI470" s="21">
        <f t="shared" si="355"/>
        <v>0</v>
      </c>
      <c r="AJ470" s="58" t="str">
        <f t="shared" si="356"/>
        <v/>
      </c>
      <c r="AK470" s="31">
        <f t="shared" si="357"/>
        <v>0</v>
      </c>
      <c r="AL470" s="21">
        <f t="shared" si="358"/>
        <v>0</v>
      </c>
      <c r="AM470" s="62" t="str">
        <f t="shared" si="359"/>
        <v/>
      </c>
      <c r="AN470" s="21">
        <f t="shared" si="360"/>
        <v>0</v>
      </c>
      <c r="AO470" s="62" t="str">
        <f t="shared" si="361"/>
        <v/>
      </c>
      <c r="AP470" s="21">
        <f t="shared" si="362"/>
        <v>0</v>
      </c>
      <c r="AQ470" s="62" t="str">
        <f t="shared" si="363"/>
        <v/>
      </c>
      <c r="AR470" s="31">
        <f t="shared" si="364"/>
        <v>0</v>
      </c>
      <c r="AS470" s="21">
        <f t="shared" si="365"/>
        <v>0</v>
      </c>
      <c r="AT470" s="62" t="str">
        <f t="shared" si="366"/>
        <v/>
      </c>
      <c r="AU470" s="84">
        <f t="shared" si="367"/>
        <v>0</v>
      </c>
      <c r="AV470" s="32">
        <f t="shared" si="368"/>
        <v>0</v>
      </c>
      <c r="AW470" s="85" t="str">
        <f t="shared" si="369"/>
        <v/>
      </c>
      <c r="AX470" s="86" t="str">
        <f t="shared" si="370"/>
        <v/>
      </c>
    </row>
    <row r="471" spans="1:50" x14ac:dyDescent="0.2">
      <c r="A471" s="29" t="str">
        <f t="shared" si="329"/>
        <v/>
      </c>
      <c r="B471" s="32" t="str">
        <f t="shared" si="330"/>
        <v/>
      </c>
      <c r="C471" s="35"/>
      <c r="D471" s="33" t="str">
        <f t="shared" si="331"/>
        <v/>
      </c>
      <c r="E471" s="22" t="str">
        <f t="shared" si="332"/>
        <v/>
      </c>
      <c r="F471" s="23" t="str">
        <f t="shared" si="333"/>
        <v/>
      </c>
      <c r="G471" s="23"/>
      <c r="H471" s="22"/>
      <c r="I471" s="23"/>
      <c r="J471" s="18"/>
      <c r="K471" s="13" t="str">
        <f t="shared" si="334"/>
        <v/>
      </c>
      <c r="L471" s="28" t="str">
        <f t="shared" si="372"/>
        <v/>
      </c>
      <c r="M471" s="10" t="str">
        <f t="shared" si="335"/>
        <v/>
      </c>
      <c r="N471" s="17" t="str">
        <f t="shared" si="336"/>
        <v/>
      </c>
      <c r="O471" s="39" t="str">
        <f t="shared" si="337"/>
        <v/>
      </c>
      <c r="P471" s="41" t="str">
        <f t="shared" si="338"/>
        <v/>
      </c>
      <c r="Q471" s="9" t="str">
        <f t="shared" si="339"/>
        <v/>
      </c>
      <c r="R471" s="14">
        <f t="shared" si="340"/>
        <v>0</v>
      </c>
      <c r="S471" s="61" t="str">
        <f t="shared" si="341"/>
        <v/>
      </c>
      <c r="T471" s="14">
        <f t="shared" si="342"/>
        <v>0</v>
      </c>
      <c r="U471" s="58" t="str">
        <f t="shared" si="343"/>
        <v/>
      </c>
      <c r="V471" s="14">
        <f t="shared" si="344"/>
        <v>0</v>
      </c>
      <c r="W471" s="58" t="str">
        <f t="shared" si="345"/>
        <v/>
      </c>
      <c r="X471" s="14">
        <f t="shared" si="346"/>
        <v>0</v>
      </c>
      <c r="Y471" s="58" t="str">
        <f t="shared" si="347"/>
        <v/>
      </c>
      <c r="Z471" s="31">
        <f t="shared" si="348"/>
        <v>0</v>
      </c>
      <c r="AA471" s="21">
        <f t="shared" si="349"/>
        <v>0</v>
      </c>
      <c r="AB471" s="58" t="str">
        <f t="shared" si="350"/>
        <v/>
      </c>
      <c r="AC471" s="630">
        <f t="shared" si="371"/>
        <v>0</v>
      </c>
      <c r="AD471" s="627"/>
      <c r="AE471" s="21">
        <f t="shared" si="351"/>
        <v>0</v>
      </c>
      <c r="AF471" s="58" t="str">
        <f t="shared" si="352"/>
        <v/>
      </c>
      <c r="AG471" s="21">
        <f t="shared" si="353"/>
        <v>0</v>
      </c>
      <c r="AH471" s="58" t="str">
        <f t="shared" si="354"/>
        <v/>
      </c>
      <c r="AI471" s="21">
        <f t="shared" si="355"/>
        <v>0</v>
      </c>
      <c r="AJ471" s="58" t="str">
        <f t="shared" si="356"/>
        <v/>
      </c>
      <c r="AK471" s="31">
        <f t="shared" si="357"/>
        <v>0</v>
      </c>
      <c r="AL471" s="21">
        <f t="shared" si="358"/>
        <v>0</v>
      </c>
      <c r="AM471" s="62" t="str">
        <f t="shared" si="359"/>
        <v/>
      </c>
      <c r="AN471" s="21">
        <f t="shared" si="360"/>
        <v>0</v>
      </c>
      <c r="AO471" s="62" t="str">
        <f t="shared" si="361"/>
        <v/>
      </c>
      <c r="AP471" s="21">
        <f t="shared" si="362"/>
        <v>0</v>
      </c>
      <c r="AQ471" s="62" t="str">
        <f t="shared" si="363"/>
        <v/>
      </c>
      <c r="AR471" s="31">
        <f t="shared" si="364"/>
        <v>0</v>
      </c>
      <c r="AS471" s="21">
        <f t="shared" si="365"/>
        <v>0</v>
      </c>
      <c r="AT471" s="62" t="str">
        <f t="shared" si="366"/>
        <v/>
      </c>
      <c r="AU471" s="84">
        <f t="shared" si="367"/>
        <v>0</v>
      </c>
      <c r="AV471" s="32">
        <f t="shared" si="368"/>
        <v>0</v>
      </c>
      <c r="AW471" s="85" t="str">
        <f t="shared" si="369"/>
        <v/>
      </c>
      <c r="AX471" s="86" t="str">
        <f t="shared" si="370"/>
        <v/>
      </c>
    </row>
    <row r="472" spans="1:50" x14ac:dyDescent="0.2">
      <c r="A472" s="29" t="str">
        <f t="shared" si="329"/>
        <v/>
      </c>
      <c r="B472" s="32" t="str">
        <f t="shared" si="330"/>
        <v/>
      </c>
      <c r="C472" s="35"/>
      <c r="D472" s="33" t="str">
        <f t="shared" si="331"/>
        <v/>
      </c>
      <c r="E472" s="22" t="str">
        <f t="shared" si="332"/>
        <v/>
      </c>
      <c r="F472" s="23" t="str">
        <f t="shared" si="333"/>
        <v/>
      </c>
      <c r="G472" s="23"/>
      <c r="H472" s="22"/>
      <c r="I472" s="23"/>
      <c r="J472" s="18"/>
      <c r="K472" s="13" t="str">
        <f t="shared" si="334"/>
        <v/>
      </c>
      <c r="L472" s="28" t="str">
        <f t="shared" si="372"/>
        <v/>
      </c>
      <c r="M472" s="10" t="str">
        <f t="shared" si="335"/>
        <v/>
      </c>
      <c r="N472" s="17" t="str">
        <f t="shared" si="336"/>
        <v/>
      </c>
      <c r="O472" s="39" t="str">
        <f t="shared" si="337"/>
        <v/>
      </c>
      <c r="P472" s="41" t="str">
        <f t="shared" si="338"/>
        <v/>
      </c>
      <c r="Q472" s="9" t="str">
        <f t="shared" si="339"/>
        <v/>
      </c>
      <c r="R472" s="14">
        <f t="shared" si="340"/>
        <v>0</v>
      </c>
      <c r="S472" s="61" t="str">
        <f t="shared" si="341"/>
        <v/>
      </c>
      <c r="T472" s="14">
        <f t="shared" si="342"/>
        <v>0</v>
      </c>
      <c r="U472" s="58" t="str">
        <f t="shared" si="343"/>
        <v/>
      </c>
      <c r="V472" s="14">
        <f t="shared" si="344"/>
        <v>0</v>
      </c>
      <c r="W472" s="58" t="str">
        <f t="shared" si="345"/>
        <v/>
      </c>
      <c r="X472" s="14">
        <f t="shared" si="346"/>
        <v>0</v>
      </c>
      <c r="Y472" s="58" t="str">
        <f t="shared" si="347"/>
        <v/>
      </c>
      <c r="Z472" s="31">
        <f t="shared" si="348"/>
        <v>0</v>
      </c>
      <c r="AA472" s="21">
        <f t="shared" si="349"/>
        <v>0</v>
      </c>
      <c r="AB472" s="58" t="str">
        <f t="shared" si="350"/>
        <v/>
      </c>
      <c r="AC472" s="630">
        <f t="shared" si="371"/>
        <v>0</v>
      </c>
      <c r="AD472" s="627"/>
      <c r="AE472" s="21">
        <f t="shared" si="351"/>
        <v>0</v>
      </c>
      <c r="AF472" s="58" t="str">
        <f t="shared" si="352"/>
        <v/>
      </c>
      <c r="AG472" s="21">
        <f t="shared" si="353"/>
        <v>0</v>
      </c>
      <c r="AH472" s="58" t="str">
        <f t="shared" si="354"/>
        <v/>
      </c>
      <c r="AI472" s="21">
        <f t="shared" si="355"/>
        <v>0</v>
      </c>
      <c r="AJ472" s="58" t="str">
        <f t="shared" si="356"/>
        <v/>
      </c>
      <c r="AK472" s="31">
        <f t="shared" si="357"/>
        <v>0</v>
      </c>
      <c r="AL472" s="21">
        <f t="shared" si="358"/>
        <v>0</v>
      </c>
      <c r="AM472" s="62" t="str">
        <f t="shared" si="359"/>
        <v/>
      </c>
      <c r="AN472" s="21">
        <f t="shared" si="360"/>
        <v>0</v>
      </c>
      <c r="AO472" s="62" t="str">
        <f t="shared" si="361"/>
        <v/>
      </c>
      <c r="AP472" s="21">
        <f t="shared" si="362"/>
        <v>0</v>
      </c>
      <c r="AQ472" s="62" t="str">
        <f t="shared" si="363"/>
        <v/>
      </c>
      <c r="AR472" s="31">
        <f t="shared" si="364"/>
        <v>0</v>
      </c>
      <c r="AS472" s="21">
        <f t="shared" si="365"/>
        <v>0</v>
      </c>
      <c r="AT472" s="62" t="str">
        <f t="shared" si="366"/>
        <v/>
      </c>
      <c r="AU472" s="84">
        <f t="shared" si="367"/>
        <v>0</v>
      </c>
      <c r="AV472" s="32">
        <f t="shared" si="368"/>
        <v>0</v>
      </c>
      <c r="AW472" s="85" t="str">
        <f t="shared" si="369"/>
        <v/>
      </c>
      <c r="AX472" s="86" t="str">
        <f t="shared" si="370"/>
        <v/>
      </c>
    </row>
    <row r="473" spans="1:50" x14ac:dyDescent="0.2">
      <c r="A473" s="29" t="str">
        <f t="shared" si="329"/>
        <v/>
      </c>
      <c r="B473" s="32" t="str">
        <f t="shared" si="330"/>
        <v/>
      </c>
      <c r="C473" s="35"/>
      <c r="D473" s="33" t="str">
        <f t="shared" si="331"/>
        <v/>
      </c>
      <c r="E473" s="22" t="str">
        <f t="shared" si="332"/>
        <v/>
      </c>
      <c r="F473" s="23" t="str">
        <f t="shared" si="333"/>
        <v/>
      </c>
      <c r="G473" s="23"/>
      <c r="H473" s="22"/>
      <c r="I473" s="23"/>
      <c r="J473" s="18"/>
      <c r="K473" s="13" t="str">
        <f t="shared" si="334"/>
        <v/>
      </c>
      <c r="L473" s="28" t="str">
        <f t="shared" si="372"/>
        <v/>
      </c>
      <c r="M473" s="10" t="str">
        <f t="shared" si="335"/>
        <v/>
      </c>
      <c r="N473" s="17" t="str">
        <f t="shared" si="336"/>
        <v/>
      </c>
      <c r="O473" s="39" t="str">
        <f t="shared" si="337"/>
        <v/>
      </c>
      <c r="P473" s="41" t="str">
        <f t="shared" si="338"/>
        <v/>
      </c>
      <c r="Q473" s="9" t="str">
        <f t="shared" si="339"/>
        <v/>
      </c>
      <c r="R473" s="14">
        <f t="shared" si="340"/>
        <v>0</v>
      </c>
      <c r="S473" s="61" t="str">
        <f t="shared" si="341"/>
        <v/>
      </c>
      <c r="T473" s="14">
        <f t="shared" si="342"/>
        <v>0</v>
      </c>
      <c r="U473" s="58" t="str">
        <f t="shared" si="343"/>
        <v/>
      </c>
      <c r="V473" s="14">
        <f t="shared" si="344"/>
        <v>0</v>
      </c>
      <c r="W473" s="58" t="str">
        <f t="shared" si="345"/>
        <v/>
      </c>
      <c r="X473" s="14">
        <f t="shared" si="346"/>
        <v>0</v>
      </c>
      <c r="Y473" s="58" t="str">
        <f t="shared" si="347"/>
        <v/>
      </c>
      <c r="Z473" s="31">
        <f t="shared" si="348"/>
        <v>0</v>
      </c>
      <c r="AA473" s="21">
        <f t="shared" si="349"/>
        <v>0</v>
      </c>
      <c r="AB473" s="58" t="str">
        <f t="shared" si="350"/>
        <v/>
      </c>
      <c r="AC473" s="630">
        <f t="shared" si="371"/>
        <v>0</v>
      </c>
      <c r="AD473" s="627"/>
      <c r="AE473" s="21">
        <f t="shared" si="351"/>
        <v>0</v>
      </c>
      <c r="AF473" s="58" t="str">
        <f t="shared" si="352"/>
        <v/>
      </c>
      <c r="AG473" s="21">
        <f t="shared" si="353"/>
        <v>0</v>
      </c>
      <c r="AH473" s="58" t="str">
        <f t="shared" si="354"/>
        <v/>
      </c>
      <c r="AI473" s="21">
        <f t="shared" si="355"/>
        <v>0</v>
      </c>
      <c r="AJ473" s="58" t="str">
        <f t="shared" si="356"/>
        <v/>
      </c>
      <c r="AK473" s="31">
        <f t="shared" si="357"/>
        <v>0</v>
      </c>
      <c r="AL473" s="21">
        <f t="shared" si="358"/>
        <v>0</v>
      </c>
      <c r="AM473" s="62" t="str">
        <f t="shared" si="359"/>
        <v/>
      </c>
      <c r="AN473" s="21">
        <f t="shared" si="360"/>
        <v>0</v>
      </c>
      <c r="AO473" s="62" t="str">
        <f t="shared" si="361"/>
        <v/>
      </c>
      <c r="AP473" s="21">
        <f t="shared" si="362"/>
        <v>0</v>
      </c>
      <c r="AQ473" s="62" t="str">
        <f t="shared" si="363"/>
        <v/>
      </c>
      <c r="AR473" s="31">
        <f t="shared" si="364"/>
        <v>0</v>
      </c>
      <c r="AS473" s="21">
        <f t="shared" si="365"/>
        <v>0</v>
      </c>
      <c r="AT473" s="62" t="str">
        <f t="shared" si="366"/>
        <v/>
      </c>
      <c r="AU473" s="84">
        <f t="shared" si="367"/>
        <v>0</v>
      </c>
      <c r="AV473" s="32">
        <f t="shared" si="368"/>
        <v>0</v>
      </c>
      <c r="AW473" s="85" t="str">
        <f t="shared" si="369"/>
        <v/>
      </c>
      <c r="AX473" s="86" t="str">
        <f t="shared" si="370"/>
        <v/>
      </c>
    </row>
    <row r="474" spans="1:50" x14ac:dyDescent="0.2">
      <c r="A474" s="29" t="str">
        <f t="shared" si="329"/>
        <v/>
      </c>
      <c r="B474" s="32" t="str">
        <f t="shared" si="330"/>
        <v/>
      </c>
      <c r="C474" s="35"/>
      <c r="D474" s="33" t="str">
        <f t="shared" si="331"/>
        <v/>
      </c>
      <c r="E474" s="22" t="str">
        <f t="shared" si="332"/>
        <v/>
      </c>
      <c r="F474" s="23" t="str">
        <f t="shared" si="333"/>
        <v/>
      </c>
      <c r="G474" s="23"/>
      <c r="H474" s="22"/>
      <c r="I474" s="23"/>
      <c r="J474" s="18"/>
      <c r="K474" s="13" t="str">
        <f t="shared" si="334"/>
        <v/>
      </c>
      <c r="L474" s="28" t="str">
        <f t="shared" si="372"/>
        <v/>
      </c>
      <c r="M474" s="10" t="str">
        <f t="shared" si="335"/>
        <v/>
      </c>
      <c r="N474" s="17" t="str">
        <f t="shared" si="336"/>
        <v/>
      </c>
      <c r="O474" s="39" t="str">
        <f t="shared" si="337"/>
        <v/>
      </c>
      <c r="P474" s="41" t="str">
        <f t="shared" si="338"/>
        <v/>
      </c>
      <c r="Q474" s="9" t="str">
        <f t="shared" si="339"/>
        <v/>
      </c>
      <c r="R474" s="14">
        <f t="shared" si="340"/>
        <v>0</v>
      </c>
      <c r="S474" s="61" t="str">
        <f t="shared" si="341"/>
        <v/>
      </c>
      <c r="T474" s="14">
        <f t="shared" si="342"/>
        <v>0</v>
      </c>
      <c r="U474" s="58" t="str">
        <f t="shared" si="343"/>
        <v/>
      </c>
      <c r="V474" s="14">
        <f t="shared" si="344"/>
        <v>0</v>
      </c>
      <c r="W474" s="58" t="str">
        <f t="shared" si="345"/>
        <v/>
      </c>
      <c r="X474" s="14">
        <f t="shared" si="346"/>
        <v>0</v>
      </c>
      <c r="Y474" s="58" t="str">
        <f t="shared" si="347"/>
        <v/>
      </c>
      <c r="Z474" s="31">
        <f t="shared" si="348"/>
        <v>0</v>
      </c>
      <c r="AA474" s="21">
        <f t="shared" si="349"/>
        <v>0</v>
      </c>
      <c r="AB474" s="58" t="str">
        <f t="shared" si="350"/>
        <v/>
      </c>
      <c r="AC474" s="630">
        <f t="shared" si="371"/>
        <v>0</v>
      </c>
      <c r="AD474" s="627"/>
      <c r="AE474" s="21">
        <f t="shared" si="351"/>
        <v>0</v>
      </c>
      <c r="AF474" s="58" t="str">
        <f t="shared" si="352"/>
        <v/>
      </c>
      <c r="AG474" s="21">
        <f t="shared" si="353"/>
        <v>0</v>
      </c>
      <c r="AH474" s="58" t="str">
        <f t="shared" si="354"/>
        <v/>
      </c>
      <c r="AI474" s="21">
        <f t="shared" si="355"/>
        <v>0</v>
      </c>
      <c r="AJ474" s="58" t="str">
        <f t="shared" si="356"/>
        <v/>
      </c>
      <c r="AK474" s="31">
        <f t="shared" si="357"/>
        <v>0</v>
      </c>
      <c r="AL474" s="21">
        <f t="shared" si="358"/>
        <v>0</v>
      </c>
      <c r="AM474" s="62" t="str">
        <f t="shared" si="359"/>
        <v/>
      </c>
      <c r="AN474" s="21">
        <f t="shared" si="360"/>
        <v>0</v>
      </c>
      <c r="AO474" s="62" t="str">
        <f t="shared" si="361"/>
        <v/>
      </c>
      <c r="AP474" s="21">
        <f t="shared" si="362"/>
        <v>0</v>
      </c>
      <c r="AQ474" s="62" t="str">
        <f t="shared" si="363"/>
        <v/>
      </c>
      <c r="AR474" s="31">
        <f t="shared" si="364"/>
        <v>0</v>
      </c>
      <c r="AS474" s="21">
        <f t="shared" si="365"/>
        <v>0</v>
      </c>
      <c r="AT474" s="62" t="str">
        <f t="shared" si="366"/>
        <v/>
      </c>
      <c r="AU474" s="84">
        <f t="shared" si="367"/>
        <v>0</v>
      </c>
      <c r="AV474" s="32">
        <f t="shared" si="368"/>
        <v>0</v>
      </c>
      <c r="AW474" s="85" t="str">
        <f t="shared" si="369"/>
        <v/>
      </c>
      <c r="AX474" s="86" t="str">
        <f t="shared" si="370"/>
        <v/>
      </c>
    </row>
    <row r="475" spans="1:50" x14ac:dyDescent="0.2">
      <c r="A475" s="29" t="str">
        <f t="shared" si="329"/>
        <v/>
      </c>
      <c r="B475" s="32" t="str">
        <f t="shared" si="330"/>
        <v/>
      </c>
      <c r="C475" s="35"/>
      <c r="D475" s="33" t="str">
        <f t="shared" si="331"/>
        <v/>
      </c>
      <c r="E475" s="22" t="str">
        <f t="shared" si="332"/>
        <v/>
      </c>
      <c r="F475" s="23" t="str">
        <f t="shared" si="333"/>
        <v/>
      </c>
      <c r="G475" s="23"/>
      <c r="H475" s="22"/>
      <c r="I475" s="23"/>
      <c r="J475" s="18"/>
      <c r="K475" s="13" t="str">
        <f t="shared" si="334"/>
        <v/>
      </c>
      <c r="L475" s="28" t="str">
        <f t="shared" si="372"/>
        <v/>
      </c>
      <c r="M475" s="10" t="str">
        <f t="shared" si="335"/>
        <v/>
      </c>
      <c r="N475" s="17" t="str">
        <f t="shared" si="336"/>
        <v/>
      </c>
      <c r="O475" s="39" t="str">
        <f t="shared" si="337"/>
        <v/>
      </c>
      <c r="P475" s="41" t="str">
        <f t="shared" si="338"/>
        <v/>
      </c>
      <c r="Q475" s="9" t="str">
        <f t="shared" si="339"/>
        <v/>
      </c>
      <c r="R475" s="14">
        <f t="shared" si="340"/>
        <v>0</v>
      </c>
      <c r="S475" s="61" t="str">
        <f t="shared" si="341"/>
        <v/>
      </c>
      <c r="T475" s="14">
        <f t="shared" si="342"/>
        <v>0</v>
      </c>
      <c r="U475" s="58" t="str">
        <f t="shared" si="343"/>
        <v/>
      </c>
      <c r="V475" s="14">
        <f t="shared" si="344"/>
        <v>0</v>
      </c>
      <c r="W475" s="58" t="str">
        <f t="shared" si="345"/>
        <v/>
      </c>
      <c r="X475" s="14">
        <f t="shared" si="346"/>
        <v>0</v>
      </c>
      <c r="Y475" s="58" t="str">
        <f t="shared" si="347"/>
        <v/>
      </c>
      <c r="Z475" s="31">
        <f t="shared" si="348"/>
        <v>0</v>
      </c>
      <c r="AA475" s="21">
        <f t="shared" si="349"/>
        <v>0</v>
      </c>
      <c r="AB475" s="58" t="str">
        <f t="shared" si="350"/>
        <v/>
      </c>
      <c r="AC475" s="630">
        <f t="shared" si="371"/>
        <v>0</v>
      </c>
      <c r="AD475" s="627"/>
      <c r="AE475" s="21">
        <f t="shared" si="351"/>
        <v>0</v>
      </c>
      <c r="AF475" s="58" t="str">
        <f t="shared" si="352"/>
        <v/>
      </c>
      <c r="AG475" s="21">
        <f t="shared" si="353"/>
        <v>0</v>
      </c>
      <c r="AH475" s="58" t="str">
        <f t="shared" si="354"/>
        <v/>
      </c>
      <c r="AI475" s="21">
        <f t="shared" si="355"/>
        <v>0</v>
      </c>
      <c r="AJ475" s="58" t="str">
        <f t="shared" si="356"/>
        <v/>
      </c>
      <c r="AK475" s="31">
        <f t="shared" si="357"/>
        <v>0</v>
      </c>
      <c r="AL475" s="21">
        <f t="shared" si="358"/>
        <v>0</v>
      </c>
      <c r="AM475" s="62" t="str">
        <f t="shared" si="359"/>
        <v/>
      </c>
      <c r="AN475" s="21">
        <f t="shared" si="360"/>
        <v>0</v>
      </c>
      <c r="AO475" s="62" t="str">
        <f t="shared" si="361"/>
        <v/>
      </c>
      <c r="AP475" s="21">
        <f t="shared" si="362"/>
        <v>0</v>
      </c>
      <c r="AQ475" s="62" t="str">
        <f t="shared" si="363"/>
        <v/>
      </c>
      <c r="AR475" s="31">
        <f t="shared" si="364"/>
        <v>0</v>
      </c>
      <c r="AS475" s="21">
        <f t="shared" si="365"/>
        <v>0</v>
      </c>
      <c r="AT475" s="62" t="str">
        <f t="shared" si="366"/>
        <v/>
      </c>
      <c r="AU475" s="84">
        <f t="shared" si="367"/>
        <v>0</v>
      </c>
      <c r="AV475" s="32">
        <f t="shared" si="368"/>
        <v>0</v>
      </c>
      <c r="AW475" s="85" t="str">
        <f t="shared" si="369"/>
        <v/>
      </c>
      <c r="AX475" s="86" t="str">
        <f t="shared" si="370"/>
        <v/>
      </c>
    </row>
    <row r="476" spans="1:50" x14ac:dyDescent="0.2">
      <c r="A476" s="29" t="str">
        <f t="shared" si="329"/>
        <v/>
      </c>
      <c r="B476" s="32" t="str">
        <f t="shared" si="330"/>
        <v/>
      </c>
      <c r="C476" s="35"/>
      <c r="D476" s="33" t="str">
        <f t="shared" si="331"/>
        <v/>
      </c>
      <c r="E476" s="22" t="str">
        <f t="shared" si="332"/>
        <v/>
      </c>
      <c r="F476" s="23" t="str">
        <f t="shared" si="333"/>
        <v/>
      </c>
      <c r="G476" s="23"/>
      <c r="H476" s="22"/>
      <c r="I476" s="23"/>
      <c r="J476" s="18"/>
      <c r="K476" s="13" t="str">
        <f t="shared" si="334"/>
        <v/>
      </c>
      <c r="L476" s="28" t="str">
        <f t="shared" si="372"/>
        <v/>
      </c>
      <c r="M476" s="10" t="str">
        <f t="shared" si="335"/>
        <v/>
      </c>
      <c r="N476" s="17" t="str">
        <f t="shared" si="336"/>
        <v/>
      </c>
      <c r="O476" s="39" t="str">
        <f t="shared" si="337"/>
        <v/>
      </c>
      <c r="P476" s="41" t="str">
        <f t="shared" si="338"/>
        <v/>
      </c>
      <c r="Q476" s="9" t="str">
        <f t="shared" si="339"/>
        <v/>
      </c>
      <c r="R476" s="14">
        <f t="shared" si="340"/>
        <v>0</v>
      </c>
      <c r="S476" s="61" t="str">
        <f t="shared" si="341"/>
        <v/>
      </c>
      <c r="T476" s="14">
        <f t="shared" si="342"/>
        <v>0</v>
      </c>
      <c r="U476" s="58" t="str">
        <f t="shared" si="343"/>
        <v/>
      </c>
      <c r="V476" s="14">
        <f t="shared" si="344"/>
        <v>0</v>
      </c>
      <c r="W476" s="58" t="str">
        <f t="shared" si="345"/>
        <v/>
      </c>
      <c r="X476" s="14">
        <f t="shared" si="346"/>
        <v>0</v>
      </c>
      <c r="Y476" s="58" t="str">
        <f t="shared" si="347"/>
        <v/>
      </c>
      <c r="Z476" s="31">
        <f t="shared" si="348"/>
        <v>0</v>
      </c>
      <c r="AA476" s="21">
        <f t="shared" si="349"/>
        <v>0</v>
      </c>
      <c r="AB476" s="58" t="str">
        <f t="shared" si="350"/>
        <v/>
      </c>
      <c r="AC476" s="630">
        <f t="shared" si="371"/>
        <v>0</v>
      </c>
      <c r="AD476" s="627"/>
      <c r="AE476" s="21">
        <f t="shared" si="351"/>
        <v>0</v>
      </c>
      <c r="AF476" s="58" t="str">
        <f t="shared" si="352"/>
        <v/>
      </c>
      <c r="AG476" s="21">
        <f t="shared" si="353"/>
        <v>0</v>
      </c>
      <c r="AH476" s="58" t="str">
        <f t="shared" si="354"/>
        <v/>
      </c>
      <c r="AI476" s="21">
        <f t="shared" si="355"/>
        <v>0</v>
      </c>
      <c r="AJ476" s="58" t="str">
        <f t="shared" si="356"/>
        <v/>
      </c>
      <c r="AK476" s="31">
        <f t="shared" si="357"/>
        <v>0</v>
      </c>
      <c r="AL476" s="21">
        <f t="shared" si="358"/>
        <v>0</v>
      </c>
      <c r="AM476" s="62" t="str">
        <f t="shared" si="359"/>
        <v/>
      </c>
      <c r="AN476" s="21">
        <f t="shared" si="360"/>
        <v>0</v>
      </c>
      <c r="AO476" s="62" t="str">
        <f t="shared" si="361"/>
        <v/>
      </c>
      <c r="AP476" s="21">
        <f t="shared" si="362"/>
        <v>0</v>
      </c>
      <c r="AQ476" s="62" t="str">
        <f t="shared" si="363"/>
        <v/>
      </c>
      <c r="AR476" s="31">
        <f t="shared" si="364"/>
        <v>0</v>
      </c>
      <c r="AS476" s="21">
        <f t="shared" si="365"/>
        <v>0</v>
      </c>
      <c r="AT476" s="62" t="str">
        <f t="shared" si="366"/>
        <v/>
      </c>
      <c r="AU476" s="84">
        <f t="shared" si="367"/>
        <v>0</v>
      </c>
      <c r="AV476" s="32">
        <f t="shared" si="368"/>
        <v>0</v>
      </c>
      <c r="AW476" s="85" t="str">
        <f t="shared" si="369"/>
        <v/>
      </c>
      <c r="AX476" s="86" t="str">
        <f t="shared" si="370"/>
        <v/>
      </c>
    </row>
    <row r="477" spans="1:50" x14ac:dyDescent="0.2">
      <c r="A477" s="29" t="str">
        <f t="shared" si="329"/>
        <v/>
      </c>
      <c r="B477" s="32" t="str">
        <f t="shared" si="330"/>
        <v/>
      </c>
      <c r="C477" s="35"/>
      <c r="D477" s="33" t="str">
        <f t="shared" si="331"/>
        <v/>
      </c>
      <c r="E477" s="22" t="str">
        <f t="shared" si="332"/>
        <v/>
      </c>
      <c r="F477" s="23" t="str">
        <f t="shared" si="333"/>
        <v/>
      </c>
      <c r="G477" s="23"/>
      <c r="H477" s="22"/>
      <c r="I477" s="23"/>
      <c r="J477" s="18"/>
      <c r="K477" s="13" t="str">
        <f t="shared" si="334"/>
        <v/>
      </c>
      <c r="L477" s="28" t="str">
        <f t="shared" si="372"/>
        <v/>
      </c>
      <c r="M477" s="10" t="str">
        <f t="shared" si="335"/>
        <v/>
      </c>
      <c r="N477" s="17" t="str">
        <f t="shared" si="336"/>
        <v/>
      </c>
      <c r="O477" s="39" t="str">
        <f t="shared" si="337"/>
        <v/>
      </c>
      <c r="P477" s="41" t="str">
        <f t="shared" si="338"/>
        <v/>
      </c>
      <c r="Q477" s="9" t="str">
        <f t="shared" si="339"/>
        <v/>
      </c>
      <c r="R477" s="14">
        <f t="shared" si="340"/>
        <v>0</v>
      </c>
      <c r="S477" s="61" t="str">
        <f t="shared" si="341"/>
        <v/>
      </c>
      <c r="T477" s="14">
        <f t="shared" si="342"/>
        <v>0</v>
      </c>
      <c r="U477" s="58" t="str">
        <f t="shared" si="343"/>
        <v/>
      </c>
      <c r="V477" s="14">
        <f t="shared" si="344"/>
        <v>0</v>
      </c>
      <c r="W477" s="58" t="str">
        <f t="shared" si="345"/>
        <v/>
      </c>
      <c r="X477" s="14">
        <f t="shared" si="346"/>
        <v>0</v>
      </c>
      <c r="Y477" s="58" t="str">
        <f t="shared" si="347"/>
        <v/>
      </c>
      <c r="Z477" s="31">
        <f t="shared" si="348"/>
        <v>0</v>
      </c>
      <c r="AA477" s="21">
        <f t="shared" si="349"/>
        <v>0</v>
      </c>
      <c r="AB477" s="58" t="str">
        <f t="shared" si="350"/>
        <v/>
      </c>
      <c r="AC477" s="630">
        <f t="shared" si="371"/>
        <v>0</v>
      </c>
      <c r="AD477" s="627"/>
      <c r="AE477" s="21">
        <f t="shared" si="351"/>
        <v>0</v>
      </c>
      <c r="AF477" s="58" t="str">
        <f t="shared" si="352"/>
        <v/>
      </c>
      <c r="AG477" s="21">
        <f t="shared" si="353"/>
        <v>0</v>
      </c>
      <c r="AH477" s="58" t="str">
        <f t="shared" si="354"/>
        <v/>
      </c>
      <c r="AI477" s="21">
        <f t="shared" si="355"/>
        <v>0</v>
      </c>
      <c r="AJ477" s="58" t="str">
        <f t="shared" si="356"/>
        <v/>
      </c>
      <c r="AK477" s="31">
        <f t="shared" si="357"/>
        <v>0</v>
      </c>
      <c r="AL477" s="21">
        <f t="shared" si="358"/>
        <v>0</v>
      </c>
      <c r="AM477" s="62" t="str">
        <f t="shared" si="359"/>
        <v/>
      </c>
      <c r="AN477" s="21">
        <f t="shared" si="360"/>
        <v>0</v>
      </c>
      <c r="AO477" s="62" t="str">
        <f t="shared" si="361"/>
        <v/>
      </c>
      <c r="AP477" s="21">
        <f t="shared" si="362"/>
        <v>0</v>
      </c>
      <c r="AQ477" s="62" t="str">
        <f t="shared" si="363"/>
        <v/>
      </c>
      <c r="AR477" s="31">
        <f t="shared" si="364"/>
        <v>0</v>
      </c>
      <c r="AS477" s="21">
        <f t="shared" si="365"/>
        <v>0</v>
      </c>
      <c r="AT477" s="62" t="str">
        <f t="shared" si="366"/>
        <v/>
      </c>
      <c r="AU477" s="84">
        <f t="shared" si="367"/>
        <v>0</v>
      </c>
      <c r="AV477" s="32">
        <f t="shared" si="368"/>
        <v>0</v>
      </c>
      <c r="AW477" s="85" t="str">
        <f t="shared" si="369"/>
        <v/>
      </c>
      <c r="AX477" s="86" t="str">
        <f t="shared" si="370"/>
        <v/>
      </c>
    </row>
    <row r="478" spans="1:50" x14ac:dyDescent="0.2">
      <c r="A478" s="29" t="str">
        <f t="shared" si="329"/>
        <v/>
      </c>
      <c r="B478" s="32" t="str">
        <f t="shared" si="330"/>
        <v/>
      </c>
      <c r="C478" s="35"/>
      <c r="D478" s="33" t="str">
        <f t="shared" si="331"/>
        <v/>
      </c>
      <c r="E478" s="22" t="str">
        <f t="shared" si="332"/>
        <v/>
      </c>
      <c r="F478" s="23" t="str">
        <f t="shared" si="333"/>
        <v/>
      </c>
      <c r="G478" s="23"/>
      <c r="H478" s="22"/>
      <c r="I478" s="23"/>
      <c r="J478" s="18"/>
      <c r="K478" s="13" t="str">
        <f t="shared" si="334"/>
        <v/>
      </c>
      <c r="L478" s="28" t="str">
        <f t="shared" si="372"/>
        <v/>
      </c>
      <c r="M478" s="10" t="str">
        <f t="shared" si="335"/>
        <v/>
      </c>
      <c r="N478" s="17" t="str">
        <f t="shared" si="336"/>
        <v/>
      </c>
      <c r="O478" s="39" t="str">
        <f t="shared" si="337"/>
        <v/>
      </c>
      <c r="P478" s="41" t="str">
        <f t="shared" si="338"/>
        <v/>
      </c>
      <c r="Q478" s="9" t="str">
        <f t="shared" si="339"/>
        <v/>
      </c>
      <c r="R478" s="14">
        <f t="shared" si="340"/>
        <v>0</v>
      </c>
      <c r="S478" s="61" t="str">
        <f t="shared" si="341"/>
        <v/>
      </c>
      <c r="T478" s="14">
        <f t="shared" si="342"/>
        <v>0</v>
      </c>
      <c r="U478" s="58" t="str">
        <f t="shared" si="343"/>
        <v/>
      </c>
      <c r="V478" s="14">
        <f t="shared" si="344"/>
        <v>0</v>
      </c>
      <c r="W478" s="58" t="str">
        <f t="shared" si="345"/>
        <v/>
      </c>
      <c r="X478" s="14">
        <f t="shared" si="346"/>
        <v>0</v>
      </c>
      <c r="Y478" s="58" t="str">
        <f t="shared" si="347"/>
        <v/>
      </c>
      <c r="Z478" s="31">
        <f t="shared" si="348"/>
        <v>0</v>
      </c>
      <c r="AA478" s="21">
        <f t="shared" si="349"/>
        <v>0</v>
      </c>
      <c r="AB478" s="58" t="str">
        <f t="shared" si="350"/>
        <v/>
      </c>
      <c r="AC478" s="630">
        <f t="shared" si="371"/>
        <v>0</v>
      </c>
      <c r="AD478" s="627"/>
      <c r="AE478" s="21">
        <f t="shared" si="351"/>
        <v>0</v>
      </c>
      <c r="AF478" s="58" t="str">
        <f t="shared" si="352"/>
        <v/>
      </c>
      <c r="AG478" s="21">
        <f t="shared" si="353"/>
        <v>0</v>
      </c>
      <c r="AH478" s="58" t="str">
        <f t="shared" si="354"/>
        <v/>
      </c>
      <c r="AI478" s="21">
        <f t="shared" si="355"/>
        <v>0</v>
      </c>
      <c r="AJ478" s="58" t="str">
        <f t="shared" si="356"/>
        <v/>
      </c>
      <c r="AK478" s="31">
        <f t="shared" si="357"/>
        <v>0</v>
      </c>
      <c r="AL478" s="21">
        <f t="shared" si="358"/>
        <v>0</v>
      </c>
      <c r="AM478" s="62" t="str">
        <f t="shared" si="359"/>
        <v/>
      </c>
      <c r="AN478" s="21">
        <f t="shared" si="360"/>
        <v>0</v>
      </c>
      <c r="AO478" s="62" t="str">
        <f t="shared" si="361"/>
        <v/>
      </c>
      <c r="AP478" s="21">
        <f t="shared" si="362"/>
        <v>0</v>
      </c>
      <c r="AQ478" s="62" t="str">
        <f t="shared" si="363"/>
        <v/>
      </c>
      <c r="AR478" s="31">
        <f t="shared" si="364"/>
        <v>0</v>
      </c>
      <c r="AS478" s="21">
        <f t="shared" si="365"/>
        <v>0</v>
      </c>
      <c r="AT478" s="62" t="str">
        <f t="shared" si="366"/>
        <v/>
      </c>
      <c r="AU478" s="84">
        <f t="shared" si="367"/>
        <v>0</v>
      </c>
      <c r="AV478" s="32">
        <f t="shared" si="368"/>
        <v>0</v>
      </c>
      <c r="AW478" s="85" t="str">
        <f t="shared" si="369"/>
        <v/>
      </c>
      <c r="AX478" s="86" t="str">
        <f t="shared" si="370"/>
        <v/>
      </c>
    </row>
    <row r="479" spans="1:50" x14ac:dyDescent="0.2">
      <c r="A479" s="29" t="str">
        <f t="shared" si="329"/>
        <v/>
      </c>
      <c r="B479" s="32" t="str">
        <f t="shared" si="330"/>
        <v/>
      </c>
      <c r="C479" s="35"/>
      <c r="D479" s="33" t="str">
        <f t="shared" si="331"/>
        <v/>
      </c>
      <c r="E479" s="22" t="str">
        <f t="shared" si="332"/>
        <v/>
      </c>
      <c r="F479" s="23" t="str">
        <f t="shared" si="333"/>
        <v/>
      </c>
      <c r="G479" s="23"/>
      <c r="H479" s="22"/>
      <c r="I479" s="23"/>
      <c r="J479" s="18"/>
      <c r="K479" s="13" t="str">
        <f t="shared" si="334"/>
        <v/>
      </c>
      <c r="L479" s="28" t="str">
        <f t="shared" si="372"/>
        <v/>
      </c>
      <c r="M479" s="10" t="str">
        <f t="shared" si="335"/>
        <v/>
      </c>
      <c r="N479" s="17" t="str">
        <f t="shared" si="336"/>
        <v/>
      </c>
      <c r="O479" s="39" t="str">
        <f t="shared" si="337"/>
        <v/>
      </c>
      <c r="P479" s="41" t="str">
        <f t="shared" si="338"/>
        <v/>
      </c>
      <c r="Q479" s="9" t="str">
        <f t="shared" si="339"/>
        <v/>
      </c>
      <c r="R479" s="14">
        <f t="shared" si="340"/>
        <v>0</v>
      </c>
      <c r="S479" s="61" t="str">
        <f t="shared" si="341"/>
        <v/>
      </c>
      <c r="T479" s="14">
        <f t="shared" si="342"/>
        <v>0</v>
      </c>
      <c r="U479" s="58" t="str">
        <f t="shared" si="343"/>
        <v/>
      </c>
      <c r="V479" s="14">
        <f t="shared" si="344"/>
        <v>0</v>
      </c>
      <c r="W479" s="58" t="str">
        <f t="shared" si="345"/>
        <v/>
      </c>
      <c r="X479" s="14">
        <f t="shared" si="346"/>
        <v>0</v>
      </c>
      <c r="Y479" s="58" t="str">
        <f t="shared" si="347"/>
        <v/>
      </c>
      <c r="Z479" s="31">
        <f t="shared" si="348"/>
        <v>0</v>
      </c>
      <c r="AA479" s="21">
        <f t="shared" si="349"/>
        <v>0</v>
      </c>
      <c r="AB479" s="58" t="str">
        <f t="shared" si="350"/>
        <v/>
      </c>
      <c r="AC479" s="630">
        <f t="shared" si="371"/>
        <v>0</v>
      </c>
      <c r="AD479" s="627"/>
      <c r="AE479" s="21">
        <f t="shared" si="351"/>
        <v>0</v>
      </c>
      <c r="AF479" s="58" t="str">
        <f t="shared" si="352"/>
        <v/>
      </c>
      <c r="AG479" s="21">
        <f t="shared" si="353"/>
        <v>0</v>
      </c>
      <c r="AH479" s="58" t="str">
        <f t="shared" si="354"/>
        <v/>
      </c>
      <c r="AI479" s="21">
        <f t="shared" si="355"/>
        <v>0</v>
      </c>
      <c r="AJ479" s="58" t="str">
        <f t="shared" si="356"/>
        <v/>
      </c>
      <c r="AK479" s="31">
        <f t="shared" si="357"/>
        <v>0</v>
      </c>
      <c r="AL479" s="21">
        <f t="shared" si="358"/>
        <v>0</v>
      </c>
      <c r="AM479" s="62" t="str">
        <f t="shared" si="359"/>
        <v/>
      </c>
      <c r="AN479" s="21">
        <f t="shared" si="360"/>
        <v>0</v>
      </c>
      <c r="AO479" s="62" t="str">
        <f t="shared" si="361"/>
        <v/>
      </c>
      <c r="AP479" s="21">
        <f t="shared" si="362"/>
        <v>0</v>
      </c>
      <c r="AQ479" s="62" t="str">
        <f t="shared" si="363"/>
        <v/>
      </c>
      <c r="AR479" s="31">
        <f t="shared" si="364"/>
        <v>0</v>
      </c>
      <c r="AS479" s="21">
        <f t="shared" si="365"/>
        <v>0</v>
      </c>
      <c r="AT479" s="62" t="str">
        <f t="shared" si="366"/>
        <v/>
      </c>
      <c r="AU479" s="84">
        <f t="shared" si="367"/>
        <v>0</v>
      </c>
      <c r="AV479" s="32">
        <f t="shared" si="368"/>
        <v>0</v>
      </c>
      <c r="AW479" s="85" t="str">
        <f t="shared" si="369"/>
        <v/>
      </c>
      <c r="AX479" s="86" t="str">
        <f t="shared" si="370"/>
        <v/>
      </c>
    </row>
    <row r="480" spans="1:50" x14ac:dyDescent="0.2">
      <c r="A480" s="29" t="str">
        <f t="shared" si="329"/>
        <v/>
      </c>
      <c r="B480" s="32" t="str">
        <f t="shared" si="330"/>
        <v/>
      </c>
      <c r="C480" s="35"/>
      <c r="D480" s="33" t="str">
        <f t="shared" si="331"/>
        <v/>
      </c>
      <c r="E480" s="22" t="str">
        <f t="shared" si="332"/>
        <v/>
      </c>
      <c r="F480" s="23" t="str">
        <f t="shared" si="333"/>
        <v/>
      </c>
      <c r="G480" s="23"/>
      <c r="H480" s="22"/>
      <c r="I480" s="23"/>
      <c r="J480" s="18"/>
      <c r="K480" s="13" t="str">
        <f t="shared" si="334"/>
        <v/>
      </c>
      <c r="L480" s="28" t="str">
        <f t="shared" si="372"/>
        <v/>
      </c>
      <c r="M480" s="10" t="str">
        <f t="shared" si="335"/>
        <v/>
      </c>
      <c r="N480" s="17" t="str">
        <f t="shared" si="336"/>
        <v/>
      </c>
      <c r="O480" s="39" t="str">
        <f t="shared" si="337"/>
        <v/>
      </c>
      <c r="P480" s="41" t="str">
        <f t="shared" si="338"/>
        <v/>
      </c>
      <c r="Q480" s="9" t="str">
        <f t="shared" si="339"/>
        <v/>
      </c>
      <c r="R480" s="14">
        <f t="shared" si="340"/>
        <v>0</v>
      </c>
      <c r="S480" s="61" t="str">
        <f t="shared" si="341"/>
        <v/>
      </c>
      <c r="T480" s="14">
        <f t="shared" si="342"/>
        <v>0</v>
      </c>
      <c r="U480" s="58" t="str">
        <f t="shared" si="343"/>
        <v/>
      </c>
      <c r="V480" s="14">
        <f t="shared" si="344"/>
        <v>0</v>
      </c>
      <c r="W480" s="58" t="str">
        <f t="shared" si="345"/>
        <v/>
      </c>
      <c r="X480" s="14">
        <f t="shared" si="346"/>
        <v>0</v>
      </c>
      <c r="Y480" s="58" t="str">
        <f t="shared" si="347"/>
        <v/>
      </c>
      <c r="Z480" s="31">
        <f t="shared" si="348"/>
        <v>0</v>
      </c>
      <c r="AA480" s="21">
        <f t="shared" si="349"/>
        <v>0</v>
      </c>
      <c r="AB480" s="58" t="str">
        <f t="shared" si="350"/>
        <v/>
      </c>
      <c r="AC480" s="630">
        <f t="shared" si="371"/>
        <v>0</v>
      </c>
      <c r="AD480" s="627"/>
      <c r="AE480" s="21">
        <f t="shared" si="351"/>
        <v>0</v>
      </c>
      <c r="AF480" s="58" t="str">
        <f t="shared" si="352"/>
        <v/>
      </c>
      <c r="AG480" s="21">
        <f t="shared" si="353"/>
        <v>0</v>
      </c>
      <c r="AH480" s="58" t="str">
        <f t="shared" si="354"/>
        <v/>
      </c>
      <c r="AI480" s="21">
        <f t="shared" si="355"/>
        <v>0</v>
      </c>
      <c r="AJ480" s="58" t="str">
        <f t="shared" si="356"/>
        <v/>
      </c>
      <c r="AK480" s="31">
        <f t="shared" si="357"/>
        <v>0</v>
      </c>
      <c r="AL480" s="21">
        <f t="shared" si="358"/>
        <v>0</v>
      </c>
      <c r="AM480" s="62" t="str">
        <f t="shared" si="359"/>
        <v/>
      </c>
      <c r="AN480" s="21">
        <f t="shared" si="360"/>
        <v>0</v>
      </c>
      <c r="AO480" s="62" t="str">
        <f t="shared" si="361"/>
        <v/>
      </c>
      <c r="AP480" s="21">
        <f t="shared" si="362"/>
        <v>0</v>
      </c>
      <c r="AQ480" s="62" t="str">
        <f t="shared" si="363"/>
        <v/>
      </c>
      <c r="AR480" s="31">
        <f t="shared" si="364"/>
        <v>0</v>
      </c>
      <c r="AS480" s="21">
        <f t="shared" si="365"/>
        <v>0</v>
      </c>
      <c r="AT480" s="62" t="str">
        <f t="shared" si="366"/>
        <v/>
      </c>
      <c r="AU480" s="84">
        <f t="shared" si="367"/>
        <v>0</v>
      </c>
      <c r="AV480" s="32">
        <f t="shared" si="368"/>
        <v>0</v>
      </c>
      <c r="AW480" s="85" t="str">
        <f t="shared" si="369"/>
        <v/>
      </c>
      <c r="AX480" s="86" t="str">
        <f t="shared" si="370"/>
        <v/>
      </c>
    </row>
    <row r="481" spans="1:50" x14ac:dyDescent="0.2">
      <c r="A481" s="29" t="str">
        <f t="shared" si="329"/>
        <v/>
      </c>
      <c r="B481" s="32" t="str">
        <f t="shared" si="330"/>
        <v/>
      </c>
      <c r="C481" s="35"/>
      <c r="D481" s="33" t="str">
        <f t="shared" si="331"/>
        <v/>
      </c>
      <c r="E481" s="22" t="str">
        <f t="shared" si="332"/>
        <v/>
      </c>
      <c r="F481" s="23" t="str">
        <f t="shared" si="333"/>
        <v/>
      </c>
      <c r="G481" s="23"/>
      <c r="H481" s="22"/>
      <c r="I481" s="23"/>
      <c r="J481" s="18"/>
      <c r="K481" s="13" t="str">
        <f t="shared" si="334"/>
        <v/>
      </c>
      <c r="L481" s="28" t="str">
        <f t="shared" si="372"/>
        <v/>
      </c>
      <c r="M481" s="10" t="str">
        <f t="shared" si="335"/>
        <v/>
      </c>
      <c r="N481" s="17" t="str">
        <f t="shared" si="336"/>
        <v/>
      </c>
      <c r="O481" s="39" t="str">
        <f t="shared" si="337"/>
        <v/>
      </c>
      <c r="P481" s="41" t="str">
        <f t="shared" si="338"/>
        <v/>
      </c>
      <c r="Q481" s="9" t="str">
        <f t="shared" si="339"/>
        <v/>
      </c>
      <c r="R481" s="14">
        <f t="shared" si="340"/>
        <v>0</v>
      </c>
      <c r="S481" s="61" t="str">
        <f t="shared" si="341"/>
        <v/>
      </c>
      <c r="T481" s="14">
        <f t="shared" si="342"/>
        <v>0</v>
      </c>
      <c r="U481" s="58" t="str">
        <f t="shared" si="343"/>
        <v/>
      </c>
      <c r="V481" s="14">
        <f t="shared" si="344"/>
        <v>0</v>
      </c>
      <c r="W481" s="58" t="str">
        <f t="shared" si="345"/>
        <v/>
      </c>
      <c r="X481" s="14">
        <f t="shared" si="346"/>
        <v>0</v>
      </c>
      <c r="Y481" s="58" t="str">
        <f t="shared" si="347"/>
        <v/>
      </c>
      <c r="Z481" s="31">
        <f t="shared" si="348"/>
        <v>0</v>
      </c>
      <c r="AA481" s="21">
        <f t="shared" si="349"/>
        <v>0</v>
      </c>
      <c r="AB481" s="58" t="str">
        <f t="shared" si="350"/>
        <v/>
      </c>
      <c r="AC481" s="630">
        <f t="shared" si="371"/>
        <v>0</v>
      </c>
      <c r="AD481" s="627"/>
      <c r="AE481" s="21">
        <f t="shared" si="351"/>
        <v>0</v>
      </c>
      <c r="AF481" s="58" t="str">
        <f t="shared" si="352"/>
        <v/>
      </c>
      <c r="AG481" s="21">
        <f t="shared" si="353"/>
        <v>0</v>
      </c>
      <c r="AH481" s="58" t="str">
        <f t="shared" si="354"/>
        <v/>
      </c>
      <c r="AI481" s="21">
        <f t="shared" si="355"/>
        <v>0</v>
      </c>
      <c r="AJ481" s="58" t="str">
        <f t="shared" si="356"/>
        <v/>
      </c>
      <c r="AK481" s="31">
        <f t="shared" si="357"/>
        <v>0</v>
      </c>
      <c r="AL481" s="21">
        <f t="shared" si="358"/>
        <v>0</v>
      </c>
      <c r="AM481" s="62" t="str">
        <f t="shared" si="359"/>
        <v/>
      </c>
      <c r="AN481" s="21">
        <f t="shared" si="360"/>
        <v>0</v>
      </c>
      <c r="AO481" s="62" t="str">
        <f t="shared" si="361"/>
        <v/>
      </c>
      <c r="AP481" s="21">
        <f t="shared" si="362"/>
        <v>0</v>
      </c>
      <c r="AQ481" s="62" t="str">
        <f t="shared" si="363"/>
        <v/>
      </c>
      <c r="AR481" s="31">
        <f t="shared" si="364"/>
        <v>0</v>
      </c>
      <c r="AS481" s="21">
        <f t="shared" si="365"/>
        <v>0</v>
      </c>
      <c r="AT481" s="62" t="str">
        <f t="shared" si="366"/>
        <v/>
      </c>
      <c r="AU481" s="84">
        <f t="shared" si="367"/>
        <v>0</v>
      </c>
      <c r="AV481" s="32">
        <f t="shared" si="368"/>
        <v>0</v>
      </c>
      <c r="AW481" s="85" t="str">
        <f t="shared" si="369"/>
        <v/>
      </c>
      <c r="AX481" s="86" t="str">
        <f t="shared" si="370"/>
        <v/>
      </c>
    </row>
    <row r="482" spans="1:50" x14ac:dyDescent="0.2">
      <c r="A482" s="29" t="str">
        <f t="shared" ref="A482:A545" si="373">IF(A481="","",IF(C482="","",A481))</f>
        <v/>
      </c>
      <c r="B482" s="32" t="str">
        <f t="shared" ref="B482:B545" si="374">IF(B481="","",IF(C482="","",B481))</f>
        <v/>
      </c>
      <c r="C482" s="35"/>
      <c r="D482" s="33" t="str">
        <f t="shared" ref="D482:D545" si="375">IF(A482="","",IF(D481="","",D481))</f>
        <v/>
      </c>
      <c r="E482" s="22" t="str">
        <f t="shared" ref="E482:E545" si="376">IF(A482="","",IF(E481="","",E481))</f>
        <v/>
      </c>
      <c r="F482" s="23" t="str">
        <f t="shared" ref="F482:F545" si="377">IF(A482="","",IF(F481="","",F481))</f>
        <v/>
      </c>
      <c r="G482" s="23"/>
      <c r="H482" s="22"/>
      <c r="I482" s="23"/>
      <c r="J482" s="18"/>
      <c r="K482" s="13" t="str">
        <f t="shared" ref="K482:K545" si="378">IF($N$4="M",IF(A482="","",IF(D482=6,16,IF(A482&lt;=$M$5,26,IF(A482&lt;=$M$6,24,IF(A482&lt;=$M$7,22,IF(A482&lt;=$M$8,20,18)))))),IF(A482="","",IF(D482=6,16,IF(A482&lt;=$P$5,26,IF(A482&lt;=$P$6,24,IF(A482&lt;=$P$7,22,IF(A482&lt;=$P$8,20,18)))))))</f>
        <v/>
      </c>
      <c r="L482" s="28" t="str">
        <f t="shared" ref="L482:L545" si="379">IF($N$4="M",IF(A482="","",IF(K482=26,(A482+B482+Q482)*C482*0.02739,IF(K482=24,(A482+B482+Q482)*C482*0.02739,IF(K482=22,(A482+B482+Q482)*C482*0.0333,IF(K482=20,(A482+B482+Q482)*C482*0.0393,IF(K482=18,(A482+B482+Q482)*C482*0.0511,IF(K482=16,(A482+B482+Q482)*C482*0.0628))))))),IF(A482="","",IF(K482=26,(A482+B482+Q482)*C482*0.211,IF(K482=24,(A482+B482+Q482)*C482*0.211,IF(K482=22,(A482+B482+Q482)*C482*0.258,IF(K482=20,(A482+B482+Q482)*C482*0.304,IF(K482=18,(A482+B482+Q482)*C482*0.395,IF(K482=16,(A482+B482+Q482)*C482*0.487))))))))</f>
        <v/>
      </c>
      <c r="M482" s="10" t="str">
        <f t="shared" ref="M482:M545" si="380">IF(D482=1,0.5,IF(D482=2,"1 F",IF(D482=21,"1 R",IF(D482=3,2,""))))</f>
        <v/>
      </c>
      <c r="N482" s="17" t="str">
        <f t="shared" ref="N482:N545" si="381">IF(M482="","",IF($N$4="M",(A482+B482+Q482)*C482*0.022,(A482+B482+Q482)*C482*0.17))</f>
        <v/>
      </c>
      <c r="O482" s="39" t="str">
        <f t="shared" ref="O482:O545" si="382">IF(D482=4,1,IF(D482=5,2,""))</f>
        <v/>
      </c>
      <c r="P482" s="41" t="str">
        <f t="shared" ref="P482:P545" si="383">IF(O482="","",IF($N$4="M",IF(O482=1,(A482+B482+Q482)*C482*0.022*1.1,(A482+B482+Q482)*C482*0.022*1.15),IF(O482=1,(A482+B482+Q482)*C482*0.17*1.1,(A482+B482+Q482)*C482*0.17*1.15)))</f>
        <v/>
      </c>
      <c r="Q482" s="9" t="str">
        <f t="shared" ref="Q482:Q545" si="384">IF($N$4="M",IF(A482="","",IF(D482=1,50,IF(D482=2,100,IF(D482=21,100,IF(D482=3,200,0))))),IF(A482="","",IF(D482=1,2,IF(D482=2,4,IF(D482=21,4,IF(D482=3,8,0))))))</f>
        <v/>
      </c>
      <c r="R482" s="14">
        <f t="shared" ref="R482:R545" si="385">COUNTIF(G482:J482,7)</f>
        <v>0</v>
      </c>
      <c r="S482" s="61" t="str">
        <f t="shared" ref="S482:S545" si="386">IF(A482="","",IF($N$4="M",A482*B482*0.000011111*R482*1.5,A482*B482/144*R482*1.5))</f>
        <v/>
      </c>
      <c r="T482" s="14">
        <f t="shared" ref="T482:T545" si="387">COUNTIF(G482:J482,71)</f>
        <v>0</v>
      </c>
      <c r="U482" s="58" t="str">
        <f t="shared" ref="U482:U545" si="388">IF(A482="","",IF($N$4="M",A482*B482*0.000011111*T482*1.5,A482*B482/144*T482*1.5))</f>
        <v/>
      </c>
      <c r="V482" s="14">
        <f t="shared" ref="V482:V545" si="389">COUNTIF(G482:J482,8)</f>
        <v>0</v>
      </c>
      <c r="W482" s="58" t="str">
        <f t="shared" ref="W482:W545" si="390">IF(A482="","",IF($N$4="M",(A482+B482)*2*0.0032808*V482,(A482+B482)*2*V482/12))</f>
        <v/>
      </c>
      <c r="X482" s="14">
        <f t="shared" ref="X482:X545" si="391">COUNTIF(G482:J482,81)</f>
        <v>0</v>
      </c>
      <c r="Y482" s="58" t="str">
        <f t="shared" ref="Y482:Y545" si="392">IF(A482="","",IF($N$4="M",(A482+B482)*2*0.0032808*X482,(A482+B482)*2*X482/12))</f>
        <v/>
      </c>
      <c r="Z482" s="31">
        <f t="shared" ref="Z482:Z545" si="393">COUNTIF(G482:J482,9)</f>
        <v>0</v>
      </c>
      <c r="AA482" s="21">
        <f t="shared" ref="AA482:AA545" si="394">COUNTIF(G482:J482,10)</f>
        <v>0</v>
      </c>
      <c r="AB482" s="58" t="str">
        <f t="shared" ref="AB482:AB545" si="395">IF(A482="","",IF($N$4="M",(A482+B482)*2*0.0032808*AA482,(A482+B482)*2*AA482/12))</f>
        <v/>
      </c>
      <c r="AC482" s="630">
        <f t="shared" si="371"/>
        <v>0</v>
      </c>
      <c r="AD482" s="627"/>
      <c r="AE482" s="21">
        <f t="shared" ref="AE482:AE545" si="396">COUNTIF(G482:J482,11)</f>
        <v>0</v>
      </c>
      <c r="AF482" s="58" t="str">
        <f t="shared" ref="AF482:AF545" si="397">IF(A482="","",IF($N$4="M",A482*B482*0.000011111*AE482,A482*B482/144*AE482))</f>
        <v/>
      </c>
      <c r="AG482" s="21">
        <f t="shared" ref="AG482:AG545" si="398">COUNTIF(G482:J482,111)</f>
        <v>0</v>
      </c>
      <c r="AH482" s="58" t="str">
        <f t="shared" ref="AH482:AH545" si="399">IF(A482="","",IF($N$4="M",A482*B482*0.000011111*AG482,A482*B482/144*AG482))</f>
        <v/>
      </c>
      <c r="AI482" s="21">
        <f t="shared" ref="AI482:AI545" si="400">COUNTIF(G482:J482,12)</f>
        <v>0</v>
      </c>
      <c r="AJ482" s="58" t="str">
        <f t="shared" ref="AJ482:AJ545" si="401">IF(A482="","",IF($N$4="M",A482*B482*0.000011111*AI482,A482*B482/144*AI482))</f>
        <v/>
      </c>
      <c r="AK482" s="31">
        <f t="shared" ref="AK482:AK545" si="402">COUNTIF(G482:J482,13)</f>
        <v>0</v>
      </c>
      <c r="AL482" s="21">
        <f t="shared" ref="AL482:AL545" si="403">COUNTIF(G482:J482,131)</f>
        <v>0</v>
      </c>
      <c r="AM482" s="62" t="str">
        <f t="shared" ref="AM482:AM545" si="404">IF(A482="","",IF($N$4="M",A482*B482*0.000011111*AL482,A482*B482/144*AL482))</f>
        <v/>
      </c>
      <c r="AN482" s="21">
        <f t="shared" ref="AN482:AN545" si="405">COUNTIF(G482:J482,14)</f>
        <v>0</v>
      </c>
      <c r="AO482" s="62" t="str">
        <f t="shared" ref="AO482:AO545" si="406">IF(A482="","",IF($N$4="M",A482*B482*0.000011111*AN482,A482*B482/144*AN482))</f>
        <v/>
      </c>
      <c r="AP482" s="21">
        <f t="shared" ref="AP482:AP545" si="407">COUNTIF(G482:J482,141)</f>
        <v>0</v>
      </c>
      <c r="AQ482" s="62" t="str">
        <f t="shared" ref="AQ482:AQ545" si="408">IF(A482="","",IF($N$4="M",A482*B482*0.000011111*AP482,A482*B482/144*AP482))</f>
        <v/>
      </c>
      <c r="AR482" s="31">
        <f t="shared" ref="AR482:AR545" si="409">COUNTIF(G482:J482,15)</f>
        <v>0</v>
      </c>
      <c r="AS482" s="21">
        <f t="shared" ref="AS482:AS545" si="410">COUNTIF(G482:J482,16)</f>
        <v>0</v>
      </c>
      <c r="AT482" s="62" t="str">
        <f t="shared" ref="AT482:AT545" si="411">IF(A482="","",IF($N$4="M",A482*B482*0.000011111*AS482,A482*B482/144*AS482))</f>
        <v/>
      </c>
      <c r="AU482" s="84">
        <f t="shared" ref="AU482:AU545" si="412">IF(D482=61,C482,0)</f>
        <v>0</v>
      </c>
      <c r="AV482" s="32">
        <f t="shared" ref="AV482:AV545" si="413">IF(D482=61,L482,0)</f>
        <v>0</v>
      </c>
      <c r="AW482" s="85" t="str">
        <f t="shared" ref="AW482:AW545" si="414">IF(A482="","",(C482-AU482))</f>
        <v/>
      </c>
      <c r="AX482" s="86" t="str">
        <f t="shared" ref="AX482:AX545" si="415">IF(A482="","",(L482-AV482))</f>
        <v/>
      </c>
    </row>
    <row r="483" spans="1:50" x14ac:dyDescent="0.2">
      <c r="A483" s="29" t="str">
        <f t="shared" si="373"/>
        <v/>
      </c>
      <c r="B483" s="32" t="str">
        <f t="shared" si="374"/>
        <v/>
      </c>
      <c r="C483" s="35"/>
      <c r="D483" s="33" t="str">
        <f t="shared" si="375"/>
        <v/>
      </c>
      <c r="E483" s="22" t="str">
        <f t="shared" si="376"/>
        <v/>
      </c>
      <c r="F483" s="23" t="str">
        <f t="shared" si="377"/>
        <v/>
      </c>
      <c r="G483" s="23"/>
      <c r="H483" s="22"/>
      <c r="I483" s="23"/>
      <c r="J483" s="18"/>
      <c r="K483" s="13" t="str">
        <f t="shared" si="378"/>
        <v/>
      </c>
      <c r="L483" s="28" t="str">
        <f t="shared" si="379"/>
        <v/>
      </c>
      <c r="M483" s="10" t="str">
        <f t="shared" si="380"/>
        <v/>
      </c>
      <c r="N483" s="17" t="str">
        <f t="shared" si="381"/>
        <v/>
      </c>
      <c r="O483" s="39" t="str">
        <f t="shared" si="382"/>
        <v/>
      </c>
      <c r="P483" s="41" t="str">
        <f t="shared" si="383"/>
        <v/>
      </c>
      <c r="Q483" s="9" t="str">
        <f t="shared" si="384"/>
        <v/>
      </c>
      <c r="R483" s="14">
        <f t="shared" si="385"/>
        <v>0</v>
      </c>
      <c r="S483" s="61" t="str">
        <f t="shared" si="386"/>
        <v/>
      </c>
      <c r="T483" s="14">
        <f t="shared" si="387"/>
        <v>0</v>
      </c>
      <c r="U483" s="58" t="str">
        <f t="shared" si="388"/>
        <v/>
      </c>
      <c r="V483" s="14">
        <f t="shared" si="389"/>
        <v>0</v>
      </c>
      <c r="W483" s="58" t="str">
        <f t="shared" si="390"/>
        <v/>
      </c>
      <c r="X483" s="14">
        <f t="shared" si="391"/>
        <v>0</v>
      </c>
      <c r="Y483" s="58" t="str">
        <f t="shared" si="392"/>
        <v/>
      </c>
      <c r="Z483" s="31">
        <f t="shared" si="393"/>
        <v>0</v>
      </c>
      <c r="AA483" s="21">
        <f t="shared" si="394"/>
        <v>0</v>
      </c>
      <c r="AB483" s="58" t="str">
        <f t="shared" si="395"/>
        <v/>
      </c>
      <c r="AC483" s="630">
        <f t="shared" si="371"/>
        <v>0</v>
      </c>
      <c r="AD483" s="627"/>
      <c r="AE483" s="21">
        <f t="shared" si="396"/>
        <v>0</v>
      </c>
      <c r="AF483" s="58" t="str">
        <f t="shared" si="397"/>
        <v/>
      </c>
      <c r="AG483" s="21">
        <f t="shared" si="398"/>
        <v>0</v>
      </c>
      <c r="AH483" s="58" t="str">
        <f t="shared" si="399"/>
        <v/>
      </c>
      <c r="AI483" s="21">
        <f t="shared" si="400"/>
        <v>0</v>
      </c>
      <c r="AJ483" s="58" t="str">
        <f t="shared" si="401"/>
        <v/>
      </c>
      <c r="AK483" s="31">
        <f t="shared" si="402"/>
        <v>0</v>
      </c>
      <c r="AL483" s="21">
        <f t="shared" si="403"/>
        <v>0</v>
      </c>
      <c r="AM483" s="62" t="str">
        <f t="shared" si="404"/>
        <v/>
      </c>
      <c r="AN483" s="21">
        <f t="shared" si="405"/>
        <v>0</v>
      </c>
      <c r="AO483" s="62" t="str">
        <f t="shared" si="406"/>
        <v/>
      </c>
      <c r="AP483" s="21">
        <f t="shared" si="407"/>
        <v>0</v>
      </c>
      <c r="AQ483" s="62" t="str">
        <f t="shared" si="408"/>
        <v/>
      </c>
      <c r="AR483" s="31">
        <f t="shared" si="409"/>
        <v>0</v>
      </c>
      <c r="AS483" s="21">
        <f t="shared" si="410"/>
        <v>0</v>
      </c>
      <c r="AT483" s="62" t="str">
        <f t="shared" si="411"/>
        <v/>
      </c>
      <c r="AU483" s="84">
        <f t="shared" si="412"/>
        <v>0</v>
      </c>
      <c r="AV483" s="32">
        <f t="shared" si="413"/>
        <v>0</v>
      </c>
      <c r="AW483" s="85" t="str">
        <f t="shared" si="414"/>
        <v/>
      </c>
      <c r="AX483" s="86" t="str">
        <f t="shared" si="415"/>
        <v/>
      </c>
    </row>
    <row r="484" spans="1:50" x14ac:dyDescent="0.2">
      <c r="A484" s="29" t="str">
        <f t="shared" si="373"/>
        <v/>
      </c>
      <c r="B484" s="32" t="str">
        <f t="shared" si="374"/>
        <v/>
      </c>
      <c r="C484" s="35"/>
      <c r="D484" s="33" t="str">
        <f t="shared" si="375"/>
        <v/>
      </c>
      <c r="E484" s="22" t="str">
        <f t="shared" si="376"/>
        <v/>
      </c>
      <c r="F484" s="23" t="str">
        <f t="shared" si="377"/>
        <v/>
      </c>
      <c r="G484" s="23"/>
      <c r="H484" s="22"/>
      <c r="I484" s="23"/>
      <c r="J484" s="18"/>
      <c r="K484" s="13" t="str">
        <f t="shared" si="378"/>
        <v/>
      </c>
      <c r="L484" s="28" t="str">
        <f t="shared" si="379"/>
        <v/>
      </c>
      <c r="M484" s="10" t="str">
        <f t="shared" si="380"/>
        <v/>
      </c>
      <c r="N484" s="17" t="str">
        <f t="shared" si="381"/>
        <v/>
      </c>
      <c r="O484" s="39" t="str">
        <f t="shared" si="382"/>
        <v/>
      </c>
      <c r="P484" s="41" t="str">
        <f t="shared" si="383"/>
        <v/>
      </c>
      <c r="Q484" s="9" t="str">
        <f t="shared" si="384"/>
        <v/>
      </c>
      <c r="R484" s="14">
        <f t="shared" si="385"/>
        <v>0</v>
      </c>
      <c r="S484" s="61" t="str">
        <f t="shared" si="386"/>
        <v/>
      </c>
      <c r="T484" s="14">
        <f t="shared" si="387"/>
        <v>0</v>
      </c>
      <c r="U484" s="58" t="str">
        <f t="shared" si="388"/>
        <v/>
      </c>
      <c r="V484" s="14">
        <f t="shared" si="389"/>
        <v>0</v>
      </c>
      <c r="W484" s="58" t="str">
        <f t="shared" si="390"/>
        <v/>
      </c>
      <c r="X484" s="14">
        <f t="shared" si="391"/>
        <v>0</v>
      </c>
      <c r="Y484" s="58" t="str">
        <f t="shared" si="392"/>
        <v/>
      </c>
      <c r="Z484" s="31">
        <f t="shared" si="393"/>
        <v>0</v>
      </c>
      <c r="AA484" s="21">
        <f t="shared" si="394"/>
        <v>0</v>
      </c>
      <c r="AB484" s="58" t="str">
        <f t="shared" si="395"/>
        <v/>
      </c>
      <c r="AC484" s="630">
        <f t="shared" si="371"/>
        <v>0</v>
      </c>
      <c r="AD484" s="627"/>
      <c r="AE484" s="21">
        <f t="shared" si="396"/>
        <v>0</v>
      </c>
      <c r="AF484" s="58" t="str">
        <f t="shared" si="397"/>
        <v/>
      </c>
      <c r="AG484" s="21">
        <f t="shared" si="398"/>
        <v>0</v>
      </c>
      <c r="AH484" s="58" t="str">
        <f t="shared" si="399"/>
        <v/>
      </c>
      <c r="AI484" s="21">
        <f t="shared" si="400"/>
        <v>0</v>
      </c>
      <c r="AJ484" s="58" t="str">
        <f t="shared" si="401"/>
        <v/>
      </c>
      <c r="AK484" s="31">
        <f t="shared" si="402"/>
        <v>0</v>
      </c>
      <c r="AL484" s="21">
        <f t="shared" si="403"/>
        <v>0</v>
      </c>
      <c r="AM484" s="62" t="str">
        <f t="shared" si="404"/>
        <v/>
      </c>
      <c r="AN484" s="21">
        <f t="shared" si="405"/>
        <v>0</v>
      </c>
      <c r="AO484" s="62" t="str">
        <f t="shared" si="406"/>
        <v/>
      </c>
      <c r="AP484" s="21">
        <f t="shared" si="407"/>
        <v>0</v>
      </c>
      <c r="AQ484" s="62" t="str">
        <f t="shared" si="408"/>
        <v/>
      </c>
      <c r="AR484" s="31">
        <f t="shared" si="409"/>
        <v>0</v>
      </c>
      <c r="AS484" s="21">
        <f t="shared" si="410"/>
        <v>0</v>
      </c>
      <c r="AT484" s="62" t="str">
        <f t="shared" si="411"/>
        <v/>
      </c>
      <c r="AU484" s="84">
        <f t="shared" si="412"/>
        <v>0</v>
      </c>
      <c r="AV484" s="32">
        <f t="shared" si="413"/>
        <v>0</v>
      </c>
      <c r="AW484" s="85" t="str">
        <f t="shared" si="414"/>
        <v/>
      </c>
      <c r="AX484" s="86" t="str">
        <f t="shared" si="415"/>
        <v/>
      </c>
    </row>
    <row r="485" spans="1:50" x14ac:dyDescent="0.2">
      <c r="A485" s="29" t="str">
        <f t="shared" si="373"/>
        <v/>
      </c>
      <c r="B485" s="32" t="str">
        <f t="shared" si="374"/>
        <v/>
      </c>
      <c r="C485" s="35"/>
      <c r="D485" s="33" t="str">
        <f t="shared" si="375"/>
        <v/>
      </c>
      <c r="E485" s="22" t="str">
        <f t="shared" si="376"/>
        <v/>
      </c>
      <c r="F485" s="23" t="str">
        <f t="shared" si="377"/>
        <v/>
      </c>
      <c r="G485" s="23"/>
      <c r="H485" s="22"/>
      <c r="I485" s="23"/>
      <c r="J485" s="18"/>
      <c r="K485" s="13" t="str">
        <f t="shared" si="378"/>
        <v/>
      </c>
      <c r="L485" s="28" t="str">
        <f t="shared" si="379"/>
        <v/>
      </c>
      <c r="M485" s="10" t="str">
        <f t="shared" si="380"/>
        <v/>
      </c>
      <c r="N485" s="17" t="str">
        <f t="shared" si="381"/>
        <v/>
      </c>
      <c r="O485" s="39" t="str">
        <f t="shared" si="382"/>
        <v/>
      </c>
      <c r="P485" s="41" t="str">
        <f t="shared" si="383"/>
        <v/>
      </c>
      <c r="Q485" s="9" t="str">
        <f t="shared" si="384"/>
        <v/>
      </c>
      <c r="R485" s="14">
        <f t="shared" si="385"/>
        <v>0</v>
      </c>
      <c r="S485" s="61" t="str">
        <f t="shared" si="386"/>
        <v/>
      </c>
      <c r="T485" s="14">
        <f t="shared" si="387"/>
        <v>0</v>
      </c>
      <c r="U485" s="58" t="str">
        <f t="shared" si="388"/>
        <v/>
      </c>
      <c r="V485" s="14">
        <f t="shared" si="389"/>
        <v>0</v>
      </c>
      <c r="W485" s="58" t="str">
        <f t="shared" si="390"/>
        <v/>
      </c>
      <c r="X485" s="14">
        <f t="shared" si="391"/>
        <v>0</v>
      </c>
      <c r="Y485" s="58" t="str">
        <f t="shared" si="392"/>
        <v/>
      </c>
      <c r="Z485" s="31">
        <f t="shared" si="393"/>
        <v>0</v>
      </c>
      <c r="AA485" s="21">
        <f t="shared" si="394"/>
        <v>0</v>
      </c>
      <c r="AB485" s="58" t="str">
        <f t="shared" si="395"/>
        <v/>
      </c>
      <c r="AC485" s="630">
        <f t="shared" si="371"/>
        <v>0</v>
      </c>
      <c r="AD485" s="627"/>
      <c r="AE485" s="21">
        <f t="shared" si="396"/>
        <v>0</v>
      </c>
      <c r="AF485" s="58" t="str">
        <f t="shared" si="397"/>
        <v/>
      </c>
      <c r="AG485" s="21">
        <f t="shared" si="398"/>
        <v>0</v>
      </c>
      <c r="AH485" s="58" t="str">
        <f t="shared" si="399"/>
        <v/>
      </c>
      <c r="AI485" s="21">
        <f t="shared" si="400"/>
        <v>0</v>
      </c>
      <c r="AJ485" s="58" t="str">
        <f t="shared" si="401"/>
        <v/>
      </c>
      <c r="AK485" s="31">
        <f t="shared" si="402"/>
        <v>0</v>
      </c>
      <c r="AL485" s="21">
        <f t="shared" si="403"/>
        <v>0</v>
      </c>
      <c r="AM485" s="62" t="str">
        <f t="shared" si="404"/>
        <v/>
      </c>
      <c r="AN485" s="21">
        <f t="shared" si="405"/>
        <v>0</v>
      </c>
      <c r="AO485" s="62" t="str">
        <f t="shared" si="406"/>
        <v/>
      </c>
      <c r="AP485" s="21">
        <f t="shared" si="407"/>
        <v>0</v>
      </c>
      <c r="AQ485" s="62" t="str">
        <f t="shared" si="408"/>
        <v/>
      </c>
      <c r="AR485" s="31">
        <f t="shared" si="409"/>
        <v>0</v>
      </c>
      <c r="AS485" s="21">
        <f t="shared" si="410"/>
        <v>0</v>
      </c>
      <c r="AT485" s="62" t="str">
        <f t="shared" si="411"/>
        <v/>
      </c>
      <c r="AU485" s="84">
        <f t="shared" si="412"/>
        <v>0</v>
      </c>
      <c r="AV485" s="32">
        <f t="shared" si="413"/>
        <v>0</v>
      </c>
      <c r="AW485" s="85" t="str">
        <f t="shared" si="414"/>
        <v/>
      </c>
      <c r="AX485" s="86" t="str">
        <f t="shared" si="415"/>
        <v/>
      </c>
    </row>
    <row r="486" spans="1:50" x14ac:dyDescent="0.2">
      <c r="A486" s="29" t="str">
        <f t="shared" si="373"/>
        <v/>
      </c>
      <c r="B486" s="32" t="str">
        <f t="shared" si="374"/>
        <v/>
      </c>
      <c r="C486" s="35"/>
      <c r="D486" s="33" t="str">
        <f t="shared" si="375"/>
        <v/>
      </c>
      <c r="E486" s="22" t="str">
        <f t="shared" si="376"/>
        <v/>
      </c>
      <c r="F486" s="23" t="str">
        <f t="shared" si="377"/>
        <v/>
      </c>
      <c r="G486" s="23"/>
      <c r="H486" s="22"/>
      <c r="I486" s="23"/>
      <c r="J486" s="18"/>
      <c r="K486" s="13" t="str">
        <f t="shared" si="378"/>
        <v/>
      </c>
      <c r="L486" s="28" t="str">
        <f t="shared" si="379"/>
        <v/>
      </c>
      <c r="M486" s="10" t="str">
        <f t="shared" si="380"/>
        <v/>
      </c>
      <c r="N486" s="17" t="str">
        <f t="shared" si="381"/>
        <v/>
      </c>
      <c r="O486" s="39" t="str">
        <f t="shared" si="382"/>
        <v/>
      </c>
      <c r="P486" s="41" t="str">
        <f t="shared" si="383"/>
        <v/>
      </c>
      <c r="Q486" s="9" t="str">
        <f t="shared" si="384"/>
        <v/>
      </c>
      <c r="R486" s="14">
        <f t="shared" si="385"/>
        <v>0</v>
      </c>
      <c r="S486" s="61" t="str">
        <f t="shared" si="386"/>
        <v/>
      </c>
      <c r="T486" s="14">
        <f t="shared" si="387"/>
        <v>0</v>
      </c>
      <c r="U486" s="58" t="str">
        <f t="shared" si="388"/>
        <v/>
      </c>
      <c r="V486" s="14">
        <f t="shared" si="389"/>
        <v>0</v>
      </c>
      <c r="W486" s="58" t="str">
        <f t="shared" si="390"/>
        <v/>
      </c>
      <c r="X486" s="14">
        <f t="shared" si="391"/>
        <v>0</v>
      </c>
      <c r="Y486" s="58" t="str">
        <f t="shared" si="392"/>
        <v/>
      </c>
      <c r="Z486" s="31">
        <f t="shared" si="393"/>
        <v>0</v>
      </c>
      <c r="AA486" s="21">
        <f t="shared" si="394"/>
        <v>0</v>
      </c>
      <c r="AB486" s="58" t="str">
        <f t="shared" si="395"/>
        <v/>
      </c>
      <c r="AC486" s="630">
        <f t="shared" si="371"/>
        <v>0</v>
      </c>
      <c r="AD486" s="627"/>
      <c r="AE486" s="21">
        <f t="shared" si="396"/>
        <v>0</v>
      </c>
      <c r="AF486" s="58" t="str">
        <f t="shared" si="397"/>
        <v/>
      </c>
      <c r="AG486" s="21">
        <f t="shared" si="398"/>
        <v>0</v>
      </c>
      <c r="AH486" s="58" t="str">
        <f t="shared" si="399"/>
        <v/>
      </c>
      <c r="AI486" s="21">
        <f t="shared" si="400"/>
        <v>0</v>
      </c>
      <c r="AJ486" s="58" t="str">
        <f t="shared" si="401"/>
        <v/>
      </c>
      <c r="AK486" s="31">
        <f t="shared" si="402"/>
        <v>0</v>
      </c>
      <c r="AL486" s="21">
        <f t="shared" si="403"/>
        <v>0</v>
      </c>
      <c r="AM486" s="62" t="str">
        <f t="shared" si="404"/>
        <v/>
      </c>
      <c r="AN486" s="21">
        <f t="shared" si="405"/>
        <v>0</v>
      </c>
      <c r="AO486" s="62" t="str">
        <f t="shared" si="406"/>
        <v/>
      </c>
      <c r="AP486" s="21">
        <f t="shared" si="407"/>
        <v>0</v>
      </c>
      <c r="AQ486" s="62" t="str">
        <f t="shared" si="408"/>
        <v/>
      </c>
      <c r="AR486" s="31">
        <f t="shared" si="409"/>
        <v>0</v>
      </c>
      <c r="AS486" s="21">
        <f t="shared" si="410"/>
        <v>0</v>
      </c>
      <c r="AT486" s="62" t="str">
        <f t="shared" si="411"/>
        <v/>
      </c>
      <c r="AU486" s="84">
        <f t="shared" si="412"/>
        <v>0</v>
      </c>
      <c r="AV486" s="32">
        <f t="shared" si="413"/>
        <v>0</v>
      </c>
      <c r="AW486" s="85" t="str">
        <f t="shared" si="414"/>
        <v/>
      </c>
      <c r="AX486" s="86" t="str">
        <f t="shared" si="415"/>
        <v/>
      </c>
    </row>
    <row r="487" spans="1:50" x14ac:dyDescent="0.2">
      <c r="A487" s="29" t="str">
        <f t="shared" si="373"/>
        <v/>
      </c>
      <c r="B487" s="32" t="str">
        <f t="shared" si="374"/>
        <v/>
      </c>
      <c r="C487" s="35"/>
      <c r="D487" s="33" t="str">
        <f t="shared" si="375"/>
        <v/>
      </c>
      <c r="E487" s="22" t="str">
        <f t="shared" si="376"/>
        <v/>
      </c>
      <c r="F487" s="23" t="str">
        <f t="shared" si="377"/>
        <v/>
      </c>
      <c r="G487" s="23"/>
      <c r="H487" s="22"/>
      <c r="I487" s="23"/>
      <c r="J487" s="18"/>
      <c r="K487" s="13" t="str">
        <f t="shared" si="378"/>
        <v/>
      </c>
      <c r="L487" s="28" t="str">
        <f t="shared" si="379"/>
        <v/>
      </c>
      <c r="M487" s="10" t="str">
        <f t="shared" si="380"/>
        <v/>
      </c>
      <c r="N487" s="17" t="str">
        <f t="shared" si="381"/>
        <v/>
      </c>
      <c r="O487" s="39" t="str">
        <f t="shared" si="382"/>
        <v/>
      </c>
      <c r="P487" s="41" t="str">
        <f t="shared" si="383"/>
        <v/>
      </c>
      <c r="Q487" s="9" t="str">
        <f t="shared" si="384"/>
        <v/>
      </c>
      <c r="R487" s="14">
        <f t="shared" si="385"/>
        <v>0</v>
      </c>
      <c r="S487" s="61" t="str">
        <f t="shared" si="386"/>
        <v/>
      </c>
      <c r="T487" s="14">
        <f t="shared" si="387"/>
        <v>0</v>
      </c>
      <c r="U487" s="58" t="str">
        <f t="shared" si="388"/>
        <v/>
      </c>
      <c r="V487" s="14">
        <f t="shared" si="389"/>
        <v>0</v>
      </c>
      <c r="W487" s="58" t="str">
        <f t="shared" si="390"/>
        <v/>
      </c>
      <c r="X487" s="14">
        <f t="shared" si="391"/>
        <v>0</v>
      </c>
      <c r="Y487" s="58" t="str">
        <f t="shared" si="392"/>
        <v/>
      </c>
      <c r="Z487" s="31">
        <f t="shared" si="393"/>
        <v>0</v>
      </c>
      <c r="AA487" s="21">
        <f t="shared" si="394"/>
        <v>0</v>
      </c>
      <c r="AB487" s="58" t="str">
        <f t="shared" si="395"/>
        <v/>
      </c>
      <c r="AC487" s="630">
        <f t="shared" si="371"/>
        <v>0</v>
      </c>
      <c r="AD487" s="627"/>
      <c r="AE487" s="21">
        <f t="shared" si="396"/>
        <v>0</v>
      </c>
      <c r="AF487" s="58" t="str">
        <f t="shared" si="397"/>
        <v/>
      </c>
      <c r="AG487" s="21">
        <f t="shared" si="398"/>
        <v>0</v>
      </c>
      <c r="AH487" s="58" t="str">
        <f t="shared" si="399"/>
        <v/>
      </c>
      <c r="AI487" s="21">
        <f t="shared" si="400"/>
        <v>0</v>
      </c>
      <c r="AJ487" s="58" t="str">
        <f t="shared" si="401"/>
        <v/>
      </c>
      <c r="AK487" s="31">
        <f t="shared" si="402"/>
        <v>0</v>
      </c>
      <c r="AL487" s="21">
        <f t="shared" si="403"/>
        <v>0</v>
      </c>
      <c r="AM487" s="62" t="str">
        <f t="shared" si="404"/>
        <v/>
      </c>
      <c r="AN487" s="21">
        <f t="shared" si="405"/>
        <v>0</v>
      </c>
      <c r="AO487" s="62" t="str">
        <f t="shared" si="406"/>
        <v/>
      </c>
      <c r="AP487" s="21">
        <f t="shared" si="407"/>
        <v>0</v>
      </c>
      <c r="AQ487" s="62" t="str">
        <f t="shared" si="408"/>
        <v/>
      </c>
      <c r="AR487" s="31">
        <f t="shared" si="409"/>
        <v>0</v>
      </c>
      <c r="AS487" s="21">
        <f t="shared" si="410"/>
        <v>0</v>
      </c>
      <c r="AT487" s="62" t="str">
        <f t="shared" si="411"/>
        <v/>
      </c>
      <c r="AU487" s="84">
        <f t="shared" si="412"/>
        <v>0</v>
      </c>
      <c r="AV487" s="32">
        <f t="shared" si="413"/>
        <v>0</v>
      </c>
      <c r="AW487" s="85" t="str">
        <f t="shared" si="414"/>
        <v/>
      </c>
      <c r="AX487" s="86" t="str">
        <f t="shared" si="415"/>
        <v/>
      </c>
    </row>
    <row r="488" spans="1:50" x14ac:dyDescent="0.2">
      <c r="A488" s="29" t="str">
        <f t="shared" si="373"/>
        <v/>
      </c>
      <c r="B488" s="32" t="str">
        <f t="shared" si="374"/>
        <v/>
      </c>
      <c r="C488" s="35"/>
      <c r="D488" s="33" t="str">
        <f t="shared" si="375"/>
        <v/>
      </c>
      <c r="E488" s="22" t="str">
        <f t="shared" si="376"/>
        <v/>
      </c>
      <c r="F488" s="23" t="str">
        <f t="shared" si="377"/>
        <v/>
      </c>
      <c r="G488" s="23"/>
      <c r="H488" s="22"/>
      <c r="I488" s="23"/>
      <c r="J488" s="18"/>
      <c r="K488" s="13" t="str">
        <f t="shared" si="378"/>
        <v/>
      </c>
      <c r="L488" s="28" t="str">
        <f t="shared" si="379"/>
        <v/>
      </c>
      <c r="M488" s="10" t="str">
        <f t="shared" si="380"/>
        <v/>
      </c>
      <c r="N488" s="17" t="str">
        <f t="shared" si="381"/>
        <v/>
      </c>
      <c r="O488" s="39" t="str">
        <f t="shared" si="382"/>
        <v/>
      </c>
      <c r="P488" s="41" t="str">
        <f t="shared" si="383"/>
        <v/>
      </c>
      <c r="Q488" s="9" t="str">
        <f t="shared" si="384"/>
        <v/>
      </c>
      <c r="R488" s="14">
        <f t="shared" si="385"/>
        <v>0</v>
      </c>
      <c r="S488" s="61" t="str">
        <f t="shared" si="386"/>
        <v/>
      </c>
      <c r="T488" s="14">
        <f t="shared" si="387"/>
        <v>0</v>
      </c>
      <c r="U488" s="58" t="str">
        <f t="shared" si="388"/>
        <v/>
      </c>
      <c r="V488" s="14">
        <f t="shared" si="389"/>
        <v>0</v>
      </c>
      <c r="W488" s="58" t="str">
        <f t="shared" si="390"/>
        <v/>
      </c>
      <c r="X488" s="14">
        <f t="shared" si="391"/>
        <v>0</v>
      </c>
      <c r="Y488" s="58" t="str">
        <f t="shared" si="392"/>
        <v/>
      </c>
      <c r="Z488" s="31">
        <f t="shared" si="393"/>
        <v>0</v>
      </c>
      <c r="AA488" s="21">
        <f t="shared" si="394"/>
        <v>0</v>
      </c>
      <c r="AB488" s="58" t="str">
        <f t="shared" si="395"/>
        <v/>
      </c>
      <c r="AC488" s="630">
        <f t="shared" si="371"/>
        <v>0</v>
      </c>
      <c r="AD488" s="627"/>
      <c r="AE488" s="21">
        <f t="shared" si="396"/>
        <v>0</v>
      </c>
      <c r="AF488" s="58" t="str">
        <f t="shared" si="397"/>
        <v/>
      </c>
      <c r="AG488" s="21">
        <f t="shared" si="398"/>
        <v>0</v>
      </c>
      <c r="AH488" s="58" t="str">
        <f t="shared" si="399"/>
        <v/>
      </c>
      <c r="AI488" s="21">
        <f t="shared" si="400"/>
        <v>0</v>
      </c>
      <c r="AJ488" s="58" t="str">
        <f t="shared" si="401"/>
        <v/>
      </c>
      <c r="AK488" s="31">
        <f t="shared" si="402"/>
        <v>0</v>
      </c>
      <c r="AL488" s="21">
        <f t="shared" si="403"/>
        <v>0</v>
      </c>
      <c r="AM488" s="62" t="str">
        <f t="shared" si="404"/>
        <v/>
      </c>
      <c r="AN488" s="21">
        <f t="shared" si="405"/>
        <v>0</v>
      </c>
      <c r="AO488" s="62" t="str">
        <f t="shared" si="406"/>
        <v/>
      </c>
      <c r="AP488" s="21">
        <f t="shared" si="407"/>
        <v>0</v>
      </c>
      <c r="AQ488" s="62" t="str">
        <f t="shared" si="408"/>
        <v/>
      </c>
      <c r="AR488" s="31">
        <f t="shared" si="409"/>
        <v>0</v>
      </c>
      <c r="AS488" s="21">
        <f t="shared" si="410"/>
        <v>0</v>
      </c>
      <c r="AT488" s="62" t="str">
        <f t="shared" si="411"/>
        <v/>
      </c>
      <c r="AU488" s="84">
        <f t="shared" si="412"/>
        <v>0</v>
      </c>
      <c r="AV488" s="32">
        <f t="shared" si="413"/>
        <v>0</v>
      </c>
      <c r="AW488" s="85" t="str">
        <f t="shared" si="414"/>
        <v/>
      </c>
      <c r="AX488" s="86" t="str">
        <f t="shared" si="415"/>
        <v/>
      </c>
    </row>
    <row r="489" spans="1:50" x14ac:dyDescent="0.2">
      <c r="A489" s="29" t="str">
        <f t="shared" si="373"/>
        <v/>
      </c>
      <c r="B489" s="32" t="str">
        <f t="shared" si="374"/>
        <v/>
      </c>
      <c r="C489" s="35"/>
      <c r="D489" s="33" t="str">
        <f t="shared" si="375"/>
        <v/>
      </c>
      <c r="E489" s="22" t="str">
        <f t="shared" si="376"/>
        <v/>
      </c>
      <c r="F489" s="23" t="str">
        <f t="shared" si="377"/>
        <v/>
      </c>
      <c r="G489" s="23"/>
      <c r="H489" s="22"/>
      <c r="I489" s="23"/>
      <c r="J489" s="18"/>
      <c r="K489" s="13" t="str">
        <f t="shared" si="378"/>
        <v/>
      </c>
      <c r="L489" s="28" t="str">
        <f t="shared" si="379"/>
        <v/>
      </c>
      <c r="M489" s="10" t="str">
        <f t="shared" si="380"/>
        <v/>
      </c>
      <c r="N489" s="17" t="str">
        <f t="shared" si="381"/>
        <v/>
      </c>
      <c r="O489" s="39" t="str">
        <f t="shared" si="382"/>
        <v/>
      </c>
      <c r="P489" s="41" t="str">
        <f t="shared" si="383"/>
        <v/>
      </c>
      <c r="Q489" s="9" t="str">
        <f t="shared" si="384"/>
        <v/>
      </c>
      <c r="R489" s="14">
        <f t="shared" si="385"/>
        <v>0</v>
      </c>
      <c r="S489" s="61" t="str">
        <f t="shared" si="386"/>
        <v/>
      </c>
      <c r="T489" s="14">
        <f t="shared" si="387"/>
        <v>0</v>
      </c>
      <c r="U489" s="58" t="str">
        <f t="shared" si="388"/>
        <v/>
      </c>
      <c r="V489" s="14">
        <f t="shared" si="389"/>
        <v>0</v>
      </c>
      <c r="W489" s="58" t="str">
        <f t="shared" si="390"/>
        <v/>
      </c>
      <c r="X489" s="14">
        <f t="shared" si="391"/>
        <v>0</v>
      </c>
      <c r="Y489" s="58" t="str">
        <f t="shared" si="392"/>
        <v/>
      </c>
      <c r="Z489" s="31">
        <f t="shared" si="393"/>
        <v>0</v>
      </c>
      <c r="AA489" s="21">
        <f t="shared" si="394"/>
        <v>0</v>
      </c>
      <c r="AB489" s="58" t="str">
        <f t="shared" si="395"/>
        <v/>
      </c>
      <c r="AC489" s="630">
        <f t="shared" si="371"/>
        <v>0</v>
      </c>
      <c r="AD489" s="627"/>
      <c r="AE489" s="21">
        <f t="shared" si="396"/>
        <v>0</v>
      </c>
      <c r="AF489" s="58" t="str">
        <f t="shared" si="397"/>
        <v/>
      </c>
      <c r="AG489" s="21">
        <f t="shared" si="398"/>
        <v>0</v>
      </c>
      <c r="AH489" s="58" t="str">
        <f t="shared" si="399"/>
        <v/>
      </c>
      <c r="AI489" s="21">
        <f t="shared" si="400"/>
        <v>0</v>
      </c>
      <c r="AJ489" s="58" t="str">
        <f t="shared" si="401"/>
        <v/>
      </c>
      <c r="AK489" s="31">
        <f t="shared" si="402"/>
        <v>0</v>
      </c>
      <c r="AL489" s="21">
        <f t="shared" si="403"/>
        <v>0</v>
      </c>
      <c r="AM489" s="62" t="str">
        <f t="shared" si="404"/>
        <v/>
      </c>
      <c r="AN489" s="21">
        <f t="shared" si="405"/>
        <v>0</v>
      </c>
      <c r="AO489" s="62" t="str">
        <f t="shared" si="406"/>
        <v/>
      </c>
      <c r="AP489" s="21">
        <f t="shared" si="407"/>
        <v>0</v>
      </c>
      <c r="AQ489" s="62" t="str">
        <f t="shared" si="408"/>
        <v/>
      </c>
      <c r="AR489" s="31">
        <f t="shared" si="409"/>
        <v>0</v>
      </c>
      <c r="AS489" s="21">
        <f t="shared" si="410"/>
        <v>0</v>
      </c>
      <c r="AT489" s="62" t="str">
        <f t="shared" si="411"/>
        <v/>
      </c>
      <c r="AU489" s="84">
        <f t="shared" si="412"/>
        <v>0</v>
      </c>
      <c r="AV489" s="32">
        <f t="shared" si="413"/>
        <v>0</v>
      </c>
      <c r="AW489" s="85" t="str">
        <f t="shared" si="414"/>
        <v/>
      </c>
      <c r="AX489" s="86" t="str">
        <f t="shared" si="415"/>
        <v/>
      </c>
    </row>
    <row r="490" spans="1:50" x14ac:dyDescent="0.2">
      <c r="A490" s="29" t="str">
        <f t="shared" si="373"/>
        <v/>
      </c>
      <c r="B490" s="32" t="str">
        <f t="shared" si="374"/>
        <v/>
      </c>
      <c r="C490" s="35"/>
      <c r="D490" s="33" t="str">
        <f t="shared" si="375"/>
        <v/>
      </c>
      <c r="E490" s="22" t="str">
        <f t="shared" si="376"/>
        <v/>
      </c>
      <c r="F490" s="23" t="str">
        <f t="shared" si="377"/>
        <v/>
      </c>
      <c r="G490" s="23"/>
      <c r="H490" s="22"/>
      <c r="I490" s="23"/>
      <c r="J490" s="18"/>
      <c r="K490" s="13" t="str">
        <f t="shared" si="378"/>
        <v/>
      </c>
      <c r="L490" s="28" t="str">
        <f t="shared" si="379"/>
        <v/>
      </c>
      <c r="M490" s="10" t="str">
        <f t="shared" si="380"/>
        <v/>
      </c>
      <c r="N490" s="17" t="str">
        <f t="shared" si="381"/>
        <v/>
      </c>
      <c r="O490" s="39" t="str">
        <f t="shared" si="382"/>
        <v/>
      </c>
      <c r="P490" s="41" t="str">
        <f t="shared" si="383"/>
        <v/>
      </c>
      <c r="Q490" s="9" t="str">
        <f t="shared" si="384"/>
        <v/>
      </c>
      <c r="R490" s="14">
        <f t="shared" si="385"/>
        <v>0</v>
      </c>
      <c r="S490" s="61" t="str">
        <f t="shared" si="386"/>
        <v/>
      </c>
      <c r="T490" s="14">
        <f t="shared" si="387"/>
        <v>0</v>
      </c>
      <c r="U490" s="58" t="str">
        <f t="shared" si="388"/>
        <v/>
      </c>
      <c r="V490" s="14">
        <f t="shared" si="389"/>
        <v>0</v>
      </c>
      <c r="W490" s="58" t="str">
        <f t="shared" si="390"/>
        <v/>
      </c>
      <c r="X490" s="14">
        <f t="shared" si="391"/>
        <v>0</v>
      </c>
      <c r="Y490" s="58" t="str">
        <f t="shared" si="392"/>
        <v/>
      </c>
      <c r="Z490" s="31">
        <f t="shared" si="393"/>
        <v>0</v>
      </c>
      <c r="AA490" s="21">
        <f t="shared" si="394"/>
        <v>0</v>
      </c>
      <c r="AB490" s="58" t="str">
        <f t="shared" si="395"/>
        <v/>
      </c>
      <c r="AC490" s="630">
        <f t="shared" si="371"/>
        <v>0</v>
      </c>
      <c r="AD490" s="627"/>
      <c r="AE490" s="21">
        <f t="shared" si="396"/>
        <v>0</v>
      </c>
      <c r="AF490" s="58" t="str">
        <f t="shared" si="397"/>
        <v/>
      </c>
      <c r="AG490" s="21">
        <f t="shared" si="398"/>
        <v>0</v>
      </c>
      <c r="AH490" s="58" t="str">
        <f t="shared" si="399"/>
        <v/>
      </c>
      <c r="AI490" s="21">
        <f t="shared" si="400"/>
        <v>0</v>
      </c>
      <c r="AJ490" s="58" t="str">
        <f t="shared" si="401"/>
        <v/>
      </c>
      <c r="AK490" s="31">
        <f t="shared" si="402"/>
        <v>0</v>
      </c>
      <c r="AL490" s="21">
        <f t="shared" si="403"/>
        <v>0</v>
      </c>
      <c r="AM490" s="62" t="str">
        <f t="shared" si="404"/>
        <v/>
      </c>
      <c r="AN490" s="21">
        <f t="shared" si="405"/>
        <v>0</v>
      </c>
      <c r="AO490" s="62" t="str">
        <f t="shared" si="406"/>
        <v/>
      </c>
      <c r="AP490" s="21">
        <f t="shared" si="407"/>
        <v>0</v>
      </c>
      <c r="AQ490" s="62" t="str">
        <f t="shared" si="408"/>
        <v/>
      </c>
      <c r="AR490" s="31">
        <f t="shared" si="409"/>
        <v>0</v>
      </c>
      <c r="AS490" s="21">
        <f t="shared" si="410"/>
        <v>0</v>
      </c>
      <c r="AT490" s="62" t="str">
        <f t="shared" si="411"/>
        <v/>
      </c>
      <c r="AU490" s="84">
        <f t="shared" si="412"/>
        <v>0</v>
      </c>
      <c r="AV490" s="32">
        <f t="shared" si="413"/>
        <v>0</v>
      </c>
      <c r="AW490" s="85" t="str">
        <f t="shared" si="414"/>
        <v/>
      </c>
      <c r="AX490" s="86" t="str">
        <f t="shared" si="415"/>
        <v/>
      </c>
    </row>
    <row r="491" spans="1:50" x14ac:dyDescent="0.2">
      <c r="A491" s="29" t="str">
        <f t="shared" si="373"/>
        <v/>
      </c>
      <c r="B491" s="32" t="str">
        <f t="shared" si="374"/>
        <v/>
      </c>
      <c r="C491" s="35"/>
      <c r="D491" s="33" t="str">
        <f t="shared" si="375"/>
        <v/>
      </c>
      <c r="E491" s="22" t="str">
        <f t="shared" si="376"/>
        <v/>
      </c>
      <c r="F491" s="23" t="str">
        <f t="shared" si="377"/>
        <v/>
      </c>
      <c r="G491" s="23"/>
      <c r="H491" s="22"/>
      <c r="I491" s="23"/>
      <c r="J491" s="18"/>
      <c r="K491" s="13" t="str">
        <f t="shared" si="378"/>
        <v/>
      </c>
      <c r="L491" s="28" t="str">
        <f t="shared" si="379"/>
        <v/>
      </c>
      <c r="M491" s="10" t="str">
        <f t="shared" si="380"/>
        <v/>
      </c>
      <c r="N491" s="17" t="str">
        <f t="shared" si="381"/>
        <v/>
      </c>
      <c r="O491" s="39" t="str">
        <f t="shared" si="382"/>
        <v/>
      </c>
      <c r="P491" s="41" t="str">
        <f t="shared" si="383"/>
        <v/>
      </c>
      <c r="Q491" s="9" t="str">
        <f t="shared" si="384"/>
        <v/>
      </c>
      <c r="R491" s="14">
        <f t="shared" si="385"/>
        <v>0</v>
      </c>
      <c r="S491" s="61" t="str">
        <f t="shared" si="386"/>
        <v/>
      </c>
      <c r="T491" s="14">
        <f t="shared" si="387"/>
        <v>0</v>
      </c>
      <c r="U491" s="58" t="str">
        <f t="shared" si="388"/>
        <v/>
      </c>
      <c r="V491" s="14">
        <f t="shared" si="389"/>
        <v>0</v>
      </c>
      <c r="W491" s="58" t="str">
        <f t="shared" si="390"/>
        <v/>
      </c>
      <c r="X491" s="14">
        <f t="shared" si="391"/>
        <v>0</v>
      </c>
      <c r="Y491" s="58" t="str">
        <f t="shared" si="392"/>
        <v/>
      </c>
      <c r="Z491" s="31">
        <f t="shared" si="393"/>
        <v>0</v>
      </c>
      <c r="AA491" s="21">
        <f t="shared" si="394"/>
        <v>0</v>
      </c>
      <c r="AB491" s="58" t="str">
        <f t="shared" si="395"/>
        <v/>
      </c>
      <c r="AC491" s="630">
        <f t="shared" si="371"/>
        <v>0</v>
      </c>
      <c r="AD491" s="627"/>
      <c r="AE491" s="21">
        <f t="shared" si="396"/>
        <v>0</v>
      </c>
      <c r="AF491" s="58" t="str">
        <f t="shared" si="397"/>
        <v/>
      </c>
      <c r="AG491" s="21">
        <f t="shared" si="398"/>
        <v>0</v>
      </c>
      <c r="AH491" s="58" t="str">
        <f t="shared" si="399"/>
        <v/>
      </c>
      <c r="AI491" s="21">
        <f t="shared" si="400"/>
        <v>0</v>
      </c>
      <c r="AJ491" s="58" t="str">
        <f t="shared" si="401"/>
        <v/>
      </c>
      <c r="AK491" s="31">
        <f t="shared" si="402"/>
        <v>0</v>
      </c>
      <c r="AL491" s="21">
        <f t="shared" si="403"/>
        <v>0</v>
      </c>
      <c r="AM491" s="62" t="str">
        <f t="shared" si="404"/>
        <v/>
      </c>
      <c r="AN491" s="21">
        <f t="shared" si="405"/>
        <v>0</v>
      </c>
      <c r="AO491" s="62" t="str">
        <f t="shared" si="406"/>
        <v/>
      </c>
      <c r="AP491" s="21">
        <f t="shared" si="407"/>
        <v>0</v>
      </c>
      <c r="AQ491" s="62" t="str">
        <f t="shared" si="408"/>
        <v/>
      </c>
      <c r="AR491" s="31">
        <f t="shared" si="409"/>
        <v>0</v>
      </c>
      <c r="AS491" s="21">
        <f t="shared" si="410"/>
        <v>0</v>
      </c>
      <c r="AT491" s="62" t="str">
        <f t="shared" si="411"/>
        <v/>
      </c>
      <c r="AU491" s="84">
        <f t="shared" si="412"/>
        <v>0</v>
      </c>
      <c r="AV491" s="32">
        <f t="shared" si="413"/>
        <v>0</v>
      </c>
      <c r="AW491" s="85" t="str">
        <f t="shared" si="414"/>
        <v/>
      </c>
      <c r="AX491" s="86" t="str">
        <f t="shared" si="415"/>
        <v/>
      </c>
    </row>
    <row r="492" spans="1:50" x14ac:dyDescent="0.2">
      <c r="A492" s="29" t="str">
        <f t="shared" si="373"/>
        <v/>
      </c>
      <c r="B492" s="32" t="str">
        <f t="shared" si="374"/>
        <v/>
      </c>
      <c r="C492" s="35"/>
      <c r="D492" s="33" t="str">
        <f t="shared" si="375"/>
        <v/>
      </c>
      <c r="E492" s="22" t="str">
        <f t="shared" si="376"/>
        <v/>
      </c>
      <c r="F492" s="23" t="str">
        <f t="shared" si="377"/>
        <v/>
      </c>
      <c r="G492" s="23"/>
      <c r="H492" s="22"/>
      <c r="I492" s="23"/>
      <c r="J492" s="18"/>
      <c r="K492" s="13" t="str">
        <f t="shared" si="378"/>
        <v/>
      </c>
      <c r="L492" s="28" t="str">
        <f t="shared" si="379"/>
        <v/>
      </c>
      <c r="M492" s="10" t="str">
        <f t="shared" si="380"/>
        <v/>
      </c>
      <c r="N492" s="17" t="str">
        <f t="shared" si="381"/>
        <v/>
      </c>
      <c r="O492" s="39" t="str">
        <f t="shared" si="382"/>
        <v/>
      </c>
      <c r="P492" s="41" t="str">
        <f t="shared" si="383"/>
        <v/>
      </c>
      <c r="Q492" s="9" t="str">
        <f t="shared" si="384"/>
        <v/>
      </c>
      <c r="R492" s="14">
        <f t="shared" si="385"/>
        <v>0</v>
      </c>
      <c r="S492" s="61" t="str">
        <f t="shared" si="386"/>
        <v/>
      </c>
      <c r="T492" s="14">
        <f t="shared" si="387"/>
        <v>0</v>
      </c>
      <c r="U492" s="58" t="str">
        <f t="shared" si="388"/>
        <v/>
      </c>
      <c r="V492" s="14">
        <f t="shared" si="389"/>
        <v>0</v>
      </c>
      <c r="W492" s="58" t="str">
        <f t="shared" si="390"/>
        <v/>
      </c>
      <c r="X492" s="14">
        <f t="shared" si="391"/>
        <v>0</v>
      </c>
      <c r="Y492" s="58" t="str">
        <f t="shared" si="392"/>
        <v/>
      </c>
      <c r="Z492" s="31">
        <f t="shared" si="393"/>
        <v>0</v>
      </c>
      <c r="AA492" s="21">
        <f t="shared" si="394"/>
        <v>0</v>
      </c>
      <c r="AB492" s="58" t="str">
        <f t="shared" si="395"/>
        <v/>
      </c>
      <c r="AC492" s="630">
        <f t="shared" si="371"/>
        <v>0</v>
      </c>
      <c r="AD492" s="627"/>
      <c r="AE492" s="21">
        <f t="shared" si="396"/>
        <v>0</v>
      </c>
      <c r="AF492" s="58" t="str">
        <f t="shared" si="397"/>
        <v/>
      </c>
      <c r="AG492" s="21">
        <f t="shared" si="398"/>
        <v>0</v>
      </c>
      <c r="AH492" s="58" t="str">
        <f t="shared" si="399"/>
        <v/>
      </c>
      <c r="AI492" s="21">
        <f t="shared" si="400"/>
        <v>0</v>
      </c>
      <c r="AJ492" s="58" t="str">
        <f t="shared" si="401"/>
        <v/>
      </c>
      <c r="AK492" s="31">
        <f t="shared" si="402"/>
        <v>0</v>
      </c>
      <c r="AL492" s="21">
        <f t="shared" si="403"/>
        <v>0</v>
      </c>
      <c r="AM492" s="62" t="str">
        <f t="shared" si="404"/>
        <v/>
      </c>
      <c r="AN492" s="21">
        <f t="shared" si="405"/>
        <v>0</v>
      </c>
      <c r="AO492" s="62" t="str">
        <f t="shared" si="406"/>
        <v/>
      </c>
      <c r="AP492" s="21">
        <f t="shared" si="407"/>
        <v>0</v>
      </c>
      <c r="AQ492" s="62" t="str">
        <f t="shared" si="408"/>
        <v/>
      </c>
      <c r="AR492" s="31">
        <f t="shared" si="409"/>
        <v>0</v>
      </c>
      <c r="AS492" s="21">
        <f t="shared" si="410"/>
        <v>0</v>
      </c>
      <c r="AT492" s="62" t="str">
        <f t="shared" si="411"/>
        <v/>
      </c>
      <c r="AU492" s="84">
        <f t="shared" si="412"/>
        <v>0</v>
      </c>
      <c r="AV492" s="32">
        <f t="shared" si="413"/>
        <v>0</v>
      </c>
      <c r="AW492" s="85" t="str">
        <f t="shared" si="414"/>
        <v/>
      </c>
      <c r="AX492" s="86" t="str">
        <f t="shared" si="415"/>
        <v/>
      </c>
    </row>
    <row r="493" spans="1:50" x14ac:dyDescent="0.2">
      <c r="A493" s="29" t="str">
        <f t="shared" si="373"/>
        <v/>
      </c>
      <c r="B493" s="32" t="str">
        <f t="shared" si="374"/>
        <v/>
      </c>
      <c r="C493" s="35"/>
      <c r="D493" s="33" t="str">
        <f t="shared" si="375"/>
        <v/>
      </c>
      <c r="E493" s="22" t="str">
        <f t="shared" si="376"/>
        <v/>
      </c>
      <c r="F493" s="23" t="str">
        <f t="shared" si="377"/>
        <v/>
      </c>
      <c r="G493" s="23"/>
      <c r="H493" s="22"/>
      <c r="I493" s="23"/>
      <c r="J493" s="18"/>
      <c r="K493" s="13" t="str">
        <f t="shared" si="378"/>
        <v/>
      </c>
      <c r="L493" s="28" t="str">
        <f t="shared" si="379"/>
        <v/>
      </c>
      <c r="M493" s="10" t="str">
        <f t="shared" si="380"/>
        <v/>
      </c>
      <c r="N493" s="17" t="str">
        <f t="shared" si="381"/>
        <v/>
      </c>
      <c r="O493" s="39" t="str">
        <f t="shared" si="382"/>
        <v/>
      </c>
      <c r="P493" s="41" t="str">
        <f t="shared" si="383"/>
        <v/>
      </c>
      <c r="Q493" s="9" t="str">
        <f t="shared" si="384"/>
        <v/>
      </c>
      <c r="R493" s="14">
        <f t="shared" si="385"/>
        <v>0</v>
      </c>
      <c r="S493" s="61" t="str">
        <f t="shared" si="386"/>
        <v/>
      </c>
      <c r="T493" s="14">
        <f t="shared" si="387"/>
        <v>0</v>
      </c>
      <c r="U493" s="58" t="str">
        <f t="shared" si="388"/>
        <v/>
      </c>
      <c r="V493" s="14">
        <f t="shared" si="389"/>
        <v>0</v>
      </c>
      <c r="W493" s="58" t="str">
        <f t="shared" si="390"/>
        <v/>
      </c>
      <c r="X493" s="14">
        <f t="shared" si="391"/>
        <v>0</v>
      </c>
      <c r="Y493" s="58" t="str">
        <f t="shared" si="392"/>
        <v/>
      </c>
      <c r="Z493" s="31">
        <f t="shared" si="393"/>
        <v>0</v>
      </c>
      <c r="AA493" s="21">
        <f t="shared" si="394"/>
        <v>0</v>
      </c>
      <c r="AB493" s="58" t="str">
        <f t="shared" si="395"/>
        <v/>
      </c>
      <c r="AC493" s="630">
        <f t="shared" si="371"/>
        <v>0</v>
      </c>
      <c r="AD493" s="627"/>
      <c r="AE493" s="21">
        <f t="shared" si="396"/>
        <v>0</v>
      </c>
      <c r="AF493" s="58" t="str">
        <f t="shared" si="397"/>
        <v/>
      </c>
      <c r="AG493" s="21">
        <f t="shared" si="398"/>
        <v>0</v>
      </c>
      <c r="AH493" s="58" t="str">
        <f t="shared" si="399"/>
        <v/>
      </c>
      <c r="AI493" s="21">
        <f t="shared" si="400"/>
        <v>0</v>
      </c>
      <c r="AJ493" s="58" t="str">
        <f t="shared" si="401"/>
        <v/>
      </c>
      <c r="AK493" s="31">
        <f t="shared" si="402"/>
        <v>0</v>
      </c>
      <c r="AL493" s="21">
        <f t="shared" si="403"/>
        <v>0</v>
      </c>
      <c r="AM493" s="62" t="str">
        <f t="shared" si="404"/>
        <v/>
      </c>
      <c r="AN493" s="21">
        <f t="shared" si="405"/>
        <v>0</v>
      </c>
      <c r="AO493" s="62" t="str">
        <f t="shared" si="406"/>
        <v/>
      </c>
      <c r="AP493" s="21">
        <f t="shared" si="407"/>
        <v>0</v>
      </c>
      <c r="AQ493" s="62" t="str">
        <f t="shared" si="408"/>
        <v/>
      </c>
      <c r="AR493" s="31">
        <f t="shared" si="409"/>
        <v>0</v>
      </c>
      <c r="AS493" s="21">
        <f t="shared" si="410"/>
        <v>0</v>
      </c>
      <c r="AT493" s="62" t="str">
        <f t="shared" si="411"/>
        <v/>
      </c>
      <c r="AU493" s="84">
        <f t="shared" si="412"/>
        <v>0</v>
      </c>
      <c r="AV493" s="32">
        <f t="shared" si="413"/>
        <v>0</v>
      </c>
      <c r="AW493" s="85" t="str">
        <f t="shared" si="414"/>
        <v/>
      </c>
      <c r="AX493" s="86" t="str">
        <f t="shared" si="415"/>
        <v/>
      </c>
    </row>
    <row r="494" spans="1:50" x14ac:dyDescent="0.2">
      <c r="A494" s="29" t="str">
        <f t="shared" si="373"/>
        <v/>
      </c>
      <c r="B494" s="32" t="str">
        <f t="shared" si="374"/>
        <v/>
      </c>
      <c r="C494" s="35"/>
      <c r="D494" s="33" t="str">
        <f t="shared" si="375"/>
        <v/>
      </c>
      <c r="E494" s="22" t="str">
        <f t="shared" si="376"/>
        <v/>
      </c>
      <c r="F494" s="23" t="str">
        <f t="shared" si="377"/>
        <v/>
      </c>
      <c r="G494" s="23"/>
      <c r="H494" s="22"/>
      <c r="I494" s="23"/>
      <c r="J494" s="18"/>
      <c r="K494" s="13" t="str">
        <f t="shared" si="378"/>
        <v/>
      </c>
      <c r="L494" s="28" t="str">
        <f t="shared" si="379"/>
        <v/>
      </c>
      <c r="M494" s="10" t="str">
        <f t="shared" si="380"/>
        <v/>
      </c>
      <c r="N494" s="17" t="str">
        <f t="shared" si="381"/>
        <v/>
      </c>
      <c r="O494" s="39" t="str">
        <f t="shared" si="382"/>
        <v/>
      </c>
      <c r="P494" s="41" t="str">
        <f t="shared" si="383"/>
        <v/>
      </c>
      <c r="Q494" s="9" t="str">
        <f t="shared" si="384"/>
        <v/>
      </c>
      <c r="R494" s="14">
        <f t="shared" si="385"/>
        <v>0</v>
      </c>
      <c r="S494" s="61" t="str">
        <f t="shared" si="386"/>
        <v/>
      </c>
      <c r="T494" s="14">
        <f t="shared" si="387"/>
        <v>0</v>
      </c>
      <c r="U494" s="58" t="str">
        <f t="shared" si="388"/>
        <v/>
      </c>
      <c r="V494" s="14">
        <f t="shared" si="389"/>
        <v>0</v>
      </c>
      <c r="W494" s="58" t="str">
        <f t="shared" si="390"/>
        <v/>
      </c>
      <c r="X494" s="14">
        <f t="shared" si="391"/>
        <v>0</v>
      </c>
      <c r="Y494" s="58" t="str">
        <f t="shared" si="392"/>
        <v/>
      </c>
      <c r="Z494" s="31">
        <f t="shared" si="393"/>
        <v>0</v>
      </c>
      <c r="AA494" s="21">
        <f t="shared" si="394"/>
        <v>0</v>
      </c>
      <c r="AB494" s="58" t="str">
        <f t="shared" si="395"/>
        <v/>
      </c>
      <c r="AC494" s="630">
        <f t="shared" si="371"/>
        <v>0</v>
      </c>
      <c r="AD494" s="627"/>
      <c r="AE494" s="21">
        <f t="shared" si="396"/>
        <v>0</v>
      </c>
      <c r="AF494" s="58" t="str">
        <f t="shared" si="397"/>
        <v/>
      </c>
      <c r="AG494" s="21">
        <f t="shared" si="398"/>
        <v>0</v>
      </c>
      <c r="AH494" s="58" t="str">
        <f t="shared" si="399"/>
        <v/>
      </c>
      <c r="AI494" s="21">
        <f t="shared" si="400"/>
        <v>0</v>
      </c>
      <c r="AJ494" s="58" t="str">
        <f t="shared" si="401"/>
        <v/>
      </c>
      <c r="AK494" s="31">
        <f t="shared" si="402"/>
        <v>0</v>
      </c>
      <c r="AL494" s="21">
        <f t="shared" si="403"/>
        <v>0</v>
      </c>
      <c r="AM494" s="62" t="str">
        <f t="shared" si="404"/>
        <v/>
      </c>
      <c r="AN494" s="21">
        <f t="shared" si="405"/>
        <v>0</v>
      </c>
      <c r="AO494" s="62" t="str">
        <f t="shared" si="406"/>
        <v/>
      </c>
      <c r="AP494" s="21">
        <f t="shared" si="407"/>
        <v>0</v>
      </c>
      <c r="AQ494" s="62" t="str">
        <f t="shared" si="408"/>
        <v/>
      </c>
      <c r="AR494" s="31">
        <f t="shared" si="409"/>
        <v>0</v>
      </c>
      <c r="AS494" s="21">
        <f t="shared" si="410"/>
        <v>0</v>
      </c>
      <c r="AT494" s="62" t="str">
        <f t="shared" si="411"/>
        <v/>
      </c>
      <c r="AU494" s="84">
        <f t="shared" si="412"/>
        <v>0</v>
      </c>
      <c r="AV494" s="32">
        <f t="shared" si="413"/>
        <v>0</v>
      </c>
      <c r="AW494" s="85" t="str">
        <f t="shared" si="414"/>
        <v/>
      </c>
      <c r="AX494" s="86" t="str">
        <f t="shared" si="415"/>
        <v/>
      </c>
    </row>
    <row r="495" spans="1:50" x14ac:dyDescent="0.2">
      <c r="A495" s="29" t="str">
        <f t="shared" si="373"/>
        <v/>
      </c>
      <c r="B495" s="32" t="str">
        <f t="shared" si="374"/>
        <v/>
      </c>
      <c r="C495" s="35"/>
      <c r="D495" s="33" t="str">
        <f t="shared" si="375"/>
        <v/>
      </c>
      <c r="E495" s="22" t="str">
        <f t="shared" si="376"/>
        <v/>
      </c>
      <c r="F495" s="23" t="str">
        <f t="shared" si="377"/>
        <v/>
      </c>
      <c r="G495" s="23"/>
      <c r="H495" s="22"/>
      <c r="I495" s="23"/>
      <c r="J495" s="18"/>
      <c r="K495" s="13" t="str">
        <f t="shared" si="378"/>
        <v/>
      </c>
      <c r="L495" s="28" t="str">
        <f t="shared" si="379"/>
        <v/>
      </c>
      <c r="M495" s="10" t="str">
        <f t="shared" si="380"/>
        <v/>
      </c>
      <c r="N495" s="17" t="str">
        <f t="shared" si="381"/>
        <v/>
      </c>
      <c r="O495" s="39" t="str">
        <f t="shared" si="382"/>
        <v/>
      </c>
      <c r="P495" s="41" t="str">
        <f t="shared" si="383"/>
        <v/>
      </c>
      <c r="Q495" s="9" t="str">
        <f t="shared" si="384"/>
        <v/>
      </c>
      <c r="R495" s="14">
        <f t="shared" si="385"/>
        <v>0</v>
      </c>
      <c r="S495" s="61" t="str">
        <f t="shared" si="386"/>
        <v/>
      </c>
      <c r="T495" s="14">
        <f t="shared" si="387"/>
        <v>0</v>
      </c>
      <c r="U495" s="58" t="str">
        <f t="shared" si="388"/>
        <v/>
      </c>
      <c r="V495" s="14">
        <f t="shared" si="389"/>
        <v>0</v>
      </c>
      <c r="W495" s="58" t="str">
        <f t="shared" si="390"/>
        <v/>
      </c>
      <c r="X495" s="14">
        <f t="shared" si="391"/>
        <v>0</v>
      </c>
      <c r="Y495" s="58" t="str">
        <f t="shared" si="392"/>
        <v/>
      </c>
      <c r="Z495" s="31">
        <f t="shared" si="393"/>
        <v>0</v>
      </c>
      <c r="AA495" s="21">
        <f t="shared" si="394"/>
        <v>0</v>
      </c>
      <c r="AB495" s="58" t="str">
        <f t="shared" si="395"/>
        <v/>
      </c>
      <c r="AC495" s="630">
        <f t="shared" si="371"/>
        <v>0</v>
      </c>
      <c r="AD495" s="627"/>
      <c r="AE495" s="21">
        <f t="shared" si="396"/>
        <v>0</v>
      </c>
      <c r="AF495" s="58" t="str">
        <f t="shared" si="397"/>
        <v/>
      </c>
      <c r="AG495" s="21">
        <f t="shared" si="398"/>
        <v>0</v>
      </c>
      <c r="AH495" s="58" t="str">
        <f t="shared" si="399"/>
        <v/>
      </c>
      <c r="AI495" s="21">
        <f t="shared" si="400"/>
        <v>0</v>
      </c>
      <c r="AJ495" s="58" t="str">
        <f t="shared" si="401"/>
        <v/>
      </c>
      <c r="AK495" s="31">
        <f t="shared" si="402"/>
        <v>0</v>
      </c>
      <c r="AL495" s="21">
        <f t="shared" si="403"/>
        <v>0</v>
      </c>
      <c r="AM495" s="62" t="str">
        <f t="shared" si="404"/>
        <v/>
      </c>
      <c r="AN495" s="21">
        <f t="shared" si="405"/>
        <v>0</v>
      </c>
      <c r="AO495" s="62" t="str">
        <f t="shared" si="406"/>
        <v/>
      </c>
      <c r="AP495" s="21">
        <f t="shared" si="407"/>
        <v>0</v>
      </c>
      <c r="AQ495" s="62" t="str">
        <f t="shared" si="408"/>
        <v/>
      </c>
      <c r="AR495" s="31">
        <f t="shared" si="409"/>
        <v>0</v>
      </c>
      <c r="AS495" s="21">
        <f t="shared" si="410"/>
        <v>0</v>
      </c>
      <c r="AT495" s="62" t="str">
        <f t="shared" si="411"/>
        <v/>
      </c>
      <c r="AU495" s="84">
        <f t="shared" si="412"/>
        <v>0</v>
      </c>
      <c r="AV495" s="32">
        <f t="shared" si="413"/>
        <v>0</v>
      </c>
      <c r="AW495" s="85" t="str">
        <f t="shared" si="414"/>
        <v/>
      </c>
      <c r="AX495" s="86" t="str">
        <f t="shared" si="415"/>
        <v/>
      </c>
    </row>
    <row r="496" spans="1:50" x14ac:dyDescent="0.2">
      <c r="A496" s="29" t="str">
        <f t="shared" si="373"/>
        <v/>
      </c>
      <c r="B496" s="32" t="str">
        <f t="shared" si="374"/>
        <v/>
      </c>
      <c r="C496" s="35"/>
      <c r="D496" s="33" t="str">
        <f t="shared" si="375"/>
        <v/>
      </c>
      <c r="E496" s="22" t="str">
        <f t="shared" si="376"/>
        <v/>
      </c>
      <c r="F496" s="23" t="str">
        <f t="shared" si="377"/>
        <v/>
      </c>
      <c r="G496" s="23"/>
      <c r="H496" s="22"/>
      <c r="I496" s="23"/>
      <c r="J496" s="18"/>
      <c r="K496" s="13" t="str">
        <f t="shared" si="378"/>
        <v/>
      </c>
      <c r="L496" s="28" t="str">
        <f t="shared" si="379"/>
        <v/>
      </c>
      <c r="M496" s="10" t="str">
        <f t="shared" si="380"/>
        <v/>
      </c>
      <c r="N496" s="17" t="str">
        <f t="shared" si="381"/>
        <v/>
      </c>
      <c r="O496" s="39" t="str">
        <f t="shared" si="382"/>
        <v/>
      </c>
      <c r="P496" s="41" t="str">
        <f t="shared" si="383"/>
        <v/>
      </c>
      <c r="Q496" s="9" t="str">
        <f t="shared" si="384"/>
        <v/>
      </c>
      <c r="R496" s="14">
        <f t="shared" si="385"/>
        <v>0</v>
      </c>
      <c r="S496" s="61" t="str">
        <f t="shared" si="386"/>
        <v/>
      </c>
      <c r="T496" s="14">
        <f t="shared" si="387"/>
        <v>0</v>
      </c>
      <c r="U496" s="58" t="str">
        <f t="shared" si="388"/>
        <v/>
      </c>
      <c r="V496" s="14">
        <f t="shared" si="389"/>
        <v>0</v>
      </c>
      <c r="W496" s="58" t="str">
        <f t="shared" si="390"/>
        <v/>
      </c>
      <c r="X496" s="14">
        <f t="shared" si="391"/>
        <v>0</v>
      </c>
      <c r="Y496" s="58" t="str">
        <f t="shared" si="392"/>
        <v/>
      </c>
      <c r="Z496" s="31">
        <f t="shared" si="393"/>
        <v>0</v>
      </c>
      <c r="AA496" s="21">
        <f t="shared" si="394"/>
        <v>0</v>
      </c>
      <c r="AB496" s="58" t="str">
        <f t="shared" si="395"/>
        <v/>
      </c>
      <c r="AC496" s="630">
        <f t="shared" si="371"/>
        <v>0</v>
      </c>
      <c r="AD496" s="627"/>
      <c r="AE496" s="21">
        <f t="shared" si="396"/>
        <v>0</v>
      </c>
      <c r="AF496" s="58" t="str">
        <f t="shared" si="397"/>
        <v/>
      </c>
      <c r="AG496" s="21">
        <f t="shared" si="398"/>
        <v>0</v>
      </c>
      <c r="AH496" s="58" t="str">
        <f t="shared" si="399"/>
        <v/>
      </c>
      <c r="AI496" s="21">
        <f t="shared" si="400"/>
        <v>0</v>
      </c>
      <c r="AJ496" s="58" t="str">
        <f t="shared" si="401"/>
        <v/>
      </c>
      <c r="AK496" s="31">
        <f t="shared" si="402"/>
        <v>0</v>
      </c>
      <c r="AL496" s="21">
        <f t="shared" si="403"/>
        <v>0</v>
      </c>
      <c r="AM496" s="62" t="str">
        <f t="shared" si="404"/>
        <v/>
      </c>
      <c r="AN496" s="21">
        <f t="shared" si="405"/>
        <v>0</v>
      </c>
      <c r="AO496" s="62" t="str">
        <f t="shared" si="406"/>
        <v/>
      </c>
      <c r="AP496" s="21">
        <f t="shared" si="407"/>
        <v>0</v>
      </c>
      <c r="AQ496" s="62" t="str">
        <f t="shared" si="408"/>
        <v/>
      </c>
      <c r="AR496" s="31">
        <f t="shared" si="409"/>
        <v>0</v>
      </c>
      <c r="AS496" s="21">
        <f t="shared" si="410"/>
        <v>0</v>
      </c>
      <c r="AT496" s="62" t="str">
        <f t="shared" si="411"/>
        <v/>
      </c>
      <c r="AU496" s="84">
        <f t="shared" si="412"/>
        <v>0</v>
      </c>
      <c r="AV496" s="32">
        <f t="shared" si="413"/>
        <v>0</v>
      </c>
      <c r="AW496" s="85" t="str">
        <f t="shared" si="414"/>
        <v/>
      </c>
      <c r="AX496" s="86" t="str">
        <f t="shared" si="415"/>
        <v/>
      </c>
    </row>
    <row r="497" spans="1:50" x14ac:dyDescent="0.2">
      <c r="A497" s="29" t="str">
        <f t="shared" si="373"/>
        <v/>
      </c>
      <c r="B497" s="32" t="str">
        <f t="shared" si="374"/>
        <v/>
      </c>
      <c r="C497" s="35"/>
      <c r="D497" s="33" t="str">
        <f t="shared" si="375"/>
        <v/>
      </c>
      <c r="E497" s="22" t="str">
        <f t="shared" si="376"/>
        <v/>
      </c>
      <c r="F497" s="23" t="str">
        <f t="shared" si="377"/>
        <v/>
      </c>
      <c r="G497" s="23"/>
      <c r="H497" s="22"/>
      <c r="I497" s="23"/>
      <c r="J497" s="18"/>
      <c r="K497" s="13" t="str">
        <f t="shared" si="378"/>
        <v/>
      </c>
      <c r="L497" s="28" t="str">
        <f t="shared" si="379"/>
        <v/>
      </c>
      <c r="M497" s="10" t="str">
        <f t="shared" si="380"/>
        <v/>
      </c>
      <c r="N497" s="17" t="str">
        <f t="shared" si="381"/>
        <v/>
      </c>
      <c r="O497" s="39" t="str">
        <f t="shared" si="382"/>
        <v/>
      </c>
      <c r="P497" s="41" t="str">
        <f t="shared" si="383"/>
        <v/>
      </c>
      <c r="Q497" s="9" t="str">
        <f t="shared" si="384"/>
        <v/>
      </c>
      <c r="R497" s="14">
        <f t="shared" si="385"/>
        <v>0</v>
      </c>
      <c r="S497" s="61" t="str">
        <f t="shared" si="386"/>
        <v/>
      </c>
      <c r="T497" s="14">
        <f t="shared" si="387"/>
        <v>0</v>
      </c>
      <c r="U497" s="58" t="str">
        <f t="shared" si="388"/>
        <v/>
      </c>
      <c r="V497" s="14">
        <f t="shared" si="389"/>
        <v>0</v>
      </c>
      <c r="W497" s="58" t="str">
        <f t="shared" si="390"/>
        <v/>
      </c>
      <c r="X497" s="14">
        <f t="shared" si="391"/>
        <v>0</v>
      </c>
      <c r="Y497" s="58" t="str">
        <f t="shared" si="392"/>
        <v/>
      </c>
      <c r="Z497" s="31">
        <f t="shared" si="393"/>
        <v>0</v>
      </c>
      <c r="AA497" s="21">
        <f t="shared" si="394"/>
        <v>0</v>
      </c>
      <c r="AB497" s="58" t="str">
        <f t="shared" si="395"/>
        <v/>
      </c>
      <c r="AC497" s="630">
        <f t="shared" si="371"/>
        <v>0</v>
      </c>
      <c r="AD497" s="627"/>
      <c r="AE497" s="21">
        <f t="shared" si="396"/>
        <v>0</v>
      </c>
      <c r="AF497" s="58" t="str">
        <f t="shared" si="397"/>
        <v/>
      </c>
      <c r="AG497" s="21">
        <f t="shared" si="398"/>
        <v>0</v>
      </c>
      <c r="AH497" s="58" t="str">
        <f t="shared" si="399"/>
        <v/>
      </c>
      <c r="AI497" s="21">
        <f t="shared" si="400"/>
        <v>0</v>
      </c>
      <c r="AJ497" s="58" t="str">
        <f t="shared" si="401"/>
        <v/>
      </c>
      <c r="AK497" s="31">
        <f t="shared" si="402"/>
        <v>0</v>
      </c>
      <c r="AL497" s="21">
        <f t="shared" si="403"/>
        <v>0</v>
      </c>
      <c r="AM497" s="62" t="str">
        <f t="shared" si="404"/>
        <v/>
      </c>
      <c r="AN497" s="21">
        <f t="shared" si="405"/>
        <v>0</v>
      </c>
      <c r="AO497" s="62" t="str">
        <f t="shared" si="406"/>
        <v/>
      </c>
      <c r="AP497" s="21">
        <f t="shared" si="407"/>
        <v>0</v>
      </c>
      <c r="AQ497" s="62" t="str">
        <f t="shared" si="408"/>
        <v/>
      </c>
      <c r="AR497" s="31">
        <f t="shared" si="409"/>
        <v>0</v>
      </c>
      <c r="AS497" s="21">
        <f t="shared" si="410"/>
        <v>0</v>
      </c>
      <c r="AT497" s="62" t="str">
        <f t="shared" si="411"/>
        <v/>
      </c>
      <c r="AU497" s="84">
        <f t="shared" si="412"/>
        <v>0</v>
      </c>
      <c r="AV497" s="32">
        <f t="shared" si="413"/>
        <v>0</v>
      </c>
      <c r="AW497" s="85" t="str">
        <f t="shared" si="414"/>
        <v/>
      </c>
      <c r="AX497" s="86" t="str">
        <f t="shared" si="415"/>
        <v/>
      </c>
    </row>
    <row r="498" spans="1:50" x14ac:dyDescent="0.2">
      <c r="A498" s="29" t="str">
        <f t="shared" si="373"/>
        <v/>
      </c>
      <c r="B498" s="32" t="str">
        <f t="shared" si="374"/>
        <v/>
      </c>
      <c r="C498" s="35"/>
      <c r="D498" s="33" t="str">
        <f t="shared" si="375"/>
        <v/>
      </c>
      <c r="E498" s="22" t="str">
        <f t="shared" si="376"/>
        <v/>
      </c>
      <c r="F498" s="23" t="str">
        <f t="shared" si="377"/>
        <v/>
      </c>
      <c r="G498" s="23"/>
      <c r="H498" s="22"/>
      <c r="I498" s="23"/>
      <c r="J498" s="18"/>
      <c r="K498" s="13" t="str">
        <f t="shared" si="378"/>
        <v/>
      </c>
      <c r="L498" s="28" t="str">
        <f t="shared" si="379"/>
        <v/>
      </c>
      <c r="M498" s="10" t="str">
        <f t="shared" si="380"/>
        <v/>
      </c>
      <c r="N498" s="17" t="str">
        <f t="shared" si="381"/>
        <v/>
      </c>
      <c r="O498" s="39" t="str">
        <f t="shared" si="382"/>
        <v/>
      </c>
      <c r="P498" s="41" t="str">
        <f t="shared" si="383"/>
        <v/>
      </c>
      <c r="Q498" s="9" t="str">
        <f t="shared" si="384"/>
        <v/>
      </c>
      <c r="R498" s="14">
        <f t="shared" si="385"/>
        <v>0</v>
      </c>
      <c r="S498" s="61" t="str">
        <f t="shared" si="386"/>
        <v/>
      </c>
      <c r="T498" s="14">
        <f t="shared" si="387"/>
        <v>0</v>
      </c>
      <c r="U498" s="58" t="str">
        <f t="shared" si="388"/>
        <v/>
      </c>
      <c r="V498" s="14">
        <f t="shared" si="389"/>
        <v>0</v>
      </c>
      <c r="W498" s="58" t="str">
        <f t="shared" si="390"/>
        <v/>
      </c>
      <c r="X498" s="14">
        <f t="shared" si="391"/>
        <v>0</v>
      </c>
      <c r="Y498" s="58" t="str">
        <f t="shared" si="392"/>
        <v/>
      </c>
      <c r="Z498" s="31">
        <f t="shared" si="393"/>
        <v>0</v>
      </c>
      <c r="AA498" s="21">
        <f t="shared" si="394"/>
        <v>0</v>
      </c>
      <c r="AB498" s="58" t="str">
        <f t="shared" si="395"/>
        <v/>
      </c>
      <c r="AC498" s="630">
        <f t="shared" si="371"/>
        <v>0</v>
      </c>
      <c r="AD498" s="627"/>
      <c r="AE498" s="21">
        <f t="shared" si="396"/>
        <v>0</v>
      </c>
      <c r="AF498" s="58" t="str">
        <f t="shared" si="397"/>
        <v/>
      </c>
      <c r="AG498" s="21">
        <f t="shared" si="398"/>
        <v>0</v>
      </c>
      <c r="AH498" s="58" t="str">
        <f t="shared" si="399"/>
        <v/>
      </c>
      <c r="AI498" s="21">
        <f t="shared" si="400"/>
        <v>0</v>
      </c>
      <c r="AJ498" s="58" t="str">
        <f t="shared" si="401"/>
        <v/>
      </c>
      <c r="AK498" s="31">
        <f t="shared" si="402"/>
        <v>0</v>
      </c>
      <c r="AL498" s="21">
        <f t="shared" si="403"/>
        <v>0</v>
      </c>
      <c r="AM498" s="62" t="str">
        <f t="shared" si="404"/>
        <v/>
      </c>
      <c r="AN498" s="21">
        <f t="shared" si="405"/>
        <v>0</v>
      </c>
      <c r="AO498" s="62" t="str">
        <f t="shared" si="406"/>
        <v/>
      </c>
      <c r="AP498" s="21">
        <f t="shared" si="407"/>
        <v>0</v>
      </c>
      <c r="AQ498" s="62" t="str">
        <f t="shared" si="408"/>
        <v/>
      </c>
      <c r="AR498" s="31">
        <f t="shared" si="409"/>
        <v>0</v>
      </c>
      <c r="AS498" s="21">
        <f t="shared" si="410"/>
        <v>0</v>
      </c>
      <c r="AT498" s="62" t="str">
        <f t="shared" si="411"/>
        <v/>
      </c>
      <c r="AU498" s="84">
        <f t="shared" si="412"/>
        <v>0</v>
      </c>
      <c r="AV498" s="32">
        <f t="shared" si="413"/>
        <v>0</v>
      </c>
      <c r="AW498" s="85" t="str">
        <f t="shared" si="414"/>
        <v/>
      </c>
      <c r="AX498" s="86" t="str">
        <f t="shared" si="415"/>
        <v/>
      </c>
    </row>
    <row r="499" spans="1:50" x14ac:dyDescent="0.2">
      <c r="A499" s="29" t="str">
        <f t="shared" si="373"/>
        <v/>
      </c>
      <c r="B499" s="32" t="str">
        <f t="shared" si="374"/>
        <v/>
      </c>
      <c r="C499" s="35"/>
      <c r="D499" s="33" t="str">
        <f t="shared" si="375"/>
        <v/>
      </c>
      <c r="E499" s="22" t="str">
        <f t="shared" si="376"/>
        <v/>
      </c>
      <c r="F499" s="23" t="str">
        <f t="shared" si="377"/>
        <v/>
      </c>
      <c r="G499" s="23"/>
      <c r="H499" s="22"/>
      <c r="I499" s="23"/>
      <c r="J499" s="18"/>
      <c r="K499" s="13" t="str">
        <f t="shared" si="378"/>
        <v/>
      </c>
      <c r="L499" s="28" t="str">
        <f t="shared" si="379"/>
        <v/>
      </c>
      <c r="M499" s="10" t="str">
        <f t="shared" si="380"/>
        <v/>
      </c>
      <c r="N499" s="17" t="str">
        <f t="shared" si="381"/>
        <v/>
      </c>
      <c r="O499" s="39" t="str">
        <f t="shared" si="382"/>
        <v/>
      </c>
      <c r="P499" s="41" t="str">
        <f t="shared" si="383"/>
        <v/>
      </c>
      <c r="Q499" s="9" t="str">
        <f t="shared" si="384"/>
        <v/>
      </c>
      <c r="R499" s="14">
        <f t="shared" si="385"/>
        <v>0</v>
      </c>
      <c r="S499" s="61" t="str">
        <f t="shared" si="386"/>
        <v/>
      </c>
      <c r="T499" s="14">
        <f t="shared" si="387"/>
        <v>0</v>
      </c>
      <c r="U499" s="58" t="str">
        <f t="shared" si="388"/>
        <v/>
      </c>
      <c r="V499" s="14">
        <f t="shared" si="389"/>
        <v>0</v>
      </c>
      <c r="W499" s="58" t="str">
        <f t="shared" si="390"/>
        <v/>
      </c>
      <c r="X499" s="14">
        <f t="shared" si="391"/>
        <v>0</v>
      </c>
      <c r="Y499" s="58" t="str">
        <f t="shared" si="392"/>
        <v/>
      </c>
      <c r="Z499" s="31">
        <f t="shared" si="393"/>
        <v>0</v>
      </c>
      <c r="AA499" s="21">
        <f t="shared" si="394"/>
        <v>0</v>
      </c>
      <c r="AB499" s="58" t="str">
        <f t="shared" si="395"/>
        <v/>
      </c>
      <c r="AC499" s="630">
        <f t="shared" si="371"/>
        <v>0</v>
      </c>
      <c r="AD499" s="627"/>
      <c r="AE499" s="21">
        <f t="shared" si="396"/>
        <v>0</v>
      </c>
      <c r="AF499" s="58" t="str">
        <f t="shared" si="397"/>
        <v/>
      </c>
      <c r="AG499" s="21">
        <f t="shared" si="398"/>
        <v>0</v>
      </c>
      <c r="AH499" s="58" t="str">
        <f t="shared" si="399"/>
        <v/>
      </c>
      <c r="AI499" s="21">
        <f t="shared" si="400"/>
        <v>0</v>
      </c>
      <c r="AJ499" s="58" t="str">
        <f t="shared" si="401"/>
        <v/>
      </c>
      <c r="AK499" s="31">
        <f t="shared" si="402"/>
        <v>0</v>
      </c>
      <c r="AL499" s="21">
        <f t="shared" si="403"/>
        <v>0</v>
      </c>
      <c r="AM499" s="62" t="str">
        <f t="shared" si="404"/>
        <v/>
      </c>
      <c r="AN499" s="21">
        <f t="shared" si="405"/>
        <v>0</v>
      </c>
      <c r="AO499" s="62" t="str">
        <f t="shared" si="406"/>
        <v/>
      </c>
      <c r="AP499" s="21">
        <f t="shared" si="407"/>
        <v>0</v>
      </c>
      <c r="AQ499" s="62" t="str">
        <f t="shared" si="408"/>
        <v/>
      </c>
      <c r="AR499" s="31">
        <f t="shared" si="409"/>
        <v>0</v>
      </c>
      <c r="AS499" s="21">
        <f t="shared" si="410"/>
        <v>0</v>
      </c>
      <c r="AT499" s="62" t="str">
        <f t="shared" si="411"/>
        <v/>
      </c>
      <c r="AU499" s="84">
        <f t="shared" si="412"/>
        <v>0</v>
      </c>
      <c r="AV499" s="32">
        <f t="shared" si="413"/>
        <v>0</v>
      </c>
      <c r="AW499" s="85" t="str">
        <f t="shared" si="414"/>
        <v/>
      </c>
      <c r="AX499" s="86" t="str">
        <f t="shared" si="415"/>
        <v/>
      </c>
    </row>
    <row r="500" spans="1:50" x14ac:dyDescent="0.2">
      <c r="A500" s="29" t="str">
        <f t="shared" si="373"/>
        <v/>
      </c>
      <c r="B500" s="32" t="str">
        <f t="shared" si="374"/>
        <v/>
      </c>
      <c r="C500" s="35"/>
      <c r="D500" s="33" t="str">
        <f t="shared" si="375"/>
        <v/>
      </c>
      <c r="E500" s="22" t="str">
        <f t="shared" si="376"/>
        <v/>
      </c>
      <c r="F500" s="23" t="str">
        <f t="shared" si="377"/>
        <v/>
      </c>
      <c r="G500" s="23"/>
      <c r="H500" s="22"/>
      <c r="I500" s="23"/>
      <c r="J500" s="18"/>
      <c r="K500" s="13" t="str">
        <f t="shared" si="378"/>
        <v/>
      </c>
      <c r="L500" s="28" t="str">
        <f t="shared" si="379"/>
        <v/>
      </c>
      <c r="M500" s="10" t="str">
        <f t="shared" si="380"/>
        <v/>
      </c>
      <c r="N500" s="17" t="str">
        <f t="shared" si="381"/>
        <v/>
      </c>
      <c r="O500" s="39" t="str">
        <f t="shared" si="382"/>
        <v/>
      </c>
      <c r="P500" s="41" t="str">
        <f t="shared" si="383"/>
        <v/>
      </c>
      <c r="Q500" s="9" t="str">
        <f t="shared" si="384"/>
        <v/>
      </c>
      <c r="R500" s="14">
        <f t="shared" si="385"/>
        <v>0</v>
      </c>
      <c r="S500" s="61" t="str">
        <f t="shared" si="386"/>
        <v/>
      </c>
      <c r="T500" s="14">
        <f t="shared" si="387"/>
        <v>0</v>
      </c>
      <c r="U500" s="58" t="str">
        <f t="shared" si="388"/>
        <v/>
      </c>
      <c r="V500" s="14">
        <f t="shared" si="389"/>
        <v>0</v>
      </c>
      <c r="W500" s="58" t="str">
        <f t="shared" si="390"/>
        <v/>
      </c>
      <c r="X500" s="14">
        <f t="shared" si="391"/>
        <v>0</v>
      </c>
      <c r="Y500" s="58" t="str">
        <f t="shared" si="392"/>
        <v/>
      </c>
      <c r="Z500" s="31">
        <f t="shared" si="393"/>
        <v>0</v>
      </c>
      <c r="AA500" s="21">
        <f t="shared" si="394"/>
        <v>0</v>
      </c>
      <c r="AB500" s="58" t="str">
        <f t="shared" si="395"/>
        <v/>
      </c>
      <c r="AC500" s="630">
        <f t="shared" si="371"/>
        <v>0</v>
      </c>
      <c r="AD500" s="627"/>
      <c r="AE500" s="21">
        <f t="shared" si="396"/>
        <v>0</v>
      </c>
      <c r="AF500" s="58" t="str">
        <f t="shared" si="397"/>
        <v/>
      </c>
      <c r="AG500" s="21">
        <f t="shared" si="398"/>
        <v>0</v>
      </c>
      <c r="AH500" s="58" t="str">
        <f t="shared" si="399"/>
        <v/>
      </c>
      <c r="AI500" s="21">
        <f t="shared" si="400"/>
        <v>0</v>
      </c>
      <c r="AJ500" s="58" t="str">
        <f t="shared" si="401"/>
        <v/>
      </c>
      <c r="AK500" s="31">
        <f t="shared" si="402"/>
        <v>0</v>
      </c>
      <c r="AL500" s="21">
        <f t="shared" si="403"/>
        <v>0</v>
      </c>
      <c r="AM500" s="62" t="str">
        <f t="shared" si="404"/>
        <v/>
      </c>
      <c r="AN500" s="21">
        <f t="shared" si="405"/>
        <v>0</v>
      </c>
      <c r="AO500" s="62" t="str">
        <f t="shared" si="406"/>
        <v/>
      </c>
      <c r="AP500" s="21">
        <f t="shared" si="407"/>
        <v>0</v>
      </c>
      <c r="AQ500" s="62" t="str">
        <f t="shared" si="408"/>
        <v/>
      </c>
      <c r="AR500" s="31">
        <f t="shared" si="409"/>
        <v>0</v>
      </c>
      <c r="AS500" s="21">
        <f t="shared" si="410"/>
        <v>0</v>
      </c>
      <c r="AT500" s="62" t="str">
        <f t="shared" si="411"/>
        <v/>
      </c>
      <c r="AU500" s="84">
        <f t="shared" si="412"/>
        <v>0</v>
      </c>
      <c r="AV500" s="32">
        <f t="shared" si="413"/>
        <v>0</v>
      </c>
      <c r="AW500" s="85" t="str">
        <f t="shared" si="414"/>
        <v/>
      </c>
      <c r="AX500" s="86" t="str">
        <f t="shared" si="415"/>
        <v/>
      </c>
    </row>
    <row r="501" spans="1:50" x14ac:dyDescent="0.2">
      <c r="A501" s="29" t="str">
        <f t="shared" si="373"/>
        <v/>
      </c>
      <c r="B501" s="32" t="str">
        <f t="shared" si="374"/>
        <v/>
      </c>
      <c r="C501" s="35"/>
      <c r="D501" s="33" t="str">
        <f t="shared" si="375"/>
        <v/>
      </c>
      <c r="E501" s="22" t="str">
        <f t="shared" si="376"/>
        <v/>
      </c>
      <c r="F501" s="23" t="str">
        <f t="shared" si="377"/>
        <v/>
      </c>
      <c r="G501" s="23"/>
      <c r="H501" s="22"/>
      <c r="I501" s="23"/>
      <c r="J501" s="18"/>
      <c r="K501" s="13" t="str">
        <f t="shared" si="378"/>
        <v/>
      </c>
      <c r="L501" s="28" t="str">
        <f t="shared" si="379"/>
        <v/>
      </c>
      <c r="M501" s="10" t="str">
        <f t="shared" si="380"/>
        <v/>
      </c>
      <c r="N501" s="17" t="str">
        <f t="shared" si="381"/>
        <v/>
      </c>
      <c r="O501" s="39" t="str">
        <f t="shared" si="382"/>
        <v/>
      </c>
      <c r="P501" s="41" t="str">
        <f t="shared" si="383"/>
        <v/>
      </c>
      <c r="Q501" s="9" t="str">
        <f t="shared" si="384"/>
        <v/>
      </c>
      <c r="R501" s="14">
        <f t="shared" si="385"/>
        <v>0</v>
      </c>
      <c r="S501" s="61" t="str">
        <f t="shared" si="386"/>
        <v/>
      </c>
      <c r="T501" s="14">
        <f t="shared" si="387"/>
        <v>0</v>
      </c>
      <c r="U501" s="58" t="str">
        <f t="shared" si="388"/>
        <v/>
      </c>
      <c r="V501" s="14">
        <f t="shared" si="389"/>
        <v>0</v>
      </c>
      <c r="W501" s="58" t="str">
        <f t="shared" si="390"/>
        <v/>
      </c>
      <c r="X501" s="14">
        <f t="shared" si="391"/>
        <v>0</v>
      </c>
      <c r="Y501" s="58" t="str">
        <f t="shared" si="392"/>
        <v/>
      </c>
      <c r="Z501" s="31">
        <f t="shared" si="393"/>
        <v>0</v>
      </c>
      <c r="AA501" s="21">
        <f t="shared" si="394"/>
        <v>0</v>
      </c>
      <c r="AB501" s="58" t="str">
        <f t="shared" si="395"/>
        <v/>
      </c>
      <c r="AC501" s="630">
        <f t="shared" si="371"/>
        <v>0</v>
      </c>
      <c r="AD501" s="627"/>
      <c r="AE501" s="21">
        <f t="shared" si="396"/>
        <v>0</v>
      </c>
      <c r="AF501" s="58" t="str">
        <f t="shared" si="397"/>
        <v/>
      </c>
      <c r="AG501" s="21">
        <f t="shared" si="398"/>
        <v>0</v>
      </c>
      <c r="AH501" s="58" t="str">
        <f t="shared" si="399"/>
        <v/>
      </c>
      <c r="AI501" s="21">
        <f t="shared" si="400"/>
        <v>0</v>
      </c>
      <c r="AJ501" s="58" t="str">
        <f t="shared" si="401"/>
        <v/>
      </c>
      <c r="AK501" s="31">
        <f t="shared" si="402"/>
        <v>0</v>
      </c>
      <c r="AL501" s="21">
        <f t="shared" si="403"/>
        <v>0</v>
      </c>
      <c r="AM501" s="62" t="str">
        <f t="shared" si="404"/>
        <v/>
      </c>
      <c r="AN501" s="21">
        <f t="shared" si="405"/>
        <v>0</v>
      </c>
      <c r="AO501" s="62" t="str">
        <f t="shared" si="406"/>
        <v/>
      </c>
      <c r="AP501" s="21">
        <f t="shared" si="407"/>
        <v>0</v>
      </c>
      <c r="AQ501" s="62" t="str">
        <f t="shared" si="408"/>
        <v/>
      </c>
      <c r="AR501" s="31">
        <f t="shared" si="409"/>
        <v>0</v>
      </c>
      <c r="AS501" s="21">
        <f t="shared" si="410"/>
        <v>0</v>
      </c>
      <c r="AT501" s="62" t="str">
        <f t="shared" si="411"/>
        <v/>
      </c>
      <c r="AU501" s="84">
        <f t="shared" si="412"/>
        <v>0</v>
      </c>
      <c r="AV501" s="32">
        <f t="shared" si="413"/>
        <v>0</v>
      </c>
      <c r="AW501" s="85" t="str">
        <f t="shared" si="414"/>
        <v/>
      </c>
      <c r="AX501" s="86" t="str">
        <f t="shared" si="415"/>
        <v/>
      </c>
    </row>
    <row r="502" spans="1:50" x14ac:dyDescent="0.2">
      <c r="A502" s="29" t="str">
        <f t="shared" si="373"/>
        <v/>
      </c>
      <c r="B502" s="32" t="str">
        <f t="shared" si="374"/>
        <v/>
      </c>
      <c r="C502" s="35"/>
      <c r="D502" s="33" t="str">
        <f t="shared" si="375"/>
        <v/>
      </c>
      <c r="E502" s="22" t="str">
        <f t="shared" si="376"/>
        <v/>
      </c>
      <c r="F502" s="23" t="str">
        <f t="shared" si="377"/>
        <v/>
      </c>
      <c r="G502" s="23"/>
      <c r="H502" s="22"/>
      <c r="I502" s="23"/>
      <c r="J502" s="18"/>
      <c r="K502" s="13" t="str">
        <f t="shared" si="378"/>
        <v/>
      </c>
      <c r="L502" s="28" t="str">
        <f t="shared" si="379"/>
        <v/>
      </c>
      <c r="M502" s="10" t="str">
        <f t="shared" si="380"/>
        <v/>
      </c>
      <c r="N502" s="17" t="str">
        <f t="shared" si="381"/>
        <v/>
      </c>
      <c r="O502" s="39" t="str">
        <f t="shared" si="382"/>
        <v/>
      </c>
      <c r="P502" s="41" t="str">
        <f t="shared" si="383"/>
        <v/>
      </c>
      <c r="Q502" s="9" t="str">
        <f t="shared" si="384"/>
        <v/>
      </c>
      <c r="R502" s="14">
        <f t="shared" si="385"/>
        <v>0</v>
      </c>
      <c r="S502" s="61" t="str">
        <f t="shared" si="386"/>
        <v/>
      </c>
      <c r="T502" s="14">
        <f t="shared" si="387"/>
        <v>0</v>
      </c>
      <c r="U502" s="58" t="str">
        <f t="shared" si="388"/>
        <v/>
      </c>
      <c r="V502" s="14">
        <f t="shared" si="389"/>
        <v>0</v>
      </c>
      <c r="W502" s="58" t="str">
        <f t="shared" si="390"/>
        <v/>
      </c>
      <c r="X502" s="14">
        <f t="shared" si="391"/>
        <v>0</v>
      </c>
      <c r="Y502" s="58" t="str">
        <f t="shared" si="392"/>
        <v/>
      </c>
      <c r="Z502" s="31">
        <f t="shared" si="393"/>
        <v>0</v>
      </c>
      <c r="AA502" s="21">
        <f t="shared" si="394"/>
        <v>0</v>
      </c>
      <c r="AB502" s="58" t="str">
        <f t="shared" si="395"/>
        <v/>
      </c>
      <c r="AC502" s="630">
        <f t="shared" si="371"/>
        <v>0</v>
      </c>
      <c r="AD502" s="627"/>
      <c r="AE502" s="21">
        <f t="shared" si="396"/>
        <v>0</v>
      </c>
      <c r="AF502" s="58" t="str">
        <f t="shared" si="397"/>
        <v/>
      </c>
      <c r="AG502" s="21">
        <f t="shared" si="398"/>
        <v>0</v>
      </c>
      <c r="AH502" s="58" t="str">
        <f t="shared" si="399"/>
        <v/>
      </c>
      <c r="AI502" s="21">
        <f t="shared" si="400"/>
        <v>0</v>
      </c>
      <c r="AJ502" s="58" t="str">
        <f t="shared" si="401"/>
        <v/>
      </c>
      <c r="AK502" s="31">
        <f t="shared" si="402"/>
        <v>0</v>
      </c>
      <c r="AL502" s="21">
        <f t="shared" si="403"/>
        <v>0</v>
      </c>
      <c r="AM502" s="62" t="str">
        <f t="shared" si="404"/>
        <v/>
      </c>
      <c r="AN502" s="21">
        <f t="shared" si="405"/>
        <v>0</v>
      </c>
      <c r="AO502" s="62" t="str">
        <f t="shared" si="406"/>
        <v/>
      </c>
      <c r="AP502" s="21">
        <f t="shared" si="407"/>
        <v>0</v>
      </c>
      <c r="AQ502" s="62" t="str">
        <f t="shared" si="408"/>
        <v/>
      </c>
      <c r="AR502" s="31">
        <f t="shared" si="409"/>
        <v>0</v>
      </c>
      <c r="AS502" s="21">
        <f t="shared" si="410"/>
        <v>0</v>
      </c>
      <c r="AT502" s="62" t="str">
        <f t="shared" si="411"/>
        <v/>
      </c>
      <c r="AU502" s="84">
        <f t="shared" si="412"/>
        <v>0</v>
      </c>
      <c r="AV502" s="32">
        <f t="shared" si="413"/>
        <v>0</v>
      </c>
      <c r="AW502" s="85" t="str">
        <f t="shared" si="414"/>
        <v/>
      </c>
      <c r="AX502" s="86" t="str">
        <f t="shared" si="415"/>
        <v/>
      </c>
    </row>
    <row r="503" spans="1:50" x14ac:dyDescent="0.2">
      <c r="A503" s="29" t="str">
        <f t="shared" si="373"/>
        <v/>
      </c>
      <c r="B503" s="32" t="str">
        <f t="shared" si="374"/>
        <v/>
      </c>
      <c r="C503" s="35"/>
      <c r="D503" s="33" t="str">
        <f t="shared" si="375"/>
        <v/>
      </c>
      <c r="E503" s="22" t="str">
        <f t="shared" si="376"/>
        <v/>
      </c>
      <c r="F503" s="23" t="str">
        <f t="shared" si="377"/>
        <v/>
      </c>
      <c r="G503" s="23"/>
      <c r="H503" s="22"/>
      <c r="I503" s="23"/>
      <c r="J503" s="18"/>
      <c r="K503" s="13" t="str">
        <f t="shared" si="378"/>
        <v/>
      </c>
      <c r="L503" s="28" t="str">
        <f t="shared" si="379"/>
        <v/>
      </c>
      <c r="M503" s="10" t="str">
        <f t="shared" si="380"/>
        <v/>
      </c>
      <c r="N503" s="17" t="str">
        <f t="shared" si="381"/>
        <v/>
      </c>
      <c r="O503" s="39" t="str">
        <f t="shared" si="382"/>
        <v/>
      </c>
      <c r="P503" s="41" t="str">
        <f t="shared" si="383"/>
        <v/>
      </c>
      <c r="Q503" s="9" t="str">
        <f t="shared" si="384"/>
        <v/>
      </c>
      <c r="R503" s="14">
        <f t="shared" si="385"/>
        <v>0</v>
      </c>
      <c r="S503" s="61" t="str">
        <f t="shared" si="386"/>
        <v/>
      </c>
      <c r="T503" s="14">
        <f t="shared" si="387"/>
        <v>0</v>
      </c>
      <c r="U503" s="58" t="str">
        <f t="shared" si="388"/>
        <v/>
      </c>
      <c r="V503" s="14">
        <f t="shared" si="389"/>
        <v>0</v>
      </c>
      <c r="W503" s="58" t="str">
        <f t="shared" si="390"/>
        <v/>
      </c>
      <c r="X503" s="14">
        <f t="shared" si="391"/>
        <v>0</v>
      </c>
      <c r="Y503" s="58" t="str">
        <f t="shared" si="392"/>
        <v/>
      </c>
      <c r="Z503" s="31">
        <f t="shared" si="393"/>
        <v>0</v>
      </c>
      <c r="AA503" s="21">
        <f t="shared" si="394"/>
        <v>0</v>
      </c>
      <c r="AB503" s="58" t="str">
        <f t="shared" si="395"/>
        <v/>
      </c>
      <c r="AC503" s="630">
        <f t="shared" si="371"/>
        <v>0</v>
      </c>
      <c r="AD503" s="627"/>
      <c r="AE503" s="21">
        <f t="shared" si="396"/>
        <v>0</v>
      </c>
      <c r="AF503" s="58" t="str">
        <f t="shared" si="397"/>
        <v/>
      </c>
      <c r="AG503" s="21">
        <f t="shared" si="398"/>
        <v>0</v>
      </c>
      <c r="AH503" s="58" t="str">
        <f t="shared" si="399"/>
        <v/>
      </c>
      <c r="AI503" s="21">
        <f t="shared" si="400"/>
        <v>0</v>
      </c>
      <c r="AJ503" s="58" t="str">
        <f t="shared" si="401"/>
        <v/>
      </c>
      <c r="AK503" s="31">
        <f t="shared" si="402"/>
        <v>0</v>
      </c>
      <c r="AL503" s="21">
        <f t="shared" si="403"/>
        <v>0</v>
      </c>
      <c r="AM503" s="62" t="str">
        <f t="shared" si="404"/>
        <v/>
      </c>
      <c r="AN503" s="21">
        <f t="shared" si="405"/>
        <v>0</v>
      </c>
      <c r="AO503" s="62" t="str">
        <f t="shared" si="406"/>
        <v/>
      </c>
      <c r="AP503" s="21">
        <f t="shared" si="407"/>
        <v>0</v>
      </c>
      <c r="AQ503" s="62" t="str">
        <f t="shared" si="408"/>
        <v/>
      </c>
      <c r="AR503" s="31">
        <f t="shared" si="409"/>
        <v>0</v>
      </c>
      <c r="AS503" s="21">
        <f t="shared" si="410"/>
        <v>0</v>
      </c>
      <c r="AT503" s="62" t="str">
        <f t="shared" si="411"/>
        <v/>
      </c>
      <c r="AU503" s="84">
        <f t="shared" si="412"/>
        <v>0</v>
      </c>
      <c r="AV503" s="32">
        <f t="shared" si="413"/>
        <v>0</v>
      </c>
      <c r="AW503" s="85" t="str">
        <f t="shared" si="414"/>
        <v/>
      </c>
      <c r="AX503" s="86" t="str">
        <f t="shared" si="415"/>
        <v/>
      </c>
    </row>
    <row r="504" spans="1:50" x14ac:dyDescent="0.2">
      <c r="A504" s="29" t="str">
        <f t="shared" si="373"/>
        <v/>
      </c>
      <c r="B504" s="32" t="str">
        <f t="shared" si="374"/>
        <v/>
      </c>
      <c r="C504" s="35"/>
      <c r="D504" s="33" t="str">
        <f t="shared" si="375"/>
        <v/>
      </c>
      <c r="E504" s="22" t="str">
        <f t="shared" si="376"/>
        <v/>
      </c>
      <c r="F504" s="23" t="str">
        <f t="shared" si="377"/>
        <v/>
      </c>
      <c r="G504" s="23"/>
      <c r="H504" s="22"/>
      <c r="I504" s="23"/>
      <c r="J504" s="18"/>
      <c r="K504" s="13" t="str">
        <f t="shared" si="378"/>
        <v/>
      </c>
      <c r="L504" s="28" t="str">
        <f t="shared" si="379"/>
        <v/>
      </c>
      <c r="M504" s="10" t="str">
        <f t="shared" si="380"/>
        <v/>
      </c>
      <c r="N504" s="17" t="str">
        <f t="shared" si="381"/>
        <v/>
      </c>
      <c r="O504" s="39" t="str">
        <f t="shared" si="382"/>
        <v/>
      </c>
      <c r="P504" s="41" t="str">
        <f t="shared" si="383"/>
        <v/>
      </c>
      <c r="Q504" s="9" t="str">
        <f t="shared" si="384"/>
        <v/>
      </c>
      <c r="R504" s="14">
        <f t="shared" si="385"/>
        <v>0</v>
      </c>
      <c r="S504" s="61" t="str">
        <f t="shared" si="386"/>
        <v/>
      </c>
      <c r="T504" s="14">
        <f t="shared" si="387"/>
        <v>0</v>
      </c>
      <c r="U504" s="58" t="str">
        <f t="shared" si="388"/>
        <v/>
      </c>
      <c r="V504" s="14">
        <f t="shared" si="389"/>
        <v>0</v>
      </c>
      <c r="W504" s="58" t="str">
        <f t="shared" si="390"/>
        <v/>
      </c>
      <c r="X504" s="14">
        <f t="shared" si="391"/>
        <v>0</v>
      </c>
      <c r="Y504" s="58" t="str">
        <f t="shared" si="392"/>
        <v/>
      </c>
      <c r="Z504" s="31">
        <f t="shared" si="393"/>
        <v>0</v>
      </c>
      <c r="AA504" s="21">
        <f t="shared" si="394"/>
        <v>0</v>
      </c>
      <c r="AB504" s="58" t="str">
        <f t="shared" si="395"/>
        <v/>
      </c>
      <c r="AC504" s="630">
        <f t="shared" si="371"/>
        <v>0</v>
      </c>
      <c r="AD504" s="627"/>
      <c r="AE504" s="21">
        <f t="shared" si="396"/>
        <v>0</v>
      </c>
      <c r="AF504" s="58" t="str">
        <f t="shared" si="397"/>
        <v/>
      </c>
      <c r="AG504" s="21">
        <f t="shared" si="398"/>
        <v>0</v>
      </c>
      <c r="AH504" s="58" t="str">
        <f t="shared" si="399"/>
        <v/>
      </c>
      <c r="AI504" s="21">
        <f t="shared" si="400"/>
        <v>0</v>
      </c>
      <c r="AJ504" s="58" t="str">
        <f t="shared" si="401"/>
        <v/>
      </c>
      <c r="AK504" s="31">
        <f t="shared" si="402"/>
        <v>0</v>
      </c>
      <c r="AL504" s="21">
        <f t="shared" si="403"/>
        <v>0</v>
      </c>
      <c r="AM504" s="62" t="str">
        <f t="shared" si="404"/>
        <v/>
      </c>
      <c r="AN504" s="21">
        <f t="shared" si="405"/>
        <v>0</v>
      </c>
      <c r="AO504" s="62" t="str">
        <f t="shared" si="406"/>
        <v/>
      </c>
      <c r="AP504" s="21">
        <f t="shared" si="407"/>
        <v>0</v>
      </c>
      <c r="AQ504" s="62" t="str">
        <f t="shared" si="408"/>
        <v/>
      </c>
      <c r="AR504" s="31">
        <f t="shared" si="409"/>
        <v>0</v>
      </c>
      <c r="AS504" s="21">
        <f t="shared" si="410"/>
        <v>0</v>
      </c>
      <c r="AT504" s="62" t="str">
        <f t="shared" si="411"/>
        <v/>
      </c>
      <c r="AU504" s="84">
        <f t="shared" si="412"/>
        <v>0</v>
      </c>
      <c r="AV504" s="32">
        <f t="shared" si="413"/>
        <v>0</v>
      </c>
      <c r="AW504" s="85" t="str">
        <f t="shared" si="414"/>
        <v/>
      </c>
      <c r="AX504" s="86" t="str">
        <f t="shared" si="415"/>
        <v/>
      </c>
    </row>
    <row r="505" spans="1:50" x14ac:dyDescent="0.2">
      <c r="A505" s="29" t="str">
        <f t="shared" si="373"/>
        <v/>
      </c>
      <c r="B505" s="32" t="str">
        <f t="shared" si="374"/>
        <v/>
      </c>
      <c r="C505" s="35"/>
      <c r="D505" s="33" t="str">
        <f t="shared" si="375"/>
        <v/>
      </c>
      <c r="E505" s="22" t="str">
        <f t="shared" si="376"/>
        <v/>
      </c>
      <c r="F505" s="23" t="str">
        <f t="shared" si="377"/>
        <v/>
      </c>
      <c r="G505" s="23"/>
      <c r="H505" s="22"/>
      <c r="I505" s="23"/>
      <c r="J505" s="18"/>
      <c r="K505" s="13" t="str">
        <f t="shared" si="378"/>
        <v/>
      </c>
      <c r="L505" s="28" t="str">
        <f t="shared" si="379"/>
        <v/>
      </c>
      <c r="M505" s="10" t="str">
        <f t="shared" si="380"/>
        <v/>
      </c>
      <c r="N505" s="17" t="str">
        <f t="shared" si="381"/>
        <v/>
      </c>
      <c r="O505" s="39" t="str">
        <f t="shared" si="382"/>
        <v/>
      </c>
      <c r="P505" s="41" t="str">
        <f t="shared" si="383"/>
        <v/>
      </c>
      <c r="Q505" s="9" t="str">
        <f t="shared" si="384"/>
        <v/>
      </c>
      <c r="R505" s="14">
        <f t="shared" si="385"/>
        <v>0</v>
      </c>
      <c r="S505" s="61" t="str">
        <f t="shared" si="386"/>
        <v/>
      </c>
      <c r="T505" s="14">
        <f t="shared" si="387"/>
        <v>0</v>
      </c>
      <c r="U505" s="58" t="str">
        <f t="shared" si="388"/>
        <v/>
      </c>
      <c r="V505" s="14">
        <f t="shared" si="389"/>
        <v>0</v>
      </c>
      <c r="W505" s="58" t="str">
        <f t="shared" si="390"/>
        <v/>
      </c>
      <c r="X505" s="14">
        <f t="shared" si="391"/>
        <v>0</v>
      </c>
      <c r="Y505" s="58" t="str">
        <f t="shared" si="392"/>
        <v/>
      </c>
      <c r="Z505" s="31">
        <f t="shared" si="393"/>
        <v>0</v>
      </c>
      <c r="AA505" s="21">
        <f t="shared" si="394"/>
        <v>0</v>
      </c>
      <c r="AB505" s="58" t="str">
        <f t="shared" si="395"/>
        <v/>
      </c>
      <c r="AC505" s="630">
        <f t="shared" si="371"/>
        <v>0</v>
      </c>
      <c r="AD505" s="627"/>
      <c r="AE505" s="21">
        <f t="shared" si="396"/>
        <v>0</v>
      </c>
      <c r="AF505" s="58" t="str">
        <f t="shared" si="397"/>
        <v/>
      </c>
      <c r="AG505" s="21">
        <f t="shared" si="398"/>
        <v>0</v>
      </c>
      <c r="AH505" s="58" t="str">
        <f t="shared" si="399"/>
        <v/>
      </c>
      <c r="AI505" s="21">
        <f t="shared" si="400"/>
        <v>0</v>
      </c>
      <c r="AJ505" s="58" t="str">
        <f t="shared" si="401"/>
        <v/>
      </c>
      <c r="AK505" s="31">
        <f t="shared" si="402"/>
        <v>0</v>
      </c>
      <c r="AL505" s="21">
        <f t="shared" si="403"/>
        <v>0</v>
      </c>
      <c r="AM505" s="62" t="str">
        <f t="shared" si="404"/>
        <v/>
      </c>
      <c r="AN505" s="21">
        <f t="shared" si="405"/>
        <v>0</v>
      </c>
      <c r="AO505" s="62" t="str">
        <f t="shared" si="406"/>
        <v/>
      </c>
      <c r="AP505" s="21">
        <f t="shared" si="407"/>
        <v>0</v>
      </c>
      <c r="AQ505" s="62" t="str">
        <f t="shared" si="408"/>
        <v/>
      </c>
      <c r="AR505" s="31">
        <f t="shared" si="409"/>
        <v>0</v>
      </c>
      <c r="AS505" s="21">
        <f t="shared" si="410"/>
        <v>0</v>
      </c>
      <c r="AT505" s="62" t="str">
        <f t="shared" si="411"/>
        <v/>
      </c>
      <c r="AU505" s="84">
        <f t="shared" si="412"/>
        <v>0</v>
      </c>
      <c r="AV505" s="32">
        <f t="shared" si="413"/>
        <v>0</v>
      </c>
      <c r="AW505" s="85" t="str">
        <f t="shared" si="414"/>
        <v/>
      </c>
      <c r="AX505" s="86" t="str">
        <f t="shared" si="415"/>
        <v/>
      </c>
    </row>
    <row r="506" spans="1:50" x14ac:dyDescent="0.2">
      <c r="A506" s="29" t="str">
        <f t="shared" si="373"/>
        <v/>
      </c>
      <c r="B506" s="32" t="str">
        <f t="shared" si="374"/>
        <v/>
      </c>
      <c r="C506" s="35"/>
      <c r="D506" s="33" t="str">
        <f t="shared" si="375"/>
        <v/>
      </c>
      <c r="E506" s="22" t="str">
        <f t="shared" si="376"/>
        <v/>
      </c>
      <c r="F506" s="23" t="str">
        <f t="shared" si="377"/>
        <v/>
      </c>
      <c r="G506" s="23"/>
      <c r="H506" s="22"/>
      <c r="I506" s="23"/>
      <c r="J506" s="18"/>
      <c r="K506" s="13" t="str">
        <f t="shared" si="378"/>
        <v/>
      </c>
      <c r="L506" s="28" t="str">
        <f t="shared" si="379"/>
        <v/>
      </c>
      <c r="M506" s="10" t="str">
        <f t="shared" si="380"/>
        <v/>
      </c>
      <c r="N506" s="17" t="str">
        <f t="shared" si="381"/>
        <v/>
      </c>
      <c r="O506" s="39" t="str">
        <f t="shared" si="382"/>
        <v/>
      </c>
      <c r="P506" s="41" t="str">
        <f t="shared" si="383"/>
        <v/>
      </c>
      <c r="Q506" s="9" t="str">
        <f t="shared" si="384"/>
        <v/>
      </c>
      <c r="R506" s="14">
        <f t="shared" si="385"/>
        <v>0</v>
      </c>
      <c r="S506" s="61" t="str">
        <f t="shared" si="386"/>
        <v/>
      </c>
      <c r="T506" s="14">
        <f t="shared" si="387"/>
        <v>0</v>
      </c>
      <c r="U506" s="58" t="str">
        <f t="shared" si="388"/>
        <v/>
      </c>
      <c r="V506" s="14">
        <f t="shared" si="389"/>
        <v>0</v>
      </c>
      <c r="W506" s="58" t="str">
        <f t="shared" si="390"/>
        <v/>
      </c>
      <c r="X506" s="14">
        <f t="shared" si="391"/>
        <v>0</v>
      </c>
      <c r="Y506" s="58" t="str">
        <f t="shared" si="392"/>
        <v/>
      </c>
      <c r="Z506" s="31">
        <f t="shared" si="393"/>
        <v>0</v>
      </c>
      <c r="AA506" s="21">
        <f t="shared" si="394"/>
        <v>0</v>
      </c>
      <c r="AB506" s="58" t="str">
        <f t="shared" si="395"/>
        <v/>
      </c>
      <c r="AC506" s="630">
        <f t="shared" si="371"/>
        <v>0</v>
      </c>
      <c r="AD506" s="627"/>
      <c r="AE506" s="21">
        <f t="shared" si="396"/>
        <v>0</v>
      </c>
      <c r="AF506" s="58" t="str">
        <f t="shared" si="397"/>
        <v/>
      </c>
      <c r="AG506" s="21">
        <f t="shared" si="398"/>
        <v>0</v>
      </c>
      <c r="AH506" s="58" t="str">
        <f t="shared" si="399"/>
        <v/>
      </c>
      <c r="AI506" s="21">
        <f t="shared" si="400"/>
        <v>0</v>
      </c>
      <c r="AJ506" s="58" t="str">
        <f t="shared" si="401"/>
        <v/>
      </c>
      <c r="AK506" s="31">
        <f t="shared" si="402"/>
        <v>0</v>
      </c>
      <c r="AL506" s="21">
        <f t="shared" si="403"/>
        <v>0</v>
      </c>
      <c r="AM506" s="62" t="str">
        <f t="shared" si="404"/>
        <v/>
      </c>
      <c r="AN506" s="21">
        <f t="shared" si="405"/>
        <v>0</v>
      </c>
      <c r="AO506" s="62" t="str">
        <f t="shared" si="406"/>
        <v/>
      </c>
      <c r="AP506" s="21">
        <f t="shared" si="407"/>
        <v>0</v>
      </c>
      <c r="AQ506" s="62" t="str">
        <f t="shared" si="408"/>
        <v/>
      </c>
      <c r="AR506" s="31">
        <f t="shared" si="409"/>
        <v>0</v>
      </c>
      <c r="AS506" s="21">
        <f t="shared" si="410"/>
        <v>0</v>
      </c>
      <c r="AT506" s="62" t="str">
        <f t="shared" si="411"/>
        <v/>
      </c>
      <c r="AU506" s="84">
        <f t="shared" si="412"/>
        <v>0</v>
      </c>
      <c r="AV506" s="32">
        <f t="shared" si="413"/>
        <v>0</v>
      </c>
      <c r="AW506" s="85" t="str">
        <f t="shared" si="414"/>
        <v/>
      </c>
      <c r="AX506" s="86" t="str">
        <f t="shared" si="415"/>
        <v/>
      </c>
    </row>
    <row r="507" spans="1:50" x14ac:dyDescent="0.2">
      <c r="A507" s="29" t="str">
        <f t="shared" si="373"/>
        <v/>
      </c>
      <c r="B507" s="32" t="str">
        <f t="shared" si="374"/>
        <v/>
      </c>
      <c r="C507" s="35"/>
      <c r="D507" s="33" t="str">
        <f t="shared" si="375"/>
        <v/>
      </c>
      <c r="E507" s="22" t="str">
        <f t="shared" si="376"/>
        <v/>
      </c>
      <c r="F507" s="23" t="str">
        <f t="shared" si="377"/>
        <v/>
      </c>
      <c r="G507" s="23"/>
      <c r="H507" s="22"/>
      <c r="I507" s="23"/>
      <c r="J507" s="18"/>
      <c r="K507" s="13" t="str">
        <f t="shared" si="378"/>
        <v/>
      </c>
      <c r="L507" s="28" t="str">
        <f t="shared" si="379"/>
        <v/>
      </c>
      <c r="M507" s="10" t="str">
        <f t="shared" si="380"/>
        <v/>
      </c>
      <c r="N507" s="17" t="str">
        <f t="shared" si="381"/>
        <v/>
      </c>
      <c r="O507" s="39" t="str">
        <f t="shared" si="382"/>
        <v/>
      </c>
      <c r="P507" s="41" t="str">
        <f t="shared" si="383"/>
        <v/>
      </c>
      <c r="Q507" s="9" t="str">
        <f t="shared" si="384"/>
        <v/>
      </c>
      <c r="R507" s="14">
        <f t="shared" si="385"/>
        <v>0</v>
      </c>
      <c r="S507" s="61" t="str">
        <f t="shared" si="386"/>
        <v/>
      </c>
      <c r="T507" s="14">
        <f t="shared" si="387"/>
        <v>0</v>
      </c>
      <c r="U507" s="58" t="str">
        <f t="shared" si="388"/>
        <v/>
      </c>
      <c r="V507" s="14">
        <f t="shared" si="389"/>
        <v>0</v>
      </c>
      <c r="W507" s="58" t="str">
        <f t="shared" si="390"/>
        <v/>
      </c>
      <c r="X507" s="14">
        <f t="shared" si="391"/>
        <v>0</v>
      </c>
      <c r="Y507" s="58" t="str">
        <f t="shared" si="392"/>
        <v/>
      </c>
      <c r="Z507" s="31">
        <f t="shared" si="393"/>
        <v>0</v>
      </c>
      <c r="AA507" s="21">
        <f t="shared" si="394"/>
        <v>0</v>
      </c>
      <c r="AB507" s="58" t="str">
        <f t="shared" si="395"/>
        <v/>
      </c>
      <c r="AC507" s="630">
        <f t="shared" si="371"/>
        <v>0</v>
      </c>
      <c r="AD507" s="627"/>
      <c r="AE507" s="21">
        <f t="shared" si="396"/>
        <v>0</v>
      </c>
      <c r="AF507" s="58" t="str">
        <f t="shared" si="397"/>
        <v/>
      </c>
      <c r="AG507" s="21">
        <f t="shared" si="398"/>
        <v>0</v>
      </c>
      <c r="AH507" s="58" t="str">
        <f t="shared" si="399"/>
        <v/>
      </c>
      <c r="AI507" s="21">
        <f t="shared" si="400"/>
        <v>0</v>
      </c>
      <c r="AJ507" s="58" t="str">
        <f t="shared" si="401"/>
        <v/>
      </c>
      <c r="AK507" s="31">
        <f t="shared" si="402"/>
        <v>0</v>
      </c>
      <c r="AL507" s="21">
        <f t="shared" si="403"/>
        <v>0</v>
      </c>
      <c r="AM507" s="62" t="str">
        <f t="shared" si="404"/>
        <v/>
      </c>
      <c r="AN507" s="21">
        <f t="shared" si="405"/>
        <v>0</v>
      </c>
      <c r="AO507" s="62" t="str">
        <f t="shared" si="406"/>
        <v/>
      </c>
      <c r="AP507" s="21">
        <f t="shared" si="407"/>
        <v>0</v>
      </c>
      <c r="AQ507" s="62" t="str">
        <f t="shared" si="408"/>
        <v/>
      </c>
      <c r="AR507" s="31">
        <f t="shared" si="409"/>
        <v>0</v>
      </c>
      <c r="AS507" s="21">
        <f t="shared" si="410"/>
        <v>0</v>
      </c>
      <c r="AT507" s="62" t="str">
        <f t="shared" si="411"/>
        <v/>
      </c>
      <c r="AU507" s="84">
        <f t="shared" si="412"/>
        <v>0</v>
      </c>
      <c r="AV507" s="32">
        <f t="shared" si="413"/>
        <v>0</v>
      </c>
      <c r="AW507" s="85" t="str">
        <f t="shared" si="414"/>
        <v/>
      </c>
      <c r="AX507" s="86" t="str">
        <f t="shared" si="415"/>
        <v/>
      </c>
    </row>
    <row r="508" spans="1:50" x14ac:dyDescent="0.2">
      <c r="A508" s="29" t="str">
        <f t="shared" si="373"/>
        <v/>
      </c>
      <c r="B508" s="32" t="str">
        <f t="shared" si="374"/>
        <v/>
      </c>
      <c r="C508" s="35"/>
      <c r="D508" s="33" t="str">
        <f t="shared" si="375"/>
        <v/>
      </c>
      <c r="E508" s="22" t="str">
        <f t="shared" si="376"/>
        <v/>
      </c>
      <c r="F508" s="23" t="str">
        <f t="shared" si="377"/>
        <v/>
      </c>
      <c r="G508" s="23"/>
      <c r="H508" s="22"/>
      <c r="I508" s="23"/>
      <c r="J508" s="18"/>
      <c r="K508" s="13" t="str">
        <f t="shared" si="378"/>
        <v/>
      </c>
      <c r="L508" s="28" t="str">
        <f t="shared" si="379"/>
        <v/>
      </c>
      <c r="M508" s="10" t="str">
        <f t="shared" si="380"/>
        <v/>
      </c>
      <c r="N508" s="17" t="str">
        <f t="shared" si="381"/>
        <v/>
      </c>
      <c r="O508" s="39" t="str">
        <f t="shared" si="382"/>
        <v/>
      </c>
      <c r="P508" s="41" t="str">
        <f t="shared" si="383"/>
        <v/>
      </c>
      <c r="Q508" s="9" t="str">
        <f t="shared" si="384"/>
        <v/>
      </c>
      <c r="R508" s="14">
        <f t="shared" si="385"/>
        <v>0</v>
      </c>
      <c r="S508" s="61" t="str">
        <f t="shared" si="386"/>
        <v/>
      </c>
      <c r="T508" s="14">
        <f t="shared" si="387"/>
        <v>0</v>
      </c>
      <c r="U508" s="58" t="str">
        <f t="shared" si="388"/>
        <v/>
      </c>
      <c r="V508" s="14">
        <f t="shared" si="389"/>
        <v>0</v>
      </c>
      <c r="W508" s="58" t="str">
        <f t="shared" si="390"/>
        <v/>
      </c>
      <c r="X508" s="14">
        <f t="shared" si="391"/>
        <v>0</v>
      </c>
      <c r="Y508" s="58" t="str">
        <f t="shared" si="392"/>
        <v/>
      </c>
      <c r="Z508" s="31">
        <f t="shared" si="393"/>
        <v>0</v>
      </c>
      <c r="AA508" s="21">
        <f t="shared" si="394"/>
        <v>0</v>
      </c>
      <c r="AB508" s="58" t="str">
        <f t="shared" si="395"/>
        <v/>
      </c>
      <c r="AC508" s="630">
        <f t="shared" si="371"/>
        <v>0</v>
      </c>
      <c r="AD508" s="627"/>
      <c r="AE508" s="21">
        <f t="shared" si="396"/>
        <v>0</v>
      </c>
      <c r="AF508" s="58" t="str">
        <f t="shared" si="397"/>
        <v/>
      </c>
      <c r="AG508" s="21">
        <f t="shared" si="398"/>
        <v>0</v>
      </c>
      <c r="AH508" s="58" t="str">
        <f t="shared" si="399"/>
        <v/>
      </c>
      <c r="AI508" s="21">
        <f t="shared" si="400"/>
        <v>0</v>
      </c>
      <c r="AJ508" s="58" t="str">
        <f t="shared" si="401"/>
        <v/>
      </c>
      <c r="AK508" s="31">
        <f t="shared" si="402"/>
        <v>0</v>
      </c>
      <c r="AL508" s="21">
        <f t="shared" si="403"/>
        <v>0</v>
      </c>
      <c r="AM508" s="62" t="str">
        <f t="shared" si="404"/>
        <v/>
      </c>
      <c r="AN508" s="21">
        <f t="shared" si="405"/>
        <v>0</v>
      </c>
      <c r="AO508" s="62" t="str">
        <f t="shared" si="406"/>
        <v/>
      </c>
      <c r="AP508" s="21">
        <f t="shared" si="407"/>
        <v>0</v>
      </c>
      <c r="AQ508" s="62" t="str">
        <f t="shared" si="408"/>
        <v/>
      </c>
      <c r="AR508" s="31">
        <f t="shared" si="409"/>
        <v>0</v>
      </c>
      <c r="AS508" s="21">
        <f t="shared" si="410"/>
        <v>0</v>
      </c>
      <c r="AT508" s="62" t="str">
        <f t="shared" si="411"/>
        <v/>
      </c>
      <c r="AU508" s="84">
        <f t="shared" si="412"/>
        <v>0</v>
      </c>
      <c r="AV508" s="32">
        <f t="shared" si="413"/>
        <v>0</v>
      </c>
      <c r="AW508" s="85" t="str">
        <f t="shared" si="414"/>
        <v/>
      </c>
      <c r="AX508" s="86" t="str">
        <f t="shared" si="415"/>
        <v/>
      </c>
    </row>
    <row r="509" spans="1:50" x14ac:dyDescent="0.2">
      <c r="A509" s="29" t="str">
        <f t="shared" si="373"/>
        <v/>
      </c>
      <c r="B509" s="32" t="str">
        <f t="shared" si="374"/>
        <v/>
      </c>
      <c r="C509" s="35"/>
      <c r="D509" s="33" t="str">
        <f t="shared" si="375"/>
        <v/>
      </c>
      <c r="E509" s="22" t="str">
        <f t="shared" si="376"/>
        <v/>
      </c>
      <c r="F509" s="23" t="str">
        <f t="shared" si="377"/>
        <v/>
      </c>
      <c r="G509" s="23"/>
      <c r="H509" s="22"/>
      <c r="I509" s="23"/>
      <c r="J509" s="18"/>
      <c r="K509" s="13" t="str">
        <f t="shared" si="378"/>
        <v/>
      </c>
      <c r="L509" s="28" t="str">
        <f t="shared" si="379"/>
        <v/>
      </c>
      <c r="M509" s="10" t="str">
        <f t="shared" si="380"/>
        <v/>
      </c>
      <c r="N509" s="17" t="str">
        <f t="shared" si="381"/>
        <v/>
      </c>
      <c r="O509" s="39" t="str">
        <f t="shared" si="382"/>
        <v/>
      </c>
      <c r="P509" s="41" t="str">
        <f t="shared" si="383"/>
        <v/>
      </c>
      <c r="Q509" s="9" t="str">
        <f t="shared" si="384"/>
        <v/>
      </c>
      <c r="R509" s="14">
        <f t="shared" si="385"/>
        <v>0</v>
      </c>
      <c r="S509" s="61" t="str">
        <f t="shared" si="386"/>
        <v/>
      </c>
      <c r="T509" s="14">
        <f t="shared" si="387"/>
        <v>0</v>
      </c>
      <c r="U509" s="58" t="str">
        <f t="shared" si="388"/>
        <v/>
      </c>
      <c r="V509" s="14">
        <f t="shared" si="389"/>
        <v>0</v>
      </c>
      <c r="W509" s="58" t="str">
        <f t="shared" si="390"/>
        <v/>
      </c>
      <c r="X509" s="14">
        <f t="shared" si="391"/>
        <v>0</v>
      </c>
      <c r="Y509" s="58" t="str">
        <f t="shared" si="392"/>
        <v/>
      </c>
      <c r="Z509" s="31">
        <f t="shared" si="393"/>
        <v>0</v>
      </c>
      <c r="AA509" s="21">
        <f t="shared" si="394"/>
        <v>0</v>
      </c>
      <c r="AB509" s="58" t="str">
        <f t="shared" si="395"/>
        <v/>
      </c>
      <c r="AC509" s="630">
        <f t="shared" si="371"/>
        <v>0</v>
      </c>
      <c r="AD509" s="627"/>
      <c r="AE509" s="21">
        <f t="shared" si="396"/>
        <v>0</v>
      </c>
      <c r="AF509" s="58" t="str">
        <f t="shared" si="397"/>
        <v/>
      </c>
      <c r="AG509" s="21">
        <f t="shared" si="398"/>
        <v>0</v>
      </c>
      <c r="AH509" s="58" t="str">
        <f t="shared" si="399"/>
        <v/>
      </c>
      <c r="AI509" s="21">
        <f t="shared" si="400"/>
        <v>0</v>
      </c>
      <c r="AJ509" s="58" t="str">
        <f t="shared" si="401"/>
        <v/>
      </c>
      <c r="AK509" s="31">
        <f t="shared" si="402"/>
        <v>0</v>
      </c>
      <c r="AL509" s="21">
        <f t="shared" si="403"/>
        <v>0</v>
      </c>
      <c r="AM509" s="62" t="str">
        <f t="shared" si="404"/>
        <v/>
      </c>
      <c r="AN509" s="21">
        <f t="shared" si="405"/>
        <v>0</v>
      </c>
      <c r="AO509" s="62" t="str">
        <f t="shared" si="406"/>
        <v/>
      </c>
      <c r="AP509" s="21">
        <f t="shared" si="407"/>
        <v>0</v>
      </c>
      <c r="AQ509" s="62" t="str">
        <f t="shared" si="408"/>
        <v/>
      </c>
      <c r="AR509" s="31">
        <f t="shared" si="409"/>
        <v>0</v>
      </c>
      <c r="AS509" s="21">
        <f t="shared" si="410"/>
        <v>0</v>
      </c>
      <c r="AT509" s="62" t="str">
        <f t="shared" si="411"/>
        <v/>
      </c>
      <c r="AU509" s="84">
        <f t="shared" si="412"/>
        <v>0</v>
      </c>
      <c r="AV509" s="32">
        <f t="shared" si="413"/>
        <v>0</v>
      </c>
      <c r="AW509" s="85" t="str">
        <f t="shared" si="414"/>
        <v/>
      </c>
      <c r="AX509" s="86" t="str">
        <f t="shared" si="415"/>
        <v/>
      </c>
    </row>
    <row r="510" spans="1:50" x14ac:dyDescent="0.2">
      <c r="A510" s="29" t="str">
        <f t="shared" si="373"/>
        <v/>
      </c>
      <c r="B510" s="32" t="str">
        <f t="shared" si="374"/>
        <v/>
      </c>
      <c r="C510" s="35"/>
      <c r="D510" s="33" t="str">
        <f t="shared" si="375"/>
        <v/>
      </c>
      <c r="E510" s="22" t="str">
        <f t="shared" si="376"/>
        <v/>
      </c>
      <c r="F510" s="23" t="str">
        <f t="shared" si="377"/>
        <v/>
      </c>
      <c r="G510" s="23"/>
      <c r="H510" s="22"/>
      <c r="I510" s="23"/>
      <c r="J510" s="18"/>
      <c r="K510" s="13" t="str">
        <f t="shared" si="378"/>
        <v/>
      </c>
      <c r="L510" s="28" t="str">
        <f t="shared" si="379"/>
        <v/>
      </c>
      <c r="M510" s="10" t="str">
        <f t="shared" si="380"/>
        <v/>
      </c>
      <c r="N510" s="17" t="str">
        <f t="shared" si="381"/>
        <v/>
      </c>
      <c r="O510" s="39" t="str">
        <f t="shared" si="382"/>
        <v/>
      </c>
      <c r="P510" s="41" t="str">
        <f t="shared" si="383"/>
        <v/>
      </c>
      <c r="Q510" s="9" t="str">
        <f t="shared" si="384"/>
        <v/>
      </c>
      <c r="R510" s="14">
        <f t="shared" si="385"/>
        <v>0</v>
      </c>
      <c r="S510" s="61" t="str">
        <f t="shared" si="386"/>
        <v/>
      </c>
      <c r="T510" s="14">
        <f t="shared" si="387"/>
        <v>0</v>
      </c>
      <c r="U510" s="58" t="str">
        <f t="shared" si="388"/>
        <v/>
      </c>
      <c r="V510" s="14">
        <f t="shared" si="389"/>
        <v>0</v>
      </c>
      <c r="W510" s="58" t="str">
        <f t="shared" si="390"/>
        <v/>
      </c>
      <c r="X510" s="14">
        <f t="shared" si="391"/>
        <v>0</v>
      </c>
      <c r="Y510" s="58" t="str">
        <f t="shared" si="392"/>
        <v/>
      </c>
      <c r="Z510" s="31">
        <f t="shared" si="393"/>
        <v>0</v>
      </c>
      <c r="AA510" s="21">
        <f t="shared" si="394"/>
        <v>0</v>
      </c>
      <c r="AB510" s="58" t="str">
        <f t="shared" si="395"/>
        <v/>
      </c>
      <c r="AC510" s="630">
        <f t="shared" si="371"/>
        <v>0</v>
      </c>
      <c r="AD510" s="627"/>
      <c r="AE510" s="21">
        <f t="shared" si="396"/>
        <v>0</v>
      </c>
      <c r="AF510" s="58" t="str">
        <f t="shared" si="397"/>
        <v/>
      </c>
      <c r="AG510" s="21">
        <f t="shared" si="398"/>
        <v>0</v>
      </c>
      <c r="AH510" s="58" t="str">
        <f t="shared" si="399"/>
        <v/>
      </c>
      <c r="AI510" s="21">
        <f t="shared" si="400"/>
        <v>0</v>
      </c>
      <c r="AJ510" s="58" t="str">
        <f t="shared" si="401"/>
        <v/>
      </c>
      <c r="AK510" s="31">
        <f t="shared" si="402"/>
        <v>0</v>
      </c>
      <c r="AL510" s="21">
        <f t="shared" si="403"/>
        <v>0</v>
      </c>
      <c r="AM510" s="62" t="str">
        <f t="shared" si="404"/>
        <v/>
      </c>
      <c r="AN510" s="21">
        <f t="shared" si="405"/>
        <v>0</v>
      </c>
      <c r="AO510" s="62" t="str">
        <f t="shared" si="406"/>
        <v/>
      </c>
      <c r="AP510" s="21">
        <f t="shared" si="407"/>
        <v>0</v>
      </c>
      <c r="AQ510" s="62" t="str">
        <f t="shared" si="408"/>
        <v/>
      </c>
      <c r="AR510" s="31">
        <f t="shared" si="409"/>
        <v>0</v>
      </c>
      <c r="AS510" s="21">
        <f t="shared" si="410"/>
        <v>0</v>
      </c>
      <c r="AT510" s="62" t="str">
        <f t="shared" si="411"/>
        <v/>
      </c>
      <c r="AU510" s="84">
        <f t="shared" si="412"/>
        <v>0</v>
      </c>
      <c r="AV510" s="32">
        <f t="shared" si="413"/>
        <v>0</v>
      </c>
      <c r="AW510" s="85" t="str">
        <f t="shared" si="414"/>
        <v/>
      </c>
      <c r="AX510" s="86" t="str">
        <f t="shared" si="415"/>
        <v/>
      </c>
    </row>
    <row r="511" spans="1:50" x14ac:dyDescent="0.2">
      <c r="A511" s="29" t="str">
        <f t="shared" si="373"/>
        <v/>
      </c>
      <c r="B511" s="32" t="str">
        <f t="shared" si="374"/>
        <v/>
      </c>
      <c r="C511" s="35"/>
      <c r="D511" s="33" t="str">
        <f t="shared" si="375"/>
        <v/>
      </c>
      <c r="E511" s="22" t="str">
        <f t="shared" si="376"/>
        <v/>
      </c>
      <c r="F511" s="23" t="str">
        <f t="shared" si="377"/>
        <v/>
      </c>
      <c r="G511" s="23"/>
      <c r="H511" s="22"/>
      <c r="I511" s="23"/>
      <c r="J511" s="18"/>
      <c r="K511" s="13" t="str">
        <f t="shared" si="378"/>
        <v/>
      </c>
      <c r="L511" s="28" t="str">
        <f t="shared" si="379"/>
        <v/>
      </c>
      <c r="M511" s="10" t="str">
        <f t="shared" si="380"/>
        <v/>
      </c>
      <c r="N511" s="17" t="str">
        <f t="shared" si="381"/>
        <v/>
      </c>
      <c r="O511" s="39" t="str">
        <f t="shared" si="382"/>
        <v/>
      </c>
      <c r="P511" s="41" t="str">
        <f t="shared" si="383"/>
        <v/>
      </c>
      <c r="Q511" s="9" t="str">
        <f t="shared" si="384"/>
        <v/>
      </c>
      <c r="R511" s="14">
        <f t="shared" si="385"/>
        <v>0</v>
      </c>
      <c r="S511" s="61" t="str">
        <f t="shared" si="386"/>
        <v/>
      </c>
      <c r="T511" s="14">
        <f t="shared" si="387"/>
        <v>0</v>
      </c>
      <c r="U511" s="58" t="str">
        <f t="shared" si="388"/>
        <v/>
      </c>
      <c r="V511" s="14">
        <f t="shared" si="389"/>
        <v>0</v>
      </c>
      <c r="W511" s="58" t="str">
        <f t="shared" si="390"/>
        <v/>
      </c>
      <c r="X511" s="14">
        <f t="shared" si="391"/>
        <v>0</v>
      </c>
      <c r="Y511" s="58" t="str">
        <f t="shared" si="392"/>
        <v/>
      </c>
      <c r="Z511" s="31">
        <f t="shared" si="393"/>
        <v>0</v>
      </c>
      <c r="AA511" s="21">
        <f t="shared" si="394"/>
        <v>0</v>
      </c>
      <c r="AB511" s="58" t="str">
        <f t="shared" si="395"/>
        <v/>
      </c>
      <c r="AC511" s="630">
        <f t="shared" si="371"/>
        <v>0</v>
      </c>
      <c r="AD511" s="627"/>
      <c r="AE511" s="21">
        <f t="shared" si="396"/>
        <v>0</v>
      </c>
      <c r="AF511" s="58" t="str">
        <f t="shared" si="397"/>
        <v/>
      </c>
      <c r="AG511" s="21">
        <f t="shared" si="398"/>
        <v>0</v>
      </c>
      <c r="AH511" s="58" t="str">
        <f t="shared" si="399"/>
        <v/>
      </c>
      <c r="AI511" s="21">
        <f t="shared" si="400"/>
        <v>0</v>
      </c>
      <c r="AJ511" s="58" t="str">
        <f t="shared" si="401"/>
        <v/>
      </c>
      <c r="AK511" s="31">
        <f t="shared" si="402"/>
        <v>0</v>
      </c>
      <c r="AL511" s="21">
        <f t="shared" si="403"/>
        <v>0</v>
      </c>
      <c r="AM511" s="62" t="str">
        <f t="shared" si="404"/>
        <v/>
      </c>
      <c r="AN511" s="21">
        <f t="shared" si="405"/>
        <v>0</v>
      </c>
      <c r="AO511" s="62" t="str">
        <f t="shared" si="406"/>
        <v/>
      </c>
      <c r="AP511" s="21">
        <f t="shared" si="407"/>
        <v>0</v>
      </c>
      <c r="AQ511" s="62" t="str">
        <f t="shared" si="408"/>
        <v/>
      </c>
      <c r="AR511" s="31">
        <f t="shared" si="409"/>
        <v>0</v>
      </c>
      <c r="AS511" s="21">
        <f t="shared" si="410"/>
        <v>0</v>
      </c>
      <c r="AT511" s="62" t="str">
        <f t="shared" si="411"/>
        <v/>
      </c>
      <c r="AU511" s="84">
        <f t="shared" si="412"/>
        <v>0</v>
      </c>
      <c r="AV511" s="32">
        <f t="shared" si="413"/>
        <v>0</v>
      </c>
      <c r="AW511" s="85" t="str">
        <f t="shared" si="414"/>
        <v/>
      </c>
      <c r="AX511" s="86" t="str">
        <f t="shared" si="415"/>
        <v/>
      </c>
    </row>
    <row r="512" spans="1:50" x14ac:dyDescent="0.2">
      <c r="A512" s="29" t="str">
        <f t="shared" si="373"/>
        <v/>
      </c>
      <c r="B512" s="32" t="str">
        <f t="shared" si="374"/>
        <v/>
      </c>
      <c r="C512" s="35"/>
      <c r="D512" s="33" t="str">
        <f t="shared" si="375"/>
        <v/>
      </c>
      <c r="E512" s="22" t="str">
        <f t="shared" si="376"/>
        <v/>
      </c>
      <c r="F512" s="23" t="str">
        <f t="shared" si="377"/>
        <v/>
      </c>
      <c r="G512" s="23"/>
      <c r="H512" s="22"/>
      <c r="I512" s="23"/>
      <c r="J512" s="18"/>
      <c r="K512" s="13" t="str">
        <f t="shared" si="378"/>
        <v/>
      </c>
      <c r="L512" s="28" t="str">
        <f t="shared" si="379"/>
        <v/>
      </c>
      <c r="M512" s="10" t="str">
        <f t="shared" si="380"/>
        <v/>
      </c>
      <c r="N512" s="17" t="str">
        <f t="shared" si="381"/>
        <v/>
      </c>
      <c r="O512" s="39" t="str">
        <f t="shared" si="382"/>
        <v/>
      </c>
      <c r="P512" s="41" t="str">
        <f t="shared" si="383"/>
        <v/>
      </c>
      <c r="Q512" s="9" t="str">
        <f t="shared" si="384"/>
        <v/>
      </c>
      <c r="R512" s="14">
        <f t="shared" si="385"/>
        <v>0</v>
      </c>
      <c r="S512" s="61" t="str">
        <f t="shared" si="386"/>
        <v/>
      </c>
      <c r="T512" s="14">
        <f t="shared" si="387"/>
        <v>0</v>
      </c>
      <c r="U512" s="58" t="str">
        <f t="shared" si="388"/>
        <v/>
      </c>
      <c r="V512" s="14">
        <f t="shared" si="389"/>
        <v>0</v>
      </c>
      <c r="W512" s="58" t="str">
        <f t="shared" si="390"/>
        <v/>
      </c>
      <c r="X512" s="14">
        <f t="shared" si="391"/>
        <v>0</v>
      </c>
      <c r="Y512" s="58" t="str">
        <f t="shared" si="392"/>
        <v/>
      </c>
      <c r="Z512" s="31">
        <f t="shared" si="393"/>
        <v>0</v>
      </c>
      <c r="AA512" s="21">
        <f t="shared" si="394"/>
        <v>0</v>
      </c>
      <c r="AB512" s="58" t="str">
        <f t="shared" si="395"/>
        <v/>
      </c>
      <c r="AC512" s="630">
        <f t="shared" si="371"/>
        <v>0</v>
      </c>
      <c r="AD512" s="627"/>
      <c r="AE512" s="21">
        <f t="shared" si="396"/>
        <v>0</v>
      </c>
      <c r="AF512" s="58" t="str">
        <f t="shared" si="397"/>
        <v/>
      </c>
      <c r="AG512" s="21">
        <f t="shared" si="398"/>
        <v>0</v>
      </c>
      <c r="AH512" s="58" t="str">
        <f t="shared" si="399"/>
        <v/>
      </c>
      <c r="AI512" s="21">
        <f t="shared" si="400"/>
        <v>0</v>
      </c>
      <c r="AJ512" s="58" t="str">
        <f t="shared" si="401"/>
        <v/>
      </c>
      <c r="AK512" s="31">
        <f t="shared" si="402"/>
        <v>0</v>
      </c>
      <c r="AL512" s="21">
        <f t="shared" si="403"/>
        <v>0</v>
      </c>
      <c r="AM512" s="62" t="str">
        <f t="shared" si="404"/>
        <v/>
      </c>
      <c r="AN512" s="21">
        <f t="shared" si="405"/>
        <v>0</v>
      </c>
      <c r="AO512" s="62" t="str">
        <f t="shared" si="406"/>
        <v/>
      </c>
      <c r="AP512" s="21">
        <f t="shared" si="407"/>
        <v>0</v>
      </c>
      <c r="AQ512" s="62" t="str">
        <f t="shared" si="408"/>
        <v/>
      </c>
      <c r="AR512" s="31">
        <f t="shared" si="409"/>
        <v>0</v>
      </c>
      <c r="AS512" s="21">
        <f t="shared" si="410"/>
        <v>0</v>
      </c>
      <c r="AT512" s="62" t="str">
        <f t="shared" si="411"/>
        <v/>
      </c>
      <c r="AU512" s="84">
        <f t="shared" si="412"/>
        <v>0</v>
      </c>
      <c r="AV512" s="32">
        <f t="shared" si="413"/>
        <v>0</v>
      </c>
      <c r="AW512" s="85" t="str">
        <f t="shared" si="414"/>
        <v/>
      </c>
      <c r="AX512" s="86" t="str">
        <f t="shared" si="415"/>
        <v/>
      </c>
    </row>
    <row r="513" spans="1:50" x14ac:dyDescent="0.2">
      <c r="A513" s="29" t="str">
        <f t="shared" si="373"/>
        <v/>
      </c>
      <c r="B513" s="32" t="str">
        <f t="shared" si="374"/>
        <v/>
      </c>
      <c r="C513" s="35"/>
      <c r="D513" s="33" t="str">
        <f t="shared" si="375"/>
        <v/>
      </c>
      <c r="E513" s="22" t="str">
        <f t="shared" si="376"/>
        <v/>
      </c>
      <c r="F513" s="23" t="str">
        <f t="shared" si="377"/>
        <v/>
      </c>
      <c r="G513" s="23"/>
      <c r="H513" s="22"/>
      <c r="I513" s="23"/>
      <c r="J513" s="18"/>
      <c r="K513" s="13" t="str">
        <f t="shared" si="378"/>
        <v/>
      </c>
      <c r="L513" s="28" t="str">
        <f t="shared" si="379"/>
        <v/>
      </c>
      <c r="M513" s="10" t="str">
        <f t="shared" si="380"/>
        <v/>
      </c>
      <c r="N513" s="17" t="str">
        <f t="shared" si="381"/>
        <v/>
      </c>
      <c r="O513" s="39" t="str">
        <f t="shared" si="382"/>
        <v/>
      </c>
      <c r="P513" s="41" t="str">
        <f t="shared" si="383"/>
        <v/>
      </c>
      <c r="Q513" s="9" t="str">
        <f t="shared" si="384"/>
        <v/>
      </c>
      <c r="R513" s="14">
        <f t="shared" si="385"/>
        <v>0</v>
      </c>
      <c r="S513" s="61" t="str">
        <f t="shared" si="386"/>
        <v/>
      </c>
      <c r="T513" s="14">
        <f t="shared" si="387"/>
        <v>0</v>
      </c>
      <c r="U513" s="58" t="str">
        <f t="shared" si="388"/>
        <v/>
      </c>
      <c r="V513" s="14">
        <f t="shared" si="389"/>
        <v>0</v>
      </c>
      <c r="W513" s="58" t="str">
        <f t="shared" si="390"/>
        <v/>
      </c>
      <c r="X513" s="14">
        <f t="shared" si="391"/>
        <v>0</v>
      </c>
      <c r="Y513" s="58" t="str">
        <f t="shared" si="392"/>
        <v/>
      </c>
      <c r="Z513" s="31">
        <f t="shared" si="393"/>
        <v>0</v>
      </c>
      <c r="AA513" s="21">
        <f t="shared" si="394"/>
        <v>0</v>
      </c>
      <c r="AB513" s="58" t="str">
        <f t="shared" si="395"/>
        <v/>
      </c>
      <c r="AC513" s="630">
        <f t="shared" si="371"/>
        <v>0</v>
      </c>
      <c r="AD513" s="627"/>
      <c r="AE513" s="21">
        <f t="shared" si="396"/>
        <v>0</v>
      </c>
      <c r="AF513" s="58" t="str">
        <f t="shared" si="397"/>
        <v/>
      </c>
      <c r="AG513" s="21">
        <f t="shared" si="398"/>
        <v>0</v>
      </c>
      <c r="AH513" s="58" t="str">
        <f t="shared" si="399"/>
        <v/>
      </c>
      <c r="AI513" s="21">
        <f t="shared" si="400"/>
        <v>0</v>
      </c>
      <c r="AJ513" s="58" t="str">
        <f t="shared" si="401"/>
        <v/>
      </c>
      <c r="AK513" s="31">
        <f t="shared" si="402"/>
        <v>0</v>
      </c>
      <c r="AL513" s="21">
        <f t="shared" si="403"/>
        <v>0</v>
      </c>
      <c r="AM513" s="62" t="str">
        <f t="shared" si="404"/>
        <v/>
      </c>
      <c r="AN513" s="21">
        <f t="shared" si="405"/>
        <v>0</v>
      </c>
      <c r="AO513" s="62" t="str">
        <f t="shared" si="406"/>
        <v/>
      </c>
      <c r="AP513" s="21">
        <f t="shared" si="407"/>
        <v>0</v>
      </c>
      <c r="AQ513" s="62" t="str">
        <f t="shared" si="408"/>
        <v/>
      </c>
      <c r="AR513" s="31">
        <f t="shared" si="409"/>
        <v>0</v>
      </c>
      <c r="AS513" s="21">
        <f t="shared" si="410"/>
        <v>0</v>
      </c>
      <c r="AT513" s="62" t="str">
        <f t="shared" si="411"/>
        <v/>
      </c>
      <c r="AU513" s="84">
        <f t="shared" si="412"/>
        <v>0</v>
      </c>
      <c r="AV513" s="32">
        <f t="shared" si="413"/>
        <v>0</v>
      </c>
      <c r="AW513" s="85" t="str">
        <f t="shared" si="414"/>
        <v/>
      </c>
      <c r="AX513" s="86" t="str">
        <f t="shared" si="415"/>
        <v/>
      </c>
    </row>
    <row r="514" spans="1:50" x14ac:dyDescent="0.2">
      <c r="A514" s="29" t="str">
        <f t="shared" si="373"/>
        <v/>
      </c>
      <c r="B514" s="32" t="str">
        <f t="shared" si="374"/>
        <v/>
      </c>
      <c r="C514" s="35"/>
      <c r="D514" s="33" t="str">
        <f t="shared" si="375"/>
        <v/>
      </c>
      <c r="E514" s="22" t="str">
        <f t="shared" si="376"/>
        <v/>
      </c>
      <c r="F514" s="23" t="str">
        <f t="shared" si="377"/>
        <v/>
      </c>
      <c r="G514" s="23"/>
      <c r="H514" s="22"/>
      <c r="I514" s="23"/>
      <c r="J514" s="18"/>
      <c r="K514" s="13" t="str">
        <f t="shared" si="378"/>
        <v/>
      </c>
      <c r="L514" s="28" t="str">
        <f t="shared" si="379"/>
        <v/>
      </c>
      <c r="M514" s="10" t="str">
        <f t="shared" si="380"/>
        <v/>
      </c>
      <c r="N514" s="17" t="str">
        <f t="shared" si="381"/>
        <v/>
      </c>
      <c r="O514" s="39" t="str">
        <f t="shared" si="382"/>
        <v/>
      </c>
      <c r="P514" s="41" t="str">
        <f t="shared" si="383"/>
        <v/>
      </c>
      <c r="Q514" s="9" t="str">
        <f t="shared" si="384"/>
        <v/>
      </c>
      <c r="R514" s="14">
        <f t="shared" si="385"/>
        <v>0</v>
      </c>
      <c r="S514" s="61" t="str">
        <f t="shared" si="386"/>
        <v/>
      </c>
      <c r="T514" s="14">
        <f t="shared" si="387"/>
        <v>0</v>
      </c>
      <c r="U514" s="58" t="str">
        <f t="shared" si="388"/>
        <v/>
      </c>
      <c r="V514" s="14">
        <f t="shared" si="389"/>
        <v>0</v>
      </c>
      <c r="W514" s="58" t="str">
        <f t="shared" si="390"/>
        <v/>
      </c>
      <c r="X514" s="14">
        <f t="shared" si="391"/>
        <v>0</v>
      </c>
      <c r="Y514" s="58" t="str">
        <f t="shared" si="392"/>
        <v/>
      </c>
      <c r="Z514" s="31">
        <f t="shared" si="393"/>
        <v>0</v>
      </c>
      <c r="AA514" s="21">
        <f t="shared" si="394"/>
        <v>0</v>
      </c>
      <c r="AB514" s="58" t="str">
        <f t="shared" si="395"/>
        <v/>
      </c>
      <c r="AC514" s="630">
        <f t="shared" si="371"/>
        <v>0</v>
      </c>
      <c r="AD514" s="627"/>
      <c r="AE514" s="21">
        <f t="shared" si="396"/>
        <v>0</v>
      </c>
      <c r="AF514" s="58" t="str">
        <f t="shared" si="397"/>
        <v/>
      </c>
      <c r="AG514" s="21">
        <f t="shared" si="398"/>
        <v>0</v>
      </c>
      <c r="AH514" s="58" t="str">
        <f t="shared" si="399"/>
        <v/>
      </c>
      <c r="AI514" s="21">
        <f t="shared" si="400"/>
        <v>0</v>
      </c>
      <c r="AJ514" s="58" t="str">
        <f t="shared" si="401"/>
        <v/>
      </c>
      <c r="AK514" s="31">
        <f t="shared" si="402"/>
        <v>0</v>
      </c>
      <c r="AL514" s="21">
        <f t="shared" si="403"/>
        <v>0</v>
      </c>
      <c r="AM514" s="62" t="str">
        <f t="shared" si="404"/>
        <v/>
      </c>
      <c r="AN514" s="21">
        <f t="shared" si="405"/>
        <v>0</v>
      </c>
      <c r="AO514" s="62" t="str">
        <f t="shared" si="406"/>
        <v/>
      </c>
      <c r="AP514" s="21">
        <f t="shared" si="407"/>
        <v>0</v>
      </c>
      <c r="AQ514" s="62" t="str">
        <f t="shared" si="408"/>
        <v/>
      </c>
      <c r="AR514" s="31">
        <f t="shared" si="409"/>
        <v>0</v>
      </c>
      <c r="AS514" s="21">
        <f t="shared" si="410"/>
        <v>0</v>
      </c>
      <c r="AT514" s="62" t="str">
        <f t="shared" si="411"/>
        <v/>
      </c>
      <c r="AU514" s="84">
        <f t="shared" si="412"/>
        <v>0</v>
      </c>
      <c r="AV514" s="32">
        <f t="shared" si="413"/>
        <v>0</v>
      </c>
      <c r="AW514" s="85" t="str">
        <f t="shared" si="414"/>
        <v/>
      </c>
      <c r="AX514" s="86" t="str">
        <f t="shared" si="415"/>
        <v/>
      </c>
    </row>
    <row r="515" spans="1:50" x14ac:dyDescent="0.2">
      <c r="A515" s="29" t="str">
        <f t="shared" si="373"/>
        <v/>
      </c>
      <c r="B515" s="32" t="str">
        <f t="shared" si="374"/>
        <v/>
      </c>
      <c r="C515" s="35"/>
      <c r="D515" s="33" t="str">
        <f t="shared" si="375"/>
        <v/>
      </c>
      <c r="E515" s="22" t="str">
        <f t="shared" si="376"/>
        <v/>
      </c>
      <c r="F515" s="23" t="str">
        <f t="shared" si="377"/>
        <v/>
      </c>
      <c r="G515" s="23"/>
      <c r="H515" s="22"/>
      <c r="I515" s="23"/>
      <c r="J515" s="18"/>
      <c r="K515" s="13" t="str">
        <f t="shared" si="378"/>
        <v/>
      </c>
      <c r="L515" s="28" t="str">
        <f t="shared" si="379"/>
        <v/>
      </c>
      <c r="M515" s="10" t="str">
        <f t="shared" si="380"/>
        <v/>
      </c>
      <c r="N515" s="17" t="str">
        <f t="shared" si="381"/>
        <v/>
      </c>
      <c r="O515" s="39" t="str">
        <f t="shared" si="382"/>
        <v/>
      </c>
      <c r="P515" s="41" t="str">
        <f t="shared" si="383"/>
        <v/>
      </c>
      <c r="Q515" s="9" t="str">
        <f t="shared" si="384"/>
        <v/>
      </c>
      <c r="R515" s="14">
        <f t="shared" si="385"/>
        <v>0</v>
      </c>
      <c r="S515" s="61" t="str">
        <f t="shared" si="386"/>
        <v/>
      </c>
      <c r="T515" s="14">
        <f t="shared" si="387"/>
        <v>0</v>
      </c>
      <c r="U515" s="58" t="str">
        <f t="shared" si="388"/>
        <v/>
      </c>
      <c r="V515" s="14">
        <f t="shared" si="389"/>
        <v>0</v>
      </c>
      <c r="W515" s="58" t="str">
        <f t="shared" si="390"/>
        <v/>
      </c>
      <c r="X515" s="14">
        <f t="shared" si="391"/>
        <v>0</v>
      </c>
      <c r="Y515" s="58" t="str">
        <f t="shared" si="392"/>
        <v/>
      </c>
      <c r="Z515" s="31">
        <f t="shared" si="393"/>
        <v>0</v>
      </c>
      <c r="AA515" s="21">
        <f t="shared" si="394"/>
        <v>0</v>
      </c>
      <c r="AB515" s="58" t="str">
        <f t="shared" si="395"/>
        <v/>
      </c>
      <c r="AC515" s="630">
        <f t="shared" si="371"/>
        <v>0</v>
      </c>
      <c r="AD515" s="627"/>
      <c r="AE515" s="21">
        <f t="shared" si="396"/>
        <v>0</v>
      </c>
      <c r="AF515" s="58" t="str">
        <f t="shared" si="397"/>
        <v/>
      </c>
      <c r="AG515" s="21">
        <f t="shared" si="398"/>
        <v>0</v>
      </c>
      <c r="AH515" s="58" t="str">
        <f t="shared" si="399"/>
        <v/>
      </c>
      <c r="AI515" s="21">
        <f t="shared" si="400"/>
        <v>0</v>
      </c>
      <c r="AJ515" s="58" t="str">
        <f t="shared" si="401"/>
        <v/>
      </c>
      <c r="AK515" s="31">
        <f t="shared" si="402"/>
        <v>0</v>
      </c>
      <c r="AL515" s="21">
        <f t="shared" si="403"/>
        <v>0</v>
      </c>
      <c r="AM515" s="62" t="str">
        <f t="shared" si="404"/>
        <v/>
      </c>
      <c r="AN515" s="21">
        <f t="shared" si="405"/>
        <v>0</v>
      </c>
      <c r="AO515" s="62" t="str">
        <f t="shared" si="406"/>
        <v/>
      </c>
      <c r="AP515" s="21">
        <f t="shared" si="407"/>
        <v>0</v>
      </c>
      <c r="AQ515" s="62" t="str">
        <f t="shared" si="408"/>
        <v/>
      </c>
      <c r="AR515" s="31">
        <f t="shared" si="409"/>
        <v>0</v>
      </c>
      <c r="AS515" s="21">
        <f t="shared" si="410"/>
        <v>0</v>
      </c>
      <c r="AT515" s="62" t="str">
        <f t="shared" si="411"/>
        <v/>
      </c>
      <c r="AU515" s="84">
        <f t="shared" si="412"/>
        <v>0</v>
      </c>
      <c r="AV515" s="32">
        <f t="shared" si="413"/>
        <v>0</v>
      </c>
      <c r="AW515" s="85" t="str">
        <f t="shared" si="414"/>
        <v/>
      </c>
      <c r="AX515" s="86" t="str">
        <f t="shared" si="415"/>
        <v/>
      </c>
    </row>
    <row r="516" spans="1:50" x14ac:dyDescent="0.2">
      <c r="A516" s="29" t="str">
        <f t="shared" si="373"/>
        <v/>
      </c>
      <c r="B516" s="32" t="str">
        <f t="shared" si="374"/>
        <v/>
      </c>
      <c r="C516" s="35"/>
      <c r="D516" s="33" t="str">
        <f t="shared" si="375"/>
        <v/>
      </c>
      <c r="E516" s="22" t="str">
        <f t="shared" si="376"/>
        <v/>
      </c>
      <c r="F516" s="23" t="str">
        <f t="shared" si="377"/>
        <v/>
      </c>
      <c r="G516" s="23"/>
      <c r="H516" s="22"/>
      <c r="I516" s="23"/>
      <c r="J516" s="18"/>
      <c r="K516" s="13" t="str">
        <f t="shared" si="378"/>
        <v/>
      </c>
      <c r="L516" s="28" t="str">
        <f t="shared" si="379"/>
        <v/>
      </c>
      <c r="M516" s="10" t="str">
        <f t="shared" si="380"/>
        <v/>
      </c>
      <c r="N516" s="17" t="str">
        <f t="shared" si="381"/>
        <v/>
      </c>
      <c r="O516" s="39" t="str">
        <f t="shared" si="382"/>
        <v/>
      </c>
      <c r="P516" s="41" t="str">
        <f t="shared" si="383"/>
        <v/>
      </c>
      <c r="Q516" s="9" t="str">
        <f t="shared" si="384"/>
        <v/>
      </c>
      <c r="R516" s="14">
        <f t="shared" si="385"/>
        <v>0</v>
      </c>
      <c r="S516" s="61" t="str">
        <f t="shared" si="386"/>
        <v/>
      </c>
      <c r="T516" s="14">
        <f t="shared" si="387"/>
        <v>0</v>
      </c>
      <c r="U516" s="58" t="str">
        <f t="shared" si="388"/>
        <v/>
      </c>
      <c r="V516" s="14">
        <f t="shared" si="389"/>
        <v>0</v>
      </c>
      <c r="W516" s="58" t="str">
        <f t="shared" si="390"/>
        <v/>
      </c>
      <c r="X516" s="14">
        <f t="shared" si="391"/>
        <v>0</v>
      </c>
      <c r="Y516" s="58" t="str">
        <f t="shared" si="392"/>
        <v/>
      </c>
      <c r="Z516" s="31">
        <f t="shared" si="393"/>
        <v>0</v>
      </c>
      <c r="AA516" s="21">
        <f t="shared" si="394"/>
        <v>0</v>
      </c>
      <c r="AB516" s="58" t="str">
        <f t="shared" si="395"/>
        <v/>
      </c>
      <c r="AC516" s="630">
        <f t="shared" si="371"/>
        <v>0</v>
      </c>
      <c r="AD516" s="627"/>
      <c r="AE516" s="21">
        <f t="shared" si="396"/>
        <v>0</v>
      </c>
      <c r="AF516" s="58" t="str">
        <f t="shared" si="397"/>
        <v/>
      </c>
      <c r="AG516" s="21">
        <f t="shared" si="398"/>
        <v>0</v>
      </c>
      <c r="AH516" s="58" t="str">
        <f t="shared" si="399"/>
        <v/>
      </c>
      <c r="AI516" s="21">
        <f t="shared" si="400"/>
        <v>0</v>
      </c>
      <c r="AJ516" s="58" t="str">
        <f t="shared" si="401"/>
        <v/>
      </c>
      <c r="AK516" s="31">
        <f t="shared" si="402"/>
        <v>0</v>
      </c>
      <c r="AL516" s="21">
        <f t="shared" si="403"/>
        <v>0</v>
      </c>
      <c r="AM516" s="62" t="str">
        <f t="shared" si="404"/>
        <v/>
      </c>
      <c r="AN516" s="21">
        <f t="shared" si="405"/>
        <v>0</v>
      </c>
      <c r="AO516" s="62" t="str">
        <f t="shared" si="406"/>
        <v/>
      </c>
      <c r="AP516" s="21">
        <f t="shared" si="407"/>
        <v>0</v>
      </c>
      <c r="AQ516" s="62" t="str">
        <f t="shared" si="408"/>
        <v/>
      </c>
      <c r="AR516" s="31">
        <f t="shared" si="409"/>
        <v>0</v>
      </c>
      <c r="AS516" s="21">
        <f t="shared" si="410"/>
        <v>0</v>
      </c>
      <c r="AT516" s="62" t="str">
        <f t="shared" si="411"/>
        <v/>
      </c>
      <c r="AU516" s="84">
        <f t="shared" si="412"/>
        <v>0</v>
      </c>
      <c r="AV516" s="32">
        <f t="shared" si="413"/>
        <v>0</v>
      </c>
      <c r="AW516" s="85" t="str">
        <f t="shared" si="414"/>
        <v/>
      </c>
      <c r="AX516" s="86" t="str">
        <f t="shared" si="415"/>
        <v/>
      </c>
    </row>
    <row r="517" spans="1:50" x14ac:dyDescent="0.2">
      <c r="A517" s="29" t="str">
        <f t="shared" si="373"/>
        <v/>
      </c>
      <c r="B517" s="32" t="str">
        <f t="shared" si="374"/>
        <v/>
      </c>
      <c r="C517" s="35"/>
      <c r="D517" s="33" t="str">
        <f t="shared" si="375"/>
        <v/>
      </c>
      <c r="E517" s="22" t="str">
        <f t="shared" si="376"/>
        <v/>
      </c>
      <c r="F517" s="23" t="str">
        <f t="shared" si="377"/>
        <v/>
      </c>
      <c r="G517" s="23"/>
      <c r="H517" s="22"/>
      <c r="I517" s="23"/>
      <c r="J517" s="18"/>
      <c r="K517" s="13" t="str">
        <f t="shared" si="378"/>
        <v/>
      </c>
      <c r="L517" s="28" t="str">
        <f t="shared" si="379"/>
        <v/>
      </c>
      <c r="M517" s="10" t="str">
        <f t="shared" si="380"/>
        <v/>
      </c>
      <c r="N517" s="17" t="str">
        <f t="shared" si="381"/>
        <v/>
      </c>
      <c r="O517" s="39" t="str">
        <f t="shared" si="382"/>
        <v/>
      </c>
      <c r="P517" s="41" t="str">
        <f t="shared" si="383"/>
        <v/>
      </c>
      <c r="Q517" s="9" t="str">
        <f t="shared" si="384"/>
        <v/>
      </c>
      <c r="R517" s="14">
        <f t="shared" si="385"/>
        <v>0</v>
      </c>
      <c r="S517" s="61" t="str">
        <f t="shared" si="386"/>
        <v/>
      </c>
      <c r="T517" s="14">
        <f t="shared" si="387"/>
        <v>0</v>
      </c>
      <c r="U517" s="58" t="str">
        <f t="shared" si="388"/>
        <v/>
      </c>
      <c r="V517" s="14">
        <f t="shared" si="389"/>
        <v>0</v>
      </c>
      <c r="W517" s="58" t="str">
        <f t="shared" si="390"/>
        <v/>
      </c>
      <c r="X517" s="14">
        <f t="shared" si="391"/>
        <v>0</v>
      </c>
      <c r="Y517" s="58" t="str">
        <f t="shared" si="392"/>
        <v/>
      </c>
      <c r="Z517" s="31">
        <f t="shared" si="393"/>
        <v>0</v>
      </c>
      <c r="AA517" s="21">
        <f t="shared" si="394"/>
        <v>0</v>
      </c>
      <c r="AB517" s="58" t="str">
        <f t="shared" si="395"/>
        <v/>
      </c>
      <c r="AC517" s="630">
        <f t="shared" si="371"/>
        <v>0</v>
      </c>
      <c r="AD517" s="627"/>
      <c r="AE517" s="21">
        <f t="shared" si="396"/>
        <v>0</v>
      </c>
      <c r="AF517" s="58" t="str">
        <f t="shared" si="397"/>
        <v/>
      </c>
      <c r="AG517" s="21">
        <f t="shared" si="398"/>
        <v>0</v>
      </c>
      <c r="AH517" s="58" t="str">
        <f t="shared" si="399"/>
        <v/>
      </c>
      <c r="AI517" s="21">
        <f t="shared" si="400"/>
        <v>0</v>
      </c>
      <c r="AJ517" s="58" t="str">
        <f t="shared" si="401"/>
        <v/>
      </c>
      <c r="AK517" s="31">
        <f t="shared" si="402"/>
        <v>0</v>
      </c>
      <c r="AL517" s="21">
        <f t="shared" si="403"/>
        <v>0</v>
      </c>
      <c r="AM517" s="62" t="str">
        <f t="shared" si="404"/>
        <v/>
      </c>
      <c r="AN517" s="21">
        <f t="shared" si="405"/>
        <v>0</v>
      </c>
      <c r="AO517" s="62" t="str">
        <f t="shared" si="406"/>
        <v/>
      </c>
      <c r="AP517" s="21">
        <f t="shared" si="407"/>
        <v>0</v>
      </c>
      <c r="AQ517" s="62" t="str">
        <f t="shared" si="408"/>
        <v/>
      </c>
      <c r="AR517" s="31">
        <f t="shared" si="409"/>
        <v>0</v>
      </c>
      <c r="AS517" s="21">
        <f t="shared" si="410"/>
        <v>0</v>
      </c>
      <c r="AT517" s="62" t="str">
        <f t="shared" si="411"/>
        <v/>
      </c>
      <c r="AU517" s="84">
        <f t="shared" si="412"/>
        <v>0</v>
      </c>
      <c r="AV517" s="32">
        <f t="shared" si="413"/>
        <v>0</v>
      </c>
      <c r="AW517" s="85" t="str">
        <f t="shared" si="414"/>
        <v/>
      </c>
      <c r="AX517" s="86" t="str">
        <f t="shared" si="415"/>
        <v/>
      </c>
    </row>
    <row r="518" spans="1:50" x14ac:dyDescent="0.2">
      <c r="A518" s="29" t="str">
        <f t="shared" si="373"/>
        <v/>
      </c>
      <c r="B518" s="32" t="str">
        <f t="shared" si="374"/>
        <v/>
      </c>
      <c r="C518" s="35"/>
      <c r="D518" s="33" t="str">
        <f t="shared" si="375"/>
        <v/>
      </c>
      <c r="E518" s="22" t="str">
        <f t="shared" si="376"/>
        <v/>
      </c>
      <c r="F518" s="23" t="str">
        <f t="shared" si="377"/>
        <v/>
      </c>
      <c r="G518" s="23"/>
      <c r="H518" s="22"/>
      <c r="I518" s="23"/>
      <c r="J518" s="18"/>
      <c r="K518" s="13" t="str">
        <f t="shared" si="378"/>
        <v/>
      </c>
      <c r="L518" s="28" t="str">
        <f t="shared" si="379"/>
        <v/>
      </c>
      <c r="M518" s="10" t="str">
        <f t="shared" si="380"/>
        <v/>
      </c>
      <c r="N518" s="17" t="str">
        <f t="shared" si="381"/>
        <v/>
      </c>
      <c r="O518" s="39" t="str">
        <f t="shared" si="382"/>
        <v/>
      </c>
      <c r="P518" s="41" t="str">
        <f t="shared" si="383"/>
        <v/>
      </c>
      <c r="Q518" s="9" t="str">
        <f t="shared" si="384"/>
        <v/>
      </c>
      <c r="R518" s="14">
        <f t="shared" si="385"/>
        <v>0</v>
      </c>
      <c r="S518" s="61" t="str">
        <f t="shared" si="386"/>
        <v/>
      </c>
      <c r="T518" s="14">
        <f t="shared" si="387"/>
        <v>0</v>
      </c>
      <c r="U518" s="58" t="str">
        <f t="shared" si="388"/>
        <v/>
      </c>
      <c r="V518" s="14">
        <f t="shared" si="389"/>
        <v>0</v>
      </c>
      <c r="W518" s="58" t="str">
        <f t="shared" si="390"/>
        <v/>
      </c>
      <c r="X518" s="14">
        <f t="shared" si="391"/>
        <v>0</v>
      </c>
      <c r="Y518" s="58" t="str">
        <f t="shared" si="392"/>
        <v/>
      </c>
      <c r="Z518" s="31">
        <f t="shared" si="393"/>
        <v>0</v>
      </c>
      <c r="AA518" s="21">
        <f t="shared" si="394"/>
        <v>0</v>
      </c>
      <c r="AB518" s="58" t="str">
        <f t="shared" si="395"/>
        <v/>
      </c>
      <c r="AC518" s="630">
        <f t="shared" si="371"/>
        <v>0</v>
      </c>
      <c r="AD518" s="627"/>
      <c r="AE518" s="21">
        <f t="shared" si="396"/>
        <v>0</v>
      </c>
      <c r="AF518" s="58" t="str">
        <f t="shared" si="397"/>
        <v/>
      </c>
      <c r="AG518" s="21">
        <f t="shared" si="398"/>
        <v>0</v>
      </c>
      <c r="AH518" s="58" t="str">
        <f t="shared" si="399"/>
        <v/>
      </c>
      <c r="AI518" s="21">
        <f t="shared" si="400"/>
        <v>0</v>
      </c>
      <c r="AJ518" s="58" t="str">
        <f t="shared" si="401"/>
        <v/>
      </c>
      <c r="AK518" s="31">
        <f t="shared" si="402"/>
        <v>0</v>
      </c>
      <c r="AL518" s="21">
        <f t="shared" si="403"/>
        <v>0</v>
      </c>
      <c r="AM518" s="62" t="str">
        <f t="shared" si="404"/>
        <v/>
      </c>
      <c r="AN518" s="21">
        <f t="shared" si="405"/>
        <v>0</v>
      </c>
      <c r="AO518" s="62" t="str">
        <f t="shared" si="406"/>
        <v/>
      </c>
      <c r="AP518" s="21">
        <f t="shared" si="407"/>
        <v>0</v>
      </c>
      <c r="AQ518" s="62" t="str">
        <f t="shared" si="408"/>
        <v/>
      </c>
      <c r="AR518" s="31">
        <f t="shared" si="409"/>
        <v>0</v>
      </c>
      <c r="AS518" s="21">
        <f t="shared" si="410"/>
        <v>0</v>
      </c>
      <c r="AT518" s="62" t="str">
        <f t="shared" si="411"/>
        <v/>
      </c>
      <c r="AU518" s="84">
        <f t="shared" si="412"/>
        <v>0</v>
      </c>
      <c r="AV518" s="32">
        <f t="shared" si="413"/>
        <v>0</v>
      </c>
      <c r="AW518" s="85" t="str">
        <f t="shared" si="414"/>
        <v/>
      </c>
      <c r="AX518" s="86" t="str">
        <f t="shared" si="415"/>
        <v/>
      </c>
    </row>
    <row r="519" spans="1:50" x14ac:dyDescent="0.2">
      <c r="A519" s="29" t="str">
        <f t="shared" si="373"/>
        <v/>
      </c>
      <c r="B519" s="32" t="str">
        <f t="shared" si="374"/>
        <v/>
      </c>
      <c r="C519" s="35"/>
      <c r="D519" s="33" t="str">
        <f t="shared" si="375"/>
        <v/>
      </c>
      <c r="E519" s="22" t="str">
        <f t="shared" si="376"/>
        <v/>
      </c>
      <c r="F519" s="23" t="str">
        <f t="shared" si="377"/>
        <v/>
      </c>
      <c r="G519" s="23"/>
      <c r="H519" s="22"/>
      <c r="I519" s="23"/>
      <c r="J519" s="18"/>
      <c r="K519" s="13" t="str">
        <f t="shared" si="378"/>
        <v/>
      </c>
      <c r="L519" s="28" t="str">
        <f t="shared" si="379"/>
        <v/>
      </c>
      <c r="M519" s="10" t="str">
        <f t="shared" si="380"/>
        <v/>
      </c>
      <c r="N519" s="17" t="str">
        <f t="shared" si="381"/>
        <v/>
      </c>
      <c r="O519" s="39" t="str">
        <f t="shared" si="382"/>
        <v/>
      </c>
      <c r="P519" s="41" t="str">
        <f t="shared" si="383"/>
        <v/>
      </c>
      <c r="Q519" s="9" t="str">
        <f t="shared" si="384"/>
        <v/>
      </c>
      <c r="R519" s="14">
        <f t="shared" si="385"/>
        <v>0</v>
      </c>
      <c r="S519" s="61" t="str">
        <f t="shared" si="386"/>
        <v/>
      </c>
      <c r="T519" s="14">
        <f t="shared" si="387"/>
        <v>0</v>
      </c>
      <c r="U519" s="58" t="str">
        <f t="shared" si="388"/>
        <v/>
      </c>
      <c r="V519" s="14">
        <f t="shared" si="389"/>
        <v>0</v>
      </c>
      <c r="W519" s="58" t="str">
        <f t="shared" si="390"/>
        <v/>
      </c>
      <c r="X519" s="14">
        <f t="shared" si="391"/>
        <v>0</v>
      </c>
      <c r="Y519" s="58" t="str">
        <f t="shared" si="392"/>
        <v/>
      </c>
      <c r="Z519" s="31">
        <f t="shared" si="393"/>
        <v>0</v>
      </c>
      <c r="AA519" s="21">
        <f t="shared" si="394"/>
        <v>0</v>
      </c>
      <c r="AB519" s="58" t="str">
        <f t="shared" si="395"/>
        <v/>
      </c>
      <c r="AC519" s="630">
        <f t="shared" si="371"/>
        <v>0</v>
      </c>
      <c r="AD519" s="627"/>
      <c r="AE519" s="21">
        <f t="shared" si="396"/>
        <v>0</v>
      </c>
      <c r="AF519" s="58" t="str">
        <f t="shared" si="397"/>
        <v/>
      </c>
      <c r="AG519" s="21">
        <f t="shared" si="398"/>
        <v>0</v>
      </c>
      <c r="AH519" s="58" t="str">
        <f t="shared" si="399"/>
        <v/>
      </c>
      <c r="AI519" s="21">
        <f t="shared" si="400"/>
        <v>0</v>
      </c>
      <c r="AJ519" s="58" t="str">
        <f t="shared" si="401"/>
        <v/>
      </c>
      <c r="AK519" s="31">
        <f t="shared" si="402"/>
        <v>0</v>
      </c>
      <c r="AL519" s="21">
        <f t="shared" si="403"/>
        <v>0</v>
      </c>
      <c r="AM519" s="62" t="str">
        <f t="shared" si="404"/>
        <v/>
      </c>
      <c r="AN519" s="21">
        <f t="shared" si="405"/>
        <v>0</v>
      </c>
      <c r="AO519" s="62" t="str">
        <f t="shared" si="406"/>
        <v/>
      </c>
      <c r="AP519" s="21">
        <f t="shared" si="407"/>
        <v>0</v>
      </c>
      <c r="AQ519" s="62" t="str">
        <f t="shared" si="408"/>
        <v/>
      </c>
      <c r="AR519" s="31">
        <f t="shared" si="409"/>
        <v>0</v>
      </c>
      <c r="AS519" s="21">
        <f t="shared" si="410"/>
        <v>0</v>
      </c>
      <c r="AT519" s="62" t="str">
        <f t="shared" si="411"/>
        <v/>
      </c>
      <c r="AU519" s="84">
        <f t="shared" si="412"/>
        <v>0</v>
      </c>
      <c r="AV519" s="32">
        <f t="shared" si="413"/>
        <v>0</v>
      </c>
      <c r="AW519" s="85" t="str">
        <f t="shared" si="414"/>
        <v/>
      </c>
      <c r="AX519" s="86" t="str">
        <f t="shared" si="415"/>
        <v/>
      </c>
    </row>
    <row r="520" spans="1:50" x14ac:dyDescent="0.2">
      <c r="A520" s="29" t="str">
        <f t="shared" si="373"/>
        <v/>
      </c>
      <c r="B520" s="32" t="str">
        <f t="shared" si="374"/>
        <v/>
      </c>
      <c r="C520" s="35"/>
      <c r="D520" s="33" t="str">
        <f t="shared" si="375"/>
        <v/>
      </c>
      <c r="E520" s="22" t="str">
        <f t="shared" si="376"/>
        <v/>
      </c>
      <c r="F520" s="23" t="str">
        <f t="shared" si="377"/>
        <v/>
      </c>
      <c r="G520" s="23"/>
      <c r="H520" s="22"/>
      <c r="I520" s="23"/>
      <c r="J520" s="18"/>
      <c r="K520" s="13" t="str">
        <f t="shared" si="378"/>
        <v/>
      </c>
      <c r="L520" s="28" t="str">
        <f t="shared" si="379"/>
        <v/>
      </c>
      <c r="M520" s="10" t="str">
        <f t="shared" si="380"/>
        <v/>
      </c>
      <c r="N520" s="17" t="str">
        <f t="shared" si="381"/>
        <v/>
      </c>
      <c r="O520" s="39" t="str">
        <f t="shared" si="382"/>
        <v/>
      </c>
      <c r="P520" s="41" t="str">
        <f t="shared" si="383"/>
        <v/>
      </c>
      <c r="Q520" s="9" t="str">
        <f t="shared" si="384"/>
        <v/>
      </c>
      <c r="R520" s="14">
        <f t="shared" si="385"/>
        <v>0</v>
      </c>
      <c r="S520" s="61" t="str">
        <f t="shared" si="386"/>
        <v/>
      </c>
      <c r="T520" s="14">
        <f t="shared" si="387"/>
        <v>0</v>
      </c>
      <c r="U520" s="58" t="str">
        <f t="shared" si="388"/>
        <v/>
      </c>
      <c r="V520" s="14">
        <f t="shared" si="389"/>
        <v>0</v>
      </c>
      <c r="W520" s="58" t="str">
        <f t="shared" si="390"/>
        <v/>
      </c>
      <c r="X520" s="14">
        <f t="shared" si="391"/>
        <v>0</v>
      </c>
      <c r="Y520" s="58" t="str">
        <f t="shared" si="392"/>
        <v/>
      </c>
      <c r="Z520" s="31">
        <f t="shared" si="393"/>
        <v>0</v>
      </c>
      <c r="AA520" s="21">
        <f t="shared" si="394"/>
        <v>0</v>
      </c>
      <c r="AB520" s="58" t="str">
        <f t="shared" si="395"/>
        <v/>
      </c>
      <c r="AC520" s="630">
        <f t="shared" si="371"/>
        <v>0</v>
      </c>
      <c r="AD520" s="627"/>
      <c r="AE520" s="21">
        <f t="shared" si="396"/>
        <v>0</v>
      </c>
      <c r="AF520" s="58" t="str">
        <f t="shared" si="397"/>
        <v/>
      </c>
      <c r="AG520" s="21">
        <f t="shared" si="398"/>
        <v>0</v>
      </c>
      <c r="AH520" s="58" t="str">
        <f t="shared" si="399"/>
        <v/>
      </c>
      <c r="AI520" s="21">
        <f t="shared" si="400"/>
        <v>0</v>
      </c>
      <c r="AJ520" s="58" t="str">
        <f t="shared" si="401"/>
        <v/>
      </c>
      <c r="AK520" s="31">
        <f t="shared" si="402"/>
        <v>0</v>
      </c>
      <c r="AL520" s="21">
        <f t="shared" si="403"/>
        <v>0</v>
      </c>
      <c r="AM520" s="62" t="str">
        <f t="shared" si="404"/>
        <v/>
      </c>
      <c r="AN520" s="21">
        <f t="shared" si="405"/>
        <v>0</v>
      </c>
      <c r="AO520" s="62" t="str">
        <f t="shared" si="406"/>
        <v/>
      </c>
      <c r="AP520" s="21">
        <f t="shared" si="407"/>
        <v>0</v>
      </c>
      <c r="AQ520" s="62" t="str">
        <f t="shared" si="408"/>
        <v/>
      </c>
      <c r="AR520" s="31">
        <f t="shared" si="409"/>
        <v>0</v>
      </c>
      <c r="AS520" s="21">
        <f t="shared" si="410"/>
        <v>0</v>
      </c>
      <c r="AT520" s="62" t="str">
        <f t="shared" si="411"/>
        <v/>
      </c>
      <c r="AU520" s="84">
        <f t="shared" si="412"/>
        <v>0</v>
      </c>
      <c r="AV520" s="32">
        <f t="shared" si="413"/>
        <v>0</v>
      </c>
      <c r="AW520" s="85" t="str">
        <f t="shared" si="414"/>
        <v/>
      </c>
      <c r="AX520" s="86" t="str">
        <f t="shared" si="415"/>
        <v/>
      </c>
    </row>
    <row r="521" spans="1:50" x14ac:dyDescent="0.2">
      <c r="A521" s="29" t="str">
        <f t="shared" si="373"/>
        <v/>
      </c>
      <c r="B521" s="32" t="str">
        <f t="shared" si="374"/>
        <v/>
      </c>
      <c r="C521" s="35"/>
      <c r="D521" s="33" t="str">
        <f t="shared" si="375"/>
        <v/>
      </c>
      <c r="E521" s="22" t="str">
        <f t="shared" si="376"/>
        <v/>
      </c>
      <c r="F521" s="23" t="str">
        <f t="shared" si="377"/>
        <v/>
      </c>
      <c r="G521" s="23"/>
      <c r="H521" s="22"/>
      <c r="I521" s="23"/>
      <c r="J521" s="18"/>
      <c r="K521" s="13" t="str">
        <f t="shared" si="378"/>
        <v/>
      </c>
      <c r="L521" s="28" t="str">
        <f t="shared" si="379"/>
        <v/>
      </c>
      <c r="M521" s="10" t="str">
        <f t="shared" si="380"/>
        <v/>
      </c>
      <c r="N521" s="17" t="str">
        <f t="shared" si="381"/>
        <v/>
      </c>
      <c r="O521" s="39" t="str">
        <f t="shared" si="382"/>
        <v/>
      </c>
      <c r="P521" s="41" t="str">
        <f t="shared" si="383"/>
        <v/>
      </c>
      <c r="Q521" s="9" t="str">
        <f t="shared" si="384"/>
        <v/>
      </c>
      <c r="R521" s="14">
        <f t="shared" si="385"/>
        <v>0</v>
      </c>
      <c r="S521" s="61" t="str">
        <f t="shared" si="386"/>
        <v/>
      </c>
      <c r="T521" s="14">
        <f t="shared" si="387"/>
        <v>0</v>
      </c>
      <c r="U521" s="58" t="str">
        <f t="shared" si="388"/>
        <v/>
      </c>
      <c r="V521" s="14">
        <f t="shared" si="389"/>
        <v>0</v>
      </c>
      <c r="W521" s="58" t="str">
        <f t="shared" si="390"/>
        <v/>
      </c>
      <c r="X521" s="14">
        <f t="shared" si="391"/>
        <v>0</v>
      </c>
      <c r="Y521" s="58" t="str">
        <f t="shared" si="392"/>
        <v/>
      </c>
      <c r="Z521" s="31">
        <f t="shared" si="393"/>
        <v>0</v>
      </c>
      <c r="AA521" s="21">
        <f t="shared" si="394"/>
        <v>0</v>
      </c>
      <c r="AB521" s="58" t="str">
        <f t="shared" si="395"/>
        <v/>
      </c>
      <c r="AC521" s="630">
        <f t="shared" si="371"/>
        <v>0</v>
      </c>
      <c r="AD521" s="627"/>
      <c r="AE521" s="21">
        <f t="shared" si="396"/>
        <v>0</v>
      </c>
      <c r="AF521" s="58" t="str">
        <f t="shared" si="397"/>
        <v/>
      </c>
      <c r="AG521" s="21">
        <f t="shared" si="398"/>
        <v>0</v>
      </c>
      <c r="AH521" s="58" t="str">
        <f t="shared" si="399"/>
        <v/>
      </c>
      <c r="AI521" s="21">
        <f t="shared" si="400"/>
        <v>0</v>
      </c>
      <c r="AJ521" s="58" t="str">
        <f t="shared" si="401"/>
        <v/>
      </c>
      <c r="AK521" s="31">
        <f t="shared" si="402"/>
        <v>0</v>
      </c>
      <c r="AL521" s="21">
        <f t="shared" si="403"/>
        <v>0</v>
      </c>
      <c r="AM521" s="62" t="str">
        <f t="shared" si="404"/>
        <v/>
      </c>
      <c r="AN521" s="21">
        <f t="shared" si="405"/>
        <v>0</v>
      </c>
      <c r="AO521" s="62" t="str">
        <f t="shared" si="406"/>
        <v/>
      </c>
      <c r="AP521" s="21">
        <f t="shared" si="407"/>
        <v>0</v>
      </c>
      <c r="AQ521" s="62" t="str">
        <f t="shared" si="408"/>
        <v/>
      </c>
      <c r="AR521" s="31">
        <f t="shared" si="409"/>
        <v>0</v>
      </c>
      <c r="AS521" s="21">
        <f t="shared" si="410"/>
        <v>0</v>
      </c>
      <c r="AT521" s="62" t="str">
        <f t="shared" si="411"/>
        <v/>
      </c>
      <c r="AU521" s="84">
        <f t="shared" si="412"/>
        <v>0</v>
      </c>
      <c r="AV521" s="32">
        <f t="shared" si="413"/>
        <v>0</v>
      </c>
      <c r="AW521" s="85" t="str">
        <f t="shared" si="414"/>
        <v/>
      </c>
      <c r="AX521" s="86" t="str">
        <f t="shared" si="415"/>
        <v/>
      </c>
    </row>
    <row r="522" spans="1:50" x14ac:dyDescent="0.2">
      <c r="A522" s="29" t="str">
        <f t="shared" si="373"/>
        <v/>
      </c>
      <c r="B522" s="32" t="str">
        <f t="shared" si="374"/>
        <v/>
      </c>
      <c r="C522" s="35"/>
      <c r="D522" s="33" t="str">
        <f t="shared" si="375"/>
        <v/>
      </c>
      <c r="E522" s="22" t="str">
        <f t="shared" si="376"/>
        <v/>
      </c>
      <c r="F522" s="23" t="str">
        <f t="shared" si="377"/>
        <v/>
      </c>
      <c r="G522" s="23"/>
      <c r="H522" s="22"/>
      <c r="I522" s="23"/>
      <c r="J522" s="18"/>
      <c r="K522" s="13" t="str">
        <f t="shared" si="378"/>
        <v/>
      </c>
      <c r="L522" s="28" t="str">
        <f t="shared" si="379"/>
        <v/>
      </c>
      <c r="M522" s="10" t="str">
        <f t="shared" si="380"/>
        <v/>
      </c>
      <c r="N522" s="17" t="str">
        <f t="shared" si="381"/>
        <v/>
      </c>
      <c r="O522" s="39" t="str">
        <f t="shared" si="382"/>
        <v/>
      </c>
      <c r="P522" s="41" t="str">
        <f t="shared" si="383"/>
        <v/>
      </c>
      <c r="Q522" s="9" t="str">
        <f t="shared" si="384"/>
        <v/>
      </c>
      <c r="R522" s="14">
        <f t="shared" si="385"/>
        <v>0</v>
      </c>
      <c r="S522" s="61" t="str">
        <f t="shared" si="386"/>
        <v/>
      </c>
      <c r="T522" s="14">
        <f t="shared" si="387"/>
        <v>0</v>
      </c>
      <c r="U522" s="58" t="str">
        <f t="shared" si="388"/>
        <v/>
      </c>
      <c r="V522" s="14">
        <f t="shared" si="389"/>
        <v>0</v>
      </c>
      <c r="W522" s="58" t="str">
        <f t="shared" si="390"/>
        <v/>
      </c>
      <c r="X522" s="14">
        <f t="shared" si="391"/>
        <v>0</v>
      </c>
      <c r="Y522" s="58" t="str">
        <f t="shared" si="392"/>
        <v/>
      </c>
      <c r="Z522" s="31">
        <f t="shared" si="393"/>
        <v>0</v>
      </c>
      <c r="AA522" s="21">
        <f t="shared" si="394"/>
        <v>0</v>
      </c>
      <c r="AB522" s="58" t="str">
        <f t="shared" si="395"/>
        <v/>
      </c>
      <c r="AC522" s="630">
        <f t="shared" si="371"/>
        <v>0</v>
      </c>
      <c r="AD522" s="627"/>
      <c r="AE522" s="21">
        <f t="shared" si="396"/>
        <v>0</v>
      </c>
      <c r="AF522" s="58" t="str">
        <f t="shared" si="397"/>
        <v/>
      </c>
      <c r="AG522" s="21">
        <f t="shared" si="398"/>
        <v>0</v>
      </c>
      <c r="AH522" s="58" t="str">
        <f t="shared" si="399"/>
        <v/>
      </c>
      <c r="AI522" s="21">
        <f t="shared" si="400"/>
        <v>0</v>
      </c>
      <c r="AJ522" s="58" t="str">
        <f t="shared" si="401"/>
        <v/>
      </c>
      <c r="AK522" s="31">
        <f t="shared" si="402"/>
        <v>0</v>
      </c>
      <c r="AL522" s="21">
        <f t="shared" si="403"/>
        <v>0</v>
      </c>
      <c r="AM522" s="62" t="str">
        <f t="shared" si="404"/>
        <v/>
      </c>
      <c r="AN522" s="21">
        <f t="shared" si="405"/>
        <v>0</v>
      </c>
      <c r="AO522" s="62" t="str">
        <f t="shared" si="406"/>
        <v/>
      </c>
      <c r="AP522" s="21">
        <f t="shared" si="407"/>
        <v>0</v>
      </c>
      <c r="AQ522" s="62" t="str">
        <f t="shared" si="408"/>
        <v/>
      </c>
      <c r="AR522" s="31">
        <f t="shared" si="409"/>
        <v>0</v>
      </c>
      <c r="AS522" s="21">
        <f t="shared" si="410"/>
        <v>0</v>
      </c>
      <c r="AT522" s="62" t="str">
        <f t="shared" si="411"/>
        <v/>
      </c>
      <c r="AU522" s="84">
        <f t="shared" si="412"/>
        <v>0</v>
      </c>
      <c r="AV522" s="32">
        <f t="shared" si="413"/>
        <v>0</v>
      </c>
      <c r="AW522" s="85" t="str">
        <f t="shared" si="414"/>
        <v/>
      </c>
      <c r="AX522" s="86" t="str">
        <f t="shared" si="415"/>
        <v/>
      </c>
    </row>
    <row r="523" spans="1:50" x14ac:dyDescent="0.2">
      <c r="A523" s="29" t="str">
        <f t="shared" si="373"/>
        <v/>
      </c>
      <c r="B523" s="32" t="str">
        <f t="shared" si="374"/>
        <v/>
      </c>
      <c r="C523" s="35"/>
      <c r="D523" s="33" t="str">
        <f t="shared" si="375"/>
        <v/>
      </c>
      <c r="E523" s="22" t="str">
        <f t="shared" si="376"/>
        <v/>
      </c>
      <c r="F523" s="23" t="str">
        <f t="shared" si="377"/>
        <v/>
      </c>
      <c r="G523" s="23"/>
      <c r="H523" s="22"/>
      <c r="I523" s="23"/>
      <c r="J523" s="18"/>
      <c r="K523" s="13" t="str">
        <f t="shared" si="378"/>
        <v/>
      </c>
      <c r="L523" s="28" t="str">
        <f t="shared" si="379"/>
        <v/>
      </c>
      <c r="M523" s="10" t="str">
        <f t="shared" si="380"/>
        <v/>
      </c>
      <c r="N523" s="17" t="str">
        <f t="shared" si="381"/>
        <v/>
      </c>
      <c r="O523" s="39" t="str">
        <f t="shared" si="382"/>
        <v/>
      </c>
      <c r="P523" s="41" t="str">
        <f t="shared" si="383"/>
        <v/>
      </c>
      <c r="Q523" s="9" t="str">
        <f t="shared" si="384"/>
        <v/>
      </c>
      <c r="R523" s="14">
        <f t="shared" si="385"/>
        <v>0</v>
      </c>
      <c r="S523" s="61" t="str">
        <f t="shared" si="386"/>
        <v/>
      </c>
      <c r="T523" s="14">
        <f t="shared" si="387"/>
        <v>0</v>
      </c>
      <c r="U523" s="58" t="str">
        <f t="shared" si="388"/>
        <v/>
      </c>
      <c r="V523" s="14">
        <f t="shared" si="389"/>
        <v>0</v>
      </c>
      <c r="W523" s="58" t="str">
        <f t="shared" si="390"/>
        <v/>
      </c>
      <c r="X523" s="14">
        <f t="shared" si="391"/>
        <v>0</v>
      </c>
      <c r="Y523" s="58" t="str">
        <f t="shared" si="392"/>
        <v/>
      </c>
      <c r="Z523" s="31">
        <f t="shared" si="393"/>
        <v>0</v>
      </c>
      <c r="AA523" s="21">
        <f t="shared" si="394"/>
        <v>0</v>
      </c>
      <c r="AB523" s="58" t="str">
        <f t="shared" si="395"/>
        <v/>
      </c>
      <c r="AC523" s="630">
        <f t="shared" si="371"/>
        <v>0</v>
      </c>
      <c r="AD523" s="627"/>
      <c r="AE523" s="21">
        <f t="shared" si="396"/>
        <v>0</v>
      </c>
      <c r="AF523" s="58" t="str">
        <f t="shared" si="397"/>
        <v/>
      </c>
      <c r="AG523" s="21">
        <f t="shared" si="398"/>
        <v>0</v>
      </c>
      <c r="AH523" s="58" t="str">
        <f t="shared" si="399"/>
        <v/>
      </c>
      <c r="AI523" s="21">
        <f t="shared" si="400"/>
        <v>0</v>
      </c>
      <c r="AJ523" s="58" t="str">
        <f t="shared" si="401"/>
        <v/>
      </c>
      <c r="AK523" s="31">
        <f t="shared" si="402"/>
        <v>0</v>
      </c>
      <c r="AL523" s="21">
        <f t="shared" si="403"/>
        <v>0</v>
      </c>
      <c r="AM523" s="62" t="str">
        <f t="shared" si="404"/>
        <v/>
      </c>
      <c r="AN523" s="21">
        <f t="shared" si="405"/>
        <v>0</v>
      </c>
      <c r="AO523" s="62" t="str">
        <f t="shared" si="406"/>
        <v/>
      </c>
      <c r="AP523" s="21">
        <f t="shared" si="407"/>
        <v>0</v>
      </c>
      <c r="AQ523" s="62" t="str">
        <f t="shared" si="408"/>
        <v/>
      </c>
      <c r="AR523" s="31">
        <f t="shared" si="409"/>
        <v>0</v>
      </c>
      <c r="AS523" s="21">
        <f t="shared" si="410"/>
        <v>0</v>
      </c>
      <c r="AT523" s="62" t="str">
        <f t="shared" si="411"/>
        <v/>
      </c>
      <c r="AU523" s="84">
        <f t="shared" si="412"/>
        <v>0</v>
      </c>
      <c r="AV523" s="32">
        <f t="shared" si="413"/>
        <v>0</v>
      </c>
      <c r="AW523" s="85" t="str">
        <f t="shared" si="414"/>
        <v/>
      </c>
      <c r="AX523" s="86" t="str">
        <f t="shared" si="415"/>
        <v/>
      </c>
    </row>
    <row r="524" spans="1:50" x14ac:dyDescent="0.2">
      <c r="A524" s="29" t="str">
        <f t="shared" si="373"/>
        <v/>
      </c>
      <c r="B524" s="32" t="str">
        <f t="shared" si="374"/>
        <v/>
      </c>
      <c r="C524" s="35"/>
      <c r="D524" s="33" t="str">
        <f t="shared" si="375"/>
        <v/>
      </c>
      <c r="E524" s="22" t="str">
        <f t="shared" si="376"/>
        <v/>
      </c>
      <c r="F524" s="23" t="str">
        <f t="shared" si="377"/>
        <v/>
      </c>
      <c r="G524" s="23"/>
      <c r="H524" s="22"/>
      <c r="I524" s="23"/>
      <c r="J524" s="18"/>
      <c r="K524" s="13" t="str">
        <f t="shared" si="378"/>
        <v/>
      </c>
      <c r="L524" s="28" t="str">
        <f t="shared" si="379"/>
        <v/>
      </c>
      <c r="M524" s="10" t="str">
        <f t="shared" si="380"/>
        <v/>
      </c>
      <c r="N524" s="17" t="str">
        <f t="shared" si="381"/>
        <v/>
      </c>
      <c r="O524" s="39" t="str">
        <f t="shared" si="382"/>
        <v/>
      </c>
      <c r="P524" s="41" t="str">
        <f t="shared" si="383"/>
        <v/>
      </c>
      <c r="Q524" s="9" t="str">
        <f t="shared" si="384"/>
        <v/>
      </c>
      <c r="R524" s="14">
        <f t="shared" si="385"/>
        <v>0</v>
      </c>
      <c r="S524" s="61" t="str">
        <f t="shared" si="386"/>
        <v/>
      </c>
      <c r="T524" s="14">
        <f t="shared" si="387"/>
        <v>0</v>
      </c>
      <c r="U524" s="58" t="str">
        <f t="shared" si="388"/>
        <v/>
      </c>
      <c r="V524" s="14">
        <f t="shared" si="389"/>
        <v>0</v>
      </c>
      <c r="W524" s="58" t="str">
        <f t="shared" si="390"/>
        <v/>
      </c>
      <c r="X524" s="14">
        <f t="shared" si="391"/>
        <v>0</v>
      </c>
      <c r="Y524" s="58" t="str">
        <f t="shared" si="392"/>
        <v/>
      </c>
      <c r="Z524" s="31">
        <f t="shared" si="393"/>
        <v>0</v>
      </c>
      <c r="AA524" s="21">
        <f t="shared" si="394"/>
        <v>0</v>
      </c>
      <c r="AB524" s="58" t="str">
        <f t="shared" si="395"/>
        <v/>
      </c>
      <c r="AC524" s="630">
        <f t="shared" si="371"/>
        <v>0</v>
      </c>
      <c r="AD524" s="627"/>
      <c r="AE524" s="21">
        <f t="shared" si="396"/>
        <v>0</v>
      </c>
      <c r="AF524" s="58" t="str">
        <f t="shared" si="397"/>
        <v/>
      </c>
      <c r="AG524" s="21">
        <f t="shared" si="398"/>
        <v>0</v>
      </c>
      <c r="AH524" s="58" t="str">
        <f t="shared" si="399"/>
        <v/>
      </c>
      <c r="AI524" s="21">
        <f t="shared" si="400"/>
        <v>0</v>
      </c>
      <c r="AJ524" s="58" t="str">
        <f t="shared" si="401"/>
        <v/>
      </c>
      <c r="AK524" s="31">
        <f t="shared" si="402"/>
        <v>0</v>
      </c>
      <c r="AL524" s="21">
        <f t="shared" si="403"/>
        <v>0</v>
      </c>
      <c r="AM524" s="62" t="str">
        <f t="shared" si="404"/>
        <v/>
      </c>
      <c r="AN524" s="21">
        <f t="shared" si="405"/>
        <v>0</v>
      </c>
      <c r="AO524" s="62" t="str">
        <f t="shared" si="406"/>
        <v/>
      </c>
      <c r="AP524" s="21">
        <f t="shared" si="407"/>
        <v>0</v>
      </c>
      <c r="AQ524" s="62" t="str">
        <f t="shared" si="408"/>
        <v/>
      </c>
      <c r="AR524" s="31">
        <f t="shared" si="409"/>
        <v>0</v>
      </c>
      <c r="AS524" s="21">
        <f t="shared" si="410"/>
        <v>0</v>
      </c>
      <c r="AT524" s="62" t="str">
        <f t="shared" si="411"/>
        <v/>
      </c>
      <c r="AU524" s="84">
        <f t="shared" si="412"/>
        <v>0</v>
      </c>
      <c r="AV524" s="32">
        <f t="shared" si="413"/>
        <v>0</v>
      </c>
      <c r="AW524" s="85" t="str">
        <f t="shared" si="414"/>
        <v/>
      </c>
      <c r="AX524" s="86" t="str">
        <f t="shared" si="415"/>
        <v/>
      </c>
    </row>
    <row r="525" spans="1:50" x14ac:dyDescent="0.2">
      <c r="A525" s="29" t="str">
        <f t="shared" si="373"/>
        <v/>
      </c>
      <c r="B525" s="32" t="str">
        <f t="shared" si="374"/>
        <v/>
      </c>
      <c r="C525" s="35"/>
      <c r="D525" s="33" t="str">
        <f t="shared" si="375"/>
        <v/>
      </c>
      <c r="E525" s="22" t="str">
        <f t="shared" si="376"/>
        <v/>
      </c>
      <c r="F525" s="23" t="str">
        <f t="shared" si="377"/>
        <v/>
      </c>
      <c r="G525" s="23"/>
      <c r="H525" s="22"/>
      <c r="I525" s="23"/>
      <c r="J525" s="18"/>
      <c r="K525" s="13" t="str">
        <f t="shared" si="378"/>
        <v/>
      </c>
      <c r="L525" s="28" t="str">
        <f t="shared" si="379"/>
        <v/>
      </c>
      <c r="M525" s="10" t="str">
        <f t="shared" si="380"/>
        <v/>
      </c>
      <c r="N525" s="17" t="str">
        <f t="shared" si="381"/>
        <v/>
      </c>
      <c r="O525" s="39" t="str">
        <f t="shared" si="382"/>
        <v/>
      </c>
      <c r="P525" s="41" t="str">
        <f t="shared" si="383"/>
        <v/>
      </c>
      <c r="Q525" s="9" t="str">
        <f t="shared" si="384"/>
        <v/>
      </c>
      <c r="R525" s="14">
        <f t="shared" si="385"/>
        <v>0</v>
      </c>
      <c r="S525" s="61" t="str">
        <f t="shared" si="386"/>
        <v/>
      </c>
      <c r="T525" s="14">
        <f t="shared" si="387"/>
        <v>0</v>
      </c>
      <c r="U525" s="58" t="str">
        <f t="shared" si="388"/>
        <v/>
      </c>
      <c r="V525" s="14">
        <f t="shared" si="389"/>
        <v>0</v>
      </c>
      <c r="W525" s="58" t="str">
        <f t="shared" si="390"/>
        <v/>
      </c>
      <c r="X525" s="14">
        <f t="shared" si="391"/>
        <v>0</v>
      </c>
      <c r="Y525" s="58" t="str">
        <f t="shared" si="392"/>
        <v/>
      </c>
      <c r="Z525" s="31">
        <f t="shared" si="393"/>
        <v>0</v>
      </c>
      <c r="AA525" s="21">
        <f t="shared" si="394"/>
        <v>0</v>
      </c>
      <c r="AB525" s="58" t="str">
        <f t="shared" si="395"/>
        <v/>
      </c>
      <c r="AC525" s="630">
        <f t="shared" si="371"/>
        <v>0</v>
      </c>
      <c r="AD525" s="627"/>
      <c r="AE525" s="21">
        <f t="shared" si="396"/>
        <v>0</v>
      </c>
      <c r="AF525" s="58" t="str">
        <f t="shared" si="397"/>
        <v/>
      </c>
      <c r="AG525" s="21">
        <f t="shared" si="398"/>
        <v>0</v>
      </c>
      <c r="AH525" s="58" t="str">
        <f t="shared" si="399"/>
        <v/>
      </c>
      <c r="AI525" s="21">
        <f t="shared" si="400"/>
        <v>0</v>
      </c>
      <c r="AJ525" s="58" t="str">
        <f t="shared" si="401"/>
        <v/>
      </c>
      <c r="AK525" s="31">
        <f t="shared" si="402"/>
        <v>0</v>
      </c>
      <c r="AL525" s="21">
        <f t="shared" si="403"/>
        <v>0</v>
      </c>
      <c r="AM525" s="62" t="str">
        <f t="shared" si="404"/>
        <v/>
      </c>
      <c r="AN525" s="21">
        <f t="shared" si="405"/>
        <v>0</v>
      </c>
      <c r="AO525" s="62" t="str">
        <f t="shared" si="406"/>
        <v/>
      </c>
      <c r="AP525" s="21">
        <f t="shared" si="407"/>
        <v>0</v>
      </c>
      <c r="AQ525" s="62" t="str">
        <f t="shared" si="408"/>
        <v/>
      </c>
      <c r="AR525" s="31">
        <f t="shared" si="409"/>
        <v>0</v>
      </c>
      <c r="AS525" s="21">
        <f t="shared" si="410"/>
        <v>0</v>
      </c>
      <c r="AT525" s="62" t="str">
        <f t="shared" si="411"/>
        <v/>
      </c>
      <c r="AU525" s="84">
        <f t="shared" si="412"/>
        <v>0</v>
      </c>
      <c r="AV525" s="32">
        <f t="shared" si="413"/>
        <v>0</v>
      </c>
      <c r="AW525" s="85" t="str">
        <f t="shared" si="414"/>
        <v/>
      </c>
      <c r="AX525" s="86" t="str">
        <f t="shared" si="415"/>
        <v/>
      </c>
    </row>
    <row r="526" spans="1:50" x14ac:dyDescent="0.2">
      <c r="A526" s="29" t="str">
        <f t="shared" si="373"/>
        <v/>
      </c>
      <c r="B526" s="32" t="str">
        <f t="shared" si="374"/>
        <v/>
      </c>
      <c r="C526" s="35"/>
      <c r="D526" s="33" t="str">
        <f t="shared" si="375"/>
        <v/>
      </c>
      <c r="E526" s="22" t="str">
        <f t="shared" si="376"/>
        <v/>
      </c>
      <c r="F526" s="23" t="str">
        <f t="shared" si="377"/>
        <v/>
      </c>
      <c r="G526" s="23"/>
      <c r="H526" s="22"/>
      <c r="I526" s="23"/>
      <c r="J526" s="18"/>
      <c r="K526" s="13" t="str">
        <f t="shared" si="378"/>
        <v/>
      </c>
      <c r="L526" s="28" t="str">
        <f t="shared" si="379"/>
        <v/>
      </c>
      <c r="M526" s="10" t="str">
        <f t="shared" si="380"/>
        <v/>
      </c>
      <c r="N526" s="17" t="str">
        <f t="shared" si="381"/>
        <v/>
      </c>
      <c r="O526" s="39" t="str">
        <f t="shared" si="382"/>
        <v/>
      </c>
      <c r="P526" s="41" t="str">
        <f t="shared" si="383"/>
        <v/>
      </c>
      <c r="Q526" s="9" t="str">
        <f t="shared" si="384"/>
        <v/>
      </c>
      <c r="R526" s="14">
        <f t="shared" si="385"/>
        <v>0</v>
      </c>
      <c r="S526" s="61" t="str">
        <f t="shared" si="386"/>
        <v/>
      </c>
      <c r="T526" s="14">
        <f t="shared" si="387"/>
        <v>0</v>
      </c>
      <c r="U526" s="58" t="str">
        <f t="shared" si="388"/>
        <v/>
      </c>
      <c r="V526" s="14">
        <f t="shared" si="389"/>
        <v>0</v>
      </c>
      <c r="W526" s="58" t="str">
        <f t="shared" si="390"/>
        <v/>
      </c>
      <c r="X526" s="14">
        <f t="shared" si="391"/>
        <v>0</v>
      </c>
      <c r="Y526" s="58" t="str">
        <f t="shared" si="392"/>
        <v/>
      </c>
      <c r="Z526" s="31">
        <f t="shared" si="393"/>
        <v>0</v>
      </c>
      <c r="AA526" s="21">
        <f t="shared" si="394"/>
        <v>0</v>
      </c>
      <c r="AB526" s="58" t="str">
        <f t="shared" si="395"/>
        <v/>
      </c>
      <c r="AC526" s="630">
        <f t="shared" si="371"/>
        <v>0</v>
      </c>
      <c r="AD526" s="627"/>
      <c r="AE526" s="21">
        <f t="shared" si="396"/>
        <v>0</v>
      </c>
      <c r="AF526" s="58" t="str">
        <f t="shared" si="397"/>
        <v/>
      </c>
      <c r="AG526" s="21">
        <f t="shared" si="398"/>
        <v>0</v>
      </c>
      <c r="AH526" s="58" t="str">
        <f t="shared" si="399"/>
        <v/>
      </c>
      <c r="AI526" s="21">
        <f t="shared" si="400"/>
        <v>0</v>
      </c>
      <c r="AJ526" s="58" t="str">
        <f t="shared" si="401"/>
        <v/>
      </c>
      <c r="AK526" s="31">
        <f t="shared" si="402"/>
        <v>0</v>
      </c>
      <c r="AL526" s="21">
        <f t="shared" si="403"/>
        <v>0</v>
      </c>
      <c r="AM526" s="62" t="str">
        <f t="shared" si="404"/>
        <v/>
      </c>
      <c r="AN526" s="21">
        <f t="shared" si="405"/>
        <v>0</v>
      </c>
      <c r="AO526" s="62" t="str">
        <f t="shared" si="406"/>
        <v/>
      </c>
      <c r="AP526" s="21">
        <f t="shared" si="407"/>
        <v>0</v>
      </c>
      <c r="AQ526" s="62" t="str">
        <f t="shared" si="408"/>
        <v/>
      </c>
      <c r="AR526" s="31">
        <f t="shared" si="409"/>
        <v>0</v>
      </c>
      <c r="AS526" s="21">
        <f t="shared" si="410"/>
        <v>0</v>
      </c>
      <c r="AT526" s="62" t="str">
        <f t="shared" si="411"/>
        <v/>
      </c>
      <c r="AU526" s="84">
        <f t="shared" si="412"/>
        <v>0</v>
      </c>
      <c r="AV526" s="32">
        <f t="shared" si="413"/>
        <v>0</v>
      </c>
      <c r="AW526" s="85" t="str">
        <f t="shared" si="414"/>
        <v/>
      </c>
      <c r="AX526" s="86" t="str">
        <f t="shared" si="415"/>
        <v/>
      </c>
    </row>
    <row r="527" spans="1:50" x14ac:dyDescent="0.2">
      <c r="A527" s="29" t="str">
        <f t="shared" si="373"/>
        <v/>
      </c>
      <c r="B527" s="32" t="str">
        <f t="shared" si="374"/>
        <v/>
      </c>
      <c r="C527" s="35"/>
      <c r="D527" s="33" t="str">
        <f t="shared" si="375"/>
        <v/>
      </c>
      <c r="E527" s="22" t="str">
        <f t="shared" si="376"/>
        <v/>
      </c>
      <c r="F527" s="23" t="str">
        <f t="shared" si="377"/>
        <v/>
      </c>
      <c r="G527" s="23"/>
      <c r="H527" s="22"/>
      <c r="I527" s="23"/>
      <c r="J527" s="18"/>
      <c r="K527" s="13" t="str">
        <f t="shared" si="378"/>
        <v/>
      </c>
      <c r="L527" s="28" t="str">
        <f t="shared" si="379"/>
        <v/>
      </c>
      <c r="M527" s="10" t="str">
        <f t="shared" si="380"/>
        <v/>
      </c>
      <c r="N527" s="17" t="str">
        <f t="shared" si="381"/>
        <v/>
      </c>
      <c r="O527" s="39" t="str">
        <f t="shared" si="382"/>
        <v/>
      </c>
      <c r="P527" s="41" t="str">
        <f t="shared" si="383"/>
        <v/>
      </c>
      <c r="Q527" s="9" t="str">
        <f t="shared" si="384"/>
        <v/>
      </c>
      <c r="R527" s="14">
        <f t="shared" si="385"/>
        <v>0</v>
      </c>
      <c r="S527" s="61" t="str">
        <f t="shared" si="386"/>
        <v/>
      </c>
      <c r="T527" s="14">
        <f t="shared" si="387"/>
        <v>0</v>
      </c>
      <c r="U527" s="58" t="str">
        <f t="shared" si="388"/>
        <v/>
      </c>
      <c r="V527" s="14">
        <f t="shared" si="389"/>
        <v>0</v>
      </c>
      <c r="W527" s="58" t="str">
        <f t="shared" si="390"/>
        <v/>
      </c>
      <c r="X527" s="14">
        <f t="shared" si="391"/>
        <v>0</v>
      </c>
      <c r="Y527" s="58" t="str">
        <f t="shared" si="392"/>
        <v/>
      </c>
      <c r="Z527" s="31">
        <f t="shared" si="393"/>
        <v>0</v>
      </c>
      <c r="AA527" s="21">
        <f t="shared" si="394"/>
        <v>0</v>
      </c>
      <c r="AB527" s="58" t="str">
        <f t="shared" si="395"/>
        <v/>
      </c>
      <c r="AC527" s="630">
        <f t="shared" si="371"/>
        <v>0</v>
      </c>
      <c r="AD527" s="627"/>
      <c r="AE527" s="21">
        <f t="shared" si="396"/>
        <v>0</v>
      </c>
      <c r="AF527" s="58" t="str">
        <f t="shared" si="397"/>
        <v/>
      </c>
      <c r="AG527" s="21">
        <f t="shared" si="398"/>
        <v>0</v>
      </c>
      <c r="AH527" s="58" t="str">
        <f t="shared" si="399"/>
        <v/>
      </c>
      <c r="AI527" s="21">
        <f t="shared" si="400"/>
        <v>0</v>
      </c>
      <c r="AJ527" s="58" t="str">
        <f t="shared" si="401"/>
        <v/>
      </c>
      <c r="AK527" s="31">
        <f t="shared" si="402"/>
        <v>0</v>
      </c>
      <c r="AL527" s="21">
        <f t="shared" si="403"/>
        <v>0</v>
      </c>
      <c r="AM527" s="62" t="str">
        <f t="shared" si="404"/>
        <v/>
      </c>
      <c r="AN527" s="21">
        <f t="shared" si="405"/>
        <v>0</v>
      </c>
      <c r="AO527" s="62" t="str">
        <f t="shared" si="406"/>
        <v/>
      </c>
      <c r="AP527" s="21">
        <f t="shared" si="407"/>
        <v>0</v>
      </c>
      <c r="AQ527" s="62" t="str">
        <f t="shared" si="408"/>
        <v/>
      </c>
      <c r="AR527" s="31">
        <f t="shared" si="409"/>
        <v>0</v>
      </c>
      <c r="AS527" s="21">
        <f t="shared" si="410"/>
        <v>0</v>
      </c>
      <c r="AT527" s="62" t="str">
        <f t="shared" si="411"/>
        <v/>
      </c>
      <c r="AU527" s="84">
        <f t="shared" si="412"/>
        <v>0</v>
      </c>
      <c r="AV527" s="32">
        <f t="shared" si="413"/>
        <v>0</v>
      </c>
      <c r="AW527" s="85" t="str">
        <f t="shared" si="414"/>
        <v/>
      </c>
      <c r="AX527" s="86" t="str">
        <f t="shared" si="415"/>
        <v/>
      </c>
    </row>
    <row r="528" spans="1:50" x14ac:dyDescent="0.2">
      <c r="A528" s="29" t="str">
        <f t="shared" si="373"/>
        <v/>
      </c>
      <c r="B528" s="32" t="str">
        <f t="shared" si="374"/>
        <v/>
      </c>
      <c r="C528" s="35"/>
      <c r="D528" s="33" t="str">
        <f t="shared" si="375"/>
        <v/>
      </c>
      <c r="E528" s="22" t="str">
        <f t="shared" si="376"/>
        <v/>
      </c>
      <c r="F528" s="23" t="str">
        <f t="shared" si="377"/>
        <v/>
      </c>
      <c r="G528" s="23"/>
      <c r="H528" s="22"/>
      <c r="I528" s="23"/>
      <c r="J528" s="18"/>
      <c r="K528" s="13" t="str">
        <f t="shared" si="378"/>
        <v/>
      </c>
      <c r="L528" s="28" t="str">
        <f t="shared" si="379"/>
        <v/>
      </c>
      <c r="M528" s="10" t="str">
        <f t="shared" si="380"/>
        <v/>
      </c>
      <c r="N528" s="17" t="str">
        <f t="shared" si="381"/>
        <v/>
      </c>
      <c r="O528" s="39" t="str">
        <f t="shared" si="382"/>
        <v/>
      </c>
      <c r="P528" s="41" t="str">
        <f t="shared" si="383"/>
        <v/>
      </c>
      <c r="Q528" s="9" t="str">
        <f t="shared" si="384"/>
        <v/>
      </c>
      <c r="R528" s="14">
        <f t="shared" si="385"/>
        <v>0</v>
      </c>
      <c r="S528" s="61" t="str">
        <f t="shared" si="386"/>
        <v/>
      </c>
      <c r="T528" s="14">
        <f t="shared" si="387"/>
        <v>0</v>
      </c>
      <c r="U528" s="58" t="str">
        <f t="shared" si="388"/>
        <v/>
      </c>
      <c r="V528" s="14">
        <f t="shared" si="389"/>
        <v>0</v>
      </c>
      <c r="W528" s="58" t="str">
        <f t="shared" si="390"/>
        <v/>
      </c>
      <c r="X528" s="14">
        <f t="shared" si="391"/>
        <v>0</v>
      </c>
      <c r="Y528" s="58" t="str">
        <f t="shared" si="392"/>
        <v/>
      </c>
      <c r="Z528" s="31">
        <f t="shared" si="393"/>
        <v>0</v>
      </c>
      <c r="AA528" s="21">
        <f t="shared" si="394"/>
        <v>0</v>
      </c>
      <c r="AB528" s="58" t="str">
        <f t="shared" si="395"/>
        <v/>
      </c>
      <c r="AC528" s="630">
        <f t="shared" si="371"/>
        <v>0</v>
      </c>
      <c r="AD528" s="627"/>
      <c r="AE528" s="21">
        <f t="shared" si="396"/>
        <v>0</v>
      </c>
      <c r="AF528" s="58" t="str">
        <f t="shared" si="397"/>
        <v/>
      </c>
      <c r="AG528" s="21">
        <f t="shared" si="398"/>
        <v>0</v>
      </c>
      <c r="AH528" s="58" t="str">
        <f t="shared" si="399"/>
        <v/>
      </c>
      <c r="AI528" s="21">
        <f t="shared" si="400"/>
        <v>0</v>
      </c>
      <c r="AJ528" s="58" t="str">
        <f t="shared" si="401"/>
        <v/>
      </c>
      <c r="AK528" s="31">
        <f t="shared" si="402"/>
        <v>0</v>
      </c>
      <c r="AL528" s="21">
        <f t="shared" si="403"/>
        <v>0</v>
      </c>
      <c r="AM528" s="62" t="str">
        <f t="shared" si="404"/>
        <v/>
      </c>
      <c r="AN528" s="21">
        <f t="shared" si="405"/>
        <v>0</v>
      </c>
      <c r="AO528" s="62" t="str">
        <f t="shared" si="406"/>
        <v/>
      </c>
      <c r="AP528" s="21">
        <f t="shared" si="407"/>
        <v>0</v>
      </c>
      <c r="AQ528" s="62" t="str">
        <f t="shared" si="408"/>
        <v/>
      </c>
      <c r="AR528" s="31">
        <f t="shared" si="409"/>
        <v>0</v>
      </c>
      <c r="AS528" s="21">
        <f t="shared" si="410"/>
        <v>0</v>
      </c>
      <c r="AT528" s="62" t="str">
        <f t="shared" si="411"/>
        <v/>
      </c>
      <c r="AU528" s="84">
        <f t="shared" si="412"/>
        <v>0</v>
      </c>
      <c r="AV528" s="32">
        <f t="shared" si="413"/>
        <v>0</v>
      </c>
      <c r="AW528" s="85" t="str">
        <f t="shared" si="414"/>
        <v/>
      </c>
      <c r="AX528" s="86" t="str">
        <f t="shared" si="415"/>
        <v/>
      </c>
    </row>
    <row r="529" spans="1:50" x14ac:dyDescent="0.2">
      <c r="A529" s="29" t="str">
        <f t="shared" si="373"/>
        <v/>
      </c>
      <c r="B529" s="32" t="str">
        <f t="shared" si="374"/>
        <v/>
      </c>
      <c r="C529" s="35"/>
      <c r="D529" s="33" t="str">
        <f t="shared" si="375"/>
        <v/>
      </c>
      <c r="E529" s="22" t="str">
        <f t="shared" si="376"/>
        <v/>
      </c>
      <c r="F529" s="23" t="str">
        <f t="shared" si="377"/>
        <v/>
      </c>
      <c r="G529" s="23"/>
      <c r="H529" s="22"/>
      <c r="I529" s="23"/>
      <c r="J529" s="18"/>
      <c r="K529" s="13" t="str">
        <f t="shared" si="378"/>
        <v/>
      </c>
      <c r="L529" s="28" t="str">
        <f t="shared" si="379"/>
        <v/>
      </c>
      <c r="M529" s="10" t="str">
        <f t="shared" si="380"/>
        <v/>
      </c>
      <c r="N529" s="17" t="str">
        <f t="shared" si="381"/>
        <v/>
      </c>
      <c r="O529" s="39" t="str">
        <f t="shared" si="382"/>
        <v/>
      </c>
      <c r="P529" s="41" t="str">
        <f t="shared" si="383"/>
        <v/>
      </c>
      <c r="Q529" s="9" t="str">
        <f t="shared" si="384"/>
        <v/>
      </c>
      <c r="R529" s="14">
        <f t="shared" si="385"/>
        <v>0</v>
      </c>
      <c r="S529" s="61" t="str">
        <f t="shared" si="386"/>
        <v/>
      </c>
      <c r="T529" s="14">
        <f t="shared" si="387"/>
        <v>0</v>
      </c>
      <c r="U529" s="58" t="str">
        <f t="shared" si="388"/>
        <v/>
      </c>
      <c r="V529" s="14">
        <f t="shared" si="389"/>
        <v>0</v>
      </c>
      <c r="W529" s="58" t="str">
        <f t="shared" si="390"/>
        <v/>
      </c>
      <c r="X529" s="14">
        <f t="shared" si="391"/>
        <v>0</v>
      </c>
      <c r="Y529" s="58" t="str">
        <f t="shared" si="392"/>
        <v/>
      </c>
      <c r="Z529" s="31">
        <f t="shared" si="393"/>
        <v>0</v>
      </c>
      <c r="AA529" s="21">
        <f t="shared" si="394"/>
        <v>0</v>
      </c>
      <c r="AB529" s="58" t="str">
        <f t="shared" si="395"/>
        <v/>
      </c>
      <c r="AC529" s="630">
        <f t="shared" si="371"/>
        <v>0</v>
      </c>
      <c r="AD529" s="627"/>
      <c r="AE529" s="21">
        <f t="shared" si="396"/>
        <v>0</v>
      </c>
      <c r="AF529" s="58" t="str">
        <f t="shared" si="397"/>
        <v/>
      </c>
      <c r="AG529" s="21">
        <f t="shared" si="398"/>
        <v>0</v>
      </c>
      <c r="AH529" s="58" t="str">
        <f t="shared" si="399"/>
        <v/>
      </c>
      <c r="AI529" s="21">
        <f t="shared" si="400"/>
        <v>0</v>
      </c>
      <c r="AJ529" s="58" t="str">
        <f t="shared" si="401"/>
        <v/>
      </c>
      <c r="AK529" s="31">
        <f t="shared" si="402"/>
        <v>0</v>
      </c>
      <c r="AL529" s="21">
        <f t="shared" si="403"/>
        <v>0</v>
      </c>
      <c r="AM529" s="62" t="str">
        <f t="shared" si="404"/>
        <v/>
      </c>
      <c r="AN529" s="21">
        <f t="shared" si="405"/>
        <v>0</v>
      </c>
      <c r="AO529" s="62" t="str">
        <f t="shared" si="406"/>
        <v/>
      </c>
      <c r="AP529" s="21">
        <f t="shared" si="407"/>
        <v>0</v>
      </c>
      <c r="AQ529" s="62" t="str">
        <f t="shared" si="408"/>
        <v/>
      </c>
      <c r="AR529" s="31">
        <f t="shared" si="409"/>
        <v>0</v>
      </c>
      <c r="AS529" s="21">
        <f t="shared" si="410"/>
        <v>0</v>
      </c>
      <c r="AT529" s="62" t="str">
        <f t="shared" si="411"/>
        <v/>
      </c>
      <c r="AU529" s="84">
        <f t="shared" si="412"/>
        <v>0</v>
      </c>
      <c r="AV529" s="32">
        <f t="shared" si="413"/>
        <v>0</v>
      </c>
      <c r="AW529" s="85" t="str">
        <f t="shared" si="414"/>
        <v/>
      </c>
      <c r="AX529" s="86" t="str">
        <f t="shared" si="415"/>
        <v/>
      </c>
    </row>
    <row r="530" spans="1:50" x14ac:dyDescent="0.2">
      <c r="A530" s="29" t="str">
        <f t="shared" si="373"/>
        <v/>
      </c>
      <c r="B530" s="32" t="str">
        <f t="shared" si="374"/>
        <v/>
      </c>
      <c r="C530" s="35"/>
      <c r="D530" s="33" t="str">
        <f t="shared" si="375"/>
        <v/>
      </c>
      <c r="E530" s="22" t="str">
        <f t="shared" si="376"/>
        <v/>
      </c>
      <c r="F530" s="23" t="str">
        <f t="shared" si="377"/>
        <v/>
      </c>
      <c r="G530" s="23"/>
      <c r="H530" s="22"/>
      <c r="I530" s="23"/>
      <c r="J530" s="18"/>
      <c r="K530" s="13" t="str">
        <f t="shared" si="378"/>
        <v/>
      </c>
      <c r="L530" s="28" t="str">
        <f t="shared" si="379"/>
        <v/>
      </c>
      <c r="M530" s="10" t="str">
        <f t="shared" si="380"/>
        <v/>
      </c>
      <c r="N530" s="17" t="str">
        <f t="shared" si="381"/>
        <v/>
      </c>
      <c r="O530" s="39" t="str">
        <f t="shared" si="382"/>
        <v/>
      </c>
      <c r="P530" s="41" t="str">
        <f t="shared" si="383"/>
        <v/>
      </c>
      <c r="Q530" s="9" t="str">
        <f t="shared" si="384"/>
        <v/>
      </c>
      <c r="R530" s="14">
        <f t="shared" si="385"/>
        <v>0</v>
      </c>
      <c r="S530" s="61" t="str">
        <f t="shared" si="386"/>
        <v/>
      </c>
      <c r="T530" s="14">
        <f t="shared" si="387"/>
        <v>0</v>
      </c>
      <c r="U530" s="58" t="str">
        <f t="shared" si="388"/>
        <v/>
      </c>
      <c r="V530" s="14">
        <f t="shared" si="389"/>
        <v>0</v>
      </c>
      <c r="W530" s="58" t="str">
        <f t="shared" si="390"/>
        <v/>
      </c>
      <c r="X530" s="14">
        <f t="shared" si="391"/>
        <v>0</v>
      </c>
      <c r="Y530" s="58" t="str">
        <f t="shared" si="392"/>
        <v/>
      </c>
      <c r="Z530" s="31">
        <f t="shared" si="393"/>
        <v>0</v>
      </c>
      <c r="AA530" s="21">
        <f t="shared" si="394"/>
        <v>0</v>
      </c>
      <c r="AB530" s="58" t="str">
        <f t="shared" si="395"/>
        <v/>
      </c>
      <c r="AC530" s="630">
        <f t="shared" si="371"/>
        <v>0</v>
      </c>
      <c r="AD530" s="627"/>
      <c r="AE530" s="21">
        <f t="shared" si="396"/>
        <v>0</v>
      </c>
      <c r="AF530" s="58" t="str">
        <f t="shared" si="397"/>
        <v/>
      </c>
      <c r="AG530" s="21">
        <f t="shared" si="398"/>
        <v>0</v>
      </c>
      <c r="AH530" s="58" t="str">
        <f t="shared" si="399"/>
        <v/>
      </c>
      <c r="AI530" s="21">
        <f t="shared" si="400"/>
        <v>0</v>
      </c>
      <c r="AJ530" s="58" t="str">
        <f t="shared" si="401"/>
        <v/>
      </c>
      <c r="AK530" s="31">
        <f t="shared" si="402"/>
        <v>0</v>
      </c>
      <c r="AL530" s="21">
        <f t="shared" si="403"/>
        <v>0</v>
      </c>
      <c r="AM530" s="62" t="str">
        <f t="shared" si="404"/>
        <v/>
      </c>
      <c r="AN530" s="21">
        <f t="shared" si="405"/>
        <v>0</v>
      </c>
      <c r="AO530" s="62" t="str">
        <f t="shared" si="406"/>
        <v/>
      </c>
      <c r="AP530" s="21">
        <f t="shared" si="407"/>
        <v>0</v>
      </c>
      <c r="AQ530" s="62" t="str">
        <f t="shared" si="408"/>
        <v/>
      </c>
      <c r="AR530" s="31">
        <f t="shared" si="409"/>
        <v>0</v>
      </c>
      <c r="AS530" s="21">
        <f t="shared" si="410"/>
        <v>0</v>
      </c>
      <c r="AT530" s="62" t="str">
        <f t="shared" si="411"/>
        <v/>
      </c>
      <c r="AU530" s="84">
        <f t="shared" si="412"/>
        <v>0</v>
      </c>
      <c r="AV530" s="32">
        <f t="shared" si="413"/>
        <v>0</v>
      </c>
      <c r="AW530" s="85" t="str">
        <f t="shared" si="414"/>
        <v/>
      </c>
      <c r="AX530" s="86" t="str">
        <f t="shared" si="415"/>
        <v/>
      </c>
    </row>
    <row r="531" spans="1:50" x14ac:dyDescent="0.2">
      <c r="A531" s="29" t="str">
        <f t="shared" si="373"/>
        <v/>
      </c>
      <c r="B531" s="32" t="str">
        <f t="shared" si="374"/>
        <v/>
      </c>
      <c r="C531" s="35"/>
      <c r="D531" s="33" t="str">
        <f t="shared" si="375"/>
        <v/>
      </c>
      <c r="E531" s="22" t="str">
        <f t="shared" si="376"/>
        <v/>
      </c>
      <c r="F531" s="23" t="str">
        <f t="shared" si="377"/>
        <v/>
      </c>
      <c r="G531" s="23"/>
      <c r="H531" s="22"/>
      <c r="I531" s="23"/>
      <c r="J531" s="18"/>
      <c r="K531" s="13" t="str">
        <f t="shared" si="378"/>
        <v/>
      </c>
      <c r="L531" s="28" t="str">
        <f t="shared" si="379"/>
        <v/>
      </c>
      <c r="M531" s="10" t="str">
        <f t="shared" si="380"/>
        <v/>
      </c>
      <c r="N531" s="17" t="str">
        <f t="shared" si="381"/>
        <v/>
      </c>
      <c r="O531" s="39" t="str">
        <f t="shared" si="382"/>
        <v/>
      </c>
      <c r="P531" s="41" t="str">
        <f t="shared" si="383"/>
        <v/>
      </c>
      <c r="Q531" s="9" t="str">
        <f t="shared" si="384"/>
        <v/>
      </c>
      <c r="R531" s="14">
        <f t="shared" si="385"/>
        <v>0</v>
      </c>
      <c r="S531" s="61" t="str">
        <f t="shared" si="386"/>
        <v/>
      </c>
      <c r="T531" s="14">
        <f t="shared" si="387"/>
        <v>0</v>
      </c>
      <c r="U531" s="58" t="str">
        <f t="shared" si="388"/>
        <v/>
      </c>
      <c r="V531" s="14">
        <f t="shared" si="389"/>
        <v>0</v>
      </c>
      <c r="W531" s="58" t="str">
        <f t="shared" si="390"/>
        <v/>
      </c>
      <c r="X531" s="14">
        <f t="shared" si="391"/>
        <v>0</v>
      </c>
      <c r="Y531" s="58" t="str">
        <f t="shared" si="392"/>
        <v/>
      </c>
      <c r="Z531" s="31">
        <f t="shared" si="393"/>
        <v>0</v>
      </c>
      <c r="AA531" s="21">
        <f t="shared" si="394"/>
        <v>0</v>
      </c>
      <c r="AB531" s="58" t="str">
        <f t="shared" si="395"/>
        <v/>
      </c>
      <c r="AC531" s="630">
        <f t="shared" si="371"/>
        <v>0</v>
      </c>
      <c r="AD531" s="627"/>
      <c r="AE531" s="21">
        <f t="shared" si="396"/>
        <v>0</v>
      </c>
      <c r="AF531" s="58" t="str">
        <f t="shared" si="397"/>
        <v/>
      </c>
      <c r="AG531" s="21">
        <f t="shared" si="398"/>
        <v>0</v>
      </c>
      <c r="AH531" s="58" t="str">
        <f t="shared" si="399"/>
        <v/>
      </c>
      <c r="AI531" s="21">
        <f t="shared" si="400"/>
        <v>0</v>
      </c>
      <c r="AJ531" s="58" t="str">
        <f t="shared" si="401"/>
        <v/>
      </c>
      <c r="AK531" s="31">
        <f t="shared" si="402"/>
        <v>0</v>
      </c>
      <c r="AL531" s="21">
        <f t="shared" si="403"/>
        <v>0</v>
      </c>
      <c r="AM531" s="62" t="str">
        <f t="shared" si="404"/>
        <v/>
      </c>
      <c r="AN531" s="21">
        <f t="shared" si="405"/>
        <v>0</v>
      </c>
      <c r="AO531" s="62" t="str">
        <f t="shared" si="406"/>
        <v/>
      </c>
      <c r="AP531" s="21">
        <f t="shared" si="407"/>
        <v>0</v>
      </c>
      <c r="AQ531" s="62" t="str">
        <f t="shared" si="408"/>
        <v/>
      </c>
      <c r="AR531" s="31">
        <f t="shared" si="409"/>
        <v>0</v>
      </c>
      <c r="AS531" s="21">
        <f t="shared" si="410"/>
        <v>0</v>
      </c>
      <c r="AT531" s="62" t="str">
        <f t="shared" si="411"/>
        <v/>
      </c>
      <c r="AU531" s="84">
        <f t="shared" si="412"/>
        <v>0</v>
      </c>
      <c r="AV531" s="32">
        <f t="shared" si="413"/>
        <v>0</v>
      </c>
      <c r="AW531" s="85" t="str">
        <f t="shared" si="414"/>
        <v/>
      </c>
      <c r="AX531" s="86" t="str">
        <f t="shared" si="415"/>
        <v/>
      </c>
    </row>
    <row r="532" spans="1:50" x14ac:dyDescent="0.2">
      <c r="A532" s="29" t="str">
        <f t="shared" si="373"/>
        <v/>
      </c>
      <c r="B532" s="32" t="str">
        <f t="shared" si="374"/>
        <v/>
      </c>
      <c r="C532" s="35"/>
      <c r="D532" s="33" t="str">
        <f t="shared" si="375"/>
        <v/>
      </c>
      <c r="E532" s="22" t="str">
        <f t="shared" si="376"/>
        <v/>
      </c>
      <c r="F532" s="23" t="str">
        <f t="shared" si="377"/>
        <v/>
      </c>
      <c r="G532" s="23"/>
      <c r="H532" s="22"/>
      <c r="I532" s="23"/>
      <c r="J532" s="18"/>
      <c r="K532" s="13" t="str">
        <f t="shared" si="378"/>
        <v/>
      </c>
      <c r="L532" s="28" t="str">
        <f t="shared" si="379"/>
        <v/>
      </c>
      <c r="M532" s="10" t="str">
        <f t="shared" si="380"/>
        <v/>
      </c>
      <c r="N532" s="17" t="str">
        <f t="shared" si="381"/>
        <v/>
      </c>
      <c r="O532" s="39" t="str">
        <f t="shared" si="382"/>
        <v/>
      </c>
      <c r="P532" s="41" t="str">
        <f t="shared" si="383"/>
        <v/>
      </c>
      <c r="Q532" s="9" t="str">
        <f t="shared" si="384"/>
        <v/>
      </c>
      <c r="R532" s="14">
        <f t="shared" si="385"/>
        <v>0</v>
      </c>
      <c r="S532" s="61" t="str">
        <f t="shared" si="386"/>
        <v/>
      </c>
      <c r="T532" s="14">
        <f t="shared" si="387"/>
        <v>0</v>
      </c>
      <c r="U532" s="58" t="str">
        <f t="shared" si="388"/>
        <v/>
      </c>
      <c r="V532" s="14">
        <f t="shared" si="389"/>
        <v>0</v>
      </c>
      <c r="W532" s="58" t="str">
        <f t="shared" si="390"/>
        <v/>
      </c>
      <c r="X532" s="14">
        <f t="shared" si="391"/>
        <v>0</v>
      </c>
      <c r="Y532" s="58" t="str">
        <f t="shared" si="392"/>
        <v/>
      </c>
      <c r="Z532" s="31">
        <f t="shared" si="393"/>
        <v>0</v>
      </c>
      <c r="AA532" s="21">
        <f t="shared" si="394"/>
        <v>0</v>
      </c>
      <c r="AB532" s="58" t="str">
        <f t="shared" si="395"/>
        <v/>
      </c>
      <c r="AC532" s="630">
        <f t="shared" si="371"/>
        <v>0</v>
      </c>
      <c r="AD532" s="627"/>
      <c r="AE532" s="21">
        <f t="shared" si="396"/>
        <v>0</v>
      </c>
      <c r="AF532" s="58" t="str">
        <f t="shared" si="397"/>
        <v/>
      </c>
      <c r="AG532" s="21">
        <f t="shared" si="398"/>
        <v>0</v>
      </c>
      <c r="AH532" s="58" t="str">
        <f t="shared" si="399"/>
        <v/>
      </c>
      <c r="AI532" s="21">
        <f t="shared" si="400"/>
        <v>0</v>
      </c>
      <c r="AJ532" s="58" t="str">
        <f t="shared" si="401"/>
        <v/>
      </c>
      <c r="AK532" s="31">
        <f t="shared" si="402"/>
        <v>0</v>
      </c>
      <c r="AL532" s="21">
        <f t="shared" si="403"/>
        <v>0</v>
      </c>
      <c r="AM532" s="62" t="str">
        <f t="shared" si="404"/>
        <v/>
      </c>
      <c r="AN532" s="21">
        <f t="shared" si="405"/>
        <v>0</v>
      </c>
      <c r="AO532" s="62" t="str">
        <f t="shared" si="406"/>
        <v/>
      </c>
      <c r="AP532" s="21">
        <f t="shared" si="407"/>
        <v>0</v>
      </c>
      <c r="AQ532" s="62" t="str">
        <f t="shared" si="408"/>
        <v/>
      </c>
      <c r="AR532" s="31">
        <f t="shared" si="409"/>
        <v>0</v>
      </c>
      <c r="AS532" s="21">
        <f t="shared" si="410"/>
        <v>0</v>
      </c>
      <c r="AT532" s="62" t="str">
        <f t="shared" si="411"/>
        <v/>
      </c>
      <c r="AU532" s="84">
        <f t="shared" si="412"/>
        <v>0</v>
      </c>
      <c r="AV532" s="32">
        <f t="shared" si="413"/>
        <v>0</v>
      </c>
      <c r="AW532" s="85" t="str">
        <f t="shared" si="414"/>
        <v/>
      </c>
      <c r="AX532" s="86" t="str">
        <f t="shared" si="415"/>
        <v/>
      </c>
    </row>
    <row r="533" spans="1:50" x14ac:dyDescent="0.2">
      <c r="A533" s="29" t="str">
        <f t="shared" si="373"/>
        <v/>
      </c>
      <c r="B533" s="32" t="str">
        <f t="shared" si="374"/>
        <v/>
      </c>
      <c r="C533" s="35"/>
      <c r="D533" s="33" t="str">
        <f t="shared" si="375"/>
        <v/>
      </c>
      <c r="E533" s="22" t="str">
        <f t="shared" si="376"/>
        <v/>
      </c>
      <c r="F533" s="23" t="str">
        <f t="shared" si="377"/>
        <v/>
      </c>
      <c r="G533" s="23"/>
      <c r="H533" s="22"/>
      <c r="I533" s="23"/>
      <c r="J533" s="18"/>
      <c r="K533" s="13" t="str">
        <f t="shared" si="378"/>
        <v/>
      </c>
      <c r="L533" s="28" t="str">
        <f t="shared" si="379"/>
        <v/>
      </c>
      <c r="M533" s="10" t="str">
        <f t="shared" si="380"/>
        <v/>
      </c>
      <c r="N533" s="17" t="str">
        <f t="shared" si="381"/>
        <v/>
      </c>
      <c r="O533" s="39" t="str">
        <f t="shared" si="382"/>
        <v/>
      </c>
      <c r="P533" s="41" t="str">
        <f t="shared" si="383"/>
        <v/>
      </c>
      <c r="Q533" s="9" t="str">
        <f t="shared" si="384"/>
        <v/>
      </c>
      <c r="R533" s="14">
        <f t="shared" si="385"/>
        <v>0</v>
      </c>
      <c r="S533" s="61" t="str">
        <f t="shared" si="386"/>
        <v/>
      </c>
      <c r="T533" s="14">
        <f t="shared" si="387"/>
        <v>0</v>
      </c>
      <c r="U533" s="58" t="str">
        <f t="shared" si="388"/>
        <v/>
      </c>
      <c r="V533" s="14">
        <f t="shared" si="389"/>
        <v>0</v>
      </c>
      <c r="W533" s="58" t="str">
        <f t="shared" si="390"/>
        <v/>
      </c>
      <c r="X533" s="14">
        <f t="shared" si="391"/>
        <v>0</v>
      </c>
      <c r="Y533" s="58" t="str">
        <f t="shared" si="392"/>
        <v/>
      </c>
      <c r="Z533" s="31">
        <f t="shared" si="393"/>
        <v>0</v>
      </c>
      <c r="AA533" s="21">
        <f t="shared" si="394"/>
        <v>0</v>
      </c>
      <c r="AB533" s="58" t="str">
        <f t="shared" si="395"/>
        <v/>
      </c>
      <c r="AC533" s="630">
        <f t="shared" ref="AC533:AC596" si="416">COUNTIF(G533:J533,100)</f>
        <v>0</v>
      </c>
      <c r="AD533" s="627"/>
      <c r="AE533" s="21">
        <f t="shared" si="396"/>
        <v>0</v>
      </c>
      <c r="AF533" s="58" t="str">
        <f t="shared" si="397"/>
        <v/>
      </c>
      <c r="AG533" s="21">
        <f t="shared" si="398"/>
        <v>0</v>
      </c>
      <c r="AH533" s="58" t="str">
        <f t="shared" si="399"/>
        <v/>
      </c>
      <c r="AI533" s="21">
        <f t="shared" si="400"/>
        <v>0</v>
      </c>
      <c r="AJ533" s="58" t="str">
        <f t="shared" si="401"/>
        <v/>
      </c>
      <c r="AK533" s="31">
        <f t="shared" si="402"/>
        <v>0</v>
      </c>
      <c r="AL533" s="21">
        <f t="shared" si="403"/>
        <v>0</v>
      </c>
      <c r="AM533" s="62" t="str">
        <f t="shared" si="404"/>
        <v/>
      </c>
      <c r="AN533" s="21">
        <f t="shared" si="405"/>
        <v>0</v>
      </c>
      <c r="AO533" s="62" t="str">
        <f t="shared" si="406"/>
        <v/>
      </c>
      <c r="AP533" s="21">
        <f t="shared" si="407"/>
        <v>0</v>
      </c>
      <c r="AQ533" s="62" t="str">
        <f t="shared" si="408"/>
        <v/>
      </c>
      <c r="AR533" s="31">
        <f t="shared" si="409"/>
        <v>0</v>
      </c>
      <c r="AS533" s="21">
        <f t="shared" si="410"/>
        <v>0</v>
      </c>
      <c r="AT533" s="62" t="str">
        <f t="shared" si="411"/>
        <v/>
      </c>
      <c r="AU533" s="84">
        <f t="shared" si="412"/>
        <v>0</v>
      </c>
      <c r="AV533" s="32">
        <f t="shared" si="413"/>
        <v>0</v>
      </c>
      <c r="AW533" s="85" t="str">
        <f t="shared" si="414"/>
        <v/>
      </c>
      <c r="AX533" s="86" t="str">
        <f t="shared" si="415"/>
        <v/>
      </c>
    </row>
    <row r="534" spans="1:50" x14ac:dyDescent="0.2">
      <c r="A534" s="29" t="str">
        <f t="shared" si="373"/>
        <v/>
      </c>
      <c r="B534" s="32" t="str">
        <f t="shared" si="374"/>
        <v/>
      </c>
      <c r="C534" s="35"/>
      <c r="D534" s="33" t="str">
        <f t="shared" si="375"/>
        <v/>
      </c>
      <c r="E534" s="22" t="str">
        <f t="shared" si="376"/>
        <v/>
      </c>
      <c r="F534" s="23" t="str">
        <f t="shared" si="377"/>
        <v/>
      </c>
      <c r="G534" s="23"/>
      <c r="H534" s="22"/>
      <c r="I534" s="23"/>
      <c r="J534" s="18"/>
      <c r="K534" s="13" t="str">
        <f t="shared" si="378"/>
        <v/>
      </c>
      <c r="L534" s="28" t="str">
        <f t="shared" si="379"/>
        <v/>
      </c>
      <c r="M534" s="10" t="str">
        <f t="shared" si="380"/>
        <v/>
      </c>
      <c r="N534" s="17" t="str">
        <f t="shared" si="381"/>
        <v/>
      </c>
      <c r="O534" s="39" t="str">
        <f t="shared" si="382"/>
        <v/>
      </c>
      <c r="P534" s="41" t="str">
        <f t="shared" si="383"/>
        <v/>
      </c>
      <c r="Q534" s="9" t="str">
        <f t="shared" si="384"/>
        <v/>
      </c>
      <c r="R534" s="14">
        <f t="shared" si="385"/>
        <v>0</v>
      </c>
      <c r="S534" s="61" t="str">
        <f t="shared" si="386"/>
        <v/>
      </c>
      <c r="T534" s="14">
        <f t="shared" si="387"/>
        <v>0</v>
      </c>
      <c r="U534" s="58" t="str">
        <f t="shared" si="388"/>
        <v/>
      </c>
      <c r="V534" s="14">
        <f t="shared" si="389"/>
        <v>0</v>
      </c>
      <c r="W534" s="58" t="str">
        <f t="shared" si="390"/>
        <v/>
      </c>
      <c r="X534" s="14">
        <f t="shared" si="391"/>
        <v>0</v>
      </c>
      <c r="Y534" s="58" t="str">
        <f t="shared" si="392"/>
        <v/>
      </c>
      <c r="Z534" s="31">
        <f t="shared" si="393"/>
        <v>0</v>
      </c>
      <c r="AA534" s="21">
        <f t="shared" si="394"/>
        <v>0</v>
      </c>
      <c r="AB534" s="58" t="str">
        <f t="shared" si="395"/>
        <v/>
      </c>
      <c r="AC534" s="630">
        <f t="shared" si="416"/>
        <v>0</v>
      </c>
      <c r="AD534" s="627"/>
      <c r="AE534" s="21">
        <f t="shared" si="396"/>
        <v>0</v>
      </c>
      <c r="AF534" s="58" t="str">
        <f t="shared" si="397"/>
        <v/>
      </c>
      <c r="AG534" s="21">
        <f t="shared" si="398"/>
        <v>0</v>
      </c>
      <c r="AH534" s="58" t="str">
        <f t="shared" si="399"/>
        <v/>
      </c>
      <c r="AI534" s="21">
        <f t="shared" si="400"/>
        <v>0</v>
      </c>
      <c r="AJ534" s="58" t="str">
        <f t="shared" si="401"/>
        <v/>
      </c>
      <c r="AK534" s="31">
        <f t="shared" si="402"/>
        <v>0</v>
      </c>
      <c r="AL534" s="21">
        <f t="shared" si="403"/>
        <v>0</v>
      </c>
      <c r="AM534" s="62" t="str">
        <f t="shared" si="404"/>
        <v/>
      </c>
      <c r="AN534" s="21">
        <f t="shared" si="405"/>
        <v>0</v>
      </c>
      <c r="AO534" s="62" t="str">
        <f t="shared" si="406"/>
        <v/>
      </c>
      <c r="AP534" s="21">
        <f t="shared" si="407"/>
        <v>0</v>
      </c>
      <c r="AQ534" s="62" t="str">
        <f t="shared" si="408"/>
        <v/>
      </c>
      <c r="AR534" s="31">
        <f t="shared" si="409"/>
        <v>0</v>
      </c>
      <c r="AS534" s="21">
        <f t="shared" si="410"/>
        <v>0</v>
      </c>
      <c r="AT534" s="62" t="str">
        <f t="shared" si="411"/>
        <v/>
      </c>
      <c r="AU534" s="84">
        <f t="shared" si="412"/>
        <v>0</v>
      </c>
      <c r="AV534" s="32">
        <f t="shared" si="413"/>
        <v>0</v>
      </c>
      <c r="AW534" s="85" t="str">
        <f t="shared" si="414"/>
        <v/>
      </c>
      <c r="AX534" s="86" t="str">
        <f t="shared" si="415"/>
        <v/>
      </c>
    </row>
    <row r="535" spans="1:50" x14ac:dyDescent="0.2">
      <c r="A535" s="29" t="str">
        <f t="shared" si="373"/>
        <v/>
      </c>
      <c r="B535" s="32" t="str">
        <f t="shared" si="374"/>
        <v/>
      </c>
      <c r="C535" s="35"/>
      <c r="D535" s="33" t="str">
        <f t="shared" si="375"/>
        <v/>
      </c>
      <c r="E535" s="22" t="str">
        <f t="shared" si="376"/>
        <v/>
      </c>
      <c r="F535" s="23" t="str">
        <f t="shared" si="377"/>
        <v/>
      </c>
      <c r="G535" s="23"/>
      <c r="H535" s="22"/>
      <c r="I535" s="23"/>
      <c r="J535" s="18"/>
      <c r="K535" s="13" t="str">
        <f t="shared" si="378"/>
        <v/>
      </c>
      <c r="L535" s="28" t="str">
        <f t="shared" si="379"/>
        <v/>
      </c>
      <c r="M535" s="10" t="str">
        <f t="shared" si="380"/>
        <v/>
      </c>
      <c r="N535" s="17" t="str">
        <f t="shared" si="381"/>
        <v/>
      </c>
      <c r="O535" s="39" t="str">
        <f t="shared" si="382"/>
        <v/>
      </c>
      <c r="P535" s="41" t="str">
        <f t="shared" si="383"/>
        <v/>
      </c>
      <c r="Q535" s="9" t="str">
        <f t="shared" si="384"/>
        <v/>
      </c>
      <c r="R535" s="14">
        <f t="shared" si="385"/>
        <v>0</v>
      </c>
      <c r="S535" s="61" t="str">
        <f t="shared" si="386"/>
        <v/>
      </c>
      <c r="T535" s="14">
        <f t="shared" si="387"/>
        <v>0</v>
      </c>
      <c r="U535" s="58" t="str">
        <f t="shared" si="388"/>
        <v/>
      </c>
      <c r="V535" s="14">
        <f t="shared" si="389"/>
        <v>0</v>
      </c>
      <c r="W535" s="58" t="str">
        <f t="shared" si="390"/>
        <v/>
      </c>
      <c r="X535" s="14">
        <f t="shared" si="391"/>
        <v>0</v>
      </c>
      <c r="Y535" s="58" t="str">
        <f t="shared" si="392"/>
        <v/>
      </c>
      <c r="Z535" s="31">
        <f t="shared" si="393"/>
        <v>0</v>
      </c>
      <c r="AA535" s="21">
        <f t="shared" si="394"/>
        <v>0</v>
      </c>
      <c r="AB535" s="58" t="str">
        <f t="shared" si="395"/>
        <v/>
      </c>
      <c r="AC535" s="630">
        <f t="shared" si="416"/>
        <v>0</v>
      </c>
      <c r="AD535" s="627"/>
      <c r="AE535" s="21">
        <f t="shared" si="396"/>
        <v>0</v>
      </c>
      <c r="AF535" s="58" t="str">
        <f t="shared" si="397"/>
        <v/>
      </c>
      <c r="AG535" s="21">
        <f t="shared" si="398"/>
        <v>0</v>
      </c>
      <c r="AH535" s="58" t="str">
        <f t="shared" si="399"/>
        <v/>
      </c>
      <c r="AI535" s="21">
        <f t="shared" si="400"/>
        <v>0</v>
      </c>
      <c r="AJ535" s="58" t="str">
        <f t="shared" si="401"/>
        <v/>
      </c>
      <c r="AK535" s="31">
        <f t="shared" si="402"/>
        <v>0</v>
      </c>
      <c r="AL535" s="21">
        <f t="shared" si="403"/>
        <v>0</v>
      </c>
      <c r="AM535" s="62" t="str">
        <f t="shared" si="404"/>
        <v/>
      </c>
      <c r="AN535" s="21">
        <f t="shared" si="405"/>
        <v>0</v>
      </c>
      <c r="AO535" s="62" t="str">
        <f t="shared" si="406"/>
        <v/>
      </c>
      <c r="AP535" s="21">
        <f t="shared" si="407"/>
        <v>0</v>
      </c>
      <c r="AQ535" s="62" t="str">
        <f t="shared" si="408"/>
        <v/>
      </c>
      <c r="AR535" s="31">
        <f t="shared" si="409"/>
        <v>0</v>
      </c>
      <c r="AS535" s="21">
        <f t="shared" si="410"/>
        <v>0</v>
      </c>
      <c r="AT535" s="62" t="str">
        <f t="shared" si="411"/>
        <v/>
      </c>
      <c r="AU535" s="84">
        <f t="shared" si="412"/>
        <v>0</v>
      </c>
      <c r="AV535" s="32">
        <f t="shared" si="413"/>
        <v>0</v>
      </c>
      <c r="AW535" s="85" t="str">
        <f t="shared" si="414"/>
        <v/>
      </c>
      <c r="AX535" s="86" t="str">
        <f t="shared" si="415"/>
        <v/>
      </c>
    </row>
    <row r="536" spans="1:50" x14ac:dyDescent="0.2">
      <c r="A536" s="29" t="str">
        <f t="shared" si="373"/>
        <v/>
      </c>
      <c r="B536" s="32" t="str">
        <f t="shared" si="374"/>
        <v/>
      </c>
      <c r="C536" s="35"/>
      <c r="D536" s="33" t="str">
        <f t="shared" si="375"/>
        <v/>
      </c>
      <c r="E536" s="22" t="str">
        <f t="shared" si="376"/>
        <v/>
      </c>
      <c r="F536" s="23" t="str">
        <f t="shared" si="377"/>
        <v/>
      </c>
      <c r="G536" s="23"/>
      <c r="H536" s="22"/>
      <c r="I536" s="23"/>
      <c r="J536" s="18"/>
      <c r="K536" s="13" t="str">
        <f t="shared" si="378"/>
        <v/>
      </c>
      <c r="L536" s="28" t="str">
        <f t="shared" si="379"/>
        <v/>
      </c>
      <c r="M536" s="10" t="str">
        <f t="shared" si="380"/>
        <v/>
      </c>
      <c r="N536" s="17" t="str">
        <f t="shared" si="381"/>
        <v/>
      </c>
      <c r="O536" s="39" t="str">
        <f t="shared" si="382"/>
        <v/>
      </c>
      <c r="P536" s="41" t="str">
        <f t="shared" si="383"/>
        <v/>
      </c>
      <c r="Q536" s="9" t="str">
        <f t="shared" si="384"/>
        <v/>
      </c>
      <c r="R536" s="14">
        <f t="shared" si="385"/>
        <v>0</v>
      </c>
      <c r="S536" s="61" t="str">
        <f t="shared" si="386"/>
        <v/>
      </c>
      <c r="T536" s="14">
        <f t="shared" si="387"/>
        <v>0</v>
      </c>
      <c r="U536" s="58" t="str">
        <f t="shared" si="388"/>
        <v/>
      </c>
      <c r="V536" s="14">
        <f t="shared" si="389"/>
        <v>0</v>
      </c>
      <c r="W536" s="58" t="str">
        <f t="shared" si="390"/>
        <v/>
      </c>
      <c r="X536" s="14">
        <f t="shared" si="391"/>
        <v>0</v>
      </c>
      <c r="Y536" s="58" t="str">
        <f t="shared" si="392"/>
        <v/>
      </c>
      <c r="Z536" s="31">
        <f t="shared" si="393"/>
        <v>0</v>
      </c>
      <c r="AA536" s="21">
        <f t="shared" si="394"/>
        <v>0</v>
      </c>
      <c r="AB536" s="58" t="str">
        <f t="shared" si="395"/>
        <v/>
      </c>
      <c r="AC536" s="630">
        <f t="shared" si="416"/>
        <v>0</v>
      </c>
      <c r="AD536" s="627"/>
      <c r="AE536" s="21">
        <f t="shared" si="396"/>
        <v>0</v>
      </c>
      <c r="AF536" s="58" t="str">
        <f t="shared" si="397"/>
        <v/>
      </c>
      <c r="AG536" s="21">
        <f t="shared" si="398"/>
        <v>0</v>
      </c>
      <c r="AH536" s="58" t="str">
        <f t="shared" si="399"/>
        <v/>
      </c>
      <c r="AI536" s="21">
        <f t="shared" si="400"/>
        <v>0</v>
      </c>
      <c r="AJ536" s="58" t="str">
        <f t="shared" si="401"/>
        <v/>
      </c>
      <c r="AK536" s="31">
        <f t="shared" si="402"/>
        <v>0</v>
      </c>
      <c r="AL536" s="21">
        <f t="shared" si="403"/>
        <v>0</v>
      </c>
      <c r="AM536" s="62" t="str">
        <f t="shared" si="404"/>
        <v/>
      </c>
      <c r="AN536" s="21">
        <f t="shared" si="405"/>
        <v>0</v>
      </c>
      <c r="AO536" s="62" t="str">
        <f t="shared" si="406"/>
        <v/>
      </c>
      <c r="AP536" s="21">
        <f t="shared" si="407"/>
        <v>0</v>
      </c>
      <c r="AQ536" s="62" t="str">
        <f t="shared" si="408"/>
        <v/>
      </c>
      <c r="AR536" s="31">
        <f t="shared" si="409"/>
        <v>0</v>
      </c>
      <c r="AS536" s="21">
        <f t="shared" si="410"/>
        <v>0</v>
      </c>
      <c r="AT536" s="62" t="str">
        <f t="shared" si="411"/>
        <v/>
      </c>
      <c r="AU536" s="84">
        <f t="shared" si="412"/>
        <v>0</v>
      </c>
      <c r="AV536" s="32">
        <f t="shared" si="413"/>
        <v>0</v>
      </c>
      <c r="AW536" s="85" t="str">
        <f t="shared" si="414"/>
        <v/>
      </c>
      <c r="AX536" s="86" t="str">
        <f t="shared" si="415"/>
        <v/>
      </c>
    </row>
    <row r="537" spans="1:50" x14ac:dyDescent="0.2">
      <c r="A537" s="29" t="str">
        <f t="shared" si="373"/>
        <v/>
      </c>
      <c r="B537" s="32" t="str">
        <f t="shared" si="374"/>
        <v/>
      </c>
      <c r="C537" s="35"/>
      <c r="D537" s="33" t="str">
        <f t="shared" si="375"/>
        <v/>
      </c>
      <c r="E537" s="22" t="str">
        <f t="shared" si="376"/>
        <v/>
      </c>
      <c r="F537" s="23" t="str">
        <f t="shared" si="377"/>
        <v/>
      </c>
      <c r="G537" s="23"/>
      <c r="H537" s="22"/>
      <c r="I537" s="23"/>
      <c r="J537" s="18"/>
      <c r="K537" s="13" t="str">
        <f t="shared" si="378"/>
        <v/>
      </c>
      <c r="L537" s="28" t="str">
        <f t="shared" si="379"/>
        <v/>
      </c>
      <c r="M537" s="10" t="str">
        <f t="shared" si="380"/>
        <v/>
      </c>
      <c r="N537" s="17" t="str">
        <f t="shared" si="381"/>
        <v/>
      </c>
      <c r="O537" s="39" t="str">
        <f t="shared" si="382"/>
        <v/>
      </c>
      <c r="P537" s="41" t="str">
        <f t="shared" si="383"/>
        <v/>
      </c>
      <c r="Q537" s="9" t="str">
        <f t="shared" si="384"/>
        <v/>
      </c>
      <c r="R537" s="14">
        <f t="shared" si="385"/>
        <v>0</v>
      </c>
      <c r="S537" s="61" t="str">
        <f t="shared" si="386"/>
        <v/>
      </c>
      <c r="T537" s="14">
        <f t="shared" si="387"/>
        <v>0</v>
      </c>
      <c r="U537" s="58" t="str">
        <f t="shared" si="388"/>
        <v/>
      </c>
      <c r="V537" s="14">
        <f t="shared" si="389"/>
        <v>0</v>
      </c>
      <c r="W537" s="58" t="str">
        <f t="shared" si="390"/>
        <v/>
      </c>
      <c r="X537" s="14">
        <f t="shared" si="391"/>
        <v>0</v>
      </c>
      <c r="Y537" s="58" t="str">
        <f t="shared" si="392"/>
        <v/>
      </c>
      <c r="Z537" s="31">
        <f t="shared" si="393"/>
        <v>0</v>
      </c>
      <c r="AA537" s="21">
        <f t="shared" si="394"/>
        <v>0</v>
      </c>
      <c r="AB537" s="58" t="str">
        <f t="shared" si="395"/>
        <v/>
      </c>
      <c r="AC537" s="630">
        <f t="shared" si="416"/>
        <v>0</v>
      </c>
      <c r="AD537" s="627"/>
      <c r="AE537" s="21">
        <f t="shared" si="396"/>
        <v>0</v>
      </c>
      <c r="AF537" s="58" t="str">
        <f t="shared" si="397"/>
        <v/>
      </c>
      <c r="AG537" s="21">
        <f t="shared" si="398"/>
        <v>0</v>
      </c>
      <c r="AH537" s="58" t="str">
        <f t="shared" si="399"/>
        <v/>
      </c>
      <c r="AI537" s="21">
        <f t="shared" si="400"/>
        <v>0</v>
      </c>
      <c r="AJ537" s="58" t="str">
        <f t="shared" si="401"/>
        <v/>
      </c>
      <c r="AK537" s="31">
        <f t="shared" si="402"/>
        <v>0</v>
      </c>
      <c r="AL537" s="21">
        <f t="shared" si="403"/>
        <v>0</v>
      </c>
      <c r="AM537" s="62" t="str">
        <f t="shared" si="404"/>
        <v/>
      </c>
      <c r="AN537" s="21">
        <f t="shared" si="405"/>
        <v>0</v>
      </c>
      <c r="AO537" s="62" t="str">
        <f t="shared" si="406"/>
        <v/>
      </c>
      <c r="AP537" s="21">
        <f t="shared" si="407"/>
        <v>0</v>
      </c>
      <c r="AQ537" s="62" t="str">
        <f t="shared" si="408"/>
        <v/>
      </c>
      <c r="AR537" s="31">
        <f t="shared" si="409"/>
        <v>0</v>
      </c>
      <c r="AS537" s="21">
        <f t="shared" si="410"/>
        <v>0</v>
      </c>
      <c r="AT537" s="62" t="str">
        <f t="shared" si="411"/>
        <v/>
      </c>
      <c r="AU537" s="84">
        <f t="shared" si="412"/>
        <v>0</v>
      </c>
      <c r="AV537" s="32">
        <f t="shared" si="413"/>
        <v>0</v>
      </c>
      <c r="AW537" s="85" t="str">
        <f t="shared" si="414"/>
        <v/>
      </c>
      <c r="AX537" s="86" t="str">
        <f t="shared" si="415"/>
        <v/>
      </c>
    </row>
    <row r="538" spans="1:50" x14ac:dyDescent="0.2">
      <c r="A538" s="29" t="str">
        <f t="shared" si="373"/>
        <v/>
      </c>
      <c r="B538" s="32" t="str">
        <f t="shared" si="374"/>
        <v/>
      </c>
      <c r="C538" s="35"/>
      <c r="D538" s="33" t="str">
        <f t="shared" si="375"/>
        <v/>
      </c>
      <c r="E538" s="22" t="str">
        <f t="shared" si="376"/>
        <v/>
      </c>
      <c r="F538" s="23" t="str">
        <f t="shared" si="377"/>
        <v/>
      </c>
      <c r="G538" s="23"/>
      <c r="H538" s="22"/>
      <c r="I538" s="23"/>
      <c r="J538" s="18"/>
      <c r="K538" s="13" t="str">
        <f t="shared" si="378"/>
        <v/>
      </c>
      <c r="L538" s="28" t="str">
        <f t="shared" si="379"/>
        <v/>
      </c>
      <c r="M538" s="10" t="str">
        <f t="shared" si="380"/>
        <v/>
      </c>
      <c r="N538" s="17" t="str">
        <f t="shared" si="381"/>
        <v/>
      </c>
      <c r="O538" s="39" t="str">
        <f t="shared" si="382"/>
        <v/>
      </c>
      <c r="P538" s="41" t="str">
        <f t="shared" si="383"/>
        <v/>
      </c>
      <c r="Q538" s="9" t="str">
        <f t="shared" si="384"/>
        <v/>
      </c>
      <c r="R538" s="14">
        <f t="shared" si="385"/>
        <v>0</v>
      </c>
      <c r="S538" s="61" t="str">
        <f t="shared" si="386"/>
        <v/>
      </c>
      <c r="T538" s="14">
        <f t="shared" si="387"/>
        <v>0</v>
      </c>
      <c r="U538" s="58" t="str">
        <f t="shared" si="388"/>
        <v/>
      </c>
      <c r="V538" s="14">
        <f t="shared" si="389"/>
        <v>0</v>
      </c>
      <c r="W538" s="58" t="str">
        <f t="shared" si="390"/>
        <v/>
      </c>
      <c r="X538" s="14">
        <f t="shared" si="391"/>
        <v>0</v>
      </c>
      <c r="Y538" s="58" t="str">
        <f t="shared" si="392"/>
        <v/>
      </c>
      <c r="Z538" s="31">
        <f t="shared" si="393"/>
        <v>0</v>
      </c>
      <c r="AA538" s="21">
        <f t="shared" si="394"/>
        <v>0</v>
      </c>
      <c r="AB538" s="58" t="str">
        <f t="shared" si="395"/>
        <v/>
      </c>
      <c r="AC538" s="630">
        <f t="shared" si="416"/>
        <v>0</v>
      </c>
      <c r="AD538" s="627"/>
      <c r="AE538" s="21">
        <f t="shared" si="396"/>
        <v>0</v>
      </c>
      <c r="AF538" s="58" t="str">
        <f t="shared" si="397"/>
        <v/>
      </c>
      <c r="AG538" s="21">
        <f t="shared" si="398"/>
        <v>0</v>
      </c>
      <c r="AH538" s="58" t="str">
        <f t="shared" si="399"/>
        <v/>
      </c>
      <c r="AI538" s="21">
        <f t="shared" si="400"/>
        <v>0</v>
      </c>
      <c r="AJ538" s="58" t="str">
        <f t="shared" si="401"/>
        <v/>
      </c>
      <c r="AK538" s="31">
        <f t="shared" si="402"/>
        <v>0</v>
      </c>
      <c r="AL538" s="21">
        <f t="shared" si="403"/>
        <v>0</v>
      </c>
      <c r="AM538" s="62" t="str">
        <f t="shared" si="404"/>
        <v/>
      </c>
      <c r="AN538" s="21">
        <f t="shared" si="405"/>
        <v>0</v>
      </c>
      <c r="AO538" s="62" t="str">
        <f t="shared" si="406"/>
        <v/>
      </c>
      <c r="AP538" s="21">
        <f t="shared" si="407"/>
        <v>0</v>
      </c>
      <c r="AQ538" s="62" t="str">
        <f t="shared" si="408"/>
        <v/>
      </c>
      <c r="AR538" s="31">
        <f t="shared" si="409"/>
        <v>0</v>
      </c>
      <c r="AS538" s="21">
        <f t="shared" si="410"/>
        <v>0</v>
      </c>
      <c r="AT538" s="62" t="str">
        <f t="shared" si="411"/>
        <v/>
      </c>
      <c r="AU538" s="84">
        <f t="shared" si="412"/>
        <v>0</v>
      </c>
      <c r="AV538" s="32">
        <f t="shared" si="413"/>
        <v>0</v>
      </c>
      <c r="AW538" s="85" t="str">
        <f t="shared" si="414"/>
        <v/>
      </c>
      <c r="AX538" s="86" t="str">
        <f t="shared" si="415"/>
        <v/>
      </c>
    </row>
    <row r="539" spans="1:50" x14ac:dyDescent="0.2">
      <c r="A539" s="29" t="str">
        <f t="shared" si="373"/>
        <v/>
      </c>
      <c r="B539" s="32" t="str">
        <f t="shared" si="374"/>
        <v/>
      </c>
      <c r="C539" s="35"/>
      <c r="D539" s="33" t="str">
        <f t="shared" si="375"/>
        <v/>
      </c>
      <c r="E539" s="22" t="str">
        <f t="shared" si="376"/>
        <v/>
      </c>
      <c r="F539" s="23" t="str">
        <f t="shared" si="377"/>
        <v/>
      </c>
      <c r="G539" s="23"/>
      <c r="H539" s="22"/>
      <c r="I539" s="23"/>
      <c r="J539" s="18"/>
      <c r="K539" s="13" t="str">
        <f t="shared" si="378"/>
        <v/>
      </c>
      <c r="L539" s="28" t="str">
        <f t="shared" si="379"/>
        <v/>
      </c>
      <c r="M539" s="10" t="str">
        <f t="shared" si="380"/>
        <v/>
      </c>
      <c r="N539" s="17" t="str">
        <f t="shared" si="381"/>
        <v/>
      </c>
      <c r="O539" s="39" t="str">
        <f t="shared" si="382"/>
        <v/>
      </c>
      <c r="P539" s="41" t="str">
        <f t="shared" si="383"/>
        <v/>
      </c>
      <c r="Q539" s="9" t="str">
        <f t="shared" si="384"/>
        <v/>
      </c>
      <c r="R539" s="14">
        <f t="shared" si="385"/>
        <v>0</v>
      </c>
      <c r="S539" s="61" t="str">
        <f t="shared" si="386"/>
        <v/>
      </c>
      <c r="T539" s="14">
        <f t="shared" si="387"/>
        <v>0</v>
      </c>
      <c r="U539" s="58" t="str">
        <f t="shared" si="388"/>
        <v/>
      </c>
      <c r="V539" s="14">
        <f t="shared" si="389"/>
        <v>0</v>
      </c>
      <c r="W539" s="58" t="str">
        <f t="shared" si="390"/>
        <v/>
      </c>
      <c r="X539" s="14">
        <f t="shared" si="391"/>
        <v>0</v>
      </c>
      <c r="Y539" s="58" t="str">
        <f t="shared" si="392"/>
        <v/>
      </c>
      <c r="Z539" s="31">
        <f t="shared" si="393"/>
        <v>0</v>
      </c>
      <c r="AA539" s="21">
        <f t="shared" si="394"/>
        <v>0</v>
      </c>
      <c r="AB539" s="58" t="str">
        <f t="shared" si="395"/>
        <v/>
      </c>
      <c r="AC539" s="630">
        <f t="shared" si="416"/>
        <v>0</v>
      </c>
      <c r="AD539" s="627"/>
      <c r="AE539" s="21">
        <f t="shared" si="396"/>
        <v>0</v>
      </c>
      <c r="AF539" s="58" t="str">
        <f t="shared" si="397"/>
        <v/>
      </c>
      <c r="AG539" s="21">
        <f t="shared" si="398"/>
        <v>0</v>
      </c>
      <c r="AH539" s="58" t="str">
        <f t="shared" si="399"/>
        <v/>
      </c>
      <c r="AI539" s="21">
        <f t="shared" si="400"/>
        <v>0</v>
      </c>
      <c r="AJ539" s="58" t="str">
        <f t="shared" si="401"/>
        <v/>
      </c>
      <c r="AK539" s="31">
        <f t="shared" si="402"/>
        <v>0</v>
      </c>
      <c r="AL539" s="21">
        <f t="shared" si="403"/>
        <v>0</v>
      </c>
      <c r="AM539" s="62" t="str">
        <f t="shared" si="404"/>
        <v/>
      </c>
      <c r="AN539" s="21">
        <f t="shared" si="405"/>
        <v>0</v>
      </c>
      <c r="AO539" s="62" t="str">
        <f t="shared" si="406"/>
        <v/>
      </c>
      <c r="AP539" s="21">
        <f t="shared" si="407"/>
        <v>0</v>
      </c>
      <c r="AQ539" s="62" t="str">
        <f t="shared" si="408"/>
        <v/>
      </c>
      <c r="AR539" s="31">
        <f t="shared" si="409"/>
        <v>0</v>
      </c>
      <c r="AS539" s="21">
        <f t="shared" si="410"/>
        <v>0</v>
      </c>
      <c r="AT539" s="62" t="str">
        <f t="shared" si="411"/>
        <v/>
      </c>
      <c r="AU539" s="84">
        <f t="shared" si="412"/>
        <v>0</v>
      </c>
      <c r="AV539" s="32">
        <f t="shared" si="413"/>
        <v>0</v>
      </c>
      <c r="AW539" s="85" t="str">
        <f t="shared" si="414"/>
        <v/>
      </c>
      <c r="AX539" s="86" t="str">
        <f t="shared" si="415"/>
        <v/>
      </c>
    </row>
    <row r="540" spans="1:50" x14ac:dyDescent="0.2">
      <c r="A540" s="29" t="str">
        <f t="shared" si="373"/>
        <v/>
      </c>
      <c r="B540" s="32" t="str">
        <f t="shared" si="374"/>
        <v/>
      </c>
      <c r="C540" s="35"/>
      <c r="D540" s="33" t="str">
        <f t="shared" si="375"/>
        <v/>
      </c>
      <c r="E540" s="22" t="str">
        <f t="shared" si="376"/>
        <v/>
      </c>
      <c r="F540" s="23" t="str">
        <f t="shared" si="377"/>
        <v/>
      </c>
      <c r="G540" s="23"/>
      <c r="H540" s="22"/>
      <c r="I540" s="23"/>
      <c r="J540" s="18"/>
      <c r="K540" s="13" t="str">
        <f t="shared" si="378"/>
        <v/>
      </c>
      <c r="L540" s="28" t="str">
        <f t="shared" si="379"/>
        <v/>
      </c>
      <c r="M540" s="10" t="str">
        <f t="shared" si="380"/>
        <v/>
      </c>
      <c r="N540" s="17" t="str">
        <f t="shared" si="381"/>
        <v/>
      </c>
      <c r="O540" s="39" t="str">
        <f t="shared" si="382"/>
        <v/>
      </c>
      <c r="P540" s="41" t="str">
        <f t="shared" si="383"/>
        <v/>
      </c>
      <c r="Q540" s="9" t="str">
        <f t="shared" si="384"/>
        <v/>
      </c>
      <c r="R540" s="14">
        <f t="shared" si="385"/>
        <v>0</v>
      </c>
      <c r="S540" s="61" t="str">
        <f t="shared" si="386"/>
        <v/>
      </c>
      <c r="T540" s="14">
        <f t="shared" si="387"/>
        <v>0</v>
      </c>
      <c r="U540" s="58" t="str">
        <f t="shared" si="388"/>
        <v/>
      </c>
      <c r="V540" s="14">
        <f t="shared" si="389"/>
        <v>0</v>
      </c>
      <c r="W540" s="58" t="str">
        <f t="shared" si="390"/>
        <v/>
      </c>
      <c r="X540" s="14">
        <f t="shared" si="391"/>
        <v>0</v>
      </c>
      <c r="Y540" s="58" t="str">
        <f t="shared" si="392"/>
        <v/>
      </c>
      <c r="Z540" s="31">
        <f t="shared" si="393"/>
        <v>0</v>
      </c>
      <c r="AA540" s="21">
        <f t="shared" si="394"/>
        <v>0</v>
      </c>
      <c r="AB540" s="58" t="str">
        <f t="shared" si="395"/>
        <v/>
      </c>
      <c r="AC540" s="630">
        <f t="shared" si="416"/>
        <v>0</v>
      </c>
      <c r="AD540" s="627"/>
      <c r="AE540" s="21">
        <f t="shared" si="396"/>
        <v>0</v>
      </c>
      <c r="AF540" s="58" t="str">
        <f t="shared" si="397"/>
        <v/>
      </c>
      <c r="AG540" s="21">
        <f t="shared" si="398"/>
        <v>0</v>
      </c>
      <c r="AH540" s="58" t="str">
        <f t="shared" si="399"/>
        <v/>
      </c>
      <c r="AI540" s="21">
        <f t="shared" si="400"/>
        <v>0</v>
      </c>
      <c r="AJ540" s="58" t="str">
        <f t="shared" si="401"/>
        <v/>
      </c>
      <c r="AK540" s="31">
        <f t="shared" si="402"/>
        <v>0</v>
      </c>
      <c r="AL540" s="21">
        <f t="shared" si="403"/>
        <v>0</v>
      </c>
      <c r="AM540" s="62" t="str">
        <f t="shared" si="404"/>
        <v/>
      </c>
      <c r="AN540" s="21">
        <f t="shared" si="405"/>
        <v>0</v>
      </c>
      <c r="AO540" s="62" t="str">
        <f t="shared" si="406"/>
        <v/>
      </c>
      <c r="AP540" s="21">
        <f t="shared" si="407"/>
        <v>0</v>
      </c>
      <c r="AQ540" s="62" t="str">
        <f t="shared" si="408"/>
        <v/>
      </c>
      <c r="AR540" s="31">
        <f t="shared" si="409"/>
        <v>0</v>
      </c>
      <c r="AS540" s="21">
        <f t="shared" si="410"/>
        <v>0</v>
      </c>
      <c r="AT540" s="62" t="str">
        <f t="shared" si="411"/>
        <v/>
      </c>
      <c r="AU540" s="84">
        <f t="shared" si="412"/>
        <v>0</v>
      </c>
      <c r="AV540" s="32">
        <f t="shared" si="413"/>
        <v>0</v>
      </c>
      <c r="AW540" s="85" t="str">
        <f t="shared" si="414"/>
        <v/>
      </c>
      <c r="AX540" s="86" t="str">
        <f t="shared" si="415"/>
        <v/>
      </c>
    </row>
    <row r="541" spans="1:50" x14ac:dyDescent="0.2">
      <c r="A541" s="29" t="str">
        <f t="shared" si="373"/>
        <v/>
      </c>
      <c r="B541" s="32" t="str">
        <f t="shared" si="374"/>
        <v/>
      </c>
      <c r="C541" s="35"/>
      <c r="D541" s="33" t="str">
        <f t="shared" si="375"/>
        <v/>
      </c>
      <c r="E541" s="22" t="str">
        <f t="shared" si="376"/>
        <v/>
      </c>
      <c r="F541" s="23" t="str">
        <f t="shared" si="377"/>
        <v/>
      </c>
      <c r="G541" s="23"/>
      <c r="H541" s="22"/>
      <c r="I541" s="23"/>
      <c r="J541" s="18"/>
      <c r="K541" s="13" t="str">
        <f t="shared" si="378"/>
        <v/>
      </c>
      <c r="L541" s="28" t="str">
        <f t="shared" si="379"/>
        <v/>
      </c>
      <c r="M541" s="10" t="str">
        <f t="shared" si="380"/>
        <v/>
      </c>
      <c r="N541" s="17" t="str">
        <f t="shared" si="381"/>
        <v/>
      </c>
      <c r="O541" s="39" t="str">
        <f t="shared" si="382"/>
        <v/>
      </c>
      <c r="P541" s="41" t="str">
        <f t="shared" si="383"/>
        <v/>
      </c>
      <c r="Q541" s="9" t="str">
        <f t="shared" si="384"/>
        <v/>
      </c>
      <c r="R541" s="14">
        <f t="shared" si="385"/>
        <v>0</v>
      </c>
      <c r="S541" s="61" t="str">
        <f t="shared" si="386"/>
        <v/>
      </c>
      <c r="T541" s="14">
        <f t="shared" si="387"/>
        <v>0</v>
      </c>
      <c r="U541" s="58" t="str">
        <f t="shared" si="388"/>
        <v/>
      </c>
      <c r="V541" s="14">
        <f t="shared" si="389"/>
        <v>0</v>
      </c>
      <c r="W541" s="58" t="str">
        <f t="shared" si="390"/>
        <v/>
      </c>
      <c r="X541" s="14">
        <f t="shared" si="391"/>
        <v>0</v>
      </c>
      <c r="Y541" s="58" t="str">
        <f t="shared" si="392"/>
        <v/>
      </c>
      <c r="Z541" s="31">
        <f t="shared" si="393"/>
        <v>0</v>
      </c>
      <c r="AA541" s="21">
        <f t="shared" si="394"/>
        <v>0</v>
      </c>
      <c r="AB541" s="58" t="str">
        <f t="shared" si="395"/>
        <v/>
      </c>
      <c r="AC541" s="630">
        <f t="shared" si="416"/>
        <v>0</v>
      </c>
      <c r="AD541" s="627"/>
      <c r="AE541" s="21">
        <f t="shared" si="396"/>
        <v>0</v>
      </c>
      <c r="AF541" s="58" t="str">
        <f t="shared" si="397"/>
        <v/>
      </c>
      <c r="AG541" s="21">
        <f t="shared" si="398"/>
        <v>0</v>
      </c>
      <c r="AH541" s="58" t="str">
        <f t="shared" si="399"/>
        <v/>
      </c>
      <c r="AI541" s="21">
        <f t="shared" si="400"/>
        <v>0</v>
      </c>
      <c r="AJ541" s="58" t="str">
        <f t="shared" si="401"/>
        <v/>
      </c>
      <c r="AK541" s="31">
        <f t="shared" si="402"/>
        <v>0</v>
      </c>
      <c r="AL541" s="21">
        <f t="shared" si="403"/>
        <v>0</v>
      </c>
      <c r="AM541" s="62" t="str">
        <f t="shared" si="404"/>
        <v/>
      </c>
      <c r="AN541" s="21">
        <f t="shared" si="405"/>
        <v>0</v>
      </c>
      <c r="AO541" s="62" t="str">
        <f t="shared" si="406"/>
        <v/>
      </c>
      <c r="AP541" s="21">
        <f t="shared" si="407"/>
        <v>0</v>
      </c>
      <c r="AQ541" s="62" t="str">
        <f t="shared" si="408"/>
        <v/>
      </c>
      <c r="AR541" s="31">
        <f t="shared" si="409"/>
        <v>0</v>
      </c>
      <c r="AS541" s="21">
        <f t="shared" si="410"/>
        <v>0</v>
      </c>
      <c r="AT541" s="62" t="str">
        <f t="shared" si="411"/>
        <v/>
      </c>
      <c r="AU541" s="84">
        <f t="shared" si="412"/>
        <v>0</v>
      </c>
      <c r="AV541" s="32">
        <f t="shared" si="413"/>
        <v>0</v>
      </c>
      <c r="AW541" s="85" t="str">
        <f t="shared" si="414"/>
        <v/>
      </c>
      <c r="AX541" s="86" t="str">
        <f t="shared" si="415"/>
        <v/>
      </c>
    </row>
    <row r="542" spans="1:50" x14ac:dyDescent="0.2">
      <c r="A542" s="29" t="str">
        <f t="shared" si="373"/>
        <v/>
      </c>
      <c r="B542" s="32" t="str">
        <f t="shared" si="374"/>
        <v/>
      </c>
      <c r="C542" s="35"/>
      <c r="D542" s="33" t="str">
        <f t="shared" si="375"/>
        <v/>
      </c>
      <c r="E542" s="22" t="str">
        <f t="shared" si="376"/>
        <v/>
      </c>
      <c r="F542" s="23" t="str">
        <f t="shared" si="377"/>
        <v/>
      </c>
      <c r="G542" s="23"/>
      <c r="H542" s="22"/>
      <c r="I542" s="23"/>
      <c r="J542" s="18"/>
      <c r="K542" s="13" t="str">
        <f t="shared" si="378"/>
        <v/>
      </c>
      <c r="L542" s="28" t="str">
        <f t="shared" si="379"/>
        <v/>
      </c>
      <c r="M542" s="10" t="str">
        <f t="shared" si="380"/>
        <v/>
      </c>
      <c r="N542" s="17" t="str">
        <f t="shared" si="381"/>
        <v/>
      </c>
      <c r="O542" s="39" t="str">
        <f t="shared" si="382"/>
        <v/>
      </c>
      <c r="P542" s="41" t="str">
        <f t="shared" si="383"/>
        <v/>
      </c>
      <c r="Q542" s="9" t="str">
        <f t="shared" si="384"/>
        <v/>
      </c>
      <c r="R542" s="14">
        <f t="shared" si="385"/>
        <v>0</v>
      </c>
      <c r="S542" s="61" t="str">
        <f t="shared" si="386"/>
        <v/>
      </c>
      <c r="T542" s="14">
        <f t="shared" si="387"/>
        <v>0</v>
      </c>
      <c r="U542" s="58" t="str">
        <f t="shared" si="388"/>
        <v/>
      </c>
      <c r="V542" s="14">
        <f t="shared" si="389"/>
        <v>0</v>
      </c>
      <c r="W542" s="58" t="str">
        <f t="shared" si="390"/>
        <v/>
      </c>
      <c r="X542" s="14">
        <f t="shared" si="391"/>
        <v>0</v>
      </c>
      <c r="Y542" s="58" t="str">
        <f t="shared" si="392"/>
        <v/>
      </c>
      <c r="Z542" s="31">
        <f t="shared" si="393"/>
        <v>0</v>
      </c>
      <c r="AA542" s="21">
        <f t="shared" si="394"/>
        <v>0</v>
      </c>
      <c r="AB542" s="58" t="str">
        <f t="shared" si="395"/>
        <v/>
      </c>
      <c r="AC542" s="630">
        <f t="shared" si="416"/>
        <v>0</v>
      </c>
      <c r="AD542" s="627"/>
      <c r="AE542" s="21">
        <f t="shared" si="396"/>
        <v>0</v>
      </c>
      <c r="AF542" s="58" t="str">
        <f t="shared" si="397"/>
        <v/>
      </c>
      <c r="AG542" s="21">
        <f t="shared" si="398"/>
        <v>0</v>
      </c>
      <c r="AH542" s="58" t="str">
        <f t="shared" si="399"/>
        <v/>
      </c>
      <c r="AI542" s="21">
        <f t="shared" si="400"/>
        <v>0</v>
      </c>
      <c r="AJ542" s="58" t="str">
        <f t="shared" si="401"/>
        <v/>
      </c>
      <c r="AK542" s="31">
        <f t="shared" si="402"/>
        <v>0</v>
      </c>
      <c r="AL542" s="21">
        <f t="shared" si="403"/>
        <v>0</v>
      </c>
      <c r="AM542" s="62" t="str">
        <f t="shared" si="404"/>
        <v/>
      </c>
      <c r="AN542" s="21">
        <f t="shared" si="405"/>
        <v>0</v>
      </c>
      <c r="AO542" s="62" t="str">
        <f t="shared" si="406"/>
        <v/>
      </c>
      <c r="AP542" s="21">
        <f t="shared" si="407"/>
        <v>0</v>
      </c>
      <c r="AQ542" s="62" t="str">
        <f t="shared" si="408"/>
        <v/>
      </c>
      <c r="AR542" s="31">
        <f t="shared" si="409"/>
        <v>0</v>
      </c>
      <c r="AS542" s="21">
        <f t="shared" si="410"/>
        <v>0</v>
      </c>
      <c r="AT542" s="62" t="str">
        <f t="shared" si="411"/>
        <v/>
      </c>
      <c r="AU542" s="84">
        <f t="shared" si="412"/>
        <v>0</v>
      </c>
      <c r="AV542" s="32">
        <f t="shared" si="413"/>
        <v>0</v>
      </c>
      <c r="AW542" s="85" t="str">
        <f t="shared" si="414"/>
        <v/>
      </c>
      <c r="AX542" s="86" t="str">
        <f t="shared" si="415"/>
        <v/>
      </c>
    </row>
    <row r="543" spans="1:50" x14ac:dyDescent="0.2">
      <c r="A543" s="29" t="str">
        <f t="shared" si="373"/>
        <v/>
      </c>
      <c r="B543" s="32" t="str">
        <f t="shared" si="374"/>
        <v/>
      </c>
      <c r="C543" s="35"/>
      <c r="D543" s="33" t="str">
        <f t="shared" si="375"/>
        <v/>
      </c>
      <c r="E543" s="22" t="str">
        <f t="shared" si="376"/>
        <v/>
      </c>
      <c r="F543" s="23" t="str">
        <f t="shared" si="377"/>
        <v/>
      </c>
      <c r="G543" s="23"/>
      <c r="H543" s="22"/>
      <c r="I543" s="23"/>
      <c r="J543" s="18"/>
      <c r="K543" s="13" t="str">
        <f t="shared" si="378"/>
        <v/>
      </c>
      <c r="L543" s="28" t="str">
        <f t="shared" si="379"/>
        <v/>
      </c>
      <c r="M543" s="10" t="str">
        <f t="shared" si="380"/>
        <v/>
      </c>
      <c r="N543" s="17" t="str">
        <f t="shared" si="381"/>
        <v/>
      </c>
      <c r="O543" s="39" t="str">
        <f t="shared" si="382"/>
        <v/>
      </c>
      <c r="P543" s="41" t="str">
        <f t="shared" si="383"/>
        <v/>
      </c>
      <c r="Q543" s="9" t="str">
        <f t="shared" si="384"/>
        <v/>
      </c>
      <c r="R543" s="14">
        <f t="shared" si="385"/>
        <v>0</v>
      </c>
      <c r="S543" s="61" t="str">
        <f t="shared" si="386"/>
        <v/>
      </c>
      <c r="T543" s="14">
        <f t="shared" si="387"/>
        <v>0</v>
      </c>
      <c r="U543" s="58" t="str">
        <f t="shared" si="388"/>
        <v/>
      </c>
      <c r="V543" s="14">
        <f t="shared" si="389"/>
        <v>0</v>
      </c>
      <c r="W543" s="58" t="str">
        <f t="shared" si="390"/>
        <v/>
      </c>
      <c r="X543" s="14">
        <f t="shared" si="391"/>
        <v>0</v>
      </c>
      <c r="Y543" s="58" t="str">
        <f t="shared" si="392"/>
        <v/>
      </c>
      <c r="Z543" s="31">
        <f t="shared" si="393"/>
        <v>0</v>
      </c>
      <c r="AA543" s="21">
        <f t="shared" si="394"/>
        <v>0</v>
      </c>
      <c r="AB543" s="58" t="str">
        <f t="shared" si="395"/>
        <v/>
      </c>
      <c r="AC543" s="630">
        <f t="shared" si="416"/>
        <v>0</v>
      </c>
      <c r="AD543" s="627"/>
      <c r="AE543" s="21">
        <f t="shared" si="396"/>
        <v>0</v>
      </c>
      <c r="AF543" s="58" t="str">
        <f t="shared" si="397"/>
        <v/>
      </c>
      <c r="AG543" s="21">
        <f t="shared" si="398"/>
        <v>0</v>
      </c>
      <c r="AH543" s="58" t="str">
        <f t="shared" si="399"/>
        <v/>
      </c>
      <c r="AI543" s="21">
        <f t="shared" si="400"/>
        <v>0</v>
      </c>
      <c r="AJ543" s="58" t="str">
        <f t="shared" si="401"/>
        <v/>
      </c>
      <c r="AK543" s="31">
        <f t="shared" si="402"/>
        <v>0</v>
      </c>
      <c r="AL543" s="21">
        <f t="shared" si="403"/>
        <v>0</v>
      </c>
      <c r="AM543" s="62" t="str">
        <f t="shared" si="404"/>
        <v/>
      </c>
      <c r="AN543" s="21">
        <f t="shared" si="405"/>
        <v>0</v>
      </c>
      <c r="AO543" s="62" t="str">
        <f t="shared" si="406"/>
        <v/>
      </c>
      <c r="AP543" s="21">
        <f t="shared" si="407"/>
        <v>0</v>
      </c>
      <c r="AQ543" s="62" t="str">
        <f t="shared" si="408"/>
        <v/>
      </c>
      <c r="AR543" s="31">
        <f t="shared" si="409"/>
        <v>0</v>
      </c>
      <c r="AS543" s="21">
        <f t="shared" si="410"/>
        <v>0</v>
      </c>
      <c r="AT543" s="62" t="str">
        <f t="shared" si="411"/>
        <v/>
      </c>
      <c r="AU543" s="84">
        <f t="shared" si="412"/>
        <v>0</v>
      </c>
      <c r="AV543" s="32">
        <f t="shared" si="413"/>
        <v>0</v>
      </c>
      <c r="AW543" s="85" t="str">
        <f t="shared" si="414"/>
        <v/>
      </c>
      <c r="AX543" s="86" t="str">
        <f t="shared" si="415"/>
        <v/>
      </c>
    </row>
    <row r="544" spans="1:50" x14ac:dyDescent="0.2">
      <c r="A544" s="29" t="str">
        <f t="shared" si="373"/>
        <v/>
      </c>
      <c r="B544" s="32" t="str">
        <f t="shared" si="374"/>
        <v/>
      </c>
      <c r="C544" s="35"/>
      <c r="D544" s="33" t="str">
        <f t="shared" si="375"/>
        <v/>
      </c>
      <c r="E544" s="22" t="str">
        <f t="shared" si="376"/>
        <v/>
      </c>
      <c r="F544" s="23" t="str">
        <f t="shared" si="377"/>
        <v/>
      </c>
      <c r="G544" s="23"/>
      <c r="H544" s="22"/>
      <c r="I544" s="23"/>
      <c r="J544" s="18"/>
      <c r="K544" s="13" t="str">
        <f t="shared" si="378"/>
        <v/>
      </c>
      <c r="L544" s="28" t="str">
        <f t="shared" si="379"/>
        <v/>
      </c>
      <c r="M544" s="10" t="str">
        <f t="shared" si="380"/>
        <v/>
      </c>
      <c r="N544" s="17" t="str">
        <f t="shared" si="381"/>
        <v/>
      </c>
      <c r="O544" s="39" t="str">
        <f t="shared" si="382"/>
        <v/>
      </c>
      <c r="P544" s="41" t="str">
        <f t="shared" si="383"/>
        <v/>
      </c>
      <c r="Q544" s="9" t="str">
        <f t="shared" si="384"/>
        <v/>
      </c>
      <c r="R544" s="14">
        <f t="shared" si="385"/>
        <v>0</v>
      </c>
      <c r="S544" s="61" t="str">
        <f t="shared" si="386"/>
        <v/>
      </c>
      <c r="T544" s="14">
        <f t="shared" si="387"/>
        <v>0</v>
      </c>
      <c r="U544" s="58" t="str">
        <f t="shared" si="388"/>
        <v/>
      </c>
      <c r="V544" s="14">
        <f t="shared" si="389"/>
        <v>0</v>
      </c>
      <c r="W544" s="58" t="str">
        <f t="shared" si="390"/>
        <v/>
      </c>
      <c r="X544" s="14">
        <f t="shared" si="391"/>
        <v>0</v>
      </c>
      <c r="Y544" s="58" t="str">
        <f t="shared" si="392"/>
        <v/>
      </c>
      <c r="Z544" s="31">
        <f t="shared" si="393"/>
        <v>0</v>
      </c>
      <c r="AA544" s="21">
        <f t="shared" si="394"/>
        <v>0</v>
      </c>
      <c r="AB544" s="58" t="str">
        <f t="shared" si="395"/>
        <v/>
      </c>
      <c r="AC544" s="630">
        <f t="shared" si="416"/>
        <v>0</v>
      </c>
      <c r="AD544" s="627"/>
      <c r="AE544" s="21">
        <f t="shared" si="396"/>
        <v>0</v>
      </c>
      <c r="AF544" s="58" t="str">
        <f t="shared" si="397"/>
        <v/>
      </c>
      <c r="AG544" s="21">
        <f t="shared" si="398"/>
        <v>0</v>
      </c>
      <c r="AH544" s="58" t="str">
        <f t="shared" si="399"/>
        <v/>
      </c>
      <c r="AI544" s="21">
        <f t="shared" si="400"/>
        <v>0</v>
      </c>
      <c r="AJ544" s="58" t="str">
        <f t="shared" si="401"/>
        <v/>
      </c>
      <c r="AK544" s="31">
        <f t="shared" si="402"/>
        <v>0</v>
      </c>
      <c r="AL544" s="21">
        <f t="shared" si="403"/>
        <v>0</v>
      </c>
      <c r="AM544" s="62" t="str">
        <f t="shared" si="404"/>
        <v/>
      </c>
      <c r="AN544" s="21">
        <f t="shared" si="405"/>
        <v>0</v>
      </c>
      <c r="AO544" s="62" t="str">
        <f t="shared" si="406"/>
        <v/>
      </c>
      <c r="AP544" s="21">
        <f t="shared" si="407"/>
        <v>0</v>
      </c>
      <c r="AQ544" s="62" t="str">
        <f t="shared" si="408"/>
        <v/>
      </c>
      <c r="AR544" s="31">
        <f t="shared" si="409"/>
        <v>0</v>
      </c>
      <c r="AS544" s="21">
        <f t="shared" si="410"/>
        <v>0</v>
      </c>
      <c r="AT544" s="62" t="str">
        <f t="shared" si="411"/>
        <v/>
      </c>
      <c r="AU544" s="84">
        <f t="shared" si="412"/>
        <v>0</v>
      </c>
      <c r="AV544" s="32">
        <f t="shared" si="413"/>
        <v>0</v>
      </c>
      <c r="AW544" s="85" t="str">
        <f t="shared" si="414"/>
        <v/>
      </c>
      <c r="AX544" s="86" t="str">
        <f t="shared" si="415"/>
        <v/>
      </c>
    </row>
    <row r="545" spans="1:50" x14ac:dyDescent="0.2">
      <c r="A545" s="29" t="str">
        <f t="shared" si="373"/>
        <v/>
      </c>
      <c r="B545" s="32" t="str">
        <f t="shared" si="374"/>
        <v/>
      </c>
      <c r="C545" s="35"/>
      <c r="D545" s="33" t="str">
        <f t="shared" si="375"/>
        <v/>
      </c>
      <c r="E545" s="22" t="str">
        <f t="shared" si="376"/>
        <v/>
      </c>
      <c r="F545" s="23" t="str">
        <f t="shared" si="377"/>
        <v/>
      </c>
      <c r="G545" s="23"/>
      <c r="H545" s="22"/>
      <c r="I545" s="23"/>
      <c r="J545" s="18"/>
      <c r="K545" s="13" t="str">
        <f t="shared" si="378"/>
        <v/>
      </c>
      <c r="L545" s="28" t="str">
        <f t="shared" si="379"/>
        <v/>
      </c>
      <c r="M545" s="10" t="str">
        <f t="shared" si="380"/>
        <v/>
      </c>
      <c r="N545" s="17" t="str">
        <f t="shared" si="381"/>
        <v/>
      </c>
      <c r="O545" s="39" t="str">
        <f t="shared" si="382"/>
        <v/>
      </c>
      <c r="P545" s="41" t="str">
        <f t="shared" si="383"/>
        <v/>
      </c>
      <c r="Q545" s="9" t="str">
        <f t="shared" si="384"/>
        <v/>
      </c>
      <c r="R545" s="14">
        <f t="shared" si="385"/>
        <v>0</v>
      </c>
      <c r="S545" s="61" t="str">
        <f t="shared" si="386"/>
        <v/>
      </c>
      <c r="T545" s="14">
        <f t="shared" si="387"/>
        <v>0</v>
      </c>
      <c r="U545" s="58" t="str">
        <f t="shared" si="388"/>
        <v/>
      </c>
      <c r="V545" s="14">
        <f t="shared" si="389"/>
        <v>0</v>
      </c>
      <c r="W545" s="58" t="str">
        <f t="shared" si="390"/>
        <v/>
      </c>
      <c r="X545" s="14">
        <f t="shared" si="391"/>
        <v>0</v>
      </c>
      <c r="Y545" s="58" t="str">
        <f t="shared" si="392"/>
        <v/>
      </c>
      <c r="Z545" s="31">
        <f t="shared" si="393"/>
        <v>0</v>
      </c>
      <c r="AA545" s="21">
        <f t="shared" si="394"/>
        <v>0</v>
      </c>
      <c r="AB545" s="58" t="str">
        <f t="shared" si="395"/>
        <v/>
      </c>
      <c r="AC545" s="630">
        <f t="shared" si="416"/>
        <v>0</v>
      </c>
      <c r="AD545" s="627"/>
      <c r="AE545" s="21">
        <f t="shared" si="396"/>
        <v>0</v>
      </c>
      <c r="AF545" s="58" t="str">
        <f t="shared" si="397"/>
        <v/>
      </c>
      <c r="AG545" s="21">
        <f t="shared" si="398"/>
        <v>0</v>
      </c>
      <c r="AH545" s="58" t="str">
        <f t="shared" si="399"/>
        <v/>
      </c>
      <c r="AI545" s="21">
        <f t="shared" si="400"/>
        <v>0</v>
      </c>
      <c r="AJ545" s="58" t="str">
        <f t="shared" si="401"/>
        <v/>
      </c>
      <c r="AK545" s="31">
        <f t="shared" si="402"/>
        <v>0</v>
      </c>
      <c r="AL545" s="21">
        <f t="shared" si="403"/>
        <v>0</v>
      </c>
      <c r="AM545" s="62" t="str">
        <f t="shared" si="404"/>
        <v/>
      </c>
      <c r="AN545" s="21">
        <f t="shared" si="405"/>
        <v>0</v>
      </c>
      <c r="AO545" s="62" t="str">
        <f t="shared" si="406"/>
        <v/>
      </c>
      <c r="AP545" s="21">
        <f t="shared" si="407"/>
        <v>0</v>
      </c>
      <c r="AQ545" s="62" t="str">
        <f t="shared" si="408"/>
        <v/>
      </c>
      <c r="AR545" s="31">
        <f t="shared" si="409"/>
        <v>0</v>
      </c>
      <c r="AS545" s="21">
        <f t="shared" si="410"/>
        <v>0</v>
      </c>
      <c r="AT545" s="62" t="str">
        <f t="shared" si="411"/>
        <v/>
      </c>
      <c r="AU545" s="84">
        <f t="shared" si="412"/>
        <v>0</v>
      </c>
      <c r="AV545" s="32">
        <f t="shared" si="413"/>
        <v>0</v>
      </c>
      <c r="AW545" s="85" t="str">
        <f t="shared" si="414"/>
        <v/>
      </c>
      <c r="AX545" s="86" t="str">
        <f t="shared" si="415"/>
        <v/>
      </c>
    </row>
    <row r="546" spans="1:50" x14ac:dyDescent="0.2">
      <c r="A546" s="29" t="str">
        <f t="shared" ref="A546:A609" si="417">IF(A545="","",IF(C546="","",A545))</f>
        <v/>
      </c>
      <c r="B546" s="32" t="str">
        <f t="shared" ref="B546:B609" si="418">IF(B545="","",IF(C546="","",B545))</f>
        <v/>
      </c>
      <c r="C546" s="35"/>
      <c r="D546" s="33" t="str">
        <f t="shared" ref="D546:D609" si="419">IF(A546="","",IF(D545="","",D545))</f>
        <v/>
      </c>
      <c r="E546" s="22" t="str">
        <f t="shared" ref="E546:E609" si="420">IF(A546="","",IF(E545="","",E545))</f>
        <v/>
      </c>
      <c r="F546" s="23" t="str">
        <f t="shared" ref="F546:F609" si="421">IF(A546="","",IF(F545="","",F545))</f>
        <v/>
      </c>
      <c r="G546" s="23"/>
      <c r="H546" s="22"/>
      <c r="I546" s="23"/>
      <c r="J546" s="18"/>
      <c r="K546" s="13" t="str">
        <f t="shared" ref="K546:K609" si="422">IF($N$4="M",IF(A546="","",IF(D546=6,16,IF(A546&lt;=$M$5,26,IF(A546&lt;=$M$6,24,IF(A546&lt;=$M$7,22,IF(A546&lt;=$M$8,20,18)))))),IF(A546="","",IF(D546=6,16,IF(A546&lt;=$P$5,26,IF(A546&lt;=$P$6,24,IF(A546&lt;=$P$7,22,IF(A546&lt;=$P$8,20,18)))))))</f>
        <v/>
      </c>
      <c r="L546" s="28" t="str">
        <f t="shared" ref="L546:L609" si="423">IF($N$4="M",IF(A546="","",IF(K546=26,(A546+B546+Q546)*C546*0.02739,IF(K546=24,(A546+B546+Q546)*C546*0.02739,IF(K546=22,(A546+B546+Q546)*C546*0.0333,IF(K546=20,(A546+B546+Q546)*C546*0.0393,IF(K546=18,(A546+B546+Q546)*C546*0.0511,IF(K546=16,(A546+B546+Q546)*C546*0.0628))))))),IF(A546="","",IF(K546=26,(A546+B546+Q546)*C546*0.211,IF(K546=24,(A546+B546+Q546)*C546*0.211,IF(K546=22,(A546+B546+Q546)*C546*0.258,IF(K546=20,(A546+B546+Q546)*C546*0.304,IF(K546=18,(A546+B546+Q546)*C546*0.395,IF(K546=16,(A546+B546+Q546)*C546*0.487))))))))</f>
        <v/>
      </c>
      <c r="M546" s="10" t="str">
        <f t="shared" ref="M546:M609" si="424">IF(D546=1,0.5,IF(D546=2,"1 F",IF(D546=21,"1 R",IF(D546=3,2,""))))</f>
        <v/>
      </c>
      <c r="N546" s="17" t="str">
        <f t="shared" ref="N546:N609" si="425">IF(M546="","",IF($N$4="M",(A546+B546+Q546)*C546*0.022,(A546+B546+Q546)*C546*0.17))</f>
        <v/>
      </c>
      <c r="O546" s="39" t="str">
        <f t="shared" ref="O546:O609" si="426">IF(D546=4,1,IF(D546=5,2,""))</f>
        <v/>
      </c>
      <c r="P546" s="41" t="str">
        <f t="shared" ref="P546:P609" si="427">IF(O546="","",IF($N$4="M",IF(O546=1,(A546+B546+Q546)*C546*0.022*1.1,(A546+B546+Q546)*C546*0.022*1.15),IF(O546=1,(A546+B546+Q546)*C546*0.17*1.1,(A546+B546+Q546)*C546*0.17*1.15)))</f>
        <v/>
      </c>
      <c r="Q546" s="9" t="str">
        <f t="shared" ref="Q546:Q609" si="428">IF($N$4="M",IF(A546="","",IF(D546=1,50,IF(D546=2,100,IF(D546=21,100,IF(D546=3,200,0))))),IF(A546="","",IF(D546=1,2,IF(D546=2,4,IF(D546=21,4,IF(D546=3,8,0))))))</f>
        <v/>
      </c>
      <c r="R546" s="14">
        <f t="shared" ref="R546:R609" si="429">COUNTIF(G546:J546,7)</f>
        <v>0</v>
      </c>
      <c r="S546" s="61" t="str">
        <f t="shared" ref="S546:S609" si="430">IF(A546="","",IF($N$4="M",A546*B546*0.000011111*R546*1.5,A546*B546/144*R546*1.5))</f>
        <v/>
      </c>
      <c r="T546" s="14">
        <f t="shared" ref="T546:T609" si="431">COUNTIF(G546:J546,71)</f>
        <v>0</v>
      </c>
      <c r="U546" s="58" t="str">
        <f t="shared" ref="U546:U609" si="432">IF(A546="","",IF($N$4="M",A546*B546*0.000011111*T546*1.5,A546*B546/144*T546*1.5))</f>
        <v/>
      </c>
      <c r="V546" s="14">
        <f t="shared" ref="V546:V609" si="433">COUNTIF(G546:J546,8)</f>
        <v>0</v>
      </c>
      <c r="W546" s="58" t="str">
        <f t="shared" ref="W546:W609" si="434">IF(A546="","",IF($N$4="M",(A546+B546)*2*0.0032808*V546,(A546+B546)*2*V546/12))</f>
        <v/>
      </c>
      <c r="X546" s="14">
        <f t="shared" ref="X546:X609" si="435">COUNTIF(G546:J546,81)</f>
        <v>0</v>
      </c>
      <c r="Y546" s="58" t="str">
        <f t="shared" ref="Y546:Y609" si="436">IF(A546="","",IF($N$4="M",(A546+B546)*2*0.0032808*X546,(A546+B546)*2*X546/12))</f>
        <v/>
      </c>
      <c r="Z546" s="31">
        <f t="shared" ref="Z546:Z609" si="437">COUNTIF(G546:J546,9)</f>
        <v>0</v>
      </c>
      <c r="AA546" s="21">
        <f t="shared" ref="AA546:AA609" si="438">COUNTIF(G546:J546,10)</f>
        <v>0</v>
      </c>
      <c r="AB546" s="58" t="str">
        <f t="shared" ref="AB546:AB609" si="439">IF(A546="","",IF($N$4="M",(A546+B546)*2*0.0032808*AA546,(A546+B546)*2*AA546/12))</f>
        <v/>
      </c>
      <c r="AC546" s="630">
        <f t="shared" si="416"/>
        <v>0</v>
      </c>
      <c r="AD546" s="627"/>
      <c r="AE546" s="21">
        <f t="shared" ref="AE546:AE609" si="440">COUNTIF(G546:J546,11)</f>
        <v>0</v>
      </c>
      <c r="AF546" s="58" t="str">
        <f t="shared" ref="AF546:AF609" si="441">IF(A546="","",IF($N$4="M",A546*B546*0.000011111*AE546,A546*B546/144*AE546))</f>
        <v/>
      </c>
      <c r="AG546" s="21">
        <f t="shared" ref="AG546:AG609" si="442">COUNTIF(G546:J546,111)</f>
        <v>0</v>
      </c>
      <c r="AH546" s="58" t="str">
        <f t="shared" ref="AH546:AH609" si="443">IF(A546="","",IF($N$4="M",A546*B546*0.000011111*AG546,A546*B546/144*AG546))</f>
        <v/>
      </c>
      <c r="AI546" s="21">
        <f t="shared" ref="AI546:AI609" si="444">COUNTIF(G546:J546,12)</f>
        <v>0</v>
      </c>
      <c r="AJ546" s="58" t="str">
        <f t="shared" ref="AJ546:AJ609" si="445">IF(A546="","",IF($N$4="M",A546*B546*0.000011111*AI546,A546*B546/144*AI546))</f>
        <v/>
      </c>
      <c r="AK546" s="31">
        <f t="shared" ref="AK546:AK609" si="446">COUNTIF(G546:J546,13)</f>
        <v>0</v>
      </c>
      <c r="AL546" s="21">
        <f t="shared" ref="AL546:AL609" si="447">COUNTIF(G546:J546,131)</f>
        <v>0</v>
      </c>
      <c r="AM546" s="62" t="str">
        <f t="shared" ref="AM546:AM609" si="448">IF(A546="","",IF($N$4="M",A546*B546*0.000011111*AL546,A546*B546/144*AL546))</f>
        <v/>
      </c>
      <c r="AN546" s="21">
        <f t="shared" ref="AN546:AN609" si="449">COUNTIF(G546:J546,14)</f>
        <v>0</v>
      </c>
      <c r="AO546" s="62" t="str">
        <f t="shared" ref="AO546:AO609" si="450">IF(A546="","",IF($N$4="M",A546*B546*0.000011111*AN546,A546*B546/144*AN546))</f>
        <v/>
      </c>
      <c r="AP546" s="21">
        <f t="shared" ref="AP546:AP609" si="451">COUNTIF(G546:J546,141)</f>
        <v>0</v>
      </c>
      <c r="AQ546" s="62" t="str">
        <f t="shared" ref="AQ546:AQ609" si="452">IF(A546="","",IF($N$4="M",A546*B546*0.000011111*AP546,A546*B546/144*AP546))</f>
        <v/>
      </c>
      <c r="AR546" s="31">
        <f t="shared" ref="AR546:AR609" si="453">COUNTIF(G546:J546,15)</f>
        <v>0</v>
      </c>
      <c r="AS546" s="21">
        <f t="shared" ref="AS546:AS609" si="454">COUNTIF(G546:J546,16)</f>
        <v>0</v>
      </c>
      <c r="AT546" s="62" t="str">
        <f t="shared" ref="AT546:AT609" si="455">IF(A546="","",IF($N$4="M",A546*B546*0.000011111*AS546,A546*B546/144*AS546))</f>
        <v/>
      </c>
      <c r="AU546" s="84">
        <f t="shared" ref="AU546:AU609" si="456">IF(D546=61,C546,0)</f>
        <v>0</v>
      </c>
      <c r="AV546" s="32">
        <f t="shared" ref="AV546:AV609" si="457">IF(D546=61,L546,0)</f>
        <v>0</v>
      </c>
      <c r="AW546" s="85" t="str">
        <f t="shared" ref="AW546:AW609" si="458">IF(A546="","",(C546-AU546))</f>
        <v/>
      </c>
      <c r="AX546" s="86" t="str">
        <f t="shared" ref="AX546:AX609" si="459">IF(A546="","",(L546-AV546))</f>
        <v/>
      </c>
    </row>
    <row r="547" spans="1:50" x14ac:dyDescent="0.2">
      <c r="A547" s="29" t="str">
        <f t="shared" si="417"/>
        <v/>
      </c>
      <c r="B547" s="32" t="str">
        <f t="shared" si="418"/>
        <v/>
      </c>
      <c r="C547" s="35"/>
      <c r="D547" s="33" t="str">
        <f t="shared" si="419"/>
        <v/>
      </c>
      <c r="E547" s="22" t="str">
        <f t="shared" si="420"/>
        <v/>
      </c>
      <c r="F547" s="23" t="str">
        <f t="shared" si="421"/>
        <v/>
      </c>
      <c r="G547" s="23"/>
      <c r="H547" s="22"/>
      <c r="I547" s="23"/>
      <c r="J547" s="18"/>
      <c r="K547" s="13" t="str">
        <f t="shared" si="422"/>
        <v/>
      </c>
      <c r="L547" s="28" t="str">
        <f t="shared" si="423"/>
        <v/>
      </c>
      <c r="M547" s="10" t="str">
        <f t="shared" si="424"/>
        <v/>
      </c>
      <c r="N547" s="17" t="str">
        <f t="shared" si="425"/>
        <v/>
      </c>
      <c r="O547" s="39" t="str">
        <f t="shared" si="426"/>
        <v/>
      </c>
      <c r="P547" s="41" t="str">
        <f t="shared" si="427"/>
        <v/>
      </c>
      <c r="Q547" s="9" t="str">
        <f t="shared" si="428"/>
        <v/>
      </c>
      <c r="R547" s="14">
        <f t="shared" si="429"/>
        <v>0</v>
      </c>
      <c r="S547" s="61" t="str">
        <f t="shared" si="430"/>
        <v/>
      </c>
      <c r="T547" s="14">
        <f t="shared" si="431"/>
        <v>0</v>
      </c>
      <c r="U547" s="58" t="str">
        <f t="shared" si="432"/>
        <v/>
      </c>
      <c r="V547" s="14">
        <f t="shared" si="433"/>
        <v>0</v>
      </c>
      <c r="W547" s="58" t="str">
        <f t="shared" si="434"/>
        <v/>
      </c>
      <c r="X547" s="14">
        <f t="shared" si="435"/>
        <v>0</v>
      </c>
      <c r="Y547" s="58" t="str">
        <f t="shared" si="436"/>
        <v/>
      </c>
      <c r="Z547" s="31">
        <f t="shared" si="437"/>
        <v>0</v>
      </c>
      <c r="AA547" s="21">
        <f t="shared" si="438"/>
        <v>0</v>
      </c>
      <c r="AB547" s="58" t="str">
        <f t="shared" si="439"/>
        <v/>
      </c>
      <c r="AC547" s="630">
        <f t="shared" si="416"/>
        <v>0</v>
      </c>
      <c r="AD547" s="627"/>
      <c r="AE547" s="21">
        <f t="shared" si="440"/>
        <v>0</v>
      </c>
      <c r="AF547" s="58" t="str">
        <f t="shared" si="441"/>
        <v/>
      </c>
      <c r="AG547" s="21">
        <f t="shared" si="442"/>
        <v>0</v>
      </c>
      <c r="AH547" s="58" t="str">
        <f t="shared" si="443"/>
        <v/>
      </c>
      <c r="AI547" s="21">
        <f t="shared" si="444"/>
        <v>0</v>
      </c>
      <c r="AJ547" s="58" t="str">
        <f t="shared" si="445"/>
        <v/>
      </c>
      <c r="AK547" s="31">
        <f t="shared" si="446"/>
        <v>0</v>
      </c>
      <c r="AL547" s="21">
        <f t="shared" si="447"/>
        <v>0</v>
      </c>
      <c r="AM547" s="62" t="str">
        <f t="shared" si="448"/>
        <v/>
      </c>
      <c r="AN547" s="21">
        <f t="shared" si="449"/>
        <v>0</v>
      </c>
      <c r="AO547" s="62" t="str">
        <f t="shared" si="450"/>
        <v/>
      </c>
      <c r="AP547" s="21">
        <f t="shared" si="451"/>
        <v>0</v>
      </c>
      <c r="AQ547" s="62" t="str">
        <f t="shared" si="452"/>
        <v/>
      </c>
      <c r="AR547" s="31">
        <f t="shared" si="453"/>
        <v>0</v>
      </c>
      <c r="AS547" s="21">
        <f t="shared" si="454"/>
        <v>0</v>
      </c>
      <c r="AT547" s="62" t="str">
        <f t="shared" si="455"/>
        <v/>
      </c>
      <c r="AU547" s="84">
        <f t="shared" si="456"/>
        <v>0</v>
      </c>
      <c r="AV547" s="32">
        <f t="shared" si="457"/>
        <v>0</v>
      </c>
      <c r="AW547" s="85" t="str">
        <f t="shared" si="458"/>
        <v/>
      </c>
      <c r="AX547" s="86" t="str">
        <f t="shared" si="459"/>
        <v/>
      </c>
    </row>
    <row r="548" spans="1:50" x14ac:dyDescent="0.2">
      <c r="A548" s="29" t="str">
        <f t="shared" si="417"/>
        <v/>
      </c>
      <c r="B548" s="32" t="str">
        <f t="shared" si="418"/>
        <v/>
      </c>
      <c r="C548" s="35"/>
      <c r="D548" s="33" t="str">
        <f t="shared" si="419"/>
        <v/>
      </c>
      <c r="E548" s="22" t="str">
        <f t="shared" si="420"/>
        <v/>
      </c>
      <c r="F548" s="23" t="str">
        <f t="shared" si="421"/>
        <v/>
      </c>
      <c r="G548" s="23"/>
      <c r="H548" s="22"/>
      <c r="I548" s="23"/>
      <c r="J548" s="18"/>
      <c r="K548" s="13" t="str">
        <f t="shared" si="422"/>
        <v/>
      </c>
      <c r="L548" s="28" t="str">
        <f t="shared" si="423"/>
        <v/>
      </c>
      <c r="M548" s="10" t="str">
        <f t="shared" si="424"/>
        <v/>
      </c>
      <c r="N548" s="17" t="str">
        <f t="shared" si="425"/>
        <v/>
      </c>
      <c r="O548" s="39" t="str">
        <f t="shared" si="426"/>
        <v/>
      </c>
      <c r="P548" s="41" t="str">
        <f t="shared" si="427"/>
        <v/>
      </c>
      <c r="Q548" s="9" t="str">
        <f t="shared" si="428"/>
        <v/>
      </c>
      <c r="R548" s="14">
        <f t="shared" si="429"/>
        <v>0</v>
      </c>
      <c r="S548" s="61" t="str">
        <f t="shared" si="430"/>
        <v/>
      </c>
      <c r="T548" s="14">
        <f t="shared" si="431"/>
        <v>0</v>
      </c>
      <c r="U548" s="58" t="str">
        <f t="shared" si="432"/>
        <v/>
      </c>
      <c r="V548" s="14">
        <f t="shared" si="433"/>
        <v>0</v>
      </c>
      <c r="W548" s="58" t="str">
        <f t="shared" si="434"/>
        <v/>
      </c>
      <c r="X548" s="14">
        <f t="shared" si="435"/>
        <v>0</v>
      </c>
      <c r="Y548" s="58" t="str">
        <f t="shared" si="436"/>
        <v/>
      </c>
      <c r="Z548" s="31">
        <f t="shared" si="437"/>
        <v>0</v>
      </c>
      <c r="AA548" s="21">
        <f t="shared" si="438"/>
        <v>0</v>
      </c>
      <c r="AB548" s="58" t="str">
        <f t="shared" si="439"/>
        <v/>
      </c>
      <c r="AC548" s="630">
        <f t="shared" si="416"/>
        <v>0</v>
      </c>
      <c r="AD548" s="627"/>
      <c r="AE548" s="21">
        <f t="shared" si="440"/>
        <v>0</v>
      </c>
      <c r="AF548" s="58" t="str">
        <f t="shared" si="441"/>
        <v/>
      </c>
      <c r="AG548" s="21">
        <f t="shared" si="442"/>
        <v>0</v>
      </c>
      <c r="AH548" s="58" t="str">
        <f t="shared" si="443"/>
        <v/>
      </c>
      <c r="AI548" s="21">
        <f t="shared" si="444"/>
        <v>0</v>
      </c>
      <c r="AJ548" s="58" t="str">
        <f t="shared" si="445"/>
        <v/>
      </c>
      <c r="AK548" s="31">
        <f t="shared" si="446"/>
        <v>0</v>
      </c>
      <c r="AL548" s="21">
        <f t="shared" si="447"/>
        <v>0</v>
      </c>
      <c r="AM548" s="62" t="str">
        <f t="shared" si="448"/>
        <v/>
      </c>
      <c r="AN548" s="21">
        <f t="shared" si="449"/>
        <v>0</v>
      </c>
      <c r="AO548" s="62" t="str">
        <f t="shared" si="450"/>
        <v/>
      </c>
      <c r="AP548" s="21">
        <f t="shared" si="451"/>
        <v>0</v>
      </c>
      <c r="AQ548" s="62" t="str">
        <f t="shared" si="452"/>
        <v/>
      </c>
      <c r="AR548" s="31">
        <f t="shared" si="453"/>
        <v>0</v>
      </c>
      <c r="AS548" s="21">
        <f t="shared" si="454"/>
        <v>0</v>
      </c>
      <c r="AT548" s="62" t="str">
        <f t="shared" si="455"/>
        <v/>
      </c>
      <c r="AU548" s="84">
        <f t="shared" si="456"/>
        <v>0</v>
      </c>
      <c r="AV548" s="32">
        <f t="shared" si="457"/>
        <v>0</v>
      </c>
      <c r="AW548" s="85" t="str">
        <f t="shared" si="458"/>
        <v/>
      </c>
      <c r="AX548" s="86" t="str">
        <f t="shared" si="459"/>
        <v/>
      </c>
    </row>
    <row r="549" spans="1:50" x14ac:dyDescent="0.2">
      <c r="A549" s="29" t="str">
        <f t="shared" si="417"/>
        <v/>
      </c>
      <c r="B549" s="32" t="str">
        <f t="shared" si="418"/>
        <v/>
      </c>
      <c r="C549" s="35"/>
      <c r="D549" s="33" t="str">
        <f t="shared" si="419"/>
        <v/>
      </c>
      <c r="E549" s="22" t="str">
        <f t="shared" si="420"/>
        <v/>
      </c>
      <c r="F549" s="23" t="str">
        <f t="shared" si="421"/>
        <v/>
      </c>
      <c r="G549" s="23"/>
      <c r="H549" s="22"/>
      <c r="I549" s="23"/>
      <c r="J549" s="18"/>
      <c r="K549" s="13" t="str">
        <f t="shared" si="422"/>
        <v/>
      </c>
      <c r="L549" s="28" t="str">
        <f t="shared" si="423"/>
        <v/>
      </c>
      <c r="M549" s="10" t="str">
        <f t="shared" si="424"/>
        <v/>
      </c>
      <c r="N549" s="17" t="str">
        <f t="shared" si="425"/>
        <v/>
      </c>
      <c r="O549" s="39" t="str">
        <f t="shared" si="426"/>
        <v/>
      </c>
      <c r="P549" s="41" t="str">
        <f t="shared" si="427"/>
        <v/>
      </c>
      <c r="Q549" s="9" t="str">
        <f t="shared" si="428"/>
        <v/>
      </c>
      <c r="R549" s="14">
        <f t="shared" si="429"/>
        <v>0</v>
      </c>
      <c r="S549" s="61" t="str">
        <f t="shared" si="430"/>
        <v/>
      </c>
      <c r="T549" s="14">
        <f t="shared" si="431"/>
        <v>0</v>
      </c>
      <c r="U549" s="58" t="str">
        <f t="shared" si="432"/>
        <v/>
      </c>
      <c r="V549" s="14">
        <f t="shared" si="433"/>
        <v>0</v>
      </c>
      <c r="W549" s="58" t="str">
        <f t="shared" si="434"/>
        <v/>
      </c>
      <c r="X549" s="14">
        <f t="shared" si="435"/>
        <v>0</v>
      </c>
      <c r="Y549" s="58" t="str">
        <f t="shared" si="436"/>
        <v/>
      </c>
      <c r="Z549" s="31">
        <f t="shared" si="437"/>
        <v>0</v>
      </c>
      <c r="AA549" s="21">
        <f t="shared" si="438"/>
        <v>0</v>
      </c>
      <c r="AB549" s="58" t="str">
        <f t="shared" si="439"/>
        <v/>
      </c>
      <c r="AC549" s="630">
        <f t="shared" si="416"/>
        <v>0</v>
      </c>
      <c r="AD549" s="627"/>
      <c r="AE549" s="21">
        <f t="shared" si="440"/>
        <v>0</v>
      </c>
      <c r="AF549" s="58" t="str">
        <f t="shared" si="441"/>
        <v/>
      </c>
      <c r="AG549" s="21">
        <f t="shared" si="442"/>
        <v>0</v>
      </c>
      <c r="AH549" s="58" t="str">
        <f t="shared" si="443"/>
        <v/>
      </c>
      <c r="AI549" s="21">
        <f t="shared" si="444"/>
        <v>0</v>
      </c>
      <c r="AJ549" s="58" t="str">
        <f t="shared" si="445"/>
        <v/>
      </c>
      <c r="AK549" s="31">
        <f t="shared" si="446"/>
        <v>0</v>
      </c>
      <c r="AL549" s="21">
        <f t="shared" si="447"/>
        <v>0</v>
      </c>
      <c r="AM549" s="62" t="str">
        <f t="shared" si="448"/>
        <v/>
      </c>
      <c r="AN549" s="21">
        <f t="shared" si="449"/>
        <v>0</v>
      </c>
      <c r="AO549" s="62" t="str">
        <f t="shared" si="450"/>
        <v/>
      </c>
      <c r="AP549" s="21">
        <f t="shared" si="451"/>
        <v>0</v>
      </c>
      <c r="AQ549" s="62" t="str">
        <f t="shared" si="452"/>
        <v/>
      </c>
      <c r="AR549" s="31">
        <f t="shared" si="453"/>
        <v>0</v>
      </c>
      <c r="AS549" s="21">
        <f t="shared" si="454"/>
        <v>0</v>
      </c>
      <c r="AT549" s="62" t="str">
        <f t="shared" si="455"/>
        <v/>
      </c>
      <c r="AU549" s="84">
        <f t="shared" si="456"/>
        <v>0</v>
      </c>
      <c r="AV549" s="32">
        <f t="shared" si="457"/>
        <v>0</v>
      </c>
      <c r="AW549" s="85" t="str">
        <f t="shared" si="458"/>
        <v/>
      </c>
      <c r="AX549" s="86" t="str">
        <f t="shared" si="459"/>
        <v/>
      </c>
    </row>
    <row r="550" spans="1:50" x14ac:dyDescent="0.2">
      <c r="A550" s="29" t="str">
        <f t="shared" si="417"/>
        <v/>
      </c>
      <c r="B550" s="32" t="str">
        <f t="shared" si="418"/>
        <v/>
      </c>
      <c r="C550" s="35"/>
      <c r="D550" s="33" t="str">
        <f t="shared" si="419"/>
        <v/>
      </c>
      <c r="E550" s="22" t="str">
        <f t="shared" si="420"/>
        <v/>
      </c>
      <c r="F550" s="23" t="str">
        <f t="shared" si="421"/>
        <v/>
      </c>
      <c r="G550" s="23"/>
      <c r="H550" s="22"/>
      <c r="I550" s="23"/>
      <c r="J550" s="18"/>
      <c r="K550" s="13" t="str">
        <f t="shared" si="422"/>
        <v/>
      </c>
      <c r="L550" s="28" t="str">
        <f t="shared" si="423"/>
        <v/>
      </c>
      <c r="M550" s="10" t="str">
        <f t="shared" si="424"/>
        <v/>
      </c>
      <c r="N550" s="17" t="str">
        <f t="shared" si="425"/>
        <v/>
      </c>
      <c r="O550" s="39" t="str">
        <f t="shared" si="426"/>
        <v/>
      </c>
      <c r="P550" s="41" t="str">
        <f t="shared" si="427"/>
        <v/>
      </c>
      <c r="Q550" s="9" t="str">
        <f t="shared" si="428"/>
        <v/>
      </c>
      <c r="R550" s="14">
        <f t="shared" si="429"/>
        <v>0</v>
      </c>
      <c r="S550" s="61" t="str">
        <f t="shared" si="430"/>
        <v/>
      </c>
      <c r="T550" s="14">
        <f t="shared" si="431"/>
        <v>0</v>
      </c>
      <c r="U550" s="58" t="str">
        <f t="shared" si="432"/>
        <v/>
      </c>
      <c r="V550" s="14">
        <f t="shared" si="433"/>
        <v>0</v>
      </c>
      <c r="W550" s="58" t="str">
        <f t="shared" si="434"/>
        <v/>
      </c>
      <c r="X550" s="14">
        <f t="shared" si="435"/>
        <v>0</v>
      </c>
      <c r="Y550" s="58" t="str">
        <f t="shared" si="436"/>
        <v/>
      </c>
      <c r="Z550" s="31">
        <f t="shared" si="437"/>
        <v>0</v>
      </c>
      <c r="AA550" s="21">
        <f t="shared" si="438"/>
        <v>0</v>
      </c>
      <c r="AB550" s="58" t="str">
        <f t="shared" si="439"/>
        <v/>
      </c>
      <c r="AC550" s="630">
        <f t="shared" si="416"/>
        <v>0</v>
      </c>
      <c r="AD550" s="627"/>
      <c r="AE550" s="21">
        <f t="shared" si="440"/>
        <v>0</v>
      </c>
      <c r="AF550" s="58" t="str">
        <f t="shared" si="441"/>
        <v/>
      </c>
      <c r="AG550" s="21">
        <f t="shared" si="442"/>
        <v>0</v>
      </c>
      <c r="AH550" s="58" t="str">
        <f t="shared" si="443"/>
        <v/>
      </c>
      <c r="AI550" s="21">
        <f t="shared" si="444"/>
        <v>0</v>
      </c>
      <c r="AJ550" s="58" t="str">
        <f t="shared" si="445"/>
        <v/>
      </c>
      <c r="AK550" s="31">
        <f t="shared" si="446"/>
        <v>0</v>
      </c>
      <c r="AL550" s="21">
        <f t="shared" si="447"/>
        <v>0</v>
      </c>
      <c r="AM550" s="62" t="str">
        <f t="shared" si="448"/>
        <v/>
      </c>
      <c r="AN550" s="21">
        <f t="shared" si="449"/>
        <v>0</v>
      </c>
      <c r="AO550" s="62" t="str">
        <f t="shared" si="450"/>
        <v/>
      </c>
      <c r="AP550" s="21">
        <f t="shared" si="451"/>
        <v>0</v>
      </c>
      <c r="AQ550" s="62" t="str">
        <f t="shared" si="452"/>
        <v/>
      </c>
      <c r="AR550" s="31">
        <f t="shared" si="453"/>
        <v>0</v>
      </c>
      <c r="AS550" s="21">
        <f t="shared" si="454"/>
        <v>0</v>
      </c>
      <c r="AT550" s="62" t="str">
        <f t="shared" si="455"/>
        <v/>
      </c>
      <c r="AU550" s="84">
        <f t="shared" si="456"/>
        <v>0</v>
      </c>
      <c r="AV550" s="32">
        <f t="shared" si="457"/>
        <v>0</v>
      </c>
      <c r="AW550" s="85" t="str">
        <f t="shared" si="458"/>
        <v/>
      </c>
      <c r="AX550" s="86" t="str">
        <f t="shared" si="459"/>
        <v/>
      </c>
    </row>
    <row r="551" spans="1:50" x14ac:dyDescent="0.2">
      <c r="A551" s="29" t="str">
        <f t="shared" si="417"/>
        <v/>
      </c>
      <c r="B551" s="32" t="str">
        <f t="shared" si="418"/>
        <v/>
      </c>
      <c r="C551" s="35"/>
      <c r="D551" s="33" t="str">
        <f t="shared" si="419"/>
        <v/>
      </c>
      <c r="E551" s="22" t="str">
        <f t="shared" si="420"/>
        <v/>
      </c>
      <c r="F551" s="23" t="str">
        <f t="shared" si="421"/>
        <v/>
      </c>
      <c r="G551" s="23"/>
      <c r="H551" s="22"/>
      <c r="I551" s="23"/>
      <c r="J551" s="18"/>
      <c r="K551" s="13" t="str">
        <f t="shared" si="422"/>
        <v/>
      </c>
      <c r="L551" s="28" t="str">
        <f t="shared" si="423"/>
        <v/>
      </c>
      <c r="M551" s="10" t="str">
        <f t="shared" si="424"/>
        <v/>
      </c>
      <c r="N551" s="17" t="str">
        <f t="shared" si="425"/>
        <v/>
      </c>
      <c r="O551" s="39" t="str">
        <f t="shared" si="426"/>
        <v/>
      </c>
      <c r="P551" s="41" t="str">
        <f t="shared" si="427"/>
        <v/>
      </c>
      <c r="Q551" s="9" t="str">
        <f t="shared" si="428"/>
        <v/>
      </c>
      <c r="R551" s="14">
        <f t="shared" si="429"/>
        <v>0</v>
      </c>
      <c r="S551" s="61" t="str">
        <f t="shared" si="430"/>
        <v/>
      </c>
      <c r="T551" s="14">
        <f t="shared" si="431"/>
        <v>0</v>
      </c>
      <c r="U551" s="58" t="str">
        <f t="shared" si="432"/>
        <v/>
      </c>
      <c r="V551" s="14">
        <f t="shared" si="433"/>
        <v>0</v>
      </c>
      <c r="W551" s="58" t="str">
        <f t="shared" si="434"/>
        <v/>
      </c>
      <c r="X551" s="14">
        <f t="shared" si="435"/>
        <v>0</v>
      </c>
      <c r="Y551" s="58" t="str">
        <f t="shared" si="436"/>
        <v/>
      </c>
      <c r="Z551" s="31">
        <f t="shared" si="437"/>
        <v>0</v>
      </c>
      <c r="AA551" s="21">
        <f t="shared" si="438"/>
        <v>0</v>
      </c>
      <c r="AB551" s="58" t="str">
        <f t="shared" si="439"/>
        <v/>
      </c>
      <c r="AC551" s="630">
        <f t="shared" si="416"/>
        <v>0</v>
      </c>
      <c r="AD551" s="627"/>
      <c r="AE551" s="21">
        <f t="shared" si="440"/>
        <v>0</v>
      </c>
      <c r="AF551" s="58" t="str">
        <f t="shared" si="441"/>
        <v/>
      </c>
      <c r="AG551" s="21">
        <f t="shared" si="442"/>
        <v>0</v>
      </c>
      <c r="AH551" s="58" t="str">
        <f t="shared" si="443"/>
        <v/>
      </c>
      <c r="AI551" s="21">
        <f t="shared" si="444"/>
        <v>0</v>
      </c>
      <c r="AJ551" s="58" t="str">
        <f t="shared" si="445"/>
        <v/>
      </c>
      <c r="AK551" s="31">
        <f t="shared" si="446"/>
        <v>0</v>
      </c>
      <c r="AL551" s="21">
        <f t="shared" si="447"/>
        <v>0</v>
      </c>
      <c r="AM551" s="62" t="str">
        <f t="shared" si="448"/>
        <v/>
      </c>
      <c r="AN551" s="21">
        <f t="shared" si="449"/>
        <v>0</v>
      </c>
      <c r="AO551" s="62" t="str">
        <f t="shared" si="450"/>
        <v/>
      </c>
      <c r="AP551" s="21">
        <f t="shared" si="451"/>
        <v>0</v>
      </c>
      <c r="AQ551" s="62" t="str">
        <f t="shared" si="452"/>
        <v/>
      </c>
      <c r="AR551" s="31">
        <f t="shared" si="453"/>
        <v>0</v>
      </c>
      <c r="AS551" s="21">
        <f t="shared" si="454"/>
        <v>0</v>
      </c>
      <c r="AT551" s="62" t="str">
        <f t="shared" si="455"/>
        <v/>
      </c>
      <c r="AU551" s="84">
        <f t="shared" si="456"/>
        <v>0</v>
      </c>
      <c r="AV551" s="32">
        <f t="shared" si="457"/>
        <v>0</v>
      </c>
      <c r="AW551" s="85" t="str">
        <f t="shared" si="458"/>
        <v/>
      </c>
      <c r="AX551" s="86" t="str">
        <f t="shared" si="459"/>
        <v/>
      </c>
    </row>
    <row r="552" spans="1:50" x14ac:dyDescent="0.2">
      <c r="A552" s="29" t="str">
        <f t="shared" si="417"/>
        <v/>
      </c>
      <c r="B552" s="32" t="str">
        <f t="shared" si="418"/>
        <v/>
      </c>
      <c r="C552" s="35"/>
      <c r="D552" s="33" t="str">
        <f t="shared" si="419"/>
        <v/>
      </c>
      <c r="E552" s="22" t="str">
        <f t="shared" si="420"/>
        <v/>
      </c>
      <c r="F552" s="23" t="str">
        <f t="shared" si="421"/>
        <v/>
      </c>
      <c r="G552" s="23"/>
      <c r="H552" s="22"/>
      <c r="I552" s="23"/>
      <c r="J552" s="18"/>
      <c r="K552" s="13" t="str">
        <f t="shared" si="422"/>
        <v/>
      </c>
      <c r="L552" s="28" t="str">
        <f t="shared" si="423"/>
        <v/>
      </c>
      <c r="M552" s="10" t="str">
        <f t="shared" si="424"/>
        <v/>
      </c>
      <c r="N552" s="17" t="str">
        <f t="shared" si="425"/>
        <v/>
      </c>
      <c r="O552" s="39" t="str">
        <f t="shared" si="426"/>
        <v/>
      </c>
      <c r="P552" s="41" t="str">
        <f t="shared" si="427"/>
        <v/>
      </c>
      <c r="Q552" s="9" t="str">
        <f t="shared" si="428"/>
        <v/>
      </c>
      <c r="R552" s="14">
        <f t="shared" si="429"/>
        <v>0</v>
      </c>
      <c r="S552" s="61" t="str">
        <f t="shared" si="430"/>
        <v/>
      </c>
      <c r="T552" s="14">
        <f t="shared" si="431"/>
        <v>0</v>
      </c>
      <c r="U552" s="58" t="str">
        <f t="shared" si="432"/>
        <v/>
      </c>
      <c r="V552" s="14">
        <f t="shared" si="433"/>
        <v>0</v>
      </c>
      <c r="W552" s="58" t="str">
        <f t="shared" si="434"/>
        <v/>
      </c>
      <c r="X552" s="14">
        <f t="shared" si="435"/>
        <v>0</v>
      </c>
      <c r="Y552" s="58" t="str">
        <f t="shared" si="436"/>
        <v/>
      </c>
      <c r="Z552" s="31">
        <f t="shared" si="437"/>
        <v>0</v>
      </c>
      <c r="AA552" s="21">
        <f t="shared" si="438"/>
        <v>0</v>
      </c>
      <c r="AB552" s="58" t="str">
        <f t="shared" si="439"/>
        <v/>
      </c>
      <c r="AC552" s="630">
        <f t="shared" si="416"/>
        <v>0</v>
      </c>
      <c r="AD552" s="627"/>
      <c r="AE552" s="21">
        <f t="shared" si="440"/>
        <v>0</v>
      </c>
      <c r="AF552" s="58" t="str">
        <f t="shared" si="441"/>
        <v/>
      </c>
      <c r="AG552" s="21">
        <f t="shared" si="442"/>
        <v>0</v>
      </c>
      <c r="AH552" s="58" t="str">
        <f t="shared" si="443"/>
        <v/>
      </c>
      <c r="AI552" s="21">
        <f t="shared" si="444"/>
        <v>0</v>
      </c>
      <c r="AJ552" s="58" t="str">
        <f t="shared" si="445"/>
        <v/>
      </c>
      <c r="AK552" s="31">
        <f t="shared" si="446"/>
        <v>0</v>
      </c>
      <c r="AL552" s="21">
        <f t="shared" si="447"/>
        <v>0</v>
      </c>
      <c r="AM552" s="62" t="str">
        <f t="shared" si="448"/>
        <v/>
      </c>
      <c r="AN552" s="21">
        <f t="shared" si="449"/>
        <v>0</v>
      </c>
      <c r="AO552" s="62" t="str">
        <f t="shared" si="450"/>
        <v/>
      </c>
      <c r="AP552" s="21">
        <f t="shared" si="451"/>
        <v>0</v>
      </c>
      <c r="AQ552" s="62" t="str">
        <f t="shared" si="452"/>
        <v/>
      </c>
      <c r="AR552" s="31">
        <f t="shared" si="453"/>
        <v>0</v>
      </c>
      <c r="AS552" s="21">
        <f t="shared" si="454"/>
        <v>0</v>
      </c>
      <c r="AT552" s="62" t="str">
        <f t="shared" si="455"/>
        <v/>
      </c>
      <c r="AU552" s="84">
        <f t="shared" si="456"/>
        <v>0</v>
      </c>
      <c r="AV552" s="32">
        <f t="shared" si="457"/>
        <v>0</v>
      </c>
      <c r="AW552" s="85" t="str">
        <f t="shared" si="458"/>
        <v/>
      </c>
      <c r="AX552" s="86" t="str">
        <f t="shared" si="459"/>
        <v/>
      </c>
    </row>
    <row r="553" spans="1:50" x14ac:dyDescent="0.2">
      <c r="A553" s="29" t="str">
        <f t="shared" si="417"/>
        <v/>
      </c>
      <c r="B553" s="32" t="str">
        <f t="shared" si="418"/>
        <v/>
      </c>
      <c r="C553" s="35"/>
      <c r="D553" s="33" t="str">
        <f t="shared" si="419"/>
        <v/>
      </c>
      <c r="E553" s="22" t="str">
        <f t="shared" si="420"/>
        <v/>
      </c>
      <c r="F553" s="23" t="str">
        <f t="shared" si="421"/>
        <v/>
      </c>
      <c r="G553" s="23"/>
      <c r="H553" s="22"/>
      <c r="I553" s="23"/>
      <c r="J553" s="18"/>
      <c r="K553" s="13" t="str">
        <f t="shared" si="422"/>
        <v/>
      </c>
      <c r="L553" s="28" t="str">
        <f t="shared" si="423"/>
        <v/>
      </c>
      <c r="M553" s="10" t="str">
        <f t="shared" si="424"/>
        <v/>
      </c>
      <c r="N553" s="17" t="str">
        <f t="shared" si="425"/>
        <v/>
      </c>
      <c r="O553" s="39" t="str">
        <f t="shared" si="426"/>
        <v/>
      </c>
      <c r="P553" s="41" t="str">
        <f t="shared" si="427"/>
        <v/>
      </c>
      <c r="Q553" s="9" t="str">
        <f t="shared" si="428"/>
        <v/>
      </c>
      <c r="R553" s="14">
        <f t="shared" si="429"/>
        <v>0</v>
      </c>
      <c r="S553" s="61" t="str">
        <f t="shared" si="430"/>
        <v/>
      </c>
      <c r="T553" s="14">
        <f t="shared" si="431"/>
        <v>0</v>
      </c>
      <c r="U553" s="58" t="str">
        <f t="shared" si="432"/>
        <v/>
      </c>
      <c r="V553" s="14">
        <f t="shared" si="433"/>
        <v>0</v>
      </c>
      <c r="W553" s="58" t="str">
        <f t="shared" si="434"/>
        <v/>
      </c>
      <c r="X553" s="14">
        <f t="shared" si="435"/>
        <v>0</v>
      </c>
      <c r="Y553" s="58" t="str">
        <f t="shared" si="436"/>
        <v/>
      </c>
      <c r="Z553" s="31">
        <f t="shared" si="437"/>
        <v>0</v>
      </c>
      <c r="AA553" s="21">
        <f t="shared" si="438"/>
        <v>0</v>
      </c>
      <c r="AB553" s="58" t="str">
        <f t="shared" si="439"/>
        <v/>
      </c>
      <c r="AC553" s="630">
        <f t="shared" si="416"/>
        <v>0</v>
      </c>
      <c r="AD553" s="627"/>
      <c r="AE553" s="21">
        <f t="shared" si="440"/>
        <v>0</v>
      </c>
      <c r="AF553" s="58" t="str">
        <f t="shared" si="441"/>
        <v/>
      </c>
      <c r="AG553" s="21">
        <f t="shared" si="442"/>
        <v>0</v>
      </c>
      <c r="AH553" s="58" t="str">
        <f t="shared" si="443"/>
        <v/>
      </c>
      <c r="AI553" s="21">
        <f t="shared" si="444"/>
        <v>0</v>
      </c>
      <c r="AJ553" s="58" t="str">
        <f t="shared" si="445"/>
        <v/>
      </c>
      <c r="AK553" s="31">
        <f t="shared" si="446"/>
        <v>0</v>
      </c>
      <c r="AL553" s="21">
        <f t="shared" si="447"/>
        <v>0</v>
      </c>
      <c r="AM553" s="62" t="str">
        <f t="shared" si="448"/>
        <v/>
      </c>
      <c r="AN553" s="21">
        <f t="shared" si="449"/>
        <v>0</v>
      </c>
      <c r="AO553" s="62" t="str">
        <f t="shared" si="450"/>
        <v/>
      </c>
      <c r="AP553" s="21">
        <f t="shared" si="451"/>
        <v>0</v>
      </c>
      <c r="AQ553" s="62" t="str">
        <f t="shared" si="452"/>
        <v/>
      </c>
      <c r="AR553" s="31">
        <f t="shared" si="453"/>
        <v>0</v>
      </c>
      <c r="AS553" s="21">
        <f t="shared" si="454"/>
        <v>0</v>
      </c>
      <c r="AT553" s="62" t="str">
        <f t="shared" si="455"/>
        <v/>
      </c>
      <c r="AU553" s="84">
        <f t="shared" si="456"/>
        <v>0</v>
      </c>
      <c r="AV553" s="32">
        <f t="shared" si="457"/>
        <v>0</v>
      </c>
      <c r="AW553" s="85" t="str">
        <f t="shared" si="458"/>
        <v/>
      </c>
      <c r="AX553" s="86" t="str">
        <f t="shared" si="459"/>
        <v/>
      </c>
    </row>
    <row r="554" spans="1:50" x14ac:dyDescent="0.2">
      <c r="A554" s="29" t="str">
        <f t="shared" si="417"/>
        <v/>
      </c>
      <c r="B554" s="32" t="str">
        <f t="shared" si="418"/>
        <v/>
      </c>
      <c r="C554" s="35"/>
      <c r="D554" s="33" t="str">
        <f t="shared" si="419"/>
        <v/>
      </c>
      <c r="E554" s="22" t="str">
        <f t="shared" si="420"/>
        <v/>
      </c>
      <c r="F554" s="23" t="str">
        <f t="shared" si="421"/>
        <v/>
      </c>
      <c r="G554" s="23"/>
      <c r="H554" s="22"/>
      <c r="I554" s="23"/>
      <c r="J554" s="18"/>
      <c r="K554" s="13" t="str">
        <f t="shared" si="422"/>
        <v/>
      </c>
      <c r="L554" s="28" t="str">
        <f t="shared" si="423"/>
        <v/>
      </c>
      <c r="M554" s="10" t="str">
        <f t="shared" si="424"/>
        <v/>
      </c>
      <c r="N554" s="17" t="str">
        <f t="shared" si="425"/>
        <v/>
      </c>
      <c r="O554" s="39" t="str">
        <f t="shared" si="426"/>
        <v/>
      </c>
      <c r="P554" s="41" t="str">
        <f t="shared" si="427"/>
        <v/>
      </c>
      <c r="Q554" s="9" t="str">
        <f t="shared" si="428"/>
        <v/>
      </c>
      <c r="R554" s="14">
        <f t="shared" si="429"/>
        <v>0</v>
      </c>
      <c r="S554" s="61" t="str">
        <f t="shared" si="430"/>
        <v/>
      </c>
      <c r="T554" s="14">
        <f t="shared" si="431"/>
        <v>0</v>
      </c>
      <c r="U554" s="58" t="str">
        <f t="shared" si="432"/>
        <v/>
      </c>
      <c r="V554" s="14">
        <f t="shared" si="433"/>
        <v>0</v>
      </c>
      <c r="W554" s="58" t="str">
        <f t="shared" si="434"/>
        <v/>
      </c>
      <c r="X554" s="14">
        <f t="shared" si="435"/>
        <v>0</v>
      </c>
      <c r="Y554" s="58" t="str">
        <f t="shared" si="436"/>
        <v/>
      </c>
      <c r="Z554" s="31">
        <f t="shared" si="437"/>
        <v>0</v>
      </c>
      <c r="AA554" s="21">
        <f t="shared" si="438"/>
        <v>0</v>
      </c>
      <c r="AB554" s="58" t="str">
        <f t="shared" si="439"/>
        <v/>
      </c>
      <c r="AC554" s="630">
        <f t="shared" si="416"/>
        <v>0</v>
      </c>
      <c r="AD554" s="627"/>
      <c r="AE554" s="21">
        <f t="shared" si="440"/>
        <v>0</v>
      </c>
      <c r="AF554" s="58" t="str">
        <f t="shared" si="441"/>
        <v/>
      </c>
      <c r="AG554" s="21">
        <f t="shared" si="442"/>
        <v>0</v>
      </c>
      <c r="AH554" s="58" t="str">
        <f t="shared" si="443"/>
        <v/>
      </c>
      <c r="AI554" s="21">
        <f t="shared" si="444"/>
        <v>0</v>
      </c>
      <c r="AJ554" s="58" t="str">
        <f t="shared" si="445"/>
        <v/>
      </c>
      <c r="AK554" s="31">
        <f t="shared" si="446"/>
        <v>0</v>
      </c>
      <c r="AL554" s="21">
        <f t="shared" si="447"/>
        <v>0</v>
      </c>
      <c r="AM554" s="62" t="str">
        <f t="shared" si="448"/>
        <v/>
      </c>
      <c r="AN554" s="21">
        <f t="shared" si="449"/>
        <v>0</v>
      </c>
      <c r="AO554" s="62" t="str">
        <f t="shared" si="450"/>
        <v/>
      </c>
      <c r="AP554" s="21">
        <f t="shared" si="451"/>
        <v>0</v>
      </c>
      <c r="AQ554" s="62" t="str">
        <f t="shared" si="452"/>
        <v/>
      </c>
      <c r="AR554" s="31">
        <f t="shared" si="453"/>
        <v>0</v>
      </c>
      <c r="AS554" s="21">
        <f t="shared" si="454"/>
        <v>0</v>
      </c>
      <c r="AT554" s="62" t="str">
        <f t="shared" si="455"/>
        <v/>
      </c>
      <c r="AU554" s="84">
        <f t="shared" si="456"/>
        <v>0</v>
      </c>
      <c r="AV554" s="32">
        <f t="shared" si="457"/>
        <v>0</v>
      </c>
      <c r="AW554" s="85" t="str">
        <f t="shared" si="458"/>
        <v/>
      </c>
      <c r="AX554" s="86" t="str">
        <f t="shared" si="459"/>
        <v/>
      </c>
    </row>
    <row r="555" spans="1:50" x14ac:dyDescent="0.2">
      <c r="A555" s="29" t="str">
        <f t="shared" si="417"/>
        <v/>
      </c>
      <c r="B555" s="32" t="str">
        <f t="shared" si="418"/>
        <v/>
      </c>
      <c r="C555" s="35"/>
      <c r="D555" s="33" t="str">
        <f t="shared" si="419"/>
        <v/>
      </c>
      <c r="E555" s="22" t="str">
        <f t="shared" si="420"/>
        <v/>
      </c>
      <c r="F555" s="23" t="str">
        <f t="shared" si="421"/>
        <v/>
      </c>
      <c r="G555" s="23"/>
      <c r="H555" s="22"/>
      <c r="I555" s="23"/>
      <c r="J555" s="18"/>
      <c r="K555" s="13" t="str">
        <f t="shared" si="422"/>
        <v/>
      </c>
      <c r="L555" s="28" t="str">
        <f t="shared" si="423"/>
        <v/>
      </c>
      <c r="M555" s="10" t="str">
        <f t="shared" si="424"/>
        <v/>
      </c>
      <c r="N555" s="17" t="str">
        <f t="shared" si="425"/>
        <v/>
      </c>
      <c r="O555" s="39" t="str">
        <f t="shared" si="426"/>
        <v/>
      </c>
      <c r="P555" s="41" t="str">
        <f t="shared" si="427"/>
        <v/>
      </c>
      <c r="Q555" s="9" t="str">
        <f t="shared" si="428"/>
        <v/>
      </c>
      <c r="R555" s="14">
        <f t="shared" si="429"/>
        <v>0</v>
      </c>
      <c r="S555" s="61" t="str">
        <f t="shared" si="430"/>
        <v/>
      </c>
      <c r="T555" s="14">
        <f t="shared" si="431"/>
        <v>0</v>
      </c>
      <c r="U555" s="58" t="str">
        <f t="shared" si="432"/>
        <v/>
      </c>
      <c r="V555" s="14">
        <f t="shared" si="433"/>
        <v>0</v>
      </c>
      <c r="W555" s="58" t="str">
        <f t="shared" si="434"/>
        <v/>
      </c>
      <c r="X555" s="14">
        <f t="shared" si="435"/>
        <v>0</v>
      </c>
      <c r="Y555" s="58" t="str">
        <f t="shared" si="436"/>
        <v/>
      </c>
      <c r="Z555" s="31">
        <f t="shared" si="437"/>
        <v>0</v>
      </c>
      <c r="AA555" s="21">
        <f t="shared" si="438"/>
        <v>0</v>
      </c>
      <c r="AB555" s="58" t="str">
        <f t="shared" si="439"/>
        <v/>
      </c>
      <c r="AC555" s="630">
        <f t="shared" si="416"/>
        <v>0</v>
      </c>
      <c r="AD555" s="627"/>
      <c r="AE555" s="21">
        <f t="shared" si="440"/>
        <v>0</v>
      </c>
      <c r="AF555" s="58" t="str">
        <f t="shared" si="441"/>
        <v/>
      </c>
      <c r="AG555" s="21">
        <f t="shared" si="442"/>
        <v>0</v>
      </c>
      <c r="AH555" s="58" t="str">
        <f t="shared" si="443"/>
        <v/>
      </c>
      <c r="AI555" s="21">
        <f t="shared" si="444"/>
        <v>0</v>
      </c>
      <c r="AJ555" s="58" t="str">
        <f t="shared" si="445"/>
        <v/>
      </c>
      <c r="AK555" s="31">
        <f t="shared" si="446"/>
        <v>0</v>
      </c>
      <c r="AL555" s="21">
        <f t="shared" si="447"/>
        <v>0</v>
      </c>
      <c r="AM555" s="62" t="str">
        <f t="shared" si="448"/>
        <v/>
      </c>
      <c r="AN555" s="21">
        <f t="shared" si="449"/>
        <v>0</v>
      </c>
      <c r="AO555" s="62" t="str">
        <f t="shared" si="450"/>
        <v/>
      </c>
      <c r="AP555" s="21">
        <f t="shared" si="451"/>
        <v>0</v>
      </c>
      <c r="AQ555" s="62" t="str">
        <f t="shared" si="452"/>
        <v/>
      </c>
      <c r="AR555" s="31">
        <f t="shared" si="453"/>
        <v>0</v>
      </c>
      <c r="AS555" s="21">
        <f t="shared" si="454"/>
        <v>0</v>
      </c>
      <c r="AT555" s="62" t="str">
        <f t="shared" si="455"/>
        <v/>
      </c>
      <c r="AU555" s="84">
        <f t="shared" si="456"/>
        <v>0</v>
      </c>
      <c r="AV555" s="32">
        <f t="shared" si="457"/>
        <v>0</v>
      </c>
      <c r="AW555" s="85" t="str">
        <f t="shared" si="458"/>
        <v/>
      </c>
      <c r="AX555" s="86" t="str">
        <f t="shared" si="459"/>
        <v/>
      </c>
    </row>
    <row r="556" spans="1:50" x14ac:dyDescent="0.2">
      <c r="A556" s="29" t="str">
        <f t="shared" si="417"/>
        <v/>
      </c>
      <c r="B556" s="32" t="str">
        <f t="shared" si="418"/>
        <v/>
      </c>
      <c r="C556" s="35"/>
      <c r="D556" s="33" t="str">
        <f t="shared" si="419"/>
        <v/>
      </c>
      <c r="E556" s="22" t="str">
        <f t="shared" si="420"/>
        <v/>
      </c>
      <c r="F556" s="23" t="str">
        <f t="shared" si="421"/>
        <v/>
      </c>
      <c r="G556" s="23"/>
      <c r="H556" s="22"/>
      <c r="I556" s="23"/>
      <c r="J556" s="18"/>
      <c r="K556" s="13" t="str">
        <f t="shared" si="422"/>
        <v/>
      </c>
      <c r="L556" s="28" t="str">
        <f t="shared" si="423"/>
        <v/>
      </c>
      <c r="M556" s="10" t="str">
        <f t="shared" si="424"/>
        <v/>
      </c>
      <c r="N556" s="17" t="str">
        <f t="shared" si="425"/>
        <v/>
      </c>
      <c r="O556" s="39" t="str">
        <f t="shared" si="426"/>
        <v/>
      </c>
      <c r="P556" s="41" t="str">
        <f t="shared" si="427"/>
        <v/>
      </c>
      <c r="Q556" s="9" t="str">
        <f t="shared" si="428"/>
        <v/>
      </c>
      <c r="R556" s="14">
        <f t="shared" si="429"/>
        <v>0</v>
      </c>
      <c r="S556" s="61" t="str">
        <f t="shared" si="430"/>
        <v/>
      </c>
      <c r="T556" s="14">
        <f t="shared" si="431"/>
        <v>0</v>
      </c>
      <c r="U556" s="58" t="str">
        <f t="shared" si="432"/>
        <v/>
      </c>
      <c r="V556" s="14">
        <f t="shared" si="433"/>
        <v>0</v>
      </c>
      <c r="W556" s="58" t="str">
        <f t="shared" si="434"/>
        <v/>
      </c>
      <c r="X556" s="14">
        <f t="shared" si="435"/>
        <v>0</v>
      </c>
      <c r="Y556" s="58" t="str">
        <f t="shared" si="436"/>
        <v/>
      </c>
      <c r="Z556" s="31">
        <f t="shared" si="437"/>
        <v>0</v>
      </c>
      <c r="AA556" s="21">
        <f t="shared" si="438"/>
        <v>0</v>
      </c>
      <c r="AB556" s="58" t="str">
        <f t="shared" si="439"/>
        <v/>
      </c>
      <c r="AC556" s="630">
        <f t="shared" si="416"/>
        <v>0</v>
      </c>
      <c r="AD556" s="627"/>
      <c r="AE556" s="21">
        <f t="shared" si="440"/>
        <v>0</v>
      </c>
      <c r="AF556" s="58" t="str">
        <f t="shared" si="441"/>
        <v/>
      </c>
      <c r="AG556" s="21">
        <f t="shared" si="442"/>
        <v>0</v>
      </c>
      <c r="AH556" s="58" t="str">
        <f t="shared" si="443"/>
        <v/>
      </c>
      <c r="AI556" s="21">
        <f t="shared" si="444"/>
        <v>0</v>
      </c>
      <c r="AJ556" s="58" t="str">
        <f t="shared" si="445"/>
        <v/>
      </c>
      <c r="AK556" s="31">
        <f t="shared" si="446"/>
        <v>0</v>
      </c>
      <c r="AL556" s="21">
        <f t="shared" si="447"/>
        <v>0</v>
      </c>
      <c r="AM556" s="62" t="str">
        <f t="shared" si="448"/>
        <v/>
      </c>
      <c r="AN556" s="21">
        <f t="shared" si="449"/>
        <v>0</v>
      </c>
      <c r="AO556" s="62" t="str">
        <f t="shared" si="450"/>
        <v/>
      </c>
      <c r="AP556" s="21">
        <f t="shared" si="451"/>
        <v>0</v>
      </c>
      <c r="AQ556" s="62" t="str">
        <f t="shared" si="452"/>
        <v/>
      </c>
      <c r="AR556" s="31">
        <f t="shared" si="453"/>
        <v>0</v>
      </c>
      <c r="AS556" s="21">
        <f t="shared" si="454"/>
        <v>0</v>
      </c>
      <c r="AT556" s="62" t="str">
        <f t="shared" si="455"/>
        <v/>
      </c>
      <c r="AU556" s="84">
        <f t="shared" si="456"/>
        <v>0</v>
      </c>
      <c r="AV556" s="32">
        <f t="shared" si="457"/>
        <v>0</v>
      </c>
      <c r="AW556" s="85" t="str">
        <f t="shared" si="458"/>
        <v/>
      </c>
      <c r="AX556" s="86" t="str">
        <f t="shared" si="459"/>
        <v/>
      </c>
    </row>
    <row r="557" spans="1:50" x14ac:dyDescent="0.2">
      <c r="A557" s="29" t="str">
        <f t="shared" si="417"/>
        <v/>
      </c>
      <c r="B557" s="32" t="str">
        <f t="shared" si="418"/>
        <v/>
      </c>
      <c r="C557" s="35"/>
      <c r="D557" s="33" t="str">
        <f t="shared" si="419"/>
        <v/>
      </c>
      <c r="E557" s="22" t="str">
        <f t="shared" si="420"/>
        <v/>
      </c>
      <c r="F557" s="23" t="str">
        <f t="shared" si="421"/>
        <v/>
      </c>
      <c r="G557" s="23"/>
      <c r="H557" s="22"/>
      <c r="I557" s="23"/>
      <c r="J557" s="18"/>
      <c r="K557" s="13" t="str">
        <f t="shared" si="422"/>
        <v/>
      </c>
      <c r="L557" s="28" t="str">
        <f t="shared" si="423"/>
        <v/>
      </c>
      <c r="M557" s="10" t="str">
        <f t="shared" si="424"/>
        <v/>
      </c>
      <c r="N557" s="17" t="str">
        <f t="shared" si="425"/>
        <v/>
      </c>
      <c r="O557" s="39" t="str">
        <f t="shared" si="426"/>
        <v/>
      </c>
      <c r="P557" s="41" t="str">
        <f t="shared" si="427"/>
        <v/>
      </c>
      <c r="Q557" s="9" t="str">
        <f t="shared" si="428"/>
        <v/>
      </c>
      <c r="R557" s="14">
        <f t="shared" si="429"/>
        <v>0</v>
      </c>
      <c r="S557" s="61" t="str">
        <f t="shared" si="430"/>
        <v/>
      </c>
      <c r="T557" s="14">
        <f t="shared" si="431"/>
        <v>0</v>
      </c>
      <c r="U557" s="58" t="str">
        <f t="shared" si="432"/>
        <v/>
      </c>
      <c r="V557" s="14">
        <f t="shared" si="433"/>
        <v>0</v>
      </c>
      <c r="W557" s="58" t="str">
        <f t="shared" si="434"/>
        <v/>
      </c>
      <c r="X557" s="14">
        <f t="shared" si="435"/>
        <v>0</v>
      </c>
      <c r="Y557" s="58" t="str">
        <f t="shared" si="436"/>
        <v/>
      </c>
      <c r="Z557" s="31">
        <f t="shared" si="437"/>
        <v>0</v>
      </c>
      <c r="AA557" s="21">
        <f t="shared" si="438"/>
        <v>0</v>
      </c>
      <c r="AB557" s="58" t="str">
        <f t="shared" si="439"/>
        <v/>
      </c>
      <c r="AC557" s="630">
        <f t="shared" si="416"/>
        <v>0</v>
      </c>
      <c r="AD557" s="627"/>
      <c r="AE557" s="21">
        <f t="shared" si="440"/>
        <v>0</v>
      </c>
      <c r="AF557" s="58" t="str">
        <f t="shared" si="441"/>
        <v/>
      </c>
      <c r="AG557" s="21">
        <f t="shared" si="442"/>
        <v>0</v>
      </c>
      <c r="AH557" s="58" t="str">
        <f t="shared" si="443"/>
        <v/>
      </c>
      <c r="AI557" s="21">
        <f t="shared" si="444"/>
        <v>0</v>
      </c>
      <c r="AJ557" s="58" t="str">
        <f t="shared" si="445"/>
        <v/>
      </c>
      <c r="AK557" s="31">
        <f t="shared" si="446"/>
        <v>0</v>
      </c>
      <c r="AL557" s="21">
        <f t="shared" si="447"/>
        <v>0</v>
      </c>
      <c r="AM557" s="62" t="str">
        <f t="shared" si="448"/>
        <v/>
      </c>
      <c r="AN557" s="21">
        <f t="shared" si="449"/>
        <v>0</v>
      </c>
      <c r="AO557" s="62" t="str">
        <f t="shared" si="450"/>
        <v/>
      </c>
      <c r="AP557" s="21">
        <f t="shared" si="451"/>
        <v>0</v>
      </c>
      <c r="AQ557" s="62" t="str">
        <f t="shared" si="452"/>
        <v/>
      </c>
      <c r="AR557" s="31">
        <f t="shared" si="453"/>
        <v>0</v>
      </c>
      <c r="AS557" s="21">
        <f t="shared" si="454"/>
        <v>0</v>
      </c>
      <c r="AT557" s="62" t="str">
        <f t="shared" si="455"/>
        <v/>
      </c>
      <c r="AU557" s="84">
        <f t="shared" si="456"/>
        <v>0</v>
      </c>
      <c r="AV557" s="32">
        <f t="shared" si="457"/>
        <v>0</v>
      </c>
      <c r="AW557" s="85" t="str">
        <f t="shared" si="458"/>
        <v/>
      </c>
      <c r="AX557" s="86" t="str">
        <f t="shared" si="459"/>
        <v/>
      </c>
    </row>
    <row r="558" spans="1:50" x14ac:dyDescent="0.2">
      <c r="A558" s="29" t="str">
        <f t="shared" si="417"/>
        <v/>
      </c>
      <c r="B558" s="32" t="str">
        <f t="shared" si="418"/>
        <v/>
      </c>
      <c r="C558" s="35"/>
      <c r="D558" s="33" t="str">
        <f t="shared" si="419"/>
        <v/>
      </c>
      <c r="E558" s="22" t="str">
        <f t="shared" si="420"/>
        <v/>
      </c>
      <c r="F558" s="23" t="str">
        <f t="shared" si="421"/>
        <v/>
      </c>
      <c r="G558" s="23"/>
      <c r="H558" s="22"/>
      <c r="I558" s="23"/>
      <c r="J558" s="18"/>
      <c r="K558" s="13" t="str">
        <f t="shared" si="422"/>
        <v/>
      </c>
      <c r="L558" s="28" t="str">
        <f t="shared" si="423"/>
        <v/>
      </c>
      <c r="M558" s="10" t="str">
        <f t="shared" si="424"/>
        <v/>
      </c>
      <c r="N558" s="17" t="str">
        <f t="shared" si="425"/>
        <v/>
      </c>
      <c r="O558" s="39" t="str">
        <f t="shared" si="426"/>
        <v/>
      </c>
      <c r="P558" s="41" t="str">
        <f t="shared" si="427"/>
        <v/>
      </c>
      <c r="Q558" s="9" t="str">
        <f t="shared" si="428"/>
        <v/>
      </c>
      <c r="R558" s="14">
        <f t="shared" si="429"/>
        <v>0</v>
      </c>
      <c r="S558" s="61" t="str">
        <f t="shared" si="430"/>
        <v/>
      </c>
      <c r="T558" s="14">
        <f t="shared" si="431"/>
        <v>0</v>
      </c>
      <c r="U558" s="58" t="str">
        <f t="shared" si="432"/>
        <v/>
      </c>
      <c r="V558" s="14">
        <f t="shared" si="433"/>
        <v>0</v>
      </c>
      <c r="W558" s="58" t="str">
        <f t="shared" si="434"/>
        <v/>
      </c>
      <c r="X558" s="14">
        <f t="shared" si="435"/>
        <v>0</v>
      </c>
      <c r="Y558" s="58" t="str">
        <f t="shared" si="436"/>
        <v/>
      </c>
      <c r="Z558" s="31">
        <f t="shared" si="437"/>
        <v>0</v>
      </c>
      <c r="AA558" s="21">
        <f t="shared" si="438"/>
        <v>0</v>
      </c>
      <c r="AB558" s="58" t="str">
        <f t="shared" si="439"/>
        <v/>
      </c>
      <c r="AC558" s="630">
        <f t="shared" si="416"/>
        <v>0</v>
      </c>
      <c r="AD558" s="627"/>
      <c r="AE558" s="21">
        <f t="shared" si="440"/>
        <v>0</v>
      </c>
      <c r="AF558" s="58" t="str">
        <f t="shared" si="441"/>
        <v/>
      </c>
      <c r="AG558" s="21">
        <f t="shared" si="442"/>
        <v>0</v>
      </c>
      <c r="AH558" s="58" t="str">
        <f t="shared" si="443"/>
        <v/>
      </c>
      <c r="AI558" s="21">
        <f t="shared" si="444"/>
        <v>0</v>
      </c>
      <c r="AJ558" s="58" t="str">
        <f t="shared" si="445"/>
        <v/>
      </c>
      <c r="AK558" s="31">
        <f t="shared" si="446"/>
        <v>0</v>
      </c>
      <c r="AL558" s="21">
        <f t="shared" si="447"/>
        <v>0</v>
      </c>
      <c r="AM558" s="62" t="str">
        <f t="shared" si="448"/>
        <v/>
      </c>
      <c r="AN558" s="21">
        <f t="shared" si="449"/>
        <v>0</v>
      </c>
      <c r="AO558" s="62" t="str">
        <f t="shared" si="450"/>
        <v/>
      </c>
      <c r="AP558" s="21">
        <f t="shared" si="451"/>
        <v>0</v>
      </c>
      <c r="AQ558" s="62" t="str">
        <f t="shared" si="452"/>
        <v/>
      </c>
      <c r="AR558" s="31">
        <f t="shared" si="453"/>
        <v>0</v>
      </c>
      <c r="AS558" s="21">
        <f t="shared" si="454"/>
        <v>0</v>
      </c>
      <c r="AT558" s="62" t="str">
        <f t="shared" si="455"/>
        <v/>
      </c>
      <c r="AU558" s="84">
        <f t="shared" si="456"/>
        <v>0</v>
      </c>
      <c r="AV558" s="32">
        <f t="shared" si="457"/>
        <v>0</v>
      </c>
      <c r="AW558" s="85" t="str">
        <f t="shared" si="458"/>
        <v/>
      </c>
      <c r="AX558" s="86" t="str">
        <f t="shared" si="459"/>
        <v/>
      </c>
    </row>
    <row r="559" spans="1:50" x14ac:dyDescent="0.2">
      <c r="A559" s="29" t="str">
        <f t="shared" si="417"/>
        <v/>
      </c>
      <c r="B559" s="32" t="str">
        <f t="shared" si="418"/>
        <v/>
      </c>
      <c r="C559" s="35"/>
      <c r="D559" s="33" t="str">
        <f t="shared" si="419"/>
        <v/>
      </c>
      <c r="E559" s="22" t="str">
        <f t="shared" si="420"/>
        <v/>
      </c>
      <c r="F559" s="23" t="str">
        <f t="shared" si="421"/>
        <v/>
      </c>
      <c r="G559" s="23"/>
      <c r="H559" s="22"/>
      <c r="I559" s="23"/>
      <c r="J559" s="18"/>
      <c r="K559" s="13" t="str">
        <f t="shared" si="422"/>
        <v/>
      </c>
      <c r="L559" s="28" t="str">
        <f t="shared" si="423"/>
        <v/>
      </c>
      <c r="M559" s="10" t="str">
        <f t="shared" si="424"/>
        <v/>
      </c>
      <c r="N559" s="17" t="str">
        <f t="shared" si="425"/>
        <v/>
      </c>
      <c r="O559" s="39" t="str">
        <f t="shared" si="426"/>
        <v/>
      </c>
      <c r="P559" s="41" t="str">
        <f t="shared" si="427"/>
        <v/>
      </c>
      <c r="Q559" s="9" t="str">
        <f t="shared" si="428"/>
        <v/>
      </c>
      <c r="R559" s="14">
        <f t="shared" si="429"/>
        <v>0</v>
      </c>
      <c r="S559" s="61" t="str">
        <f t="shared" si="430"/>
        <v/>
      </c>
      <c r="T559" s="14">
        <f t="shared" si="431"/>
        <v>0</v>
      </c>
      <c r="U559" s="58" t="str">
        <f t="shared" si="432"/>
        <v/>
      </c>
      <c r="V559" s="14">
        <f t="shared" si="433"/>
        <v>0</v>
      </c>
      <c r="W559" s="58" t="str">
        <f t="shared" si="434"/>
        <v/>
      </c>
      <c r="X559" s="14">
        <f t="shared" si="435"/>
        <v>0</v>
      </c>
      <c r="Y559" s="58" t="str">
        <f t="shared" si="436"/>
        <v/>
      </c>
      <c r="Z559" s="31">
        <f t="shared" si="437"/>
        <v>0</v>
      </c>
      <c r="AA559" s="21">
        <f t="shared" si="438"/>
        <v>0</v>
      </c>
      <c r="AB559" s="58" t="str">
        <f t="shared" si="439"/>
        <v/>
      </c>
      <c r="AC559" s="630">
        <f t="shared" si="416"/>
        <v>0</v>
      </c>
      <c r="AD559" s="627"/>
      <c r="AE559" s="21">
        <f t="shared" si="440"/>
        <v>0</v>
      </c>
      <c r="AF559" s="58" t="str">
        <f t="shared" si="441"/>
        <v/>
      </c>
      <c r="AG559" s="21">
        <f t="shared" si="442"/>
        <v>0</v>
      </c>
      <c r="AH559" s="58" t="str">
        <f t="shared" si="443"/>
        <v/>
      </c>
      <c r="AI559" s="21">
        <f t="shared" si="444"/>
        <v>0</v>
      </c>
      <c r="AJ559" s="58" t="str">
        <f t="shared" si="445"/>
        <v/>
      </c>
      <c r="AK559" s="31">
        <f t="shared" si="446"/>
        <v>0</v>
      </c>
      <c r="AL559" s="21">
        <f t="shared" si="447"/>
        <v>0</v>
      </c>
      <c r="AM559" s="62" t="str">
        <f t="shared" si="448"/>
        <v/>
      </c>
      <c r="AN559" s="21">
        <f t="shared" si="449"/>
        <v>0</v>
      </c>
      <c r="AO559" s="62" t="str">
        <f t="shared" si="450"/>
        <v/>
      </c>
      <c r="AP559" s="21">
        <f t="shared" si="451"/>
        <v>0</v>
      </c>
      <c r="AQ559" s="62" t="str">
        <f t="shared" si="452"/>
        <v/>
      </c>
      <c r="AR559" s="31">
        <f t="shared" si="453"/>
        <v>0</v>
      </c>
      <c r="AS559" s="21">
        <f t="shared" si="454"/>
        <v>0</v>
      </c>
      <c r="AT559" s="62" t="str">
        <f t="shared" si="455"/>
        <v/>
      </c>
      <c r="AU559" s="84">
        <f t="shared" si="456"/>
        <v>0</v>
      </c>
      <c r="AV559" s="32">
        <f t="shared" si="457"/>
        <v>0</v>
      </c>
      <c r="AW559" s="85" t="str">
        <f t="shared" si="458"/>
        <v/>
      </c>
      <c r="AX559" s="86" t="str">
        <f t="shared" si="459"/>
        <v/>
      </c>
    </row>
    <row r="560" spans="1:50" x14ac:dyDescent="0.2">
      <c r="A560" s="29" t="str">
        <f t="shared" si="417"/>
        <v/>
      </c>
      <c r="B560" s="32" t="str">
        <f t="shared" si="418"/>
        <v/>
      </c>
      <c r="C560" s="35"/>
      <c r="D560" s="33" t="str">
        <f t="shared" si="419"/>
        <v/>
      </c>
      <c r="E560" s="22" t="str">
        <f t="shared" si="420"/>
        <v/>
      </c>
      <c r="F560" s="23" t="str">
        <f t="shared" si="421"/>
        <v/>
      </c>
      <c r="G560" s="23"/>
      <c r="H560" s="22"/>
      <c r="I560" s="23"/>
      <c r="J560" s="18"/>
      <c r="K560" s="13" t="str">
        <f t="shared" si="422"/>
        <v/>
      </c>
      <c r="L560" s="28" t="str">
        <f t="shared" si="423"/>
        <v/>
      </c>
      <c r="M560" s="10" t="str">
        <f t="shared" si="424"/>
        <v/>
      </c>
      <c r="N560" s="17" t="str">
        <f t="shared" si="425"/>
        <v/>
      </c>
      <c r="O560" s="39" t="str">
        <f t="shared" si="426"/>
        <v/>
      </c>
      <c r="P560" s="41" t="str">
        <f t="shared" si="427"/>
        <v/>
      </c>
      <c r="Q560" s="9" t="str">
        <f t="shared" si="428"/>
        <v/>
      </c>
      <c r="R560" s="14">
        <f t="shared" si="429"/>
        <v>0</v>
      </c>
      <c r="S560" s="61" t="str">
        <f t="shared" si="430"/>
        <v/>
      </c>
      <c r="T560" s="14">
        <f t="shared" si="431"/>
        <v>0</v>
      </c>
      <c r="U560" s="58" t="str">
        <f t="shared" si="432"/>
        <v/>
      </c>
      <c r="V560" s="14">
        <f t="shared" si="433"/>
        <v>0</v>
      </c>
      <c r="W560" s="58" t="str">
        <f t="shared" si="434"/>
        <v/>
      </c>
      <c r="X560" s="14">
        <f t="shared" si="435"/>
        <v>0</v>
      </c>
      <c r="Y560" s="58" t="str">
        <f t="shared" si="436"/>
        <v/>
      </c>
      <c r="Z560" s="31">
        <f t="shared" si="437"/>
        <v>0</v>
      </c>
      <c r="AA560" s="21">
        <f t="shared" si="438"/>
        <v>0</v>
      </c>
      <c r="AB560" s="58" t="str">
        <f t="shared" si="439"/>
        <v/>
      </c>
      <c r="AC560" s="630">
        <f t="shared" si="416"/>
        <v>0</v>
      </c>
      <c r="AD560" s="627"/>
      <c r="AE560" s="21">
        <f t="shared" si="440"/>
        <v>0</v>
      </c>
      <c r="AF560" s="58" t="str">
        <f t="shared" si="441"/>
        <v/>
      </c>
      <c r="AG560" s="21">
        <f t="shared" si="442"/>
        <v>0</v>
      </c>
      <c r="AH560" s="58" t="str">
        <f t="shared" si="443"/>
        <v/>
      </c>
      <c r="AI560" s="21">
        <f t="shared" si="444"/>
        <v>0</v>
      </c>
      <c r="AJ560" s="58" t="str">
        <f t="shared" si="445"/>
        <v/>
      </c>
      <c r="AK560" s="31">
        <f t="shared" si="446"/>
        <v>0</v>
      </c>
      <c r="AL560" s="21">
        <f t="shared" si="447"/>
        <v>0</v>
      </c>
      <c r="AM560" s="62" t="str">
        <f t="shared" si="448"/>
        <v/>
      </c>
      <c r="AN560" s="21">
        <f t="shared" si="449"/>
        <v>0</v>
      </c>
      <c r="AO560" s="62" t="str">
        <f t="shared" si="450"/>
        <v/>
      </c>
      <c r="AP560" s="21">
        <f t="shared" si="451"/>
        <v>0</v>
      </c>
      <c r="AQ560" s="62" t="str">
        <f t="shared" si="452"/>
        <v/>
      </c>
      <c r="AR560" s="31">
        <f t="shared" si="453"/>
        <v>0</v>
      </c>
      <c r="AS560" s="21">
        <f t="shared" si="454"/>
        <v>0</v>
      </c>
      <c r="AT560" s="62" t="str">
        <f t="shared" si="455"/>
        <v/>
      </c>
      <c r="AU560" s="84">
        <f t="shared" si="456"/>
        <v>0</v>
      </c>
      <c r="AV560" s="32">
        <f t="shared" si="457"/>
        <v>0</v>
      </c>
      <c r="AW560" s="85" t="str">
        <f t="shared" si="458"/>
        <v/>
      </c>
      <c r="AX560" s="86" t="str">
        <f t="shared" si="459"/>
        <v/>
      </c>
    </row>
    <row r="561" spans="1:50" x14ac:dyDescent="0.2">
      <c r="A561" s="29" t="str">
        <f t="shared" si="417"/>
        <v/>
      </c>
      <c r="B561" s="32" t="str">
        <f t="shared" si="418"/>
        <v/>
      </c>
      <c r="C561" s="35"/>
      <c r="D561" s="33" t="str">
        <f t="shared" si="419"/>
        <v/>
      </c>
      <c r="E561" s="22" t="str">
        <f t="shared" si="420"/>
        <v/>
      </c>
      <c r="F561" s="23" t="str">
        <f t="shared" si="421"/>
        <v/>
      </c>
      <c r="G561" s="23"/>
      <c r="H561" s="22"/>
      <c r="I561" s="23"/>
      <c r="J561" s="18"/>
      <c r="K561" s="13" t="str">
        <f t="shared" si="422"/>
        <v/>
      </c>
      <c r="L561" s="28" t="str">
        <f t="shared" si="423"/>
        <v/>
      </c>
      <c r="M561" s="10" t="str">
        <f t="shared" si="424"/>
        <v/>
      </c>
      <c r="N561" s="17" t="str">
        <f t="shared" si="425"/>
        <v/>
      </c>
      <c r="O561" s="39" t="str">
        <f t="shared" si="426"/>
        <v/>
      </c>
      <c r="P561" s="41" t="str">
        <f t="shared" si="427"/>
        <v/>
      </c>
      <c r="Q561" s="9" t="str">
        <f t="shared" si="428"/>
        <v/>
      </c>
      <c r="R561" s="14">
        <f t="shared" si="429"/>
        <v>0</v>
      </c>
      <c r="S561" s="61" t="str">
        <f t="shared" si="430"/>
        <v/>
      </c>
      <c r="T561" s="14">
        <f t="shared" si="431"/>
        <v>0</v>
      </c>
      <c r="U561" s="58" t="str">
        <f t="shared" si="432"/>
        <v/>
      </c>
      <c r="V561" s="14">
        <f t="shared" si="433"/>
        <v>0</v>
      </c>
      <c r="W561" s="58" t="str">
        <f t="shared" si="434"/>
        <v/>
      </c>
      <c r="X561" s="14">
        <f t="shared" si="435"/>
        <v>0</v>
      </c>
      <c r="Y561" s="58" t="str">
        <f t="shared" si="436"/>
        <v/>
      </c>
      <c r="Z561" s="31">
        <f t="shared" si="437"/>
        <v>0</v>
      </c>
      <c r="AA561" s="21">
        <f t="shared" si="438"/>
        <v>0</v>
      </c>
      <c r="AB561" s="58" t="str">
        <f t="shared" si="439"/>
        <v/>
      </c>
      <c r="AC561" s="630">
        <f t="shared" si="416"/>
        <v>0</v>
      </c>
      <c r="AD561" s="627"/>
      <c r="AE561" s="21">
        <f t="shared" si="440"/>
        <v>0</v>
      </c>
      <c r="AF561" s="58" t="str">
        <f t="shared" si="441"/>
        <v/>
      </c>
      <c r="AG561" s="21">
        <f t="shared" si="442"/>
        <v>0</v>
      </c>
      <c r="AH561" s="58" t="str">
        <f t="shared" si="443"/>
        <v/>
      </c>
      <c r="AI561" s="21">
        <f t="shared" si="444"/>
        <v>0</v>
      </c>
      <c r="AJ561" s="58" t="str">
        <f t="shared" si="445"/>
        <v/>
      </c>
      <c r="AK561" s="31">
        <f t="shared" si="446"/>
        <v>0</v>
      </c>
      <c r="AL561" s="21">
        <f t="shared" si="447"/>
        <v>0</v>
      </c>
      <c r="AM561" s="62" t="str">
        <f t="shared" si="448"/>
        <v/>
      </c>
      <c r="AN561" s="21">
        <f t="shared" si="449"/>
        <v>0</v>
      </c>
      <c r="AO561" s="62" t="str">
        <f t="shared" si="450"/>
        <v/>
      </c>
      <c r="AP561" s="21">
        <f t="shared" si="451"/>
        <v>0</v>
      </c>
      <c r="AQ561" s="62" t="str">
        <f t="shared" si="452"/>
        <v/>
      </c>
      <c r="AR561" s="31">
        <f t="shared" si="453"/>
        <v>0</v>
      </c>
      <c r="AS561" s="21">
        <f t="shared" si="454"/>
        <v>0</v>
      </c>
      <c r="AT561" s="62" t="str">
        <f t="shared" si="455"/>
        <v/>
      </c>
      <c r="AU561" s="84">
        <f t="shared" si="456"/>
        <v>0</v>
      </c>
      <c r="AV561" s="32">
        <f t="shared" si="457"/>
        <v>0</v>
      </c>
      <c r="AW561" s="85" t="str">
        <f t="shared" si="458"/>
        <v/>
      </c>
      <c r="AX561" s="86" t="str">
        <f t="shared" si="459"/>
        <v/>
      </c>
    </row>
    <row r="562" spans="1:50" x14ac:dyDescent="0.2">
      <c r="A562" s="29" t="str">
        <f t="shared" si="417"/>
        <v/>
      </c>
      <c r="B562" s="32" t="str">
        <f t="shared" si="418"/>
        <v/>
      </c>
      <c r="C562" s="35"/>
      <c r="D562" s="33" t="str">
        <f t="shared" si="419"/>
        <v/>
      </c>
      <c r="E562" s="22" t="str">
        <f t="shared" si="420"/>
        <v/>
      </c>
      <c r="F562" s="23" t="str">
        <f t="shared" si="421"/>
        <v/>
      </c>
      <c r="G562" s="23"/>
      <c r="H562" s="22"/>
      <c r="I562" s="23"/>
      <c r="J562" s="18"/>
      <c r="K562" s="13" t="str">
        <f t="shared" si="422"/>
        <v/>
      </c>
      <c r="L562" s="28" t="str">
        <f t="shared" si="423"/>
        <v/>
      </c>
      <c r="M562" s="10" t="str">
        <f t="shared" si="424"/>
        <v/>
      </c>
      <c r="N562" s="17" t="str">
        <f t="shared" si="425"/>
        <v/>
      </c>
      <c r="O562" s="39" t="str">
        <f t="shared" si="426"/>
        <v/>
      </c>
      <c r="P562" s="41" t="str">
        <f t="shared" si="427"/>
        <v/>
      </c>
      <c r="Q562" s="9" t="str">
        <f t="shared" si="428"/>
        <v/>
      </c>
      <c r="R562" s="14">
        <f t="shared" si="429"/>
        <v>0</v>
      </c>
      <c r="S562" s="61" t="str">
        <f t="shared" si="430"/>
        <v/>
      </c>
      <c r="T562" s="14">
        <f t="shared" si="431"/>
        <v>0</v>
      </c>
      <c r="U562" s="58" t="str">
        <f t="shared" si="432"/>
        <v/>
      </c>
      <c r="V562" s="14">
        <f t="shared" si="433"/>
        <v>0</v>
      </c>
      <c r="W562" s="58" t="str">
        <f t="shared" si="434"/>
        <v/>
      </c>
      <c r="X562" s="14">
        <f t="shared" si="435"/>
        <v>0</v>
      </c>
      <c r="Y562" s="58" t="str">
        <f t="shared" si="436"/>
        <v/>
      </c>
      <c r="Z562" s="31">
        <f t="shared" si="437"/>
        <v>0</v>
      </c>
      <c r="AA562" s="21">
        <f t="shared" si="438"/>
        <v>0</v>
      </c>
      <c r="AB562" s="58" t="str">
        <f t="shared" si="439"/>
        <v/>
      </c>
      <c r="AC562" s="630">
        <f t="shared" si="416"/>
        <v>0</v>
      </c>
      <c r="AD562" s="627"/>
      <c r="AE562" s="21">
        <f t="shared" si="440"/>
        <v>0</v>
      </c>
      <c r="AF562" s="58" t="str">
        <f t="shared" si="441"/>
        <v/>
      </c>
      <c r="AG562" s="21">
        <f t="shared" si="442"/>
        <v>0</v>
      </c>
      <c r="AH562" s="58" t="str">
        <f t="shared" si="443"/>
        <v/>
      </c>
      <c r="AI562" s="21">
        <f t="shared" si="444"/>
        <v>0</v>
      </c>
      <c r="AJ562" s="58" t="str">
        <f t="shared" si="445"/>
        <v/>
      </c>
      <c r="AK562" s="31">
        <f t="shared" si="446"/>
        <v>0</v>
      </c>
      <c r="AL562" s="21">
        <f t="shared" si="447"/>
        <v>0</v>
      </c>
      <c r="AM562" s="62" t="str">
        <f t="shared" si="448"/>
        <v/>
      </c>
      <c r="AN562" s="21">
        <f t="shared" si="449"/>
        <v>0</v>
      </c>
      <c r="AO562" s="62" t="str">
        <f t="shared" si="450"/>
        <v/>
      </c>
      <c r="AP562" s="21">
        <f t="shared" si="451"/>
        <v>0</v>
      </c>
      <c r="AQ562" s="62" t="str">
        <f t="shared" si="452"/>
        <v/>
      </c>
      <c r="AR562" s="31">
        <f t="shared" si="453"/>
        <v>0</v>
      </c>
      <c r="AS562" s="21">
        <f t="shared" si="454"/>
        <v>0</v>
      </c>
      <c r="AT562" s="62" t="str">
        <f t="shared" si="455"/>
        <v/>
      </c>
      <c r="AU562" s="84">
        <f t="shared" si="456"/>
        <v>0</v>
      </c>
      <c r="AV562" s="32">
        <f t="shared" si="457"/>
        <v>0</v>
      </c>
      <c r="AW562" s="85" t="str">
        <f t="shared" si="458"/>
        <v/>
      </c>
      <c r="AX562" s="86" t="str">
        <f t="shared" si="459"/>
        <v/>
      </c>
    </row>
    <row r="563" spans="1:50" x14ac:dyDescent="0.2">
      <c r="A563" s="29" t="str">
        <f t="shared" si="417"/>
        <v/>
      </c>
      <c r="B563" s="32" t="str">
        <f t="shared" si="418"/>
        <v/>
      </c>
      <c r="C563" s="35"/>
      <c r="D563" s="33" t="str">
        <f t="shared" si="419"/>
        <v/>
      </c>
      <c r="E563" s="22" t="str">
        <f t="shared" si="420"/>
        <v/>
      </c>
      <c r="F563" s="23" t="str">
        <f t="shared" si="421"/>
        <v/>
      </c>
      <c r="G563" s="23"/>
      <c r="H563" s="22"/>
      <c r="I563" s="23"/>
      <c r="J563" s="18"/>
      <c r="K563" s="13" t="str">
        <f t="shared" si="422"/>
        <v/>
      </c>
      <c r="L563" s="28" t="str">
        <f t="shared" si="423"/>
        <v/>
      </c>
      <c r="M563" s="10" t="str">
        <f t="shared" si="424"/>
        <v/>
      </c>
      <c r="N563" s="17" t="str">
        <f t="shared" si="425"/>
        <v/>
      </c>
      <c r="O563" s="39" t="str">
        <f t="shared" si="426"/>
        <v/>
      </c>
      <c r="P563" s="41" t="str">
        <f t="shared" si="427"/>
        <v/>
      </c>
      <c r="Q563" s="9" t="str">
        <f t="shared" si="428"/>
        <v/>
      </c>
      <c r="R563" s="14">
        <f t="shared" si="429"/>
        <v>0</v>
      </c>
      <c r="S563" s="61" t="str">
        <f t="shared" si="430"/>
        <v/>
      </c>
      <c r="T563" s="14">
        <f t="shared" si="431"/>
        <v>0</v>
      </c>
      <c r="U563" s="58" t="str">
        <f t="shared" si="432"/>
        <v/>
      </c>
      <c r="V563" s="14">
        <f t="shared" si="433"/>
        <v>0</v>
      </c>
      <c r="W563" s="58" t="str">
        <f t="shared" si="434"/>
        <v/>
      </c>
      <c r="X563" s="14">
        <f t="shared" si="435"/>
        <v>0</v>
      </c>
      <c r="Y563" s="58" t="str">
        <f t="shared" si="436"/>
        <v/>
      </c>
      <c r="Z563" s="31">
        <f t="shared" si="437"/>
        <v>0</v>
      </c>
      <c r="AA563" s="21">
        <f t="shared" si="438"/>
        <v>0</v>
      </c>
      <c r="AB563" s="58" t="str">
        <f t="shared" si="439"/>
        <v/>
      </c>
      <c r="AC563" s="630">
        <f t="shared" si="416"/>
        <v>0</v>
      </c>
      <c r="AD563" s="627"/>
      <c r="AE563" s="21">
        <f t="shared" si="440"/>
        <v>0</v>
      </c>
      <c r="AF563" s="58" t="str">
        <f t="shared" si="441"/>
        <v/>
      </c>
      <c r="AG563" s="21">
        <f t="shared" si="442"/>
        <v>0</v>
      </c>
      <c r="AH563" s="58" t="str">
        <f t="shared" si="443"/>
        <v/>
      </c>
      <c r="AI563" s="21">
        <f t="shared" si="444"/>
        <v>0</v>
      </c>
      <c r="AJ563" s="58" t="str">
        <f t="shared" si="445"/>
        <v/>
      </c>
      <c r="AK563" s="31">
        <f t="shared" si="446"/>
        <v>0</v>
      </c>
      <c r="AL563" s="21">
        <f t="shared" si="447"/>
        <v>0</v>
      </c>
      <c r="AM563" s="62" t="str">
        <f t="shared" si="448"/>
        <v/>
      </c>
      <c r="AN563" s="21">
        <f t="shared" si="449"/>
        <v>0</v>
      </c>
      <c r="AO563" s="62" t="str">
        <f t="shared" si="450"/>
        <v/>
      </c>
      <c r="AP563" s="21">
        <f t="shared" si="451"/>
        <v>0</v>
      </c>
      <c r="AQ563" s="62" t="str">
        <f t="shared" si="452"/>
        <v/>
      </c>
      <c r="AR563" s="31">
        <f t="shared" si="453"/>
        <v>0</v>
      </c>
      <c r="AS563" s="21">
        <f t="shared" si="454"/>
        <v>0</v>
      </c>
      <c r="AT563" s="62" t="str">
        <f t="shared" si="455"/>
        <v/>
      </c>
      <c r="AU563" s="84">
        <f t="shared" si="456"/>
        <v>0</v>
      </c>
      <c r="AV563" s="32">
        <f t="shared" si="457"/>
        <v>0</v>
      </c>
      <c r="AW563" s="85" t="str">
        <f t="shared" si="458"/>
        <v/>
      </c>
      <c r="AX563" s="86" t="str">
        <f t="shared" si="459"/>
        <v/>
      </c>
    </row>
    <row r="564" spans="1:50" x14ac:dyDescent="0.2">
      <c r="A564" s="29" t="str">
        <f t="shared" si="417"/>
        <v/>
      </c>
      <c r="B564" s="32" t="str">
        <f t="shared" si="418"/>
        <v/>
      </c>
      <c r="C564" s="35"/>
      <c r="D564" s="33" t="str">
        <f t="shared" si="419"/>
        <v/>
      </c>
      <c r="E564" s="22" t="str">
        <f t="shared" si="420"/>
        <v/>
      </c>
      <c r="F564" s="23" t="str">
        <f t="shared" si="421"/>
        <v/>
      </c>
      <c r="G564" s="23"/>
      <c r="H564" s="22"/>
      <c r="I564" s="23"/>
      <c r="J564" s="18"/>
      <c r="K564" s="13" t="str">
        <f t="shared" si="422"/>
        <v/>
      </c>
      <c r="L564" s="28" t="str">
        <f t="shared" si="423"/>
        <v/>
      </c>
      <c r="M564" s="10" t="str">
        <f t="shared" si="424"/>
        <v/>
      </c>
      <c r="N564" s="17" t="str">
        <f t="shared" si="425"/>
        <v/>
      </c>
      <c r="O564" s="39" t="str">
        <f t="shared" si="426"/>
        <v/>
      </c>
      <c r="P564" s="41" t="str">
        <f t="shared" si="427"/>
        <v/>
      </c>
      <c r="Q564" s="9" t="str">
        <f t="shared" si="428"/>
        <v/>
      </c>
      <c r="R564" s="14">
        <f t="shared" si="429"/>
        <v>0</v>
      </c>
      <c r="S564" s="61" t="str">
        <f t="shared" si="430"/>
        <v/>
      </c>
      <c r="T564" s="14">
        <f t="shared" si="431"/>
        <v>0</v>
      </c>
      <c r="U564" s="58" t="str">
        <f t="shared" si="432"/>
        <v/>
      </c>
      <c r="V564" s="14">
        <f t="shared" si="433"/>
        <v>0</v>
      </c>
      <c r="W564" s="58" t="str">
        <f t="shared" si="434"/>
        <v/>
      </c>
      <c r="X564" s="14">
        <f t="shared" si="435"/>
        <v>0</v>
      </c>
      <c r="Y564" s="58" t="str">
        <f t="shared" si="436"/>
        <v/>
      </c>
      <c r="Z564" s="31">
        <f t="shared" si="437"/>
        <v>0</v>
      </c>
      <c r="AA564" s="21">
        <f t="shared" si="438"/>
        <v>0</v>
      </c>
      <c r="AB564" s="58" t="str">
        <f t="shared" si="439"/>
        <v/>
      </c>
      <c r="AC564" s="630">
        <f t="shared" si="416"/>
        <v>0</v>
      </c>
      <c r="AD564" s="627"/>
      <c r="AE564" s="21">
        <f t="shared" si="440"/>
        <v>0</v>
      </c>
      <c r="AF564" s="58" t="str">
        <f t="shared" si="441"/>
        <v/>
      </c>
      <c r="AG564" s="21">
        <f t="shared" si="442"/>
        <v>0</v>
      </c>
      <c r="AH564" s="58" t="str">
        <f t="shared" si="443"/>
        <v/>
      </c>
      <c r="AI564" s="21">
        <f t="shared" si="444"/>
        <v>0</v>
      </c>
      <c r="AJ564" s="58" t="str">
        <f t="shared" si="445"/>
        <v/>
      </c>
      <c r="AK564" s="31">
        <f t="shared" si="446"/>
        <v>0</v>
      </c>
      <c r="AL564" s="21">
        <f t="shared" si="447"/>
        <v>0</v>
      </c>
      <c r="AM564" s="62" t="str">
        <f t="shared" si="448"/>
        <v/>
      </c>
      <c r="AN564" s="21">
        <f t="shared" si="449"/>
        <v>0</v>
      </c>
      <c r="AO564" s="62" t="str">
        <f t="shared" si="450"/>
        <v/>
      </c>
      <c r="AP564" s="21">
        <f t="shared" si="451"/>
        <v>0</v>
      </c>
      <c r="AQ564" s="62" t="str">
        <f t="shared" si="452"/>
        <v/>
      </c>
      <c r="AR564" s="31">
        <f t="shared" si="453"/>
        <v>0</v>
      </c>
      <c r="AS564" s="21">
        <f t="shared" si="454"/>
        <v>0</v>
      </c>
      <c r="AT564" s="62" t="str">
        <f t="shared" si="455"/>
        <v/>
      </c>
      <c r="AU564" s="84">
        <f t="shared" si="456"/>
        <v>0</v>
      </c>
      <c r="AV564" s="32">
        <f t="shared" si="457"/>
        <v>0</v>
      </c>
      <c r="AW564" s="85" t="str">
        <f t="shared" si="458"/>
        <v/>
      </c>
      <c r="AX564" s="86" t="str">
        <f t="shared" si="459"/>
        <v/>
      </c>
    </row>
    <row r="565" spans="1:50" x14ac:dyDescent="0.2">
      <c r="A565" s="29" t="str">
        <f t="shared" si="417"/>
        <v/>
      </c>
      <c r="B565" s="32" t="str">
        <f t="shared" si="418"/>
        <v/>
      </c>
      <c r="C565" s="35"/>
      <c r="D565" s="33" t="str">
        <f t="shared" si="419"/>
        <v/>
      </c>
      <c r="E565" s="22" t="str">
        <f t="shared" si="420"/>
        <v/>
      </c>
      <c r="F565" s="23" t="str">
        <f t="shared" si="421"/>
        <v/>
      </c>
      <c r="G565" s="23"/>
      <c r="H565" s="22"/>
      <c r="I565" s="23"/>
      <c r="J565" s="18"/>
      <c r="K565" s="13" t="str">
        <f t="shared" si="422"/>
        <v/>
      </c>
      <c r="L565" s="28" t="str">
        <f t="shared" si="423"/>
        <v/>
      </c>
      <c r="M565" s="10" t="str">
        <f t="shared" si="424"/>
        <v/>
      </c>
      <c r="N565" s="17" t="str">
        <f t="shared" si="425"/>
        <v/>
      </c>
      <c r="O565" s="39" t="str">
        <f t="shared" si="426"/>
        <v/>
      </c>
      <c r="P565" s="41" t="str">
        <f t="shared" si="427"/>
        <v/>
      </c>
      <c r="Q565" s="9" t="str">
        <f t="shared" si="428"/>
        <v/>
      </c>
      <c r="R565" s="14">
        <f t="shared" si="429"/>
        <v>0</v>
      </c>
      <c r="S565" s="61" t="str">
        <f t="shared" si="430"/>
        <v/>
      </c>
      <c r="T565" s="14">
        <f t="shared" si="431"/>
        <v>0</v>
      </c>
      <c r="U565" s="58" t="str">
        <f t="shared" si="432"/>
        <v/>
      </c>
      <c r="V565" s="14">
        <f t="shared" si="433"/>
        <v>0</v>
      </c>
      <c r="W565" s="58" t="str">
        <f t="shared" si="434"/>
        <v/>
      </c>
      <c r="X565" s="14">
        <f t="shared" si="435"/>
        <v>0</v>
      </c>
      <c r="Y565" s="58" t="str">
        <f t="shared" si="436"/>
        <v/>
      </c>
      <c r="Z565" s="31">
        <f t="shared" si="437"/>
        <v>0</v>
      </c>
      <c r="AA565" s="21">
        <f t="shared" si="438"/>
        <v>0</v>
      </c>
      <c r="AB565" s="58" t="str">
        <f t="shared" si="439"/>
        <v/>
      </c>
      <c r="AC565" s="630">
        <f t="shared" si="416"/>
        <v>0</v>
      </c>
      <c r="AD565" s="627"/>
      <c r="AE565" s="21">
        <f t="shared" si="440"/>
        <v>0</v>
      </c>
      <c r="AF565" s="58" t="str">
        <f t="shared" si="441"/>
        <v/>
      </c>
      <c r="AG565" s="21">
        <f t="shared" si="442"/>
        <v>0</v>
      </c>
      <c r="AH565" s="58" t="str">
        <f t="shared" si="443"/>
        <v/>
      </c>
      <c r="AI565" s="21">
        <f t="shared" si="444"/>
        <v>0</v>
      </c>
      <c r="AJ565" s="58" t="str">
        <f t="shared" si="445"/>
        <v/>
      </c>
      <c r="AK565" s="31">
        <f t="shared" si="446"/>
        <v>0</v>
      </c>
      <c r="AL565" s="21">
        <f t="shared" si="447"/>
        <v>0</v>
      </c>
      <c r="AM565" s="62" t="str">
        <f t="shared" si="448"/>
        <v/>
      </c>
      <c r="AN565" s="21">
        <f t="shared" si="449"/>
        <v>0</v>
      </c>
      <c r="AO565" s="62" t="str">
        <f t="shared" si="450"/>
        <v/>
      </c>
      <c r="AP565" s="21">
        <f t="shared" si="451"/>
        <v>0</v>
      </c>
      <c r="AQ565" s="62" t="str">
        <f t="shared" si="452"/>
        <v/>
      </c>
      <c r="AR565" s="31">
        <f t="shared" si="453"/>
        <v>0</v>
      </c>
      <c r="AS565" s="21">
        <f t="shared" si="454"/>
        <v>0</v>
      </c>
      <c r="AT565" s="62" t="str">
        <f t="shared" si="455"/>
        <v/>
      </c>
      <c r="AU565" s="84">
        <f t="shared" si="456"/>
        <v>0</v>
      </c>
      <c r="AV565" s="32">
        <f t="shared" si="457"/>
        <v>0</v>
      </c>
      <c r="AW565" s="85" t="str">
        <f t="shared" si="458"/>
        <v/>
      </c>
      <c r="AX565" s="86" t="str">
        <f t="shared" si="459"/>
        <v/>
      </c>
    </row>
    <row r="566" spans="1:50" x14ac:dyDescent="0.2">
      <c r="A566" s="29" t="str">
        <f t="shared" si="417"/>
        <v/>
      </c>
      <c r="B566" s="32" t="str">
        <f t="shared" si="418"/>
        <v/>
      </c>
      <c r="C566" s="35"/>
      <c r="D566" s="33" t="str">
        <f t="shared" si="419"/>
        <v/>
      </c>
      <c r="E566" s="22" t="str">
        <f t="shared" si="420"/>
        <v/>
      </c>
      <c r="F566" s="23" t="str">
        <f t="shared" si="421"/>
        <v/>
      </c>
      <c r="G566" s="23"/>
      <c r="H566" s="22"/>
      <c r="I566" s="23"/>
      <c r="J566" s="18"/>
      <c r="K566" s="13" t="str">
        <f t="shared" si="422"/>
        <v/>
      </c>
      <c r="L566" s="28" t="str">
        <f t="shared" si="423"/>
        <v/>
      </c>
      <c r="M566" s="10" t="str">
        <f t="shared" si="424"/>
        <v/>
      </c>
      <c r="N566" s="17" t="str">
        <f t="shared" si="425"/>
        <v/>
      </c>
      <c r="O566" s="39" t="str">
        <f t="shared" si="426"/>
        <v/>
      </c>
      <c r="P566" s="41" t="str">
        <f t="shared" si="427"/>
        <v/>
      </c>
      <c r="Q566" s="9" t="str">
        <f t="shared" si="428"/>
        <v/>
      </c>
      <c r="R566" s="14">
        <f t="shared" si="429"/>
        <v>0</v>
      </c>
      <c r="S566" s="61" t="str">
        <f t="shared" si="430"/>
        <v/>
      </c>
      <c r="T566" s="14">
        <f t="shared" si="431"/>
        <v>0</v>
      </c>
      <c r="U566" s="58" t="str">
        <f t="shared" si="432"/>
        <v/>
      </c>
      <c r="V566" s="14">
        <f t="shared" si="433"/>
        <v>0</v>
      </c>
      <c r="W566" s="58" t="str">
        <f t="shared" si="434"/>
        <v/>
      </c>
      <c r="X566" s="14">
        <f t="shared" si="435"/>
        <v>0</v>
      </c>
      <c r="Y566" s="58" t="str">
        <f t="shared" si="436"/>
        <v/>
      </c>
      <c r="Z566" s="31">
        <f t="shared" si="437"/>
        <v>0</v>
      </c>
      <c r="AA566" s="21">
        <f t="shared" si="438"/>
        <v>0</v>
      </c>
      <c r="AB566" s="58" t="str">
        <f t="shared" si="439"/>
        <v/>
      </c>
      <c r="AC566" s="630">
        <f t="shared" si="416"/>
        <v>0</v>
      </c>
      <c r="AD566" s="627"/>
      <c r="AE566" s="21">
        <f t="shared" si="440"/>
        <v>0</v>
      </c>
      <c r="AF566" s="58" t="str">
        <f t="shared" si="441"/>
        <v/>
      </c>
      <c r="AG566" s="21">
        <f t="shared" si="442"/>
        <v>0</v>
      </c>
      <c r="AH566" s="58" t="str">
        <f t="shared" si="443"/>
        <v/>
      </c>
      <c r="AI566" s="21">
        <f t="shared" si="444"/>
        <v>0</v>
      </c>
      <c r="AJ566" s="58" t="str">
        <f t="shared" si="445"/>
        <v/>
      </c>
      <c r="AK566" s="31">
        <f t="shared" si="446"/>
        <v>0</v>
      </c>
      <c r="AL566" s="21">
        <f t="shared" si="447"/>
        <v>0</v>
      </c>
      <c r="AM566" s="62" t="str">
        <f t="shared" si="448"/>
        <v/>
      </c>
      <c r="AN566" s="21">
        <f t="shared" si="449"/>
        <v>0</v>
      </c>
      <c r="AO566" s="62" t="str">
        <f t="shared" si="450"/>
        <v/>
      </c>
      <c r="AP566" s="21">
        <f t="shared" si="451"/>
        <v>0</v>
      </c>
      <c r="AQ566" s="62" t="str">
        <f t="shared" si="452"/>
        <v/>
      </c>
      <c r="AR566" s="31">
        <f t="shared" si="453"/>
        <v>0</v>
      </c>
      <c r="AS566" s="21">
        <f t="shared" si="454"/>
        <v>0</v>
      </c>
      <c r="AT566" s="62" t="str">
        <f t="shared" si="455"/>
        <v/>
      </c>
      <c r="AU566" s="84">
        <f t="shared" si="456"/>
        <v>0</v>
      </c>
      <c r="AV566" s="32">
        <f t="shared" si="457"/>
        <v>0</v>
      </c>
      <c r="AW566" s="85" t="str">
        <f t="shared" si="458"/>
        <v/>
      </c>
      <c r="AX566" s="86" t="str">
        <f t="shared" si="459"/>
        <v/>
      </c>
    </row>
    <row r="567" spans="1:50" x14ac:dyDescent="0.2">
      <c r="A567" s="29" t="str">
        <f t="shared" si="417"/>
        <v/>
      </c>
      <c r="B567" s="32" t="str">
        <f t="shared" si="418"/>
        <v/>
      </c>
      <c r="C567" s="35"/>
      <c r="D567" s="33" t="str">
        <f t="shared" si="419"/>
        <v/>
      </c>
      <c r="E567" s="22" t="str">
        <f t="shared" si="420"/>
        <v/>
      </c>
      <c r="F567" s="23" t="str">
        <f t="shared" si="421"/>
        <v/>
      </c>
      <c r="G567" s="23"/>
      <c r="H567" s="22"/>
      <c r="I567" s="23"/>
      <c r="J567" s="18"/>
      <c r="K567" s="13" t="str">
        <f t="shared" si="422"/>
        <v/>
      </c>
      <c r="L567" s="28" t="str">
        <f t="shared" si="423"/>
        <v/>
      </c>
      <c r="M567" s="10" t="str">
        <f t="shared" si="424"/>
        <v/>
      </c>
      <c r="N567" s="17" t="str">
        <f t="shared" si="425"/>
        <v/>
      </c>
      <c r="O567" s="39" t="str">
        <f t="shared" si="426"/>
        <v/>
      </c>
      <c r="P567" s="41" t="str">
        <f t="shared" si="427"/>
        <v/>
      </c>
      <c r="Q567" s="9" t="str">
        <f t="shared" si="428"/>
        <v/>
      </c>
      <c r="R567" s="14">
        <f t="shared" si="429"/>
        <v>0</v>
      </c>
      <c r="S567" s="61" t="str">
        <f t="shared" si="430"/>
        <v/>
      </c>
      <c r="T567" s="14">
        <f t="shared" si="431"/>
        <v>0</v>
      </c>
      <c r="U567" s="58" t="str">
        <f t="shared" si="432"/>
        <v/>
      </c>
      <c r="V567" s="14">
        <f t="shared" si="433"/>
        <v>0</v>
      </c>
      <c r="W567" s="58" t="str">
        <f t="shared" si="434"/>
        <v/>
      </c>
      <c r="X567" s="14">
        <f t="shared" si="435"/>
        <v>0</v>
      </c>
      <c r="Y567" s="58" t="str">
        <f t="shared" si="436"/>
        <v/>
      </c>
      <c r="Z567" s="31">
        <f t="shared" si="437"/>
        <v>0</v>
      </c>
      <c r="AA567" s="21">
        <f t="shared" si="438"/>
        <v>0</v>
      </c>
      <c r="AB567" s="58" t="str">
        <f t="shared" si="439"/>
        <v/>
      </c>
      <c r="AC567" s="630">
        <f t="shared" si="416"/>
        <v>0</v>
      </c>
      <c r="AD567" s="627"/>
      <c r="AE567" s="21">
        <f t="shared" si="440"/>
        <v>0</v>
      </c>
      <c r="AF567" s="58" t="str">
        <f t="shared" si="441"/>
        <v/>
      </c>
      <c r="AG567" s="21">
        <f t="shared" si="442"/>
        <v>0</v>
      </c>
      <c r="AH567" s="58" t="str">
        <f t="shared" si="443"/>
        <v/>
      </c>
      <c r="AI567" s="21">
        <f t="shared" si="444"/>
        <v>0</v>
      </c>
      <c r="AJ567" s="58" t="str">
        <f t="shared" si="445"/>
        <v/>
      </c>
      <c r="AK567" s="31">
        <f t="shared" si="446"/>
        <v>0</v>
      </c>
      <c r="AL567" s="21">
        <f t="shared" si="447"/>
        <v>0</v>
      </c>
      <c r="AM567" s="62" t="str">
        <f t="shared" si="448"/>
        <v/>
      </c>
      <c r="AN567" s="21">
        <f t="shared" si="449"/>
        <v>0</v>
      </c>
      <c r="AO567" s="62" t="str">
        <f t="shared" si="450"/>
        <v/>
      </c>
      <c r="AP567" s="21">
        <f t="shared" si="451"/>
        <v>0</v>
      </c>
      <c r="AQ567" s="62" t="str">
        <f t="shared" si="452"/>
        <v/>
      </c>
      <c r="AR567" s="31">
        <f t="shared" si="453"/>
        <v>0</v>
      </c>
      <c r="AS567" s="21">
        <f t="shared" si="454"/>
        <v>0</v>
      </c>
      <c r="AT567" s="62" t="str">
        <f t="shared" si="455"/>
        <v/>
      </c>
      <c r="AU567" s="84">
        <f t="shared" si="456"/>
        <v>0</v>
      </c>
      <c r="AV567" s="32">
        <f t="shared" si="457"/>
        <v>0</v>
      </c>
      <c r="AW567" s="85" t="str">
        <f t="shared" si="458"/>
        <v/>
      </c>
      <c r="AX567" s="86" t="str">
        <f t="shared" si="459"/>
        <v/>
      </c>
    </row>
    <row r="568" spans="1:50" x14ac:dyDescent="0.2">
      <c r="A568" s="29" t="str">
        <f t="shared" si="417"/>
        <v/>
      </c>
      <c r="B568" s="32" t="str">
        <f t="shared" si="418"/>
        <v/>
      </c>
      <c r="C568" s="35"/>
      <c r="D568" s="33" t="str">
        <f t="shared" si="419"/>
        <v/>
      </c>
      <c r="E568" s="22" t="str">
        <f t="shared" si="420"/>
        <v/>
      </c>
      <c r="F568" s="23" t="str">
        <f t="shared" si="421"/>
        <v/>
      </c>
      <c r="G568" s="23"/>
      <c r="H568" s="22"/>
      <c r="I568" s="23"/>
      <c r="J568" s="18"/>
      <c r="K568" s="13" t="str">
        <f t="shared" si="422"/>
        <v/>
      </c>
      <c r="L568" s="28" t="str">
        <f t="shared" si="423"/>
        <v/>
      </c>
      <c r="M568" s="10" t="str">
        <f t="shared" si="424"/>
        <v/>
      </c>
      <c r="N568" s="17" t="str">
        <f t="shared" si="425"/>
        <v/>
      </c>
      <c r="O568" s="39" t="str">
        <f t="shared" si="426"/>
        <v/>
      </c>
      <c r="P568" s="41" t="str">
        <f t="shared" si="427"/>
        <v/>
      </c>
      <c r="Q568" s="9" t="str">
        <f t="shared" si="428"/>
        <v/>
      </c>
      <c r="R568" s="14">
        <f t="shared" si="429"/>
        <v>0</v>
      </c>
      <c r="S568" s="61" t="str">
        <f t="shared" si="430"/>
        <v/>
      </c>
      <c r="T568" s="14">
        <f t="shared" si="431"/>
        <v>0</v>
      </c>
      <c r="U568" s="58" t="str">
        <f t="shared" si="432"/>
        <v/>
      </c>
      <c r="V568" s="14">
        <f t="shared" si="433"/>
        <v>0</v>
      </c>
      <c r="W568" s="58" t="str">
        <f t="shared" si="434"/>
        <v/>
      </c>
      <c r="X568" s="14">
        <f t="shared" si="435"/>
        <v>0</v>
      </c>
      <c r="Y568" s="58" t="str">
        <f t="shared" si="436"/>
        <v/>
      </c>
      <c r="Z568" s="31">
        <f t="shared" si="437"/>
        <v>0</v>
      </c>
      <c r="AA568" s="21">
        <f t="shared" si="438"/>
        <v>0</v>
      </c>
      <c r="AB568" s="58" t="str">
        <f t="shared" si="439"/>
        <v/>
      </c>
      <c r="AC568" s="630">
        <f t="shared" si="416"/>
        <v>0</v>
      </c>
      <c r="AD568" s="627"/>
      <c r="AE568" s="21">
        <f t="shared" si="440"/>
        <v>0</v>
      </c>
      <c r="AF568" s="58" t="str">
        <f t="shared" si="441"/>
        <v/>
      </c>
      <c r="AG568" s="21">
        <f t="shared" si="442"/>
        <v>0</v>
      </c>
      <c r="AH568" s="58" t="str">
        <f t="shared" si="443"/>
        <v/>
      </c>
      <c r="AI568" s="21">
        <f t="shared" si="444"/>
        <v>0</v>
      </c>
      <c r="AJ568" s="58" t="str">
        <f t="shared" si="445"/>
        <v/>
      </c>
      <c r="AK568" s="31">
        <f t="shared" si="446"/>
        <v>0</v>
      </c>
      <c r="AL568" s="21">
        <f t="shared" si="447"/>
        <v>0</v>
      </c>
      <c r="AM568" s="62" t="str">
        <f t="shared" si="448"/>
        <v/>
      </c>
      <c r="AN568" s="21">
        <f t="shared" si="449"/>
        <v>0</v>
      </c>
      <c r="AO568" s="62" t="str">
        <f t="shared" si="450"/>
        <v/>
      </c>
      <c r="AP568" s="21">
        <f t="shared" si="451"/>
        <v>0</v>
      </c>
      <c r="AQ568" s="62" t="str">
        <f t="shared" si="452"/>
        <v/>
      </c>
      <c r="AR568" s="31">
        <f t="shared" si="453"/>
        <v>0</v>
      </c>
      <c r="AS568" s="21">
        <f t="shared" si="454"/>
        <v>0</v>
      </c>
      <c r="AT568" s="62" t="str">
        <f t="shared" si="455"/>
        <v/>
      </c>
      <c r="AU568" s="84">
        <f t="shared" si="456"/>
        <v>0</v>
      </c>
      <c r="AV568" s="32">
        <f t="shared" si="457"/>
        <v>0</v>
      </c>
      <c r="AW568" s="85" t="str">
        <f t="shared" si="458"/>
        <v/>
      </c>
      <c r="AX568" s="86" t="str">
        <f t="shared" si="459"/>
        <v/>
      </c>
    </row>
    <row r="569" spans="1:50" x14ac:dyDescent="0.2">
      <c r="A569" s="29" t="str">
        <f t="shared" si="417"/>
        <v/>
      </c>
      <c r="B569" s="32" t="str">
        <f t="shared" si="418"/>
        <v/>
      </c>
      <c r="C569" s="35"/>
      <c r="D569" s="33" t="str">
        <f t="shared" si="419"/>
        <v/>
      </c>
      <c r="E569" s="22" t="str">
        <f t="shared" si="420"/>
        <v/>
      </c>
      <c r="F569" s="23" t="str">
        <f t="shared" si="421"/>
        <v/>
      </c>
      <c r="G569" s="23"/>
      <c r="H569" s="22"/>
      <c r="I569" s="23"/>
      <c r="J569" s="18"/>
      <c r="K569" s="13" t="str">
        <f t="shared" si="422"/>
        <v/>
      </c>
      <c r="L569" s="28" t="str">
        <f t="shared" si="423"/>
        <v/>
      </c>
      <c r="M569" s="10" t="str">
        <f t="shared" si="424"/>
        <v/>
      </c>
      <c r="N569" s="17" t="str">
        <f t="shared" si="425"/>
        <v/>
      </c>
      <c r="O569" s="39" t="str">
        <f t="shared" si="426"/>
        <v/>
      </c>
      <c r="P569" s="41" t="str">
        <f t="shared" si="427"/>
        <v/>
      </c>
      <c r="Q569" s="9" t="str">
        <f t="shared" si="428"/>
        <v/>
      </c>
      <c r="R569" s="14">
        <f t="shared" si="429"/>
        <v>0</v>
      </c>
      <c r="S569" s="61" t="str">
        <f t="shared" si="430"/>
        <v/>
      </c>
      <c r="T569" s="14">
        <f t="shared" si="431"/>
        <v>0</v>
      </c>
      <c r="U569" s="58" t="str">
        <f t="shared" si="432"/>
        <v/>
      </c>
      <c r="V569" s="14">
        <f t="shared" si="433"/>
        <v>0</v>
      </c>
      <c r="W569" s="58" t="str">
        <f t="shared" si="434"/>
        <v/>
      </c>
      <c r="X569" s="14">
        <f t="shared" si="435"/>
        <v>0</v>
      </c>
      <c r="Y569" s="58" t="str">
        <f t="shared" si="436"/>
        <v/>
      </c>
      <c r="Z569" s="31">
        <f t="shared" si="437"/>
        <v>0</v>
      </c>
      <c r="AA569" s="21">
        <f t="shared" si="438"/>
        <v>0</v>
      </c>
      <c r="AB569" s="58" t="str">
        <f t="shared" si="439"/>
        <v/>
      </c>
      <c r="AC569" s="630">
        <f t="shared" si="416"/>
        <v>0</v>
      </c>
      <c r="AD569" s="627"/>
      <c r="AE569" s="21">
        <f t="shared" si="440"/>
        <v>0</v>
      </c>
      <c r="AF569" s="58" t="str">
        <f t="shared" si="441"/>
        <v/>
      </c>
      <c r="AG569" s="21">
        <f t="shared" si="442"/>
        <v>0</v>
      </c>
      <c r="AH569" s="58" t="str">
        <f t="shared" si="443"/>
        <v/>
      </c>
      <c r="AI569" s="21">
        <f t="shared" si="444"/>
        <v>0</v>
      </c>
      <c r="AJ569" s="58" t="str">
        <f t="shared" si="445"/>
        <v/>
      </c>
      <c r="AK569" s="31">
        <f t="shared" si="446"/>
        <v>0</v>
      </c>
      <c r="AL569" s="21">
        <f t="shared" si="447"/>
        <v>0</v>
      </c>
      <c r="AM569" s="62" t="str">
        <f t="shared" si="448"/>
        <v/>
      </c>
      <c r="AN569" s="21">
        <f t="shared" si="449"/>
        <v>0</v>
      </c>
      <c r="AO569" s="62" t="str">
        <f t="shared" si="450"/>
        <v/>
      </c>
      <c r="AP569" s="21">
        <f t="shared" si="451"/>
        <v>0</v>
      </c>
      <c r="AQ569" s="62" t="str">
        <f t="shared" si="452"/>
        <v/>
      </c>
      <c r="AR569" s="31">
        <f t="shared" si="453"/>
        <v>0</v>
      </c>
      <c r="AS569" s="21">
        <f t="shared" si="454"/>
        <v>0</v>
      </c>
      <c r="AT569" s="62" t="str">
        <f t="shared" si="455"/>
        <v/>
      </c>
      <c r="AU569" s="84">
        <f t="shared" si="456"/>
        <v>0</v>
      </c>
      <c r="AV569" s="32">
        <f t="shared" si="457"/>
        <v>0</v>
      </c>
      <c r="AW569" s="85" t="str">
        <f t="shared" si="458"/>
        <v/>
      </c>
      <c r="AX569" s="86" t="str">
        <f t="shared" si="459"/>
        <v/>
      </c>
    </row>
    <row r="570" spans="1:50" x14ac:dyDescent="0.2">
      <c r="A570" s="29" t="str">
        <f t="shared" si="417"/>
        <v/>
      </c>
      <c r="B570" s="32" t="str">
        <f t="shared" si="418"/>
        <v/>
      </c>
      <c r="C570" s="35"/>
      <c r="D570" s="33" t="str">
        <f t="shared" si="419"/>
        <v/>
      </c>
      <c r="E570" s="22" t="str">
        <f t="shared" si="420"/>
        <v/>
      </c>
      <c r="F570" s="23" t="str">
        <f t="shared" si="421"/>
        <v/>
      </c>
      <c r="G570" s="23"/>
      <c r="H570" s="22"/>
      <c r="I570" s="23"/>
      <c r="J570" s="18"/>
      <c r="K570" s="13" t="str">
        <f t="shared" si="422"/>
        <v/>
      </c>
      <c r="L570" s="28" t="str">
        <f t="shared" si="423"/>
        <v/>
      </c>
      <c r="M570" s="10" t="str">
        <f t="shared" si="424"/>
        <v/>
      </c>
      <c r="N570" s="17" t="str">
        <f t="shared" si="425"/>
        <v/>
      </c>
      <c r="O570" s="39" t="str">
        <f t="shared" si="426"/>
        <v/>
      </c>
      <c r="P570" s="41" t="str">
        <f t="shared" si="427"/>
        <v/>
      </c>
      <c r="Q570" s="9" t="str">
        <f t="shared" si="428"/>
        <v/>
      </c>
      <c r="R570" s="14">
        <f t="shared" si="429"/>
        <v>0</v>
      </c>
      <c r="S570" s="61" t="str">
        <f t="shared" si="430"/>
        <v/>
      </c>
      <c r="T570" s="14">
        <f t="shared" si="431"/>
        <v>0</v>
      </c>
      <c r="U570" s="58" t="str">
        <f t="shared" si="432"/>
        <v/>
      </c>
      <c r="V570" s="14">
        <f t="shared" si="433"/>
        <v>0</v>
      </c>
      <c r="W570" s="58" t="str">
        <f t="shared" si="434"/>
        <v/>
      </c>
      <c r="X570" s="14">
        <f t="shared" si="435"/>
        <v>0</v>
      </c>
      <c r="Y570" s="58" t="str">
        <f t="shared" si="436"/>
        <v/>
      </c>
      <c r="Z570" s="31">
        <f t="shared" si="437"/>
        <v>0</v>
      </c>
      <c r="AA570" s="21">
        <f t="shared" si="438"/>
        <v>0</v>
      </c>
      <c r="AB570" s="58" t="str">
        <f t="shared" si="439"/>
        <v/>
      </c>
      <c r="AC570" s="630">
        <f t="shared" si="416"/>
        <v>0</v>
      </c>
      <c r="AD570" s="627"/>
      <c r="AE570" s="21">
        <f t="shared" si="440"/>
        <v>0</v>
      </c>
      <c r="AF570" s="58" t="str">
        <f t="shared" si="441"/>
        <v/>
      </c>
      <c r="AG570" s="21">
        <f t="shared" si="442"/>
        <v>0</v>
      </c>
      <c r="AH570" s="58" t="str">
        <f t="shared" si="443"/>
        <v/>
      </c>
      <c r="AI570" s="21">
        <f t="shared" si="444"/>
        <v>0</v>
      </c>
      <c r="AJ570" s="58" t="str">
        <f t="shared" si="445"/>
        <v/>
      </c>
      <c r="AK570" s="31">
        <f t="shared" si="446"/>
        <v>0</v>
      </c>
      <c r="AL570" s="21">
        <f t="shared" si="447"/>
        <v>0</v>
      </c>
      <c r="AM570" s="62" t="str">
        <f t="shared" si="448"/>
        <v/>
      </c>
      <c r="AN570" s="21">
        <f t="shared" si="449"/>
        <v>0</v>
      </c>
      <c r="AO570" s="62" t="str">
        <f t="shared" si="450"/>
        <v/>
      </c>
      <c r="AP570" s="21">
        <f t="shared" si="451"/>
        <v>0</v>
      </c>
      <c r="AQ570" s="62" t="str">
        <f t="shared" si="452"/>
        <v/>
      </c>
      <c r="AR570" s="31">
        <f t="shared" si="453"/>
        <v>0</v>
      </c>
      <c r="AS570" s="21">
        <f t="shared" si="454"/>
        <v>0</v>
      </c>
      <c r="AT570" s="62" t="str">
        <f t="shared" si="455"/>
        <v/>
      </c>
      <c r="AU570" s="84">
        <f t="shared" si="456"/>
        <v>0</v>
      </c>
      <c r="AV570" s="32">
        <f t="shared" si="457"/>
        <v>0</v>
      </c>
      <c r="AW570" s="85" t="str">
        <f t="shared" si="458"/>
        <v/>
      </c>
      <c r="AX570" s="86" t="str">
        <f t="shared" si="459"/>
        <v/>
      </c>
    </row>
    <row r="571" spans="1:50" x14ac:dyDescent="0.2">
      <c r="A571" s="29" t="str">
        <f t="shared" si="417"/>
        <v/>
      </c>
      <c r="B571" s="32" t="str">
        <f t="shared" si="418"/>
        <v/>
      </c>
      <c r="C571" s="35"/>
      <c r="D571" s="33" t="str">
        <f t="shared" si="419"/>
        <v/>
      </c>
      <c r="E571" s="22" t="str">
        <f t="shared" si="420"/>
        <v/>
      </c>
      <c r="F571" s="23" t="str">
        <f t="shared" si="421"/>
        <v/>
      </c>
      <c r="G571" s="23"/>
      <c r="H571" s="22"/>
      <c r="I571" s="23"/>
      <c r="J571" s="18"/>
      <c r="K571" s="13" t="str">
        <f t="shared" si="422"/>
        <v/>
      </c>
      <c r="L571" s="28" t="str">
        <f t="shared" si="423"/>
        <v/>
      </c>
      <c r="M571" s="10" t="str">
        <f t="shared" si="424"/>
        <v/>
      </c>
      <c r="N571" s="17" t="str">
        <f t="shared" si="425"/>
        <v/>
      </c>
      <c r="O571" s="39" t="str">
        <f t="shared" si="426"/>
        <v/>
      </c>
      <c r="P571" s="41" t="str">
        <f t="shared" si="427"/>
        <v/>
      </c>
      <c r="Q571" s="9" t="str">
        <f t="shared" si="428"/>
        <v/>
      </c>
      <c r="R571" s="14">
        <f t="shared" si="429"/>
        <v>0</v>
      </c>
      <c r="S571" s="61" t="str">
        <f t="shared" si="430"/>
        <v/>
      </c>
      <c r="T571" s="14">
        <f t="shared" si="431"/>
        <v>0</v>
      </c>
      <c r="U571" s="58" t="str">
        <f t="shared" si="432"/>
        <v/>
      </c>
      <c r="V571" s="14">
        <f t="shared" si="433"/>
        <v>0</v>
      </c>
      <c r="W571" s="58" t="str">
        <f t="shared" si="434"/>
        <v/>
      </c>
      <c r="X571" s="14">
        <f t="shared" si="435"/>
        <v>0</v>
      </c>
      <c r="Y571" s="58" t="str">
        <f t="shared" si="436"/>
        <v/>
      </c>
      <c r="Z571" s="31">
        <f t="shared" si="437"/>
        <v>0</v>
      </c>
      <c r="AA571" s="21">
        <f t="shared" si="438"/>
        <v>0</v>
      </c>
      <c r="AB571" s="58" t="str">
        <f t="shared" si="439"/>
        <v/>
      </c>
      <c r="AC571" s="630">
        <f t="shared" si="416"/>
        <v>0</v>
      </c>
      <c r="AD571" s="627"/>
      <c r="AE571" s="21">
        <f t="shared" si="440"/>
        <v>0</v>
      </c>
      <c r="AF571" s="58" t="str">
        <f t="shared" si="441"/>
        <v/>
      </c>
      <c r="AG571" s="21">
        <f t="shared" si="442"/>
        <v>0</v>
      </c>
      <c r="AH571" s="58" t="str">
        <f t="shared" si="443"/>
        <v/>
      </c>
      <c r="AI571" s="21">
        <f t="shared" si="444"/>
        <v>0</v>
      </c>
      <c r="AJ571" s="58" t="str">
        <f t="shared" si="445"/>
        <v/>
      </c>
      <c r="AK571" s="31">
        <f t="shared" si="446"/>
        <v>0</v>
      </c>
      <c r="AL571" s="21">
        <f t="shared" si="447"/>
        <v>0</v>
      </c>
      <c r="AM571" s="62" t="str">
        <f t="shared" si="448"/>
        <v/>
      </c>
      <c r="AN571" s="21">
        <f t="shared" si="449"/>
        <v>0</v>
      </c>
      <c r="AO571" s="62" t="str">
        <f t="shared" si="450"/>
        <v/>
      </c>
      <c r="AP571" s="21">
        <f t="shared" si="451"/>
        <v>0</v>
      </c>
      <c r="AQ571" s="62" t="str">
        <f t="shared" si="452"/>
        <v/>
      </c>
      <c r="AR571" s="31">
        <f t="shared" si="453"/>
        <v>0</v>
      </c>
      <c r="AS571" s="21">
        <f t="shared" si="454"/>
        <v>0</v>
      </c>
      <c r="AT571" s="62" t="str">
        <f t="shared" si="455"/>
        <v/>
      </c>
      <c r="AU571" s="84">
        <f t="shared" si="456"/>
        <v>0</v>
      </c>
      <c r="AV571" s="32">
        <f t="shared" si="457"/>
        <v>0</v>
      </c>
      <c r="AW571" s="85" t="str">
        <f t="shared" si="458"/>
        <v/>
      </c>
      <c r="AX571" s="86" t="str">
        <f t="shared" si="459"/>
        <v/>
      </c>
    </row>
    <row r="572" spans="1:50" x14ac:dyDescent="0.2">
      <c r="A572" s="29" t="str">
        <f t="shared" si="417"/>
        <v/>
      </c>
      <c r="B572" s="32" t="str">
        <f t="shared" si="418"/>
        <v/>
      </c>
      <c r="C572" s="35"/>
      <c r="D572" s="33" t="str">
        <f t="shared" si="419"/>
        <v/>
      </c>
      <c r="E572" s="22" t="str">
        <f t="shared" si="420"/>
        <v/>
      </c>
      <c r="F572" s="23" t="str">
        <f t="shared" si="421"/>
        <v/>
      </c>
      <c r="G572" s="23"/>
      <c r="H572" s="22"/>
      <c r="I572" s="23"/>
      <c r="J572" s="18"/>
      <c r="K572" s="13" t="str">
        <f t="shared" si="422"/>
        <v/>
      </c>
      <c r="L572" s="28" t="str">
        <f t="shared" si="423"/>
        <v/>
      </c>
      <c r="M572" s="10" t="str">
        <f t="shared" si="424"/>
        <v/>
      </c>
      <c r="N572" s="17" t="str">
        <f t="shared" si="425"/>
        <v/>
      </c>
      <c r="O572" s="39" t="str">
        <f t="shared" si="426"/>
        <v/>
      </c>
      <c r="P572" s="41" t="str">
        <f t="shared" si="427"/>
        <v/>
      </c>
      <c r="Q572" s="9" t="str">
        <f t="shared" si="428"/>
        <v/>
      </c>
      <c r="R572" s="14">
        <f t="shared" si="429"/>
        <v>0</v>
      </c>
      <c r="S572" s="61" t="str">
        <f t="shared" si="430"/>
        <v/>
      </c>
      <c r="T572" s="14">
        <f t="shared" si="431"/>
        <v>0</v>
      </c>
      <c r="U572" s="58" t="str">
        <f t="shared" si="432"/>
        <v/>
      </c>
      <c r="V572" s="14">
        <f t="shared" si="433"/>
        <v>0</v>
      </c>
      <c r="W572" s="58" t="str">
        <f t="shared" si="434"/>
        <v/>
      </c>
      <c r="X572" s="14">
        <f t="shared" si="435"/>
        <v>0</v>
      </c>
      <c r="Y572" s="58" t="str">
        <f t="shared" si="436"/>
        <v/>
      </c>
      <c r="Z572" s="31">
        <f t="shared" si="437"/>
        <v>0</v>
      </c>
      <c r="AA572" s="21">
        <f t="shared" si="438"/>
        <v>0</v>
      </c>
      <c r="AB572" s="58" t="str">
        <f t="shared" si="439"/>
        <v/>
      </c>
      <c r="AC572" s="630">
        <f t="shared" si="416"/>
        <v>0</v>
      </c>
      <c r="AD572" s="627"/>
      <c r="AE572" s="21">
        <f t="shared" si="440"/>
        <v>0</v>
      </c>
      <c r="AF572" s="58" t="str">
        <f t="shared" si="441"/>
        <v/>
      </c>
      <c r="AG572" s="21">
        <f t="shared" si="442"/>
        <v>0</v>
      </c>
      <c r="AH572" s="58" t="str">
        <f t="shared" si="443"/>
        <v/>
      </c>
      <c r="AI572" s="21">
        <f t="shared" si="444"/>
        <v>0</v>
      </c>
      <c r="AJ572" s="58" t="str">
        <f t="shared" si="445"/>
        <v/>
      </c>
      <c r="AK572" s="31">
        <f t="shared" si="446"/>
        <v>0</v>
      </c>
      <c r="AL572" s="21">
        <f t="shared" si="447"/>
        <v>0</v>
      </c>
      <c r="AM572" s="62" t="str">
        <f t="shared" si="448"/>
        <v/>
      </c>
      <c r="AN572" s="21">
        <f t="shared" si="449"/>
        <v>0</v>
      </c>
      <c r="AO572" s="62" t="str">
        <f t="shared" si="450"/>
        <v/>
      </c>
      <c r="AP572" s="21">
        <f t="shared" si="451"/>
        <v>0</v>
      </c>
      <c r="AQ572" s="62" t="str">
        <f t="shared" si="452"/>
        <v/>
      </c>
      <c r="AR572" s="31">
        <f t="shared" si="453"/>
        <v>0</v>
      </c>
      <c r="AS572" s="21">
        <f t="shared" si="454"/>
        <v>0</v>
      </c>
      <c r="AT572" s="62" t="str">
        <f t="shared" si="455"/>
        <v/>
      </c>
      <c r="AU572" s="84">
        <f t="shared" si="456"/>
        <v>0</v>
      </c>
      <c r="AV572" s="32">
        <f t="shared" si="457"/>
        <v>0</v>
      </c>
      <c r="AW572" s="85" t="str">
        <f t="shared" si="458"/>
        <v/>
      </c>
      <c r="AX572" s="86" t="str">
        <f t="shared" si="459"/>
        <v/>
      </c>
    </row>
    <row r="573" spans="1:50" x14ac:dyDescent="0.2">
      <c r="A573" s="29" t="str">
        <f t="shared" si="417"/>
        <v/>
      </c>
      <c r="B573" s="32" t="str">
        <f t="shared" si="418"/>
        <v/>
      </c>
      <c r="C573" s="35"/>
      <c r="D573" s="33" t="str">
        <f t="shared" si="419"/>
        <v/>
      </c>
      <c r="E573" s="22" t="str">
        <f t="shared" si="420"/>
        <v/>
      </c>
      <c r="F573" s="23" t="str">
        <f t="shared" si="421"/>
        <v/>
      </c>
      <c r="G573" s="23"/>
      <c r="H573" s="22"/>
      <c r="I573" s="23"/>
      <c r="J573" s="18"/>
      <c r="K573" s="13" t="str">
        <f t="shared" si="422"/>
        <v/>
      </c>
      <c r="L573" s="28" t="str">
        <f t="shared" si="423"/>
        <v/>
      </c>
      <c r="M573" s="10" t="str">
        <f t="shared" si="424"/>
        <v/>
      </c>
      <c r="N573" s="17" t="str">
        <f t="shared" si="425"/>
        <v/>
      </c>
      <c r="O573" s="39" t="str">
        <f t="shared" si="426"/>
        <v/>
      </c>
      <c r="P573" s="41" t="str">
        <f t="shared" si="427"/>
        <v/>
      </c>
      <c r="Q573" s="9" t="str">
        <f t="shared" si="428"/>
        <v/>
      </c>
      <c r="R573" s="14">
        <f t="shared" si="429"/>
        <v>0</v>
      </c>
      <c r="S573" s="61" t="str">
        <f t="shared" si="430"/>
        <v/>
      </c>
      <c r="T573" s="14">
        <f t="shared" si="431"/>
        <v>0</v>
      </c>
      <c r="U573" s="58" t="str">
        <f t="shared" si="432"/>
        <v/>
      </c>
      <c r="V573" s="14">
        <f t="shared" si="433"/>
        <v>0</v>
      </c>
      <c r="W573" s="58" t="str">
        <f t="shared" si="434"/>
        <v/>
      </c>
      <c r="X573" s="14">
        <f t="shared" si="435"/>
        <v>0</v>
      </c>
      <c r="Y573" s="58" t="str">
        <f t="shared" si="436"/>
        <v/>
      </c>
      <c r="Z573" s="31">
        <f t="shared" si="437"/>
        <v>0</v>
      </c>
      <c r="AA573" s="21">
        <f t="shared" si="438"/>
        <v>0</v>
      </c>
      <c r="AB573" s="58" t="str">
        <f t="shared" si="439"/>
        <v/>
      </c>
      <c r="AC573" s="630">
        <f t="shared" si="416"/>
        <v>0</v>
      </c>
      <c r="AD573" s="627"/>
      <c r="AE573" s="21">
        <f t="shared" si="440"/>
        <v>0</v>
      </c>
      <c r="AF573" s="58" t="str">
        <f t="shared" si="441"/>
        <v/>
      </c>
      <c r="AG573" s="21">
        <f t="shared" si="442"/>
        <v>0</v>
      </c>
      <c r="AH573" s="58" t="str">
        <f t="shared" si="443"/>
        <v/>
      </c>
      <c r="AI573" s="21">
        <f t="shared" si="444"/>
        <v>0</v>
      </c>
      <c r="AJ573" s="58" t="str">
        <f t="shared" si="445"/>
        <v/>
      </c>
      <c r="AK573" s="31">
        <f t="shared" si="446"/>
        <v>0</v>
      </c>
      <c r="AL573" s="21">
        <f t="shared" si="447"/>
        <v>0</v>
      </c>
      <c r="AM573" s="62" t="str">
        <f t="shared" si="448"/>
        <v/>
      </c>
      <c r="AN573" s="21">
        <f t="shared" si="449"/>
        <v>0</v>
      </c>
      <c r="AO573" s="62" t="str">
        <f t="shared" si="450"/>
        <v/>
      </c>
      <c r="AP573" s="21">
        <f t="shared" si="451"/>
        <v>0</v>
      </c>
      <c r="AQ573" s="62" t="str">
        <f t="shared" si="452"/>
        <v/>
      </c>
      <c r="AR573" s="31">
        <f t="shared" si="453"/>
        <v>0</v>
      </c>
      <c r="AS573" s="21">
        <f t="shared" si="454"/>
        <v>0</v>
      </c>
      <c r="AT573" s="62" t="str">
        <f t="shared" si="455"/>
        <v/>
      </c>
      <c r="AU573" s="84">
        <f t="shared" si="456"/>
        <v>0</v>
      </c>
      <c r="AV573" s="32">
        <f t="shared" si="457"/>
        <v>0</v>
      </c>
      <c r="AW573" s="85" t="str">
        <f t="shared" si="458"/>
        <v/>
      </c>
      <c r="AX573" s="86" t="str">
        <f t="shared" si="459"/>
        <v/>
      </c>
    </row>
    <row r="574" spans="1:50" x14ac:dyDescent="0.2">
      <c r="A574" s="29" t="str">
        <f t="shared" si="417"/>
        <v/>
      </c>
      <c r="B574" s="32" t="str">
        <f t="shared" si="418"/>
        <v/>
      </c>
      <c r="C574" s="35"/>
      <c r="D574" s="33" t="str">
        <f t="shared" si="419"/>
        <v/>
      </c>
      <c r="E574" s="22" t="str">
        <f t="shared" si="420"/>
        <v/>
      </c>
      <c r="F574" s="23" t="str">
        <f t="shared" si="421"/>
        <v/>
      </c>
      <c r="G574" s="23"/>
      <c r="H574" s="22"/>
      <c r="I574" s="23"/>
      <c r="J574" s="18"/>
      <c r="K574" s="13" t="str">
        <f t="shared" si="422"/>
        <v/>
      </c>
      <c r="L574" s="28" t="str">
        <f t="shared" si="423"/>
        <v/>
      </c>
      <c r="M574" s="10" t="str">
        <f t="shared" si="424"/>
        <v/>
      </c>
      <c r="N574" s="17" t="str">
        <f t="shared" si="425"/>
        <v/>
      </c>
      <c r="O574" s="39" t="str">
        <f t="shared" si="426"/>
        <v/>
      </c>
      <c r="P574" s="41" t="str">
        <f t="shared" si="427"/>
        <v/>
      </c>
      <c r="Q574" s="9" t="str">
        <f t="shared" si="428"/>
        <v/>
      </c>
      <c r="R574" s="14">
        <f t="shared" si="429"/>
        <v>0</v>
      </c>
      <c r="S574" s="61" t="str">
        <f t="shared" si="430"/>
        <v/>
      </c>
      <c r="T574" s="14">
        <f t="shared" si="431"/>
        <v>0</v>
      </c>
      <c r="U574" s="58" t="str">
        <f t="shared" si="432"/>
        <v/>
      </c>
      <c r="V574" s="14">
        <f t="shared" si="433"/>
        <v>0</v>
      </c>
      <c r="W574" s="58" t="str">
        <f t="shared" si="434"/>
        <v/>
      </c>
      <c r="X574" s="14">
        <f t="shared" si="435"/>
        <v>0</v>
      </c>
      <c r="Y574" s="58" t="str">
        <f t="shared" si="436"/>
        <v/>
      </c>
      <c r="Z574" s="31">
        <f t="shared" si="437"/>
        <v>0</v>
      </c>
      <c r="AA574" s="21">
        <f t="shared" si="438"/>
        <v>0</v>
      </c>
      <c r="AB574" s="58" t="str">
        <f t="shared" si="439"/>
        <v/>
      </c>
      <c r="AC574" s="630">
        <f t="shared" si="416"/>
        <v>0</v>
      </c>
      <c r="AD574" s="627"/>
      <c r="AE574" s="21">
        <f t="shared" si="440"/>
        <v>0</v>
      </c>
      <c r="AF574" s="58" t="str">
        <f t="shared" si="441"/>
        <v/>
      </c>
      <c r="AG574" s="21">
        <f t="shared" si="442"/>
        <v>0</v>
      </c>
      <c r="AH574" s="58" t="str">
        <f t="shared" si="443"/>
        <v/>
      </c>
      <c r="AI574" s="21">
        <f t="shared" si="444"/>
        <v>0</v>
      </c>
      <c r="AJ574" s="58" t="str">
        <f t="shared" si="445"/>
        <v/>
      </c>
      <c r="AK574" s="31">
        <f t="shared" si="446"/>
        <v>0</v>
      </c>
      <c r="AL574" s="21">
        <f t="shared" si="447"/>
        <v>0</v>
      </c>
      <c r="AM574" s="62" t="str">
        <f t="shared" si="448"/>
        <v/>
      </c>
      <c r="AN574" s="21">
        <f t="shared" si="449"/>
        <v>0</v>
      </c>
      <c r="AO574" s="62" t="str">
        <f t="shared" si="450"/>
        <v/>
      </c>
      <c r="AP574" s="21">
        <f t="shared" si="451"/>
        <v>0</v>
      </c>
      <c r="AQ574" s="62" t="str">
        <f t="shared" si="452"/>
        <v/>
      </c>
      <c r="AR574" s="31">
        <f t="shared" si="453"/>
        <v>0</v>
      </c>
      <c r="AS574" s="21">
        <f t="shared" si="454"/>
        <v>0</v>
      </c>
      <c r="AT574" s="62" t="str">
        <f t="shared" si="455"/>
        <v/>
      </c>
      <c r="AU574" s="84">
        <f t="shared" si="456"/>
        <v>0</v>
      </c>
      <c r="AV574" s="32">
        <f t="shared" si="457"/>
        <v>0</v>
      </c>
      <c r="AW574" s="85" t="str">
        <f t="shared" si="458"/>
        <v/>
      </c>
      <c r="AX574" s="86" t="str">
        <f t="shared" si="459"/>
        <v/>
      </c>
    </row>
    <row r="575" spans="1:50" x14ac:dyDescent="0.2">
      <c r="A575" s="29" t="str">
        <f t="shared" si="417"/>
        <v/>
      </c>
      <c r="B575" s="32" t="str">
        <f t="shared" si="418"/>
        <v/>
      </c>
      <c r="C575" s="35"/>
      <c r="D575" s="33" t="str">
        <f t="shared" si="419"/>
        <v/>
      </c>
      <c r="E575" s="22" t="str">
        <f t="shared" si="420"/>
        <v/>
      </c>
      <c r="F575" s="23" t="str">
        <f t="shared" si="421"/>
        <v/>
      </c>
      <c r="G575" s="23"/>
      <c r="H575" s="22"/>
      <c r="I575" s="23"/>
      <c r="J575" s="18"/>
      <c r="K575" s="13" t="str">
        <f t="shared" si="422"/>
        <v/>
      </c>
      <c r="L575" s="28" t="str">
        <f t="shared" si="423"/>
        <v/>
      </c>
      <c r="M575" s="10" t="str">
        <f t="shared" si="424"/>
        <v/>
      </c>
      <c r="N575" s="17" t="str">
        <f t="shared" si="425"/>
        <v/>
      </c>
      <c r="O575" s="39" t="str">
        <f t="shared" si="426"/>
        <v/>
      </c>
      <c r="P575" s="41" t="str">
        <f t="shared" si="427"/>
        <v/>
      </c>
      <c r="Q575" s="9" t="str">
        <f t="shared" si="428"/>
        <v/>
      </c>
      <c r="R575" s="14">
        <f t="shared" si="429"/>
        <v>0</v>
      </c>
      <c r="S575" s="61" t="str">
        <f t="shared" si="430"/>
        <v/>
      </c>
      <c r="T575" s="14">
        <f t="shared" si="431"/>
        <v>0</v>
      </c>
      <c r="U575" s="58" t="str">
        <f t="shared" si="432"/>
        <v/>
      </c>
      <c r="V575" s="14">
        <f t="shared" si="433"/>
        <v>0</v>
      </c>
      <c r="W575" s="58" t="str">
        <f t="shared" si="434"/>
        <v/>
      </c>
      <c r="X575" s="14">
        <f t="shared" si="435"/>
        <v>0</v>
      </c>
      <c r="Y575" s="58" t="str">
        <f t="shared" si="436"/>
        <v/>
      </c>
      <c r="Z575" s="31">
        <f t="shared" si="437"/>
        <v>0</v>
      </c>
      <c r="AA575" s="21">
        <f t="shared" si="438"/>
        <v>0</v>
      </c>
      <c r="AB575" s="58" t="str">
        <f t="shared" si="439"/>
        <v/>
      </c>
      <c r="AC575" s="630">
        <f t="shared" si="416"/>
        <v>0</v>
      </c>
      <c r="AD575" s="627"/>
      <c r="AE575" s="21">
        <f t="shared" si="440"/>
        <v>0</v>
      </c>
      <c r="AF575" s="58" t="str">
        <f t="shared" si="441"/>
        <v/>
      </c>
      <c r="AG575" s="21">
        <f t="shared" si="442"/>
        <v>0</v>
      </c>
      <c r="AH575" s="58" t="str">
        <f t="shared" si="443"/>
        <v/>
      </c>
      <c r="AI575" s="21">
        <f t="shared" si="444"/>
        <v>0</v>
      </c>
      <c r="AJ575" s="58" t="str">
        <f t="shared" si="445"/>
        <v/>
      </c>
      <c r="AK575" s="31">
        <f t="shared" si="446"/>
        <v>0</v>
      </c>
      <c r="AL575" s="21">
        <f t="shared" si="447"/>
        <v>0</v>
      </c>
      <c r="AM575" s="62" t="str">
        <f t="shared" si="448"/>
        <v/>
      </c>
      <c r="AN575" s="21">
        <f t="shared" si="449"/>
        <v>0</v>
      </c>
      <c r="AO575" s="62" t="str">
        <f t="shared" si="450"/>
        <v/>
      </c>
      <c r="AP575" s="21">
        <f t="shared" si="451"/>
        <v>0</v>
      </c>
      <c r="AQ575" s="62" t="str">
        <f t="shared" si="452"/>
        <v/>
      </c>
      <c r="AR575" s="31">
        <f t="shared" si="453"/>
        <v>0</v>
      </c>
      <c r="AS575" s="21">
        <f t="shared" si="454"/>
        <v>0</v>
      </c>
      <c r="AT575" s="62" t="str">
        <f t="shared" si="455"/>
        <v/>
      </c>
      <c r="AU575" s="84">
        <f t="shared" si="456"/>
        <v>0</v>
      </c>
      <c r="AV575" s="32">
        <f t="shared" si="457"/>
        <v>0</v>
      </c>
      <c r="AW575" s="85" t="str">
        <f t="shared" si="458"/>
        <v/>
      </c>
      <c r="AX575" s="86" t="str">
        <f t="shared" si="459"/>
        <v/>
      </c>
    </row>
    <row r="576" spans="1:50" x14ac:dyDescent="0.2">
      <c r="A576" s="29" t="str">
        <f t="shared" si="417"/>
        <v/>
      </c>
      <c r="B576" s="32" t="str">
        <f t="shared" si="418"/>
        <v/>
      </c>
      <c r="C576" s="35"/>
      <c r="D576" s="33" t="str">
        <f t="shared" si="419"/>
        <v/>
      </c>
      <c r="E576" s="22" t="str">
        <f t="shared" si="420"/>
        <v/>
      </c>
      <c r="F576" s="23" t="str">
        <f t="shared" si="421"/>
        <v/>
      </c>
      <c r="G576" s="23"/>
      <c r="H576" s="22"/>
      <c r="I576" s="23"/>
      <c r="J576" s="18"/>
      <c r="K576" s="13" t="str">
        <f t="shared" si="422"/>
        <v/>
      </c>
      <c r="L576" s="28" t="str">
        <f t="shared" si="423"/>
        <v/>
      </c>
      <c r="M576" s="10" t="str">
        <f t="shared" si="424"/>
        <v/>
      </c>
      <c r="N576" s="17" t="str">
        <f t="shared" si="425"/>
        <v/>
      </c>
      <c r="O576" s="39" t="str">
        <f t="shared" si="426"/>
        <v/>
      </c>
      <c r="P576" s="41" t="str">
        <f t="shared" si="427"/>
        <v/>
      </c>
      <c r="Q576" s="9" t="str">
        <f t="shared" si="428"/>
        <v/>
      </c>
      <c r="R576" s="14">
        <f t="shared" si="429"/>
        <v>0</v>
      </c>
      <c r="S576" s="61" t="str">
        <f t="shared" si="430"/>
        <v/>
      </c>
      <c r="T576" s="14">
        <f t="shared" si="431"/>
        <v>0</v>
      </c>
      <c r="U576" s="58" t="str">
        <f t="shared" si="432"/>
        <v/>
      </c>
      <c r="V576" s="14">
        <f t="shared" si="433"/>
        <v>0</v>
      </c>
      <c r="W576" s="58" t="str">
        <f t="shared" si="434"/>
        <v/>
      </c>
      <c r="X576" s="14">
        <f t="shared" si="435"/>
        <v>0</v>
      </c>
      <c r="Y576" s="58" t="str">
        <f t="shared" si="436"/>
        <v/>
      </c>
      <c r="Z576" s="31">
        <f t="shared" si="437"/>
        <v>0</v>
      </c>
      <c r="AA576" s="21">
        <f t="shared" si="438"/>
        <v>0</v>
      </c>
      <c r="AB576" s="58" t="str">
        <f t="shared" si="439"/>
        <v/>
      </c>
      <c r="AC576" s="630">
        <f t="shared" si="416"/>
        <v>0</v>
      </c>
      <c r="AD576" s="627"/>
      <c r="AE576" s="21">
        <f t="shared" si="440"/>
        <v>0</v>
      </c>
      <c r="AF576" s="58" t="str">
        <f t="shared" si="441"/>
        <v/>
      </c>
      <c r="AG576" s="21">
        <f t="shared" si="442"/>
        <v>0</v>
      </c>
      <c r="AH576" s="58" t="str">
        <f t="shared" si="443"/>
        <v/>
      </c>
      <c r="AI576" s="21">
        <f t="shared" si="444"/>
        <v>0</v>
      </c>
      <c r="AJ576" s="58" t="str">
        <f t="shared" si="445"/>
        <v/>
      </c>
      <c r="AK576" s="31">
        <f t="shared" si="446"/>
        <v>0</v>
      </c>
      <c r="AL576" s="21">
        <f t="shared" si="447"/>
        <v>0</v>
      </c>
      <c r="AM576" s="62" t="str">
        <f t="shared" si="448"/>
        <v/>
      </c>
      <c r="AN576" s="21">
        <f t="shared" si="449"/>
        <v>0</v>
      </c>
      <c r="AO576" s="62" t="str">
        <f t="shared" si="450"/>
        <v/>
      </c>
      <c r="AP576" s="21">
        <f t="shared" si="451"/>
        <v>0</v>
      </c>
      <c r="AQ576" s="62" t="str">
        <f t="shared" si="452"/>
        <v/>
      </c>
      <c r="AR576" s="31">
        <f t="shared" si="453"/>
        <v>0</v>
      </c>
      <c r="AS576" s="21">
        <f t="shared" si="454"/>
        <v>0</v>
      </c>
      <c r="AT576" s="62" t="str">
        <f t="shared" si="455"/>
        <v/>
      </c>
      <c r="AU576" s="84">
        <f t="shared" si="456"/>
        <v>0</v>
      </c>
      <c r="AV576" s="32">
        <f t="shared" si="457"/>
        <v>0</v>
      </c>
      <c r="AW576" s="85" t="str">
        <f t="shared" si="458"/>
        <v/>
      </c>
      <c r="AX576" s="86" t="str">
        <f t="shared" si="459"/>
        <v/>
      </c>
    </row>
    <row r="577" spans="1:50" x14ac:dyDescent="0.2">
      <c r="A577" s="29" t="str">
        <f t="shared" si="417"/>
        <v/>
      </c>
      <c r="B577" s="32" t="str">
        <f t="shared" si="418"/>
        <v/>
      </c>
      <c r="C577" s="35"/>
      <c r="D577" s="33" t="str">
        <f t="shared" si="419"/>
        <v/>
      </c>
      <c r="E577" s="22" t="str">
        <f t="shared" si="420"/>
        <v/>
      </c>
      <c r="F577" s="23" t="str">
        <f t="shared" si="421"/>
        <v/>
      </c>
      <c r="G577" s="23"/>
      <c r="H577" s="22"/>
      <c r="I577" s="23"/>
      <c r="J577" s="18"/>
      <c r="K577" s="13" t="str">
        <f t="shared" si="422"/>
        <v/>
      </c>
      <c r="L577" s="28" t="str">
        <f t="shared" si="423"/>
        <v/>
      </c>
      <c r="M577" s="10" t="str">
        <f t="shared" si="424"/>
        <v/>
      </c>
      <c r="N577" s="17" t="str">
        <f t="shared" si="425"/>
        <v/>
      </c>
      <c r="O577" s="39" t="str">
        <f t="shared" si="426"/>
        <v/>
      </c>
      <c r="P577" s="41" t="str">
        <f t="shared" si="427"/>
        <v/>
      </c>
      <c r="Q577" s="9" t="str">
        <f t="shared" si="428"/>
        <v/>
      </c>
      <c r="R577" s="14">
        <f t="shared" si="429"/>
        <v>0</v>
      </c>
      <c r="S577" s="61" t="str">
        <f t="shared" si="430"/>
        <v/>
      </c>
      <c r="T577" s="14">
        <f t="shared" si="431"/>
        <v>0</v>
      </c>
      <c r="U577" s="58" t="str">
        <f t="shared" si="432"/>
        <v/>
      </c>
      <c r="V577" s="14">
        <f t="shared" si="433"/>
        <v>0</v>
      </c>
      <c r="W577" s="58" t="str">
        <f t="shared" si="434"/>
        <v/>
      </c>
      <c r="X577" s="14">
        <f t="shared" si="435"/>
        <v>0</v>
      </c>
      <c r="Y577" s="58" t="str">
        <f t="shared" si="436"/>
        <v/>
      </c>
      <c r="Z577" s="31">
        <f t="shared" si="437"/>
        <v>0</v>
      </c>
      <c r="AA577" s="21">
        <f t="shared" si="438"/>
        <v>0</v>
      </c>
      <c r="AB577" s="58" t="str">
        <f t="shared" si="439"/>
        <v/>
      </c>
      <c r="AC577" s="630">
        <f t="shared" si="416"/>
        <v>0</v>
      </c>
      <c r="AD577" s="627"/>
      <c r="AE577" s="21">
        <f t="shared" si="440"/>
        <v>0</v>
      </c>
      <c r="AF577" s="58" t="str">
        <f t="shared" si="441"/>
        <v/>
      </c>
      <c r="AG577" s="21">
        <f t="shared" si="442"/>
        <v>0</v>
      </c>
      <c r="AH577" s="58" t="str">
        <f t="shared" si="443"/>
        <v/>
      </c>
      <c r="AI577" s="21">
        <f t="shared" si="444"/>
        <v>0</v>
      </c>
      <c r="AJ577" s="58" t="str">
        <f t="shared" si="445"/>
        <v/>
      </c>
      <c r="AK577" s="31">
        <f t="shared" si="446"/>
        <v>0</v>
      </c>
      <c r="AL577" s="21">
        <f t="shared" si="447"/>
        <v>0</v>
      </c>
      <c r="AM577" s="62" t="str">
        <f t="shared" si="448"/>
        <v/>
      </c>
      <c r="AN577" s="21">
        <f t="shared" si="449"/>
        <v>0</v>
      </c>
      <c r="AO577" s="62" t="str">
        <f t="shared" si="450"/>
        <v/>
      </c>
      <c r="AP577" s="21">
        <f t="shared" si="451"/>
        <v>0</v>
      </c>
      <c r="AQ577" s="62" t="str">
        <f t="shared" si="452"/>
        <v/>
      </c>
      <c r="AR577" s="31">
        <f t="shared" si="453"/>
        <v>0</v>
      </c>
      <c r="AS577" s="21">
        <f t="shared" si="454"/>
        <v>0</v>
      </c>
      <c r="AT577" s="62" t="str">
        <f t="shared" si="455"/>
        <v/>
      </c>
      <c r="AU577" s="84">
        <f t="shared" si="456"/>
        <v>0</v>
      </c>
      <c r="AV577" s="32">
        <f t="shared" si="457"/>
        <v>0</v>
      </c>
      <c r="AW577" s="85" t="str">
        <f t="shared" si="458"/>
        <v/>
      </c>
      <c r="AX577" s="86" t="str">
        <f t="shared" si="459"/>
        <v/>
      </c>
    </row>
    <row r="578" spans="1:50" x14ac:dyDescent="0.2">
      <c r="A578" s="29" t="str">
        <f t="shared" si="417"/>
        <v/>
      </c>
      <c r="B578" s="32" t="str">
        <f t="shared" si="418"/>
        <v/>
      </c>
      <c r="C578" s="35"/>
      <c r="D578" s="33" t="str">
        <f t="shared" si="419"/>
        <v/>
      </c>
      <c r="E578" s="22" t="str">
        <f t="shared" si="420"/>
        <v/>
      </c>
      <c r="F578" s="23" t="str">
        <f t="shared" si="421"/>
        <v/>
      </c>
      <c r="G578" s="23"/>
      <c r="H578" s="22"/>
      <c r="I578" s="23"/>
      <c r="J578" s="18"/>
      <c r="K578" s="13" t="str">
        <f t="shared" si="422"/>
        <v/>
      </c>
      <c r="L578" s="28" t="str">
        <f t="shared" si="423"/>
        <v/>
      </c>
      <c r="M578" s="10" t="str">
        <f t="shared" si="424"/>
        <v/>
      </c>
      <c r="N578" s="17" t="str">
        <f t="shared" si="425"/>
        <v/>
      </c>
      <c r="O578" s="39" t="str">
        <f t="shared" si="426"/>
        <v/>
      </c>
      <c r="P578" s="41" t="str">
        <f t="shared" si="427"/>
        <v/>
      </c>
      <c r="Q578" s="9" t="str">
        <f t="shared" si="428"/>
        <v/>
      </c>
      <c r="R578" s="14">
        <f t="shared" si="429"/>
        <v>0</v>
      </c>
      <c r="S578" s="61" t="str">
        <f t="shared" si="430"/>
        <v/>
      </c>
      <c r="T578" s="14">
        <f t="shared" si="431"/>
        <v>0</v>
      </c>
      <c r="U578" s="58" t="str">
        <f t="shared" si="432"/>
        <v/>
      </c>
      <c r="V578" s="14">
        <f t="shared" si="433"/>
        <v>0</v>
      </c>
      <c r="W578" s="58" t="str">
        <f t="shared" si="434"/>
        <v/>
      </c>
      <c r="X578" s="14">
        <f t="shared" si="435"/>
        <v>0</v>
      </c>
      <c r="Y578" s="58" t="str">
        <f t="shared" si="436"/>
        <v/>
      </c>
      <c r="Z578" s="31">
        <f t="shared" si="437"/>
        <v>0</v>
      </c>
      <c r="AA578" s="21">
        <f t="shared" si="438"/>
        <v>0</v>
      </c>
      <c r="AB578" s="58" t="str">
        <f t="shared" si="439"/>
        <v/>
      </c>
      <c r="AC578" s="630">
        <f t="shared" si="416"/>
        <v>0</v>
      </c>
      <c r="AD578" s="627"/>
      <c r="AE578" s="21">
        <f t="shared" si="440"/>
        <v>0</v>
      </c>
      <c r="AF578" s="58" t="str">
        <f t="shared" si="441"/>
        <v/>
      </c>
      <c r="AG578" s="21">
        <f t="shared" si="442"/>
        <v>0</v>
      </c>
      <c r="AH578" s="58" t="str">
        <f t="shared" si="443"/>
        <v/>
      </c>
      <c r="AI578" s="21">
        <f t="shared" si="444"/>
        <v>0</v>
      </c>
      <c r="AJ578" s="58" t="str">
        <f t="shared" si="445"/>
        <v/>
      </c>
      <c r="AK578" s="31">
        <f t="shared" si="446"/>
        <v>0</v>
      </c>
      <c r="AL578" s="21">
        <f t="shared" si="447"/>
        <v>0</v>
      </c>
      <c r="AM578" s="62" t="str">
        <f t="shared" si="448"/>
        <v/>
      </c>
      <c r="AN578" s="21">
        <f t="shared" si="449"/>
        <v>0</v>
      </c>
      <c r="AO578" s="62" t="str">
        <f t="shared" si="450"/>
        <v/>
      </c>
      <c r="AP578" s="21">
        <f t="shared" si="451"/>
        <v>0</v>
      </c>
      <c r="AQ578" s="62" t="str">
        <f t="shared" si="452"/>
        <v/>
      </c>
      <c r="AR578" s="31">
        <f t="shared" si="453"/>
        <v>0</v>
      </c>
      <c r="AS578" s="21">
        <f t="shared" si="454"/>
        <v>0</v>
      </c>
      <c r="AT578" s="62" t="str">
        <f t="shared" si="455"/>
        <v/>
      </c>
      <c r="AU578" s="84">
        <f t="shared" si="456"/>
        <v>0</v>
      </c>
      <c r="AV578" s="32">
        <f t="shared" si="457"/>
        <v>0</v>
      </c>
      <c r="AW578" s="85" t="str">
        <f t="shared" si="458"/>
        <v/>
      </c>
      <c r="AX578" s="86" t="str">
        <f t="shared" si="459"/>
        <v/>
      </c>
    </row>
    <row r="579" spans="1:50" x14ac:dyDescent="0.2">
      <c r="A579" s="29" t="str">
        <f t="shared" si="417"/>
        <v/>
      </c>
      <c r="B579" s="32" t="str">
        <f t="shared" si="418"/>
        <v/>
      </c>
      <c r="C579" s="35"/>
      <c r="D579" s="33" t="str">
        <f t="shared" si="419"/>
        <v/>
      </c>
      <c r="E579" s="22" t="str">
        <f t="shared" si="420"/>
        <v/>
      </c>
      <c r="F579" s="23" t="str">
        <f t="shared" si="421"/>
        <v/>
      </c>
      <c r="G579" s="23"/>
      <c r="H579" s="22"/>
      <c r="I579" s="23"/>
      <c r="J579" s="18"/>
      <c r="K579" s="13" t="str">
        <f t="shared" si="422"/>
        <v/>
      </c>
      <c r="L579" s="28" t="str">
        <f t="shared" si="423"/>
        <v/>
      </c>
      <c r="M579" s="10" t="str">
        <f t="shared" si="424"/>
        <v/>
      </c>
      <c r="N579" s="17" t="str">
        <f t="shared" si="425"/>
        <v/>
      </c>
      <c r="O579" s="39" t="str">
        <f t="shared" si="426"/>
        <v/>
      </c>
      <c r="P579" s="41" t="str">
        <f t="shared" si="427"/>
        <v/>
      </c>
      <c r="Q579" s="9" t="str">
        <f t="shared" si="428"/>
        <v/>
      </c>
      <c r="R579" s="14">
        <f t="shared" si="429"/>
        <v>0</v>
      </c>
      <c r="S579" s="61" t="str">
        <f t="shared" si="430"/>
        <v/>
      </c>
      <c r="T579" s="14">
        <f t="shared" si="431"/>
        <v>0</v>
      </c>
      <c r="U579" s="58" t="str">
        <f t="shared" si="432"/>
        <v/>
      </c>
      <c r="V579" s="14">
        <f t="shared" si="433"/>
        <v>0</v>
      </c>
      <c r="W579" s="58" t="str">
        <f t="shared" si="434"/>
        <v/>
      </c>
      <c r="X579" s="14">
        <f t="shared" si="435"/>
        <v>0</v>
      </c>
      <c r="Y579" s="58" t="str">
        <f t="shared" si="436"/>
        <v/>
      </c>
      <c r="Z579" s="31">
        <f t="shared" si="437"/>
        <v>0</v>
      </c>
      <c r="AA579" s="21">
        <f t="shared" si="438"/>
        <v>0</v>
      </c>
      <c r="AB579" s="58" t="str">
        <f t="shared" si="439"/>
        <v/>
      </c>
      <c r="AC579" s="630">
        <f t="shared" si="416"/>
        <v>0</v>
      </c>
      <c r="AD579" s="627"/>
      <c r="AE579" s="21">
        <f t="shared" si="440"/>
        <v>0</v>
      </c>
      <c r="AF579" s="58" t="str">
        <f t="shared" si="441"/>
        <v/>
      </c>
      <c r="AG579" s="21">
        <f t="shared" si="442"/>
        <v>0</v>
      </c>
      <c r="AH579" s="58" t="str">
        <f t="shared" si="443"/>
        <v/>
      </c>
      <c r="AI579" s="21">
        <f t="shared" si="444"/>
        <v>0</v>
      </c>
      <c r="AJ579" s="58" t="str">
        <f t="shared" si="445"/>
        <v/>
      </c>
      <c r="AK579" s="31">
        <f t="shared" si="446"/>
        <v>0</v>
      </c>
      <c r="AL579" s="21">
        <f t="shared" si="447"/>
        <v>0</v>
      </c>
      <c r="AM579" s="62" t="str">
        <f t="shared" si="448"/>
        <v/>
      </c>
      <c r="AN579" s="21">
        <f t="shared" si="449"/>
        <v>0</v>
      </c>
      <c r="AO579" s="62" t="str">
        <f t="shared" si="450"/>
        <v/>
      </c>
      <c r="AP579" s="21">
        <f t="shared" si="451"/>
        <v>0</v>
      </c>
      <c r="AQ579" s="62" t="str">
        <f t="shared" si="452"/>
        <v/>
      </c>
      <c r="AR579" s="31">
        <f t="shared" si="453"/>
        <v>0</v>
      </c>
      <c r="AS579" s="21">
        <f t="shared" si="454"/>
        <v>0</v>
      </c>
      <c r="AT579" s="62" t="str">
        <f t="shared" si="455"/>
        <v/>
      </c>
      <c r="AU579" s="84">
        <f t="shared" si="456"/>
        <v>0</v>
      </c>
      <c r="AV579" s="32">
        <f t="shared" si="457"/>
        <v>0</v>
      </c>
      <c r="AW579" s="85" t="str">
        <f t="shared" si="458"/>
        <v/>
      </c>
      <c r="AX579" s="86" t="str">
        <f t="shared" si="459"/>
        <v/>
      </c>
    </row>
    <row r="580" spans="1:50" x14ac:dyDescent="0.2">
      <c r="A580" s="29" t="str">
        <f t="shared" si="417"/>
        <v/>
      </c>
      <c r="B580" s="32" t="str">
        <f t="shared" si="418"/>
        <v/>
      </c>
      <c r="C580" s="35"/>
      <c r="D580" s="33" t="str">
        <f t="shared" si="419"/>
        <v/>
      </c>
      <c r="E580" s="22" t="str">
        <f t="shared" si="420"/>
        <v/>
      </c>
      <c r="F580" s="23" t="str">
        <f t="shared" si="421"/>
        <v/>
      </c>
      <c r="G580" s="23"/>
      <c r="H580" s="22"/>
      <c r="I580" s="23"/>
      <c r="J580" s="18"/>
      <c r="K580" s="13" t="str">
        <f t="shared" si="422"/>
        <v/>
      </c>
      <c r="L580" s="28" t="str">
        <f t="shared" si="423"/>
        <v/>
      </c>
      <c r="M580" s="10" t="str">
        <f t="shared" si="424"/>
        <v/>
      </c>
      <c r="N580" s="17" t="str">
        <f t="shared" si="425"/>
        <v/>
      </c>
      <c r="O580" s="39" t="str">
        <f t="shared" si="426"/>
        <v/>
      </c>
      <c r="P580" s="41" t="str">
        <f t="shared" si="427"/>
        <v/>
      </c>
      <c r="Q580" s="9" t="str">
        <f t="shared" si="428"/>
        <v/>
      </c>
      <c r="R580" s="14">
        <f t="shared" si="429"/>
        <v>0</v>
      </c>
      <c r="S580" s="61" t="str">
        <f t="shared" si="430"/>
        <v/>
      </c>
      <c r="T580" s="14">
        <f t="shared" si="431"/>
        <v>0</v>
      </c>
      <c r="U580" s="58" t="str">
        <f t="shared" si="432"/>
        <v/>
      </c>
      <c r="V580" s="14">
        <f t="shared" si="433"/>
        <v>0</v>
      </c>
      <c r="W580" s="58" t="str">
        <f t="shared" si="434"/>
        <v/>
      </c>
      <c r="X580" s="14">
        <f t="shared" si="435"/>
        <v>0</v>
      </c>
      <c r="Y580" s="58" t="str">
        <f t="shared" si="436"/>
        <v/>
      </c>
      <c r="Z580" s="31">
        <f t="shared" si="437"/>
        <v>0</v>
      </c>
      <c r="AA580" s="21">
        <f t="shared" si="438"/>
        <v>0</v>
      </c>
      <c r="AB580" s="58" t="str">
        <f t="shared" si="439"/>
        <v/>
      </c>
      <c r="AC580" s="630">
        <f t="shared" si="416"/>
        <v>0</v>
      </c>
      <c r="AD580" s="627"/>
      <c r="AE580" s="21">
        <f t="shared" si="440"/>
        <v>0</v>
      </c>
      <c r="AF580" s="58" t="str">
        <f t="shared" si="441"/>
        <v/>
      </c>
      <c r="AG580" s="21">
        <f t="shared" si="442"/>
        <v>0</v>
      </c>
      <c r="AH580" s="58" t="str">
        <f t="shared" si="443"/>
        <v/>
      </c>
      <c r="AI580" s="21">
        <f t="shared" si="444"/>
        <v>0</v>
      </c>
      <c r="AJ580" s="58" t="str">
        <f t="shared" si="445"/>
        <v/>
      </c>
      <c r="AK580" s="31">
        <f t="shared" si="446"/>
        <v>0</v>
      </c>
      <c r="AL580" s="21">
        <f t="shared" si="447"/>
        <v>0</v>
      </c>
      <c r="AM580" s="62" t="str">
        <f t="shared" si="448"/>
        <v/>
      </c>
      <c r="AN580" s="21">
        <f t="shared" si="449"/>
        <v>0</v>
      </c>
      <c r="AO580" s="62" t="str">
        <f t="shared" si="450"/>
        <v/>
      </c>
      <c r="AP580" s="21">
        <f t="shared" si="451"/>
        <v>0</v>
      </c>
      <c r="AQ580" s="62" t="str">
        <f t="shared" si="452"/>
        <v/>
      </c>
      <c r="AR580" s="31">
        <f t="shared" si="453"/>
        <v>0</v>
      </c>
      <c r="AS580" s="21">
        <f t="shared" si="454"/>
        <v>0</v>
      </c>
      <c r="AT580" s="62" t="str">
        <f t="shared" si="455"/>
        <v/>
      </c>
      <c r="AU580" s="84">
        <f t="shared" si="456"/>
        <v>0</v>
      </c>
      <c r="AV580" s="32">
        <f t="shared" si="457"/>
        <v>0</v>
      </c>
      <c r="AW580" s="85" t="str">
        <f t="shared" si="458"/>
        <v/>
      </c>
      <c r="AX580" s="86" t="str">
        <f t="shared" si="459"/>
        <v/>
      </c>
    </row>
    <row r="581" spans="1:50" x14ac:dyDescent="0.2">
      <c r="A581" s="29" t="str">
        <f t="shared" si="417"/>
        <v/>
      </c>
      <c r="B581" s="32" t="str">
        <f t="shared" si="418"/>
        <v/>
      </c>
      <c r="C581" s="35"/>
      <c r="D581" s="33" t="str">
        <f t="shared" si="419"/>
        <v/>
      </c>
      <c r="E581" s="22" t="str">
        <f t="shared" si="420"/>
        <v/>
      </c>
      <c r="F581" s="23" t="str">
        <f t="shared" si="421"/>
        <v/>
      </c>
      <c r="G581" s="23"/>
      <c r="H581" s="22"/>
      <c r="I581" s="23"/>
      <c r="J581" s="18"/>
      <c r="K581" s="13" t="str">
        <f t="shared" si="422"/>
        <v/>
      </c>
      <c r="L581" s="28" t="str">
        <f t="shared" si="423"/>
        <v/>
      </c>
      <c r="M581" s="10" t="str">
        <f t="shared" si="424"/>
        <v/>
      </c>
      <c r="N581" s="17" t="str">
        <f t="shared" si="425"/>
        <v/>
      </c>
      <c r="O581" s="39" t="str">
        <f t="shared" si="426"/>
        <v/>
      </c>
      <c r="P581" s="41" t="str">
        <f t="shared" si="427"/>
        <v/>
      </c>
      <c r="Q581" s="9" t="str">
        <f t="shared" si="428"/>
        <v/>
      </c>
      <c r="R581" s="14">
        <f t="shared" si="429"/>
        <v>0</v>
      </c>
      <c r="S581" s="61" t="str">
        <f t="shared" si="430"/>
        <v/>
      </c>
      <c r="T581" s="14">
        <f t="shared" si="431"/>
        <v>0</v>
      </c>
      <c r="U581" s="58" t="str">
        <f t="shared" si="432"/>
        <v/>
      </c>
      <c r="V581" s="14">
        <f t="shared" si="433"/>
        <v>0</v>
      </c>
      <c r="W581" s="58" t="str">
        <f t="shared" si="434"/>
        <v/>
      </c>
      <c r="X581" s="14">
        <f t="shared" si="435"/>
        <v>0</v>
      </c>
      <c r="Y581" s="58" t="str">
        <f t="shared" si="436"/>
        <v/>
      </c>
      <c r="Z581" s="31">
        <f t="shared" si="437"/>
        <v>0</v>
      </c>
      <c r="AA581" s="21">
        <f t="shared" si="438"/>
        <v>0</v>
      </c>
      <c r="AB581" s="58" t="str">
        <f t="shared" si="439"/>
        <v/>
      </c>
      <c r="AC581" s="630">
        <f t="shared" si="416"/>
        <v>0</v>
      </c>
      <c r="AD581" s="627"/>
      <c r="AE581" s="21">
        <f t="shared" si="440"/>
        <v>0</v>
      </c>
      <c r="AF581" s="58" t="str">
        <f t="shared" si="441"/>
        <v/>
      </c>
      <c r="AG581" s="21">
        <f t="shared" si="442"/>
        <v>0</v>
      </c>
      <c r="AH581" s="58" t="str">
        <f t="shared" si="443"/>
        <v/>
      </c>
      <c r="AI581" s="21">
        <f t="shared" si="444"/>
        <v>0</v>
      </c>
      <c r="AJ581" s="58" t="str">
        <f t="shared" si="445"/>
        <v/>
      </c>
      <c r="AK581" s="31">
        <f t="shared" si="446"/>
        <v>0</v>
      </c>
      <c r="AL581" s="21">
        <f t="shared" si="447"/>
        <v>0</v>
      </c>
      <c r="AM581" s="62" t="str">
        <f t="shared" si="448"/>
        <v/>
      </c>
      <c r="AN581" s="21">
        <f t="shared" si="449"/>
        <v>0</v>
      </c>
      <c r="AO581" s="62" t="str">
        <f t="shared" si="450"/>
        <v/>
      </c>
      <c r="AP581" s="21">
        <f t="shared" si="451"/>
        <v>0</v>
      </c>
      <c r="AQ581" s="62" t="str">
        <f t="shared" si="452"/>
        <v/>
      </c>
      <c r="AR581" s="31">
        <f t="shared" si="453"/>
        <v>0</v>
      </c>
      <c r="AS581" s="21">
        <f t="shared" si="454"/>
        <v>0</v>
      </c>
      <c r="AT581" s="62" t="str">
        <f t="shared" si="455"/>
        <v/>
      </c>
      <c r="AU581" s="84">
        <f t="shared" si="456"/>
        <v>0</v>
      </c>
      <c r="AV581" s="32">
        <f t="shared" si="457"/>
        <v>0</v>
      </c>
      <c r="AW581" s="85" t="str">
        <f t="shared" si="458"/>
        <v/>
      </c>
      <c r="AX581" s="86" t="str">
        <f t="shared" si="459"/>
        <v/>
      </c>
    </row>
    <row r="582" spans="1:50" x14ac:dyDescent="0.2">
      <c r="A582" s="29" t="str">
        <f t="shared" si="417"/>
        <v/>
      </c>
      <c r="B582" s="32" t="str">
        <f t="shared" si="418"/>
        <v/>
      </c>
      <c r="C582" s="35"/>
      <c r="D582" s="33" t="str">
        <f t="shared" si="419"/>
        <v/>
      </c>
      <c r="E582" s="22" t="str">
        <f t="shared" si="420"/>
        <v/>
      </c>
      <c r="F582" s="23" t="str">
        <f t="shared" si="421"/>
        <v/>
      </c>
      <c r="G582" s="23"/>
      <c r="H582" s="22"/>
      <c r="I582" s="23"/>
      <c r="J582" s="18"/>
      <c r="K582" s="13" t="str">
        <f t="shared" si="422"/>
        <v/>
      </c>
      <c r="L582" s="28" t="str">
        <f t="shared" si="423"/>
        <v/>
      </c>
      <c r="M582" s="10" t="str">
        <f t="shared" si="424"/>
        <v/>
      </c>
      <c r="N582" s="17" t="str">
        <f t="shared" si="425"/>
        <v/>
      </c>
      <c r="O582" s="39" t="str">
        <f t="shared" si="426"/>
        <v/>
      </c>
      <c r="P582" s="41" t="str">
        <f t="shared" si="427"/>
        <v/>
      </c>
      <c r="Q582" s="9" t="str">
        <f t="shared" si="428"/>
        <v/>
      </c>
      <c r="R582" s="14">
        <f t="shared" si="429"/>
        <v>0</v>
      </c>
      <c r="S582" s="61" t="str">
        <f t="shared" si="430"/>
        <v/>
      </c>
      <c r="T582" s="14">
        <f t="shared" si="431"/>
        <v>0</v>
      </c>
      <c r="U582" s="58" t="str">
        <f t="shared" si="432"/>
        <v/>
      </c>
      <c r="V582" s="14">
        <f t="shared" si="433"/>
        <v>0</v>
      </c>
      <c r="W582" s="58" t="str">
        <f t="shared" si="434"/>
        <v/>
      </c>
      <c r="X582" s="14">
        <f t="shared" si="435"/>
        <v>0</v>
      </c>
      <c r="Y582" s="58" t="str">
        <f t="shared" si="436"/>
        <v/>
      </c>
      <c r="Z582" s="31">
        <f t="shared" si="437"/>
        <v>0</v>
      </c>
      <c r="AA582" s="21">
        <f t="shared" si="438"/>
        <v>0</v>
      </c>
      <c r="AB582" s="58" t="str">
        <f t="shared" si="439"/>
        <v/>
      </c>
      <c r="AC582" s="630">
        <f t="shared" si="416"/>
        <v>0</v>
      </c>
      <c r="AD582" s="627"/>
      <c r="AE582" s="21">
        <f t="shared" si="440"/>
        <v>0</v>
      </c>
      <c r="AF582" s="58" t="str">
        <f t="shared" si="441"/>
        <v/>
      </c>
      <c r="AG582" s="21">
        <f t="shared" si="442"/>
        <v>0</v>
      </c>
      <c r="AH582" s="58" t="str">
        <f t="shared" si="443"/>
        <v/>
      </c>
      <c r="AI582" s="21">
        <f t="shared" si="444"/>
        <v>0</v>
      </c>
      <c r="AJ582" s="58" t="str">
        <f t="shared" si="445"/>
        <v/>
      </c>
      <c r="AK582" s="31">
        <f t="shared" si="446"/>
        <v>0</v>
      </c>
      <c r="AL582" s="21">
        <f t="shared" si="447"/>
        <v>0</v>
      </c>
      <c r="AM582" s="62" t="str">
        <f t="shared" si="448"/>
        <v/>
      </c>
      <c r="AN582" s="21">
        <f t="shared" si="449"/>
        <v>0</v>
      </c>
      <c r="AO582" s="62" t="str">
        <f t="shared" si="450"/>
        <v/>
      </c>
      <c r="AP582" s="21">
        <f t="shared" si="451"/>
        <v>0</v>
      </c>
      <c r="AQ582" s="62" t="str">
        <f t="shared" si="452"/>
        <v/>
      </c>
      <c r="AR582" s="31">
        <f t="shared" si="453"/>
        <v>0</v>
      </c>
      <c r="AS582" s="21">
        <f t="shared" si="454"/>
        <v>0</v>
      </c>
      <c r="AT582" s="62" t="str">
        <f t="shared" si="455"/>
        <v/>
      </c>
      <c r="AU582" s="84">
        <f t="shared" si="456"/>
        <v>0</v>
      </c>
      <c r="AV582" s="32">
        <f t="shared" si="457"/>
        <v>0</v>
      </c>
      <c r="AW582" s="85" t="str">
        <f t="shared" si="458"/>
        <v/>
      </c>
      <c r="AX582" s="86" t="str">
        <f t="shared" si="459"/>
        <v/>
      </c>
    </row>
    <row r="583" spans="1:50" x14ac:dyDescent="0.2">
      <c r="A583" s="29" t="str">
        <f t="shared" si="417"/>
        <v/>
      </c>
      <c r="B583" s="32" t="str">
        <f t="shared" si="418"/>
        <v/>
      </c>
      <c r="C583" s="35"/>
      <c r="D583" s="33" t="str">
        <f t="shared" si="419"/>
        <v/>
      </c>
      <c r="E583" s="22" t="str">
        <f t="shared" si="420"/>
        <v/>
      </c>
      <c r="F583" s="23" t="str">
        <f t="shared" si="421"/>
        <v/>
      </c>
      <c r="G583" s="23"/>
      <c r="H583" s="22"/>
      <c r="I583" s="23"/>
      <c r="J583" s="18"/>
      <c r="K583" s="13" t="str">
        <f t="shared" si="422"/>
        <v/>
      </c>
      <c r="L583" s="28" t="str">
        <f t="shared" si="423"/>
        <v/>
      </c>
      <c r="M583" s="10" t="str">
        <f t="shared" si="424"/>
        <v/>
      </c>
      <c r="N583" s="17" t="str">
        <f t="shared" si="425"/>
        <v/>
      </c>
      <c r="O583" s="39" t="str">
        <f t="shared" si="426"/>
        <v/>
      </c>
      <c r="P583" s="41" t="str">
        <f t="shared" si="427"/>
        <v/>
      </c>
      <c r="Q583" s="9" t="str">
        <f t="shared" si="428"/>
        <v/>
      </c>
      <c r="R583" s="14">
        <f t="shared" si="429"/>
        <v>0</v>
      </c>
      <c r="S583" s="61" t="str">
        <f t="shared" si="430"/>
        <v/>
      </c>
      <c r="T583" s="14">
        <f t="shared" si="431"/>
        <v>0</v>
      </c>
      <c r="U583" s="58" t="str">
        <f t="shared" si="432"/>
        <v/>
      </c>
      <c r="V583" s="14">
        <f t="shared" si="433"/>
        <v>0</v>
      </c>
      <c r="W583" s="58" t="str">
        <f t="shared" si="434"/>
        <v/>
      </c>
      <c r="X583" s="14">
        <f t="shared" si="435"/>
        <v>0</v>
      </c>
      <c r="Y583" s="58" t="str">
        <f t="shared" si="436"/>
        <v/>
      </c>
      <c r="Z583" s="31">
        <f t="shared" si="437"/>
        <v>0</v>
      </c>
      <c r="AA583" s="21">
        <f t="shared" si="438"/>
        <v>0</v>
      </c>
      <c r="AB583" s="58" t="str">
        <f t="shared" si="439"/>
        <v/>
      </c>
      <c r="AC583" s="630">
        <f t="shared" si="416"/>
        <v>0</v>
      </c>
      <c r="AD583" s="627"/>
      <c r="AE583" s="21">
        <f t="shared" si="440"/>
        <v>0</v>
      </c>
      <c r="AF583" s="58" t="str">
        <f t="shared" si="441"/>
        <v/>
      </c>
      <c r="AG583" s="21">
        <f t="shared" si="442"/>
        <v>0</v>
      </c>
      <c r="AH583" s="58" t="str">
        <f t="shared" si="443"/>
        <v/>
      </c>
      <c r="AI583" s="21">
        <f t="shared" si="444"/>
        <v>0</v>
      </c>
      <c r="AJ583" s="58" t="str">
        <f t="shared" si="445"/>
        <v/>
      </c>
      <c r="AK583" s="31">
        <f t="shared" si="446"/>
        <v>0</v>
      </c>
      <c r="AL583" s="21">
        <f t="shared" si="447"/>
        <v>0</v>
      </c>
      <c r="AM583" s="62" t="str">
        <f t="shared" si="448"/>
        <v/>
      </c>
      <c r="AN583" s="21">
        <f t="shared" si="449"/>
        <v>0</v>
      </c>
      <c r="AO583" s="62" t="str">
        <f t="shared" si="450"/>
        <v/>
      </c>
      <c r="AP583" s="21">
        <f t="shared" si="451"/>
        <v>0</v>
      </c>
      <c r="AQ583" s="62" t="str">
        <f t="shared" si="452"/>
        <v/>
      </c>
      <c r="AR583" s="31">
        <f t="shared" si="453"/>
        <v>0</v>
      </c>
      <c r="AS583" s="21">
        <f t="shared" si="454"/>
        <v>0</v>
      </c>
      <c r="AT583" s="62" t="str">
        <f t="shared" si="455"/>
        <v/>
      </c>
      <c r="AU583" s="84">
        <f t="shared" si="456"/>
        <v>0</v>
      </c>
      <c r="AV583" s="32">
        <f t="shared" si="457"/>
        <v>0</v>
      </c>
      <c r="AW583" s="85" t="str">
        <f t="shared" si="458"/>
        <v/>
      </c>
      <c r="AX583" s="86" t="str">
        <f t="shared" si="459"/>
        <v/>
      </c>
    </row>
    <row r="584" spans="1:50" x14ac:dyDescent="0.2">
      <c r="A584" s="29" t="str">
        <f t="shared" si="417"/>
        <v/>
      </c>
      <c r="B584" s="32" t="str">
        <f t="shared" si="418"/>
        <v/>
      </c>
      <c r="C584" s="35"/>
      <c r="D584" s="33" t="str">
        <f t="shared" si="419"/>
        <v/>
      </c>
      <c r="E584" s="22" t="str">
        <f t="shared" si="420"/>
        <v/>
      </c>
      <c r="F584" s="23" t="str">
        <f t="shared" si="421"/>
        <v/>
      </c>
      <c r="G584" s="23"/>
      <c r="H584" s="22"/>
      <c r="I584" s="23"/>
      <c r="J584" s="18"/>
      <c r="K584" s="13" t="str">
        <f t="shared" si="422"/>
        <v/>
      </c>
      <c r="L584" s="28" t="str">
        <f t="shared" si="423"/>
        <v/>
      </c>
      <c r="M584" s="10" t="str">
        <f t="shared" si="424"/>
        <v/>
      </c>
      <c r="N584" s="17" t="str">
        <f t="shared" si="425"/>
        <v/>
      </c>
      <c r="O584" s="39" t="str">
        <f t="shared" si="426"/>
        <v/>
      </c>
      <c r="P584" s="41" t="str">
        <f t="shared" si="427"/>
        <v/>
      </c>
      <c r="Q584" s="9" t="str">
        <f t="shared" si="428"/>
        <v/>
      </c>
      <c r="R584" s="14">
        <f t="shared" si="429"/>
        <v>0</v>
      </c>
      <c r="S584" s="61" t="str">
        <f t="shared" si="430"/>
        <v/>
      </c>
      <c r="T584" s="14">
        <f t="shared" si="431"/>
        <v>0</v>
      </c>
      <c r="U584" s="58" t="str">
        <f t="shared" si="432"/>
        <v/>
      </c>
      <c r="V584" s="14">
        <f t="shared" si="433"/>
        <v>0</v>
      </c>
      <c r="W584" s="58" t="str">
        <f t="shared" si="434"/>
        <v/>
      </c>
      <c r="X584" s="14">
        <f t="shared" si="435"/>
        <v>0</v>
      </c>
      <c r="Y584" s="58" t="str">
        <f t="shared" si="436"/>
        <v/>
      </c>
      <c r="Z584" s="31">
        <f t="shared" si="437"/>
        <v>0</v>
      </c>
      <c r="AA584" s="21">
        <f t="shared" si="438"/>
        <v>0</v>
      </c>
      <c r="AB584" s="58" t="str">
        <f t="shared" si="439"/>
        <v/>
      </c>
      <c r="AC584" s="630">
        <f t="shared" si="416"/>
        <v>0</v>
      </c>
      <c r="AD584" s="627"/>
      <c r="AE584" s="21">
        <f t="shared" si="440"/>
        <v>0</v>
      </c>
      <c r="AF584" s="58" t="str">
        <f t="shared" si="441"/>
        <v/>
      </c>
      <c r="AG584" s="21">
        <f t="shared" si="442"/>
        <v>0</v>
      </c>
      <c r="AH584" s="58" t="str">
        <f t="shared" si="443"/>
        <v/>
      </c>
      <c r="AI584" s="21">
        <f t="shared" si="444"/>
        <v>0</v>
      </c>
      <c r="AJ584" s="58" t="str">
        <f t="shared" si="445"/>
        <v/>
      </c>
      <c r="AK584" s="31">
        <f t="shared" si="446"/>
        <v>0</v>
      </c>
      <c r="AL584" s="21">
        <f t="shared" si="447"/>
        <v>0</v>
      </c>
      <c r="AM584" s="62" t="str">
        <f t="shared" si="448"/>
        <v/>
      </c>
      <c r="AN584" s="21">
        <f t="shared" si="449"/>
        <v>0</v>
      </c>
      <c r="AO584" s="62" t="str">
        <f t="shared" si="450"/>
        <v/>
      </c>
      <c r="AP584" s="21">
        <f t="shared" si="451"/>
        <v>0</v>
      </c>
      <c r="AQ584" s="62" t="str">
        <f t="shared" si="452"/>
        <v/>
      </c>
      <c r="AR584" s="31">
        <f t="shared" si="453"/>
        <v>0</v>
      </c>
      <c r="AS584" s="21">
        <f t="shared" si="454"/>
        <v>0</v>
      </c>
      <c r="AT584" s="62" t="str">
        <f t="shared" si="455"/>
        <v/>
      </c>
      <c r="AU584" s="84">
        <f t="shared" si="456"/>
        <v>0</v>
      </c>
      <c r="AV584" s="32">
        <f t="shared" si="457"/>
        <v>0</v>
      </c>
      <c r="AW584" s="85" t="str">
        <f t="shared" si="458"/>
        <v/>
      </c>
      <c r="AX584" s="86" t="str">
        <f t="shared" si="459"/>
        <v/>
      </c>
    </row>
    <row r="585" spans="1:50" x14ac:dyDescent="0.2">
      <c r="A585" s="29" t="str">
        <f t="shared" si="417"/>
        <v/>
      </c>
      <c r="B585" s="32" t="str">
        <f t="shared" si="418"/>
        <v/>
      </c>
      <c r="C585" s="35"/>
      <c r="D585" s="33" t="str">
        <f t="shared" si="419"/>
        <v/>
      </c>
      <c r="E585" s="22" t="str">
        <f t="shared" si="420"/>
        <v/>
      </c>
      <c r="F585" s="23" t="str">
        <f t="shared" si="421"/>
        <v/>
      </c>
      <c r="G585" s="23"/>
      <c r="H585" s="22"/>
      <c r="I585" s="23"/>
      <c r="J585" s="18"/>
      <c r="K585" s="13" t="str">
        <f t="shared" si="422"/>
        <v/>
      </c>
      <c r="L585" s="28" t="str">
        <f t="shared" si="423"/>
        <v/>
      </c>
      <c r="M585" s="10" t="str">
        <f t="shared" si="424"/>
        <v/>
      </c>
      <c r="N585" s="17" t="str">
        <f t="shared" si="425"/>
        <v/>
      </c>
      <c r="O585" s="39" t="str">
        <f t="shared" si="426"/>
        <v/>
      </c>
      <c r="P585" s="41" t="str">
        <f t="shared" si="427"/>
        <v/>
      </c>
      <c r="Q585" s="9" t="str">
        <f t="shared" si="428"/>
        <v/>
      </c>
      <c r="R585" s="14">
        <f t="shared" si="429"/>
        <v>0</v>
      </c>
      <c r="S585" s="61" t="str">
        <f t="shared" si="430"/>
        <v/>
      </c>
      <c r="T585" s="14">
        <f t="shared" si="431"/>
        <v>0</v>
      </c>
      <c r="U585" s="58" t="str">
        <f t="shared" si="432"/>
        <v/>
      </c>
      <c r="V585" s="14">
        <f t="shared" si="433"/>
        <v>0</v>
      </c>
      <c r="W585" s="58" t="str">
        <f t="shared" si="434"/>
        <v/>
      </c>
      <c r="X585" s="14">
        <f t="shared" si="435"/>
        <v>0</v>
      </c>
      <c r="Y585" s="58" t="str">
        <f t="shared" si="436"/>
        <v/>
      </c>
      <c r="Z585" s="31">
        <f t="shared" si="437"/>
        <v>0</v>
      </c>
      <c r="AA585" s="21">
        <f t="shared" si="438"/>
        <v>0</v>
      </c>
      <c r="AB585" s="58" t="str">
        <f t="shared" si="439"/>
        <v/>
      </c>
      <c r="AC585" s="630">
        <f t="shared" si="416"/>
        <v>0</v>
      </c>
      <c r="AD585" s="627"/>
      <c r="AE585" s="21">
        <f t="shared" si="440"/>
        <v>0</v>
      </c>
      <c r="AF585" s="58" t="str">
        <f t="shared" si="441"/>
        <v/>
      </c>
      <c r="AG585" s="21">
        <f t="shared" si="442"/>
        <v>0</v>
      </c>
      <c r="AH585" s="58" t="str">
        <f t="shared" si="443"/>
        <v/>
      </c>
      <c r="AI585" s="21">
        <f t="shared" si="444"/>
        <v>0</v>
      </c>
      <c r="AJ585" s="58" t="str">
        <f t="shared" si="445"/>
        <v/>
      </c>
      <c r="AK585" s="31">
        <f t="shared" si="446"/>
        <v>0</v>
      </c>
      <c r="AL585" s="21">
        <f t="shared" si="447"/>
        <v>0</v>
      </c>
      <c r="AM585" s="62" t="str">
        <f t="shared" si="448"/>
        <v/>
      </c>
      <c r="AN585" s="21">
        <f t="shared" si="449"/>
        <v>0</v>
      </c>
      <c r="AO585" s="62" t="str">
        <f t="shared" si="450"/>
        <v/>
      </c>
      <c r="AP585" s="21">
        <f t="shared" si="451"/>
        <v>0</v>
      </c>
      <c r="AQ585" s="62" t="str">
        <f t="shared" si="452"/>
        <v/>
      </c>
      <c r="AR585" s="31">
        <f t="shared" si="453"/>
        <v>0</v>
      </c>
      <c r="AS585" s="21">
        <f t="shared" si="454"/>
        <v>0</v>
      </c>
      <c r="AT585" s="62" t="str">
        <f t="shared" si="455"/>
        <v/>
      </c>
      <c r="AU585" s="84">
        <f t="shared" si="456"/>
        <v>0</v>
      </c>
      <c r="AV585" s="32">
        <f t="shared" si="457"/>
        <v>0</v>
      </c>
      <c r="AW585" s="85" t="str">
        <f t="shared" si="458"/>
        <v/>
      </c>
      <c r="AX585" s="86" t="str">
        <f t="shared" si="459"/>
        <v/>
      </c>
    </row>
    <row r="586" spans="1:50" x14ac:dyDescent="0.2">
      <c r="A586" s="29" t="str">
        <f t="shared" si="417"/>
        <v/>
      </c>
      <c r="B586" s="32" t="str">
        <f t="shared" si="418"/>
        <v/>
      </c>
      <c r="C586" s="35"/>
      <c r="D586" s="33" t="str">
        <f t="shared" si="419"/>
        <v/>
      </c>
      <c r="E586" s="22" t="str">
        <f t="shared" si="420"/>
        <v/>
      </c>
      <c r="F586" s="23" t="str">
        <f t="shared" si="421"/>
        <v/>
      </c>
      <c r="G586" s="23"/>
      <c r="H586" s="22"/>
      <c r="I586" s="23"/>
      <c r="J586" s="18"/>
      <c r="K586" s="13" t="str">
        <f t="shared" si="422"/>
        <v/>
      </c>
      <c r="L586" s="28" t="str">
        <f t="shared" si="423"/>
        <v/>
      </c>
      <c r="M586" s="10" t="str">
        <f t="shared" si="424"/>
        <v/>
      </c>
      <c r="N586" s="17" t="str">
        <f t="shared" si="425"/>
        <v/>
      </c>
      <c r="O586" s="39" t="str">
        <f t="shared" si="426"/>
        <v/>
      </c>
      <c r="P586" s="41" t="str">
        <f t="shared" si="427"/>
        <v/>
      </c>
      <c r="Q586" s="9" t="str">
        <f t="shared" si="428"/>
        <v/>
      </c>
      <c r="R586" s="14">
        <f t="shared" si="429"/>
        <v>0</v>
      </c>
      <c r="S586" s="61" t="str">
        <f t="shared" si="430"/>
        <v/>
      </c>
      <c r="T586" s="14">
        <f t="shared" si="431"/>
        <v>0</v>
      </c>
      <c r="U586" s="58" t="str">
        <f t="shared" si="432"/>
        <v/>
      </c>
      <c r="V586" s="14">
        <f t="shared" si="433"/>
        <v>0</v>
      </c>
      <c r="W586" s="58" t="str">
        <f t="shared" si="434"/>
        <v/>
      </c>
      <c r="X586" s="14">
        <f t="shared" si="435"/>
        <v>0</v>
      </c>
      <c r="Y586" s="58" t="str">
        <f t="shared" si="436"/>
        <v/>
      </c>
      <c r="Z586" s="31">
        <f t="shared" si="437"/>
        <v>0</v>
      </c>
      <c r="AA586" s="21">
        <f t="shared" si="438"/>
        <v>0</v>
      </c>
      <c r="AB586" s="58" t="str">
        <f t="shared" si="439"/>
        <v/>
      </c>
      <c r="AC586" s="630">
        <f t="shared" si="416"/>
        <v>0</v>
      </c>
      <c r="AD586" s="627"/>
      <c r="AE586" s="21">
        <f t="shared" si="440"/>
        <v>0</v>
      </c>
      <c r="AF586" s="58" t="str">
        <f t="shared" si="441"/>
        <v/>
      </c>
      <c r="AG586" s="21">
        <f t="shared" si="442"/>
        <v>0</v>
      </c>
      <c r="AH586" s="58" t="str">
        <f t="shared" si="443"/>
        <v/>
      </c>
      <c r="AI586" s="21">
        <f t="shared" si="444"/>
        <v>0</v>
      </c>
      <c r="AJ586" s="58" t="str">
        <f t="shared" si="445"/>
        <v/>
      </c>
      <c r="AK586" s="31">
        <f t="shared" si="446"/>
        <v>0</v>
      </c>
      <c r="AL586" s="21">
        <f t="shared" si="447"/>
        <v>0</v>
      </c>
      <c r="AM586" s="62" t="str">
        <f t="shared" si="448"/>
        <v/>
      </c>
      <c r="AN586" s="21">
        <f t="shared" si="449"/>
        <v>0</v>
      </c>
      <c r="AO586" s="62" t="str">
        <f t="shared" si="450"/>
        <v/>
      </c>
      <c r="AP586" s="21">
        <f t="shared" si="451"/>
        <v>0</v>
      </c>
      <c r="AQ586" s="62" t="str">
        <f t="shared" si="452"/>
        <v/>
      </c>
      <c r="AR586" s="31">
        <f t="shared" si="453"/>
        <v>0</v>
      </c>
      <c r="AS586" s="21">
        <f t="shared" si="454"/>
        <v>0</v>
      </c>
      <c r="AT586" s="62" t="str">
        <f t="shared" si="455"/>
        <v/>
      </c>
      <c r="AU586" s="84">
        <f t="shared" si="456"/>
        <v>0</v>
      </c>
      <c r="AV586" s="32">
        <f t="shared" si="457"/>
        <v>0</v>
      </c>
      <c r="AW586" s="85" t="str">
        <f t="shared" si="458"/>
        <v/>
      </c>
      <c r="AX586" s="86" t="str">
        <f t="shared" si="459"/>
        <v/>
      </c>
    </row>
    <row r="587" spans="1:50" x14ac:dyDescent="0.2">
      <c r="A587" s="29" t="str">
        <f t="shared" si="417"/>
        <v/>
      </c>
      <c r="B587" s="32" t="str">
        <f t="shared" si="418"/>
        <v/>
      </c>
      <c r="C587" s="35"/>
      <c r="D587" s="33" t="str">
        <f t="shared" si="419"/>
        <v/>
      </c>
      <c r="E587" s="22" t="str">
        <f t="shared" si="420"/>
        <v/>
      </c>
      <c r="F587" s="23" t="str">
        <f t="shared" si="421"/>
        <v/>
      </c>
      <c r="G587" s="23"/>
      <c r="H587" s="22"/>
      <c r="I587" s="23"/>
      <c r="J587" s="18"/>
      <c r="K587" s="13" t="str">
        <f t="shared" si="422"/>
        <v/>
      </c>
      <c r="L587" s="28" t="str">
        <f t="shared" si="423"/>
        <v/>
      </c>
      <c r="M587" s="10" t="str">
        <f t="shared" si="424"/>
        <v/>
      </c>
      <c r="N587" s="17" t="str">
        <f t="shared" si="425"/>
        <v/>
      </c>
      <c r="O587" s="39" t="str">
        <f t="shared" si="426"/>
        <v/>
      </c>
      <c r="P587" s="41" t="str">
        <f t="shared" si="427"/>
        <v/>
      </c>
      <c r="Q587" s="9" t="str">
        <f t="shared" si="428"/>
        <v/>
      </c>
      <c r="R587" s="14">
        <f t="shared" si="429"/>
        <v>0</v>
      </c>
      <c r="S587" s="61" t="str">
        <f t="shared" si="430"/>
        <v/>
      </c>
      <c r="T587" s="14">
        <f t="shared" si="431"/>
        <v>0</v>
      </c>
      <c r="U587" s="58" t="str">
        <f t="shared" si="432"/>
        <v/>
      </c>
      <c r="V587" s="14">
        <f t="shared" si="433"/>
        <v>0</v>
      </c>
      <c r="W587" s="58" t="str">
        <f t="shared" si="434"/>
        <v/>
      </c>
      <c r="X587" s="14">
        <f t="shared" si="435"/>
        <v>0</v>
      </c>
      <c r="Y587" s="58" t="str">
        <f t="shared" si="436"/>
        <v/>
      </c>
      <c r="Z587" s="31">
        <f t="shared" si="437"/>
        <v>0</v>
      </c>
      <c r="AA587" s="21">
        <f t="shared" si="438"/>
        <v>0</v>
      </c>
      <c r="AB587" s="58" t="str">
        <f t="shared" si="439"/>
        <v/>
      </c>
      <c r="AC587" s="630">
        <f t="shared" si="416"/>
        <v>0</v>
      </c>
      <c r="AD587" s="627"/>
      <c r="AE587" s="21">
        <f t="shared" si="440"/>
        <v>0</v>
      </c>
      <c r="AF587" s="58" t="str">
        <f t="shared" si="441"/>
        <v/>
      </c>
      <c r="AG587" s="21">
        <f t="shared" si="442"/>
        <v>0</v>
      </c>
      <c r="AH587" s="58" t="str">
        <f t="shared" si="443"/>
        <v/>
      </c>
      <c r="AI587" s="21">
        <f t="shared" si="444"/>
        <v>0</v>
      </c>
      <c r="AJ587" s="58" t="str">
        <f t="shared" si="445"/>
        <v/>
      </c>
      <c r="AK587" s="31">
        <f t="shared" si="446"/>
        <v>0</v>
      </c>
      <c r="AL587" s="21">
        <f t="shared" si="447"/>
        <v>0</v>
      </c>
      <c r="AM587" s="62" t="str">
        <f t="shared" si="448"/>
        <v/>
      </c>
      <c r="AN587" s="21">
        <f t="shared" si="449"/>
        <v>0</v>
      </c>
      <c r="AO587" s="62" t="str">
        <f t="shared" si="450"/>
        <v/>
      </c>
      <c r="AP587" s="21">
        <f t="shared" si="451"/>
        <v>0</v>
      </c>
      <c r="AQ587" s="62" t="str">
        <f t="shared" si="452"/>
        <v/>
      </c>
      <c r="AR587" s="31">
        <f t="shared" si="453"/>
        <v>0</v>
      </c>
      <c r="AS587" s="21">
        <f t="shared" si="454"/>
        <v>0</v>
      </c>
      <c r="AT587" s="62" t="str">
        <f t="shared" si="455"/>
        <v/>
      </c>
      <c r="AU587" s="84">
        <f t="shared" si="456"/>
        <v>0</v>
      </c>
      <c r="AV587" s="32">
        <f t="shared" si="457"/>
        <v>0</v>
      </c>
      <c r="AW587" s="85" t="str">
        <f t="shared" si="458"/>
        <v/>
      </c>
      <c r="AX587" s="86" t="str">
        <f t="shared" si="459"/>
        <v/>
      </c>
    </row>
    <row r="588" spans="1:50" x14ac:dyDescent="0.2">
      <c r="A588" s="29" t="str">
        <f t="shared" si="417"/>
        <v/>
      </c>
      <c r="B588" s="32" t="str">
        <f t="shared" si="418"/>
        <v/>
      </c>
      <c r="C588" s="35"/>
      <c r="D588" s="33" t="str">
        <f t="shared" si="419"/>
        <v/>
      </c>
      <c r="E588" s="22" t="str">
        <f t="shared" si="420"/>
        <v/>
      </c>
      <c r="F588" s="23" t="str">
        <f t="shared" si="421"/>
        <v/>
      </c>
      <c r="G588" s="23"/>
      <c r="H588" s="22"/>
      <c r="I588" s="23"/>
      <c r="J588" s="18"/>
      <c r="K588" s="13" t="str">
        <f t="shared" si="422"/>
        <v/>
      </c>
      <c r="L588" s="28" t="str">
        <f t="shared" si="423"/>
        <v/>
      </c>
      <c r="M588" s="10" t="str">
        <f t="shared" si="424"/>
        <v/>
      </c>
      <c r="N588" s="17" t="str">
        <f t="shared" si="425"/>
        <v/>
      </c>
      <c r="O588" s="39" t="str">
        <f t="shared" si="426"/>
        <v/>
      </c>
      <c r="P588" s="41" t="str">
        <f t="shared" si="427"/>
        <v/>
      </c>
      <c r="Q588" s="9" t="str">
        <f t="shared" si="428"/>
        <v/>
      </c>
      <c r="R588" s="14">
        <f t="shared" si="429"/>
        <v>0</v>
      </c>
      <c r="S588" s="61" t="str">
        <f t="shared" si="430"/>
        <v/>
      </c>
      <c r="T588" s="14">
        <f t="shared" si="431"/>
        <v>0</v>
      </c>
      <c r="U588" s="58" t="str">
        <f t="shared" si="432"/>
        <v/>
      </c>
      <c r="V588" s="14">
        <f t="shared" si="433"/>
        <v>0</v>
      </c>
      <c r="W588" s="58" t="str">
        <f t="shared" si="434"/>
        <v/>
      </c>
      <c r="X588" s="14">
        <f t="shared" si="435"/>
        <v>0</v>
      </c>
      <c r="Y588" s="58" t="str">
        <f t="shared" si="436"/>
        <v/>
      </c>
      <c r="Z588" s="31">
        <f t="shared" si="437"/>
        <v>0</v>
      </c>
      <c r="AA588" s="21">
        <f t="shared" si="438"/>
        <v>0</v>
      </c>
      <c r="AB588" s="58" t="str">
        <f t="shared" si="439"/>
        <v/>
      </c>
      <c r="AC588" s="630">
        <f t="shared" si="416"/>
        <v>0</v>
      </c>
      <c r="AD588" s="627"/>
      <c r="AE588" s="21">
        <f t="shared" si="440"/>
        <v>0</v>
      </c>
      <c r="AF588" s="58" t="str">
        <f t="shared" si="441"/>
        <v/>
      </c>
      <c r="AG588" s="21">
        <f t="shared" si="442"/>
        <v>0</v>
      </c>
      <c r="AH588" s="58" t="str">
        <f t="shared" si="443"/>
        <v/>
      </c>
      <c r="AI588" s="21">
        <f t="shared" si="444"/>
        <v>0</v>
      </c>
      <c r="AJ588" s="58" t="str">
        <f t="shared" si="445"/>
        <v/>
      </c>
      <c r="AK588" s="31">
        <f t="shared" si="446"/>
        <v>0</v>
      </c>
      <c r="AL588" s="21">
        <f t="shared" si="447"/>
        <v>0</v>
      </c>
      <c r="AM588" s="62" t="str">
        <f t="shared" si="448"/>
        <v/>
      </c>
      <c r="AN588" s="21">
        <f t="shared" si="449"/>
        <v>0</v>
      </c>
      <c r="AO588" s="62" t="str">
        <f t="shared" si="450"/>
        <v/>
      </c>
      <c r="AP588" s="21">
        <f t="shared" si="451"/>
        <v>0</v>
      </c>
      <c r="AQ588" s="62" t="str">
        <f t="shared" si="452"/>
        <v/>
      </c>
      <c r="AR588" s="31">
        <f t="shared" si="453"/>
        <v>0</v>
      </c>
      <c r="AS588" s="21">
        <f t="shared" si="454"/>
        <v>0</v>
      </c>
      <c r="AT588" s="62" t="str">
        <f t="shared" si="455"/>
        <v/>
      </c>
      <c r="AU588" s="84">
        <f t="shared" si="456"/>
        <v>0</v>
      </c>
      <c r="AV588" s="32">
        <f t="shared" si="457"/>
        <v>0</v>
      </c>
      <c r="AW588" s="85" t="str">
        <f t="shared" si="458"/>
        <v/>
      </c>
      <c r="AX588" s="86" t="str">
        <f t="shared" si="459"/>
        <v/>
      </c>
    </row>
    <row r="589" spans="1:50" x14ac:dyDescent="0.2">
      <c r="A589" s="29" t="str">
        <f t="shared" si="417"/>
        <v/>
      </c>
      <c r="B589" s="32" t="str">
        <f t="shared" si="418"/>
        <v/>
      </c>
      <c r="C589" s="35"/>
      <c r="D589" s="33" t="str">
        <f t="shared" si="419"/>
        <v/>
      </c>
      <c r="E589" s="22" t="str">
        <f t="shared" si="420"/>
        <v/>
      </c>
      <c r="F589" s="23" t="str">
        <f t="shared" si="421"/>
        <v/>
      </c>
      <c r="G589" s="23"/>
      <c r="H589" s="22"/>
      <c r="I589" s="23"/>
      <c r="J589" s="18"/>
      <c r="K589" s="13" t="str">
        <f t="shared" si="422"/>
        <v/>
      </c>
      <c r="L589" s="28" t="str">
        <f t="shared" si="423"/>
        <v/>
      </c>
      <c r="M589" s="10" t="str">
        <f t="shared" si="424"/>
        <v/>
      </c>
      <c r="N589" s="17" t="str">
        <f t="shared" si="425"/>
        <v/>
      </c>
      <c r="O589" s="39" t="str">
        <f t="shared" si="426"/>
        <v/>
      </c>
      <c r="P589" s="41" t="str">
        <f t="shared" si="427"/>
        <v/>
      </c>
      <c r="Q589" s="9" t="str">
        <f t="shared" si="428"/>
        <v/>
      </c>
      <c r="R589" s="14">
        <f t="shared" si="429"/>
        <v>0</v>
      </c>
      <c r="S589" s="61" t="str">
        <f t="shared" si="430"/>
        <v/>
      </c>
      <c r="T589" s="14">
        <f t="shared" si="431"/>
        <v>0</v>
      </c>
      <c r="U589" s="58" t="str">
        <f t="shared" si="432"/>
        <v/>
      </c>
      <c r="V589" s="14">
        <f t="shared" si="433"/>
        <v>0</v>
      </c>
      <c r="W589" s="58" t="str">
        <f t="shared" si="434"/>
        <v/>
      </c>
      <c r="X589" s="14">
        <f t="shared" si="435"/>
        <v>0</v>
      </c>
      <c r="Y589" s="58" t="str">
        <f t="shared" si="436"/>
        <v/>
      </c>
      <c r="Z589" s="31">
        <f t="shared" si="437"/>
        <v>0</v>
      </c>
      <c r="AA589" s="21">
        <f t="shared" si="438"/>
        <v>0</v>
      </c>
      <c r="AB589" s="58" t="str">
        <f t="shared" si="439"/>
        <v/>
      </c>
      <c r="AC589" s="630">
        <f t="shared" si="416"/>
        <v>0</v>
      </c>
      <c r="AD589" s="627"/>
      <c r="AE589" s="21">
        <f t="shared" si="440"/>
        <v>0</v>
      </c>
      <c r="AF589" s="58" t="str">
        <f t="shared" si="441"/>
        <v/>
      </c>
      <c r="AG589" s="21">
        <f t="shared" si="442"/>
        <v>0</v>
      </c>
      <c r="AH589" s="58" t="str">
        <f t="shared" si="443"/>
        <v/>
      </c>
      <c r="AI589" s="21">
        <f t="shared" si="444"/>
        <v>0</v>
      </c>
      <c r="AJ589" s="58" t="str">
        <f t="shared" si="445"/>
        <v/>
      </c>
      <c r="AK589" s="31">
        <f t="shared" si="446"/>
        <v>0</v>
      </c>
      <c r="AL589" s="21">
        <f t="shared" si="447"/>
        <v>0</v>
      </c>
      <c r="AM589" s="62" t="str">
        <f t="shared" si="448"/>
        <v/>
      </c>
      <c r="AN589" s="21">
        <f t="shared" si="449"/>
        <v>0</v>
      </c>
      <c r="AO589" s="62" t="str">
        <f t="shared" si="450"/>
        <v/>
      </c>
      <c r="AP589" s="21">
        <f t="shared" si="451"/>
        <v>0</v>
      </c>
      <c r="AQ589" s="62" t="str">
        <f t="shared" si="452"/>
        <v/>
      </c>
      <c r="AR589" s="31">
        <f t="shared" si="453"/>
        <v>0</v>
      </c>
      <c r="AS589" s="21">
        <f t="shared" si="454"/>
        <v>0</v>
      </c>
      <c r="AT589" s="62" t="str">
        <f t="shared" si="455"/>
        <v/>
      </c>
      <c r="AU589" s="84">
        <f t="shared" si="456"/>
        <v>0</v>
      </c>
      <c r="AV589" s="32">
        <f t="shared" si="457"/>
        <v>0</v>
      </c>
      <c r="AW589" s="85" t="str">
        <f t="shared" si="458"/>
        <v/>
      </c>
      <c r="AX589" s="86" t="str">
        <f t="shared" si="459"/>
        <v/>
      </c>
    </row>
    <row r="590" spans="1:50" x14ac:dyDescent="0.2">
      <c r="A590" s="29" t="str">
        <f t="shared" si="417"/>
        <v/>
      </c>
      <c r="B590" s="32" t="str">
        <f t="shared" si="418"/>
        <v/>
      </c>
      <c r="C590" s="35"/>
      <c r="D590" s="33" t="str">
        <f t="shared" si="419"/>
        <v/>
      </c>
      <c r="E590" s="22" t="str">
        <f t="shared" si="420"/>
        <v/>
      </c>
      <c r="F590" s="23" t="str">
        <f t="shared" si="421"/>
        <v/>
      </c>
      <c r="G590" s="23"/>
      <c r="H590" s="22"/>
      <c r="I590" s="23"/>
      <c r="J590" s="18"/>
      <c r="K590" s="13" t="str">
        <f t="shared" si="422"/>
        <v/>
      </c>
      <c r="L590" s="28" t="str">
        <f t="shared" si="423"/>
        <v/>
      </c>
      <c r="M590" s="10" t="str">
        <f t="shared" si="424"/>
        <v/>
      </c>
      <c r="N590" s="17" t="str">
        <f t="shared" si="425"/>
        <v/>
      </c>
      <c r="O590" s="39" t="str">
        <f t="shared" si="426"/>
        <v/>
      </c>
      <c r="P590" s="41" t="str">
        <f t="shared" si="427"/>
        <v/>
      </c>
      <c r="Q590" s="9" t="str">
        <f t="shared" si="428"/>
        <v/>
      </c>
      <c r="R590" s="14">
        <f t="shared" si="429"/>
        <v>0</v>
      </c>
      <c r="S590" s="61" t="str">
        <f t="shared" si="430"/>
        <v/>
      </c>
      <c r="T590" s="14">
        <f t="shared" si="431"/>
        <v>0</v>
      </c>
      <c r="U590" s="58" t="str">
        <f t="shared" si="432"/>
        <v/>
      </c>
      <c r="V590" s="14">
        <f t="shared" si="433"/>
        <v>0</v>
      </c>
      <c r="W590" s="58" t="str">
        <f t="shared" si="434"/>
        <v/>
      </c>
      <c r="X590" s="14">
        <f t="shared" si="435"/>
        <v>0</v>
      </c>
      <c r="Y590" s="58" t="str">
        <f t="shared" si="436"/>
        <v/>
      </c>
      <c r="Z590" s="31">
        <f t="shared" si="437"/>
        <v>0</v>
      </c>
      <c r="AA590" s="21">
        <f t="shared" si="438"/>
        <v>0</v>
      </c>
      <c r="AB590" s="58" t="str">
        <f t="shared" si="439"/>
        <v/>
      </c>
      <c r="AC590" s="630">
        <f t="shared" si="416"/>
        <v>0</v>
      </c>
      <c r="AD590" s="627"/>
      <c r="AE590" s="21">
        <f t="shared" si="440"/>
        <v>0</v>
      </c>
      <c r="AF590" s="58" t="str">
        <f t="shared" si="441"/>
        <v/>
      </c>
      <c r="AG590" s="21">
        <f t="shared" si="442"/>
        <v>0</v>
      </c>
      <c r="AH590" s="58" t="str">
        <f t="shared" si="443"/>
        <v/>
      </c>
      <c r="AI590" s="21">
        <f t="shared" si="444"/>
        <v>0</v>
      </c>
      <c r="AJ590" s="58" t="str">
        <f t="shared" si="445"/>
        <v/>
      </c>
      <c r="AK590" s="31">
        <f t="shared" si="446"/>
        <v>0</v>
      </c>
      <c r="AL590" s="21">
        <f t="shared" si="447"/>
        <v>0</v>
      </c>
      <c r="AM590" s="62" t="str">
        <f t="shared" si="448"/>
        <v/>
      </c>
      <c r="AN590" s="21">
        <f t="shared" si="449"/>
        <v>0</v>
      </c>
      <c r="AO590" s="62" t="str">
        <f t="shared" si="450"/>
        <v/>
      </c>
      <c r="AP590" s="21">
        <f t="shared" si="451"/>
        <v>0</v>
      </c>
      <c r="AQ590" s="62" t="str">
        <f t="shared" si="452"/>
        <v/>
      </c>
      <c r="AR590" s="31">
        <f t="shared" si="453"/>
        <v>0</v>
      </c>
      <c r="AS590" s="21">
        <f t="shared" si="454"/>
        <v>0</v>
      </c>
      <c r="AT590" s="62" t="str">
        <f t="shared" si="455"/>
        <v/>
      </c>
      <c r="AU590" s="84">
        <f t="shared" si="456"/>
        <v>0</v>
      </c>
      <c r="AV590" s="32">
        <f t="shared" si="457"/>
        <v>0</v>
      </c>
      <c r="AW590" s="85" t="str">
        <f t="shared" si="458"/>
        <v/>
      </c>
      <c r="AX590" s="86" t="str">
        <f t="shared" si="459"/>
        <v/>
      </c>
    </row>
    <row r="591" spans="1:50" x14ac:dyDescent="0.2">
      <c r="A591" s="29" t="str">
        <f t="shared" si="417"/>
        <v/>
      </c>
      <c r="B591" s="32" t="str">
        <f t="shared" si="418"/>
        <v/>
      </c>
      <c r="C591" s="35"/>
      <c r="D591" s="33" t="str">
        <f t="shared" si="419"/>
        <v/>
      </c>
      <c r="E591" s="22" t="str">
        <f t="shared" si="420"/>
        <v/>
      </c>
      <c r="F591" s="23" t="str">
        <f t="shared" si="421"/>
        <v/>
      </c>
      <c r="G591" s="23"/>
      <c r="H591" s="22"/>
      <c r="I591" s="23"/>
      <c r="J591" s="18"/>
      <c r="K591" s="13" t="str">
        <f t="shared" si="422"/>
        <v/>
      </c>
      <c r="L591" s="28" t="str">
        <f t="shared" si="423"/>
        <v/>
      </c>
      <c r="M591" s="10" t="str">
        <f t="shared" si="424"/>
        <v/>
      </c>
      <c r="N591" s="17" t="str">
        <f t="shared" si="425"/>
        <v/>
      </c>
      <c r="O591" s="39" t="str">
        <f t="shared" si="426"/>
        <v/>
      </c>
      <c r="P591" s="41" t="str">
        <f t="shared" si="427"/>
        <v/>
      </c>
      <c r="Q591" s="9" t="str">
        <f t="shared" si="428"/>
        <v/>
      </c>
      <c r="R591" s="14">
        <f t="shared" si="429"/>
        <v>0</v>
      </c>
      <c r="S591" s="61" t="str">
        <f t="shared" si="430"/>
        <v/>
      </c>
      <c r="T591" s="14">
        <f t="shared" si="431"/>
        <v>0</v>
      </c>
      <c r="U591" s="58" t="str">
        <f t="shared" si="432"/>
        <v/>
      </c>
      <c r="V591" s="14">
        <f t="shared" si="433"/>
        <v>0</v>
      </c>
      <c r="W591" s="58" t="str">
        <f t="shared" si="434"/>
        <v/>
      </c>
      <c r="X591" s="14">
        <f t="shared" si="435"/>
        <v>0</v>
      </c>
      <c r="Y591" s="58" t="str">
        <f t="shared" si="436"/>
        <v/>
      </c>
      <c r="Z591" s="31">
        <f t="shared" si="437"/>
        <v>0</v>
      </c>
      <c r="AA591" s="21">
        <f t="shared" si="438"/>
        <v>0</v>
      </c>
      <c r="AB591" s="58" t="str">
        <f t="shared" si="439"/>
        <v/>
      </c>
      <c r="AC591" s="630">
        <f t="shared" si="416"/>
        <v>0</v>
      </c>
      <c r="AD591" s="627"/>
      <c r="AE591" s="21">
        <f t="shared" si="440"/>
        <v>0</v>
      </c>
      <c r="AF591" s="58" t="str">
        <f t="shared" si="441"/>
        <v/>
      </c>
      <c r="AG591" s="21">
        <f t="shared" si="442"/>
        <v>0</v>
      </c>
      <c r="AH591" s="58" t="str">
        <f t="shared" si="443"/>
        <v/>
      </c>
      <c r="AI591" s="21">
        <f t="shared" si="444"/>
        <v>0</v>
      </c>
      <c r="AJ591" s="58" t="str">
        <f t="shared" si="445"/>
        <v/>
      </c>
      <c r="AK591" s="31">
        <f t="shared" si="446"/>
        <v>0</v>
      </c>
      <c r="AL591" s="21">
        <f t="shared" si="447"/>
        <v>0</v>
      </c>
      <c r="AM591" s="62" t="str">
        <f t="shared" si="448"/>
        <v/>
      </c>
      <c r="AN591" s="21">
        <f t="shared" si="449"/>
        <v>0</v>
      </c>
      <c r="AO591" s="62" t="str">
        <f t="shared" si="450"/>
        <v/>
      </c>
      <c r="AP591" s="21">
        <f t="shared" si="451"/>
        <v>0</v>
      </c>
      <c r="AQ591" s="62" t="str">
        <f t="shared" si="452"/>
        <v/>
      </c>
      <c r="AR591" s="31">
        <f t="shared" si="453"/>
        <v>0</v>
      </c>
      <c r="AS591" s="21">
        <f t="shared" si="454"/>
        <v>0</v>
      </c>
      <c r="AT591" s="62" t="str">
        <f t="shared" si="455"/>
        <v/>
      </c>
      <c r="AU591" s="84">
        <f t="shared" si="456"/>
        <v>0</v>
      </c>
      <c r="AV591" s="32">
        <f t="shared" si="457"/>
        <v>0</v>
      </c>
      <c r="AW591" s="85" t="str">
        <f t="shared" si="458"/>
        <v/>
      </c>
      <c r="AX591" s="86" t="str">
        <f t="shared" si="459"/>
        <v/>
      </c>
    </row>
    <row r="592" spans="1:50" x14ac:dyDescent="0.2">
      <c r="A592" s="29" t="str">
        <f t="shared" si="417"/>
        <v/>
      </c>
      <c r="B592" s="32" t="str">
        <f t="shared" si="418"/>
        <v/>
      </c>
      <c r="C592" s="35"/>
      <c r="D592" s="33" t="str">
        <f t="shared" si="419"/>
        <v/>
      </c>
      <c r="E592" s="22" t="str">
        <f t="shared" si="420"/>
        <v/>
      </c>
      <c r="F592" s="23" t="str">
        <f t="shared" si="421"/>
        <v/>
      </c>
      <c r="G592" s="23"/>
      <c r="H592" s="22"/>
      <c r="I592" s="23"/>
      <c r="J592" s="18"/>
      <c r="K592" s="13" t="str">
        <f t="shared" si="422"/>
        <v/>
      </c>
      <c r="L592" s="28" t="str">
        <f t="shared" si="423"/>
        <v/>
      </c>
      <c r="M592" s="10" t="str">
        <f t="shared" si="424"/>
        <v/>
      </c>
      <c r="N592" s="17" t="str">
        <f t="shared" si="425"/>
        <v/>
      </c>
      <c r="O592" s="39" t="str">
        <f t="shared" si="426"/>
        <v/>
      </c>
      <c r="P592" s="41" t="str">
        <f t="shared" si="427"/>
        <v/>
      </c>
      <c r="Q592" s="9" t="str">
        <f t="shared" si="428"/>
        <v/>
      </c>
      <c r="R592" s="14">
        <f t="shared" si="429"/>
        <v>0</v>
      </c>
      <c r="S592" s="61" t="str">
        <f t="shared" si="430"/>
        <v/>
      </c>
      <c r="T592" s="14">
        <f t="shared" si="431"/>
        <v>0</v>
      </c>
      <c r="U592" s="58" t="str">
        <f t="shared" si="432"/>
        <v/>
      </c>
      <c r="V592" s="14">
        <f t="shared" si="433"/>
        <v>0</v>
      </c>
      <c r="W592" s="58" t="str">
        <f t="shared" si="434"/>
        <v/>
      </c>
      <c r="X592" s="14">
        <f t="shared" si="435"/>
        <v>0</v>
      </c>
      <c r="Y592" s="58" t="str">
        <f t="shared" si="436"/>
        <v/>
      </c>
      <c r="Z592" s="31">
        <f t="shared" si="437"/>
        <v>0</v>
      </c>
      <c r="AA592" s="21">
        <f t="shared" si="438"/>
        <v>0</v>
      </c>
      <c r="AB592" s="58" t="str">
        <f t="shared" si="439"/>
        <v/>
      </c>
      <c r="AC592" s="630">
        <f t="shared" si="416"/>
        <v>0</v>
      </c>
      <c r="AD592" s="627"/>
      <c r="AE592" s="21">
        <f t="shared" si="440"/>
        <v>0</v>
      </c>
      <c r="AF592" s="58" t="str">
        <f t="shared" si="441"/>
        <v/>
      </c>
      <c r="AG592" s="21">
        <f t="shared" si="442"/>
        <v>0</v>
      </c>
      <c r="AH592" s="58" t="str">
        <f t="shared" si="443"/>
        <v/>
      </c>
      <c r="AI592" s="21">
        <f t="shared" si="444"/>
        <v>0</v>
      </c>
      <c r="AJ592" s="58" t="str">
        <f t="shared" si="445"/>
        <v/>
      </c>
      <c r="AK592" s="31">
        <f t="shared" si="446"/>
        <v>0</v>
      </c>
      <c r="AL592" s="21">
        <f t="shared" si="447"/>
        <v>0</v>
      </c>
      <c r="AM592" s="62" t="str">
        <f t="shared" si="448"/>
        <v/>
      </c>
      <c r="AN592" s="21">
        <f t="shared" si="449"/>
        <v>0</v>
      </c>
      <c r="AO592" s="62" t="str">
        <f t="shared" si="450"/>
        <v/>
      </c>
      <c r="AP592" s="21">
        <f t="shared" si="451"/>
        <v>0</v>
      </c>
      <c r="AQ592" s="62" t="str">
        <f t="shared" si="452"/>
        <v/>
      </c>
      <c r="AR592" s="31">
        <f t="shared" si="453"/>
        <v>0</v>
      </c>
      <c r="AS592" s="21">
        <f t="shared" si="454"/>
        <v>0</v>
      </c>
      <c r="AT592" s="62" t="str">
        <f t="shared" si="455"/>
        <v/>
      </c>
      <c r="AU592" s="84">
        <f t="shared" si="456"/>
        <v>0</v>
      </c>
      <c r="AV592" s="32">
        <f t="shared" si="457"/>
        <v>0</v>
      </c>
      <c r="AW592" s="85" t="str">
        <f t="shared" si="458"/>
        <v/>
      </c>
      <c r="AX592" s="86" t="str">
        <f t="shared" si="459"/>
        <v/>
      </c>
    </row>
    <row r="593" spans="1:50" x14ac:dyDescent="0.2">
      <c r="A593" s="29" t="str">
        <f t="shared" si="417"/>
        <v/>
      </c>
      <c r="B593" s="32" t="str">
        <f t="shared" si="418"/>
        <v/>
      </c>
      <c r="C593" s="35"/>
      <c r="D593" s="33" t="str">
        <f t="shared" si="419"/>
        <v/>
      </c>
      <c r="E593" s="22" t="str">
        <f t="shared" si="420"/>
        <v/>
      </c>
      <c r="F593" s="23" t="str">
        <f t="shared" si="421"/>
        <v/>
      </c>
      <c r="G593" s="23"/>
      <c r="H593" s="22"/>
      <c r="I593" s="23"/>
      <c r="J593" s="18"/>
      <c r="K593" s="13" t="str">
        <f t="shared" si="422"/>
        <v/>
      </c>
      <c r="L593" s="28" t="str">
        <f t="shared" si="423"/>
        <v/>
      </c>
      <c r="M593" s="10" t="str">
        <f t="shared" si="424"/>
        <v/>
      </c>
      <c r="N593" s="17" t="str">
        <f t="shared" si="425"/>
        <v/>
      </c>
      <c r="O593" s="39" t="str">
        <f t="shared" si="426"/>
        <v/>
      </c>
      <c r="P593" s="41" t="str">
        <f t="shared" si="427"/>
        <v/>
      </c>
      <c r="Q593" s="9" t="str">
        <f t="shared" si="428"/>
        <v/>
      </c>
      <c r="R593" s="14">
        <f t="shared" si="429"/>
        <v>0</v>
      </c>
      <c r="S593" s="61" t="str">
        <f t="shared" si="430"/>
        <v/>
      </c>
      <c r="T593" s="14">
        <f t="shared" si="431"/>
        <v>0</v>
      </c>
      <c r="U593" s="58" t="str">
        <f t="shared" si="432"/>
        <v/>
      </c>
      <c r="V593" s="14">
        <f t="shared" si="433"/>
        <v>0</v>
      </c>
      <c r="W593" s="58" t="str">
        <f t="shared" si="434"/>
        <v/>
      </c>
      <c r="X593" s="14">
        <f t="shared" si="435"/>
        <v>0</v>
      </c>
      <c r="Y593" s="58" t="str">
        <f t="shared" si="436"/>
        <v/>
      </c>
      <c r="Z593" s="31">
        <f t="shared" si="437"/>
        <v>0</v>
      </c>
      <c r="AA593" s="21">
        <f t="shared" si="438"/>
        <v>0</v>
      </c>
      <c r="AB593" s="58" t="str">
        <f t="shared" si="439"/>
        <v/>
      </c>
      <c r="AC593" s="630">
        <f t="shared" si="416"/>
        <v>0</v>
      </c>
      <c r="AD593" s="627"/>
      <c r="AE593" s="21">
        <f t="shared" si="440"/>
        <v>0</v>
      </c>
      <c r="AF593" s="58" t="str">
        <f t="shared" si="441"/>
        <v/>
      </c>
      <c r="AG593" s="21">
        <f t="shared" si="442"/>
        <v>0</v>
      </c>
      <c r="AH593" s="58" t="str">
        <f t="shared" si="443"/>
        <v/>
      </c>
      <c r="AI593" s="21">
        <f t="shared" si="444"/>
        <v>0</v>
      </c>
      <c r="AJ593" s="58" t="str">
        <f t="shared" si="445"/>
        <v/>
      </c>
      <c r="AK593" s="31">
        <f t="shared" si="446"/>
        <v>0</v>
      </c>
      <c r="AL593" s="21">
        <f t="shared" si="447"/>
        <v>0</v>
      </c>
      <c r="AM593" s="62" t="str">
        <f t="shared" si="448"/>
        <v/>
      </c>
      <c r="AN593" s="21">
        <f t="shared" si="449"/>
        <v>0</v>
      </c>
      <c r="AO593" s="62" t="str">
        <f t="shared" si="450"/>
        <v/>
      </c>
      <c r="AP593" s="21">
        <f t="shared" si="451"/>
        <v>0</v>
      </c>
      <c r="AQ593" s="62" t="str">
        <f t="shared" si="452"/>
        <v/>
      </c>
      <c r="AR593" s="31">
        <f t="shared" si="453"/>
        <v>0</v>
      </c>
      <c r="AS593" s="21">
        <f t="shared" si="454"/>
        <v>0</v>
      </c>
      <c r="AT593" s="62" t="str">
        <f t="shared" si="455"/>
        <v/>
      </c>
      <c r="AU593" s="84">
        <f t="shared" si="456"/>
        <v>0</v>
      </c>
      <c r="AV593" s="32">
        <f t="shared" si="457"/>
        <v>0</v>
      </c>
      <c r="AW593" s="85" t="str">
        <f t="shared" si="458"/>
        <v/>
      </c>
      <c r="AX593" s="86" t="str">
        <f t="shared" si="459"/>
        <v/>
      </c>
    </row>
    <row r="594" spans="1:50" x14ac:dyDescent="0.2">
      <c r="A594" s="29" t="str">
        <f t="shared" si="417"/>
        <v/>
      </c>
      <c r="B594" s="32" t="str">
        <f t="shared" si="418"/>
        <v/>
      </c>
      <c r="C594" s="35"/>
      <c r="D594" s="33" t="str">
        <f t="shared" si="419"/>
        <v/>
      </c>
      <c r="E594" s="22" t="str">
        <f t="shared" si="420"/>
        <v/>
      </c>
      <c r="F594" s="23" t="str">
        <f t="shared" si="421"/>
        <v/>
      </c>
      <c r="G594" s="23"/>
      <c r="H594" s="22"/>
      <c r="I594" s="23"/>
      <c r="J594" s="18"/>
      <c r="K594" s="13" t="str">
        <f t="shared" si="422"/>
        <v/>
      </c>
      <c r="L594" s="28" t="str">
        <f t="shared" si="423"/>
        <v/>
      </c>
      <c r="M594" s="10" t="str">
        <f t="shared" si="424"/>
        <v/>
      </c>
      <c r="N594" s="17" t="str">
        <f t="shared" si="425"/>
        <v/>
      </c>
      <c r="O594" s="39" t="str">
        <f t="shared" si="426"/>
        <v/>
      </c>
      <c r="P594" s="41" t="str">
        <f t="shared" si="427"/>
        <v/>
      </c>
      <c r="Q594" s="9" t="str">
        <f t="shared" si="428"/>
        <v/>
      </c>
      <c r="R594" s="14">
        <f t="shared" si="429"/>
        <v>0</v>
      </c>
      <c r="S594" s="61" t="str">
        <f t="shared" si="430"/>
        <v/>
      </c>
      <c r="T594" s="14">
        <f t="shared" si="431"/>
        <v>0</v>
      </c>
      <c r="U594" s="58" t="str">
        <f t="shared" si="432"/>
        <v/>
      </c>
      <c r="V594" s="14">
        <f t="shared" si="433"/>
        <v>0</v>
      </c>
      <c r="W594" s="58" t="str">
        <f t="shared" si="434"/>
        <v/>
      </c>
      <c r="X594" s="14">
        <f t="shared" si="435"/>
        <v>0</v>
      </c>
      <c r="Y594" s="58" t="str">
        <f t="shared" si="436"/>
        <v/>
      </c>
      <c r="Z594" s="31">
        <f t="shared" si="437"/>
        <v>0</v>
      </c>
      <c r="AA594" s="21">
        <f t="shared" si="438"/>
        <v>0</v>
      </c>
      <c r="AB594" s="58" t="str">
        <f t="shared" si="439"/>
        <v/>
      </c>
      <c r="AC594" s="630">
        <f t="shared" si="416"/>
        <v>0</v>
      </c>
      <c r="AD594" s="627"/>
      <c r="AE594" s="21">
        <f t="shared" si="440"/>
        <v>0</v>
      </c>
      <c r="AF594" s="58" t="str">
        <f t="shared" si="441"/>
        <v/>
      </c>
      <c r="AG594" s="21">
        <f t="shared" si="442"/>
        <v>0</v>
      </c>
      <c r="AH594" s="58" t="str">
        <f t="shared" si="443"/>
        <v/>
      </c>
      <c r="AI594" s="21">
        <f t="shared" si="444"/>
        <v>0</v>
      </c>
      <c r="AJ594" s="58" t="str">
        <f t="shared" si="445"/>
        <v/>
      </c>
      <c r="AK594" s="31">
        <f t="shared" si="446"/>
        <v>0</v>
      </c>
      <c r="AL594" s="21">
        <f t="shared" si="447"/>
        <v>0</v>
      </c>
      <c r="AM594" s="62" t="str">
        <f t="shared" si="448"/>
        <v/>
      </c>
      <c r="AN594" s="21">
        <f t="shared" si="449"/>
        <v>0</v>
      </c>
      <c r="AO594" s="62" t="str">
        <f t="shared" si="450"/>
        <v/>
      </c>
      <c r="AP594" s="21">
        <f t="shared" si="451"/>
        <v>0</v>
      </c>
      <c r="AQ594" s="62" t="str">
        <f t="shared" si="452"/>
        <v/>
      </c>
      <c r="AR594" s="31">
        <f t="shared" si="453"/>
        <v>0</v>
      </c>
      <c r="AS594" s="21">
        <f t="shared" si="454"/>
        <v>0</v>
      </c>
      <c r="AT594" s="62" t="str">
        <f t="shared" si="455"/>
        <v/>
      </c>
      <c r="AU594" s="84">
        <f t="shared" si="456"/>
        <v>0</v>
      </c>
      <c r="AV594" s="32">
        <f t="shared" si="457"/>
        <v>0</v>
      </c>
      <c r="AW594" s="85" t="str">
        <f t="shared" si="458"/>
        <v/>
      </c>
      <c r="AX594" s="86" t="str">
        <f t="shared" si="459"/>
        <v/>
      </c>
    </row>
    <row r="595" spans="1:50" x14ac:dyDescent="0.2">
      <c r="A595" s="29" t="str">
        <f t="shared" si="417"/>
        <v/>
      </c>
      <c r="B595" s="32" t="str">
        <f t="shared" si="418"/>
        <v/>
      </c>
      <c r="C595" s="35"/>
      <c r="D595" s="33" t="str">
        <f t="shared" si="419"/>
        <v/>
      </c>
      <c r="E595" s="22" t="str">
        <f t="shared" si="420"/>
        <v/>
      </c>
      <c r="F595" s="23" t="str">
        <f t="shared" si="421"/>
        <v/>
      </c>
      <c r="G595" s="23"/>
      <c r="H595" s="22"/>
      <c r="I595" s="23"/>
      <c r="J595" s="18"/>
      <c r="K595" s="13" t="str">
        <f t="shared" si="422"/>
        <v/>
      </c>
      <c r="L595" s="28" t="str">
        <f t="shared" si="423"/>
        <v/>
      </c>
      <c r="M595" s="10" t="str">
        <f t="shared" si="424"/>
        <v/>
      </c>
      <c r="N595" s="17" t="str">
        <f t="shared" si="425"/>
        <v/>
      </c>
      <c r="O595" s="39" t="str">
        <f t="shared" si="426"/>
        <v/>
      </c>
      <c r="P595" s="41" t="str">
        <f t="shared" si="427"/>
        <v/>
      </c>
      <c r="Q595" s="9" t="str">
        <f t="shared" si="428"/>
        <v/>
      </c>
      <c r="R595" s="14">
        <f t="shared" si="429"/>
        <v>0</v>
      </c>
      <c r="S595" s="61" t="str">
        <f t="shared" si="430"/>
        <v/>
      </c>
      <c r="T595" s="14">
        <f t="shared" si="431"/>
        <v>0</v>
      </c>
      <c r="U595" s="58" t="str">
        <f t="shared" si="432"/>
        <v/>
      </c>
      <c r="V595" s="14">
        <f t="shared" si="433"/>
        <v>0</v>
      </c>
      <c r="W595" s="58" t="str">
        <f t="shared" si="434"/>
        <v/>
      </c>
      <c r="X595" s="14">
        <f t="shared" si="435"/>
        <v>0</v>
      </c>
      <c r="Y595" s="58" t="str">
        <f t="shared" si="436"/>
        <v/>
      </c>
      <c r="Z595" s="31">
        <f t="shared" si="437"/>
        <v>0</v>
      </c>
      <c r="AA595" s="21">
        <f t="shared" si="438"/>
        <v>0</v>
      </c>
      <c r="AB595" s="58" t="str">
        <f t="shared" si="439"/>
        <v/>
      </c>
      <c r="AC595" s="630">
        <f t="shared" si="416"/>
        <v>0</v>
      </c>
      <c r="AD595" s="627"/>
      <c r="AE595" s="21">
        <f t="shared" si="440"/>
        <v>0</v>
      </c>
      <c r="AF595" s="58" t="str">
        <f t="shared" si="441"/>
        <v/>
      </c>
      <c r="AG595" s="21">
        <f t="shared" si="442"/>
        <v>0</v>
      </c>
      <c r="AH595" s="58" t="str">
        <f t="shared" si="443"/>
        <v/>
      </c>
      <c r="AI595" s="21">
        <f t="shared" si="444"/>
        <v>0</v>
      </c>
      <c r="AJ595" s="58" t="str">
        <f t="shared" si="445"/>
        <v/>
      </c>
      <c r="AK595" s="31">
        <f t="shared" si="446"/>
        <v>0</v>
      </c>
      <c r="AL595" s="21">
        <f t="shared" si="447"/>
        <v>0</v>
      </c>
      <c r="AM595" s="62" t="str">
        <f t="shared" si="448"/>
        <v/>
      </c>
      <c r="AN595" s="21">
        <f t="shared" si="449"/>
        <v>0</v>
      </c>
      <c r="AO595" s="62" t="str">
        <f t="shared" si="450"/>
        <v/>
      </c>
      <c r="AP595" s="21">
        <f t="shared" si="451"/>
        <v>0</v>
      </c>
      <c r="AQ595" s="62" t="str">
        <f t="shared" si="452"/>
        <v/>
      </c>
      <c r="AR595" s="31">
        <f t="shared" si="453"/>
        <v>0</v>
      </c>
      <c r="AS595" s="21">
        <f t="shared" si="454"/>
        <v>0</v>
      </c>
      <c r="AT595" s="62" t="str">
        <f t="shared" si="455"/>
        <v/>
      </c>
      <c r="AU595" s="84">
        <f t="shared" si="456"/>
        <v>0</v>
      </c>
      <c r="AV595" s="32">
        <f t="shared" si="457"/>
        <v>0</v>
      </c>
      <c r="AW595" s="85" t="str">
        <f t="shared" si="458"/>
        <v/>
      </c>
      <c r="AX595" s="86" t="str">
        <f t="shared" si="459"/>
        <v/>
      </c>
    </row>
    <row r="596" spans="1:50" x14ac:dyDescent="0.2">
      <c r="A596" s="29" t="str">
        <f t="shared" si="417"/>
        <v/>
      </c>
      <c r="B596" s="32" t="str">
        <f t="shared" si="418"/>
        <v/>
      </c>
      <c r="C596" s="35"/>
      <c r="D596" s="33" t="str">
        <f t="shared" si="419"/>
        <v/>
      </c>
      <c r="E596" s="22" t="str">
        <f t="shared" si="420"/>
        <v/>
      </c>
      <c r="F596" s="23" t="str">
        <f t="shared" si="421"/>
        <v/>
      </c>
      <c r="G596" s="23"/>
      <c r="H596" s="22"/>
      <c r="I596" s="23"/>
      <c r="J596" s="18"/>
      <c r="K596" s="13" t="str">
        <f t="shared" si="422"/>
        <v/>
      </c>
      <c r="L596" s="28" t="str">
        <f t="shared" si="423"/>
        <v/>
      </c>
      <c r="M596" s="10" t="str">
        <f t="shared" si="424"/>
        <v/>
      </c>
      <c r="N596" s="17" t="str">
        <f t="shared" si="425"/>
        <v/>
      </c>
      <c r="O596" s="39" t="str">
        <f t="shared" si="426"/>
        <v/>
      </c>
      <c r="P596" s="41" t="str">
        <f t="shared" si="427"/>
        <v/>
      </c>
      <c r="Q596" s="9" t="str">
        <f t="shared" si="428"/>
        <v/>
      </c>
      <c r="R596" s="14">
        <f t="shared" si="429"/>
        <v>0</v>
      </c>
      <c r="S596" s="61" t="str">
        <f t="shared" si="430"/>
        <v/>
      </c>
      <c r="T596" s="14">
        <f t="shared" si="431"/>
        <v>0</v>
      </c>
      <c r="U596" s="58" t="str">
        <f t="shared" si="432"/>
        <v/>
      </c>
      <c r="V596" s="14">
        <f t="shared" si="433"/>
        <v>0</v>
      </c>
      <c r="W596" s="58" t="str">
        <f t="shared" si="434"/>
        <v/>
      </c>
      <c r="X596" s="14">
        <f t="shared" si="435"/>
        <v>0</v>
      </c>
      <c r="Y596" s="58" t="str">
        <f t="shared" si="436"/>
        <v/>
      </c>
      <c r="Z596" s="31">
        <f t="shared" si="437"/>
        <v>0</v>
      </c>
      <c r="AA596" s="21">
        <f t="shared" si="438"/>
        <v>0</v>
      </c>
      <c r="AB596" s="58" t="str">
        <f t="shared" si="439"/>
        <v/>
      </c>
      <c r="AC596" s="630">
        <f t="shared" si="416"/>
        <v>0</v>
      </c>
      <c r="AD596" s="627"/>
      <c r="AE596" s="21">
        <f t="shared" si="440"/>
        <v>0</v>
      </c>
      <c r="AF596" s="58" t="str">
        <f t="shared" si="441"/>
        <v/>
      </c>
      <c r="AG596" s="21">
        <f t="shared" si="442"/>
        <v>0</v>
      </c>
      <c r="AH596" s="58" t="str">
        <f t="shared" si="443"/>
        <v/>
      </c>
      <c r="AI596" s="21">
        <f t="shared" si="444"/>
        <v>0</v>
      </c>
      <c r="AJ596" s="58" t="str">
        <f t="shared" si="445"/>
        <v/>
      </c>
      <c r="AK596" s="31">
        <f t="shared" si="446"/>
        <v>0</v>
      </c>
      <c r="AL596" s="21">
        <f t="shared" si="447"/>
        <v>0</v>
      </c>
      <c r="AM596" s="62" t="str">
        <f t="shared" si="448"/>
        <v/>
      </c>
      <c r="AN596" s="21">
        <f t="shared" si="449"/>
        <v>0</v>
      </c>
      <c r="AO596" s="62" t="str">
        <f t="shared" si="450"/>
        <v/>
      </c>
      <c r="AP596" s="21">
        <f t="shared" si="451"/>
        <v>0</v>
      </c>
      <c r="AQ596" s="62" t="str">
        <f t="shared" si="452"/>
        <v/>
      </c>
      <c r="AR596" s="31">
        <f t="shared" si="453"/>
        <v>0</v>
      </c>
      <c r="AS596" s="21">
        <f t="shared" si="454"/>
        <v>0</v>
      </c>
      <c r="AT596" s="62" t="str">
        <f t="shared" si="455"/>
        <v/>
      </c>
      <c r="AU596" s="84">
        <f t="shared" si="456"/>
        <v>0</v>
      </c>
      <c r="AV596" s="32">
        <f t="shared" si="457"/>
        <v>0</v>
      </c>
      <c r="AW596" s="85" t="str">
        <f t="shared" si="458"/>
        <v/>
      </c>
      <c r="AX596" s="86" t="str">
        <f t="shared" si="459"/>
        <v/>
      </c>
    </row>
    <row r="597" spans="1:50" x14ac:dyDescent="0.2">
      <c r="A597" s="29" t="str">
        <f t="shared" si="417"/>
        <v/>
      </c>
      <c r="B597" s="32" t="str">
        <f t="shared" si="418"/>
        <v/>
      </c>
      <c r="C597" s="35"/>
      <c r="D597" s="33" t="str">
        <f t="shared" si="419"/>
        <v/>
      </c>
      <c r="E597" s="22" t="str">
        <f t="shared" si="420"/>
        <v/>
      </c>
      <c r="F597" s="23" t="str">
        <f t="shared" si="421"/>
        <v/>
      </c>
      <c r="G597" s="23"/>
      <c r="H597" s="22"/>
      <c r="I597" s="23"/>
      <c r="J597" s="18"/>
      <c r="K597" s="13" t="str">
        <f t="shared" si="422"/>
        <v/>
      </c>
      <c r="L597" s="28" t="str">
        <f t="shared" si="423"/>
        <v/>
      </c>
      <c r="M597" s="10" t="str">
        <f t="shared" si="424"/>
        <v/>
      </c>
      <c r="N597" s="17" t="str">
        <f t="shared" si="425"/>
        <v/>
      </c>
      <c r="O597" s="39" t="str">
        <f t="shared" si="426"/>
        <v/>
      </c>
      <c r="P597" s="41" t="str">
        <f t="shared" si="427"/>
        <v/>
      </c>
      <c r="Q597" s="9" t="str">
        <f t="shared" si="428"/>
        <v/>
      </c>
      <c r="R597" s="14">
        <f t="shared" si="429"/>
        <v>0</v>
      </c>
      <c r="S597" s="61" t="str">
        <f t="shared" si="430"/>
        <v/>
      </c>
      <c r="T597" s="14">
        <f t="shared" si="431"/>
        <v>0</v>
      </c>
      <c r="U597" s="58" t="str">
        <f t="shared" si="432"/>
        <v/>
      </c>
      <c r="V597" s="14">
        <f t="shared" si="433"/>
        <v>0</v>
      </c>
      <c r="W597" s="58" t="str">
        <f t="shared" si="434"/>
        <v/>
      </c>
      <c r="X597" s="14">
        <f t="shared" si="435"/>
        <v>0</v>
      </c>
      <c r="Y597" s="58" t="str">
        <f t="shared" si="436"/>
        <v/>
      </c>
      <c r="Z597" s="31">
        <f t="shared" si="437"/>
        <v>0</v>
      </c>
      <c r="AA597" s="21">
        <f t="shared" si="438"/>
        <v>0</v>
      </c>
      <c r="AB597" s="58" t="str">
        <f t="shared" si="439"/>
        <v/>
      </c>
      <c r="AC597" s="630">
        <f t="shared" ref="AC597:AC660" si="460">COUNTIF(G597:J597,100)</f>
        <v>0</v>
      </c>
      <c r="AD597" s="627"/>
      <c r="AE597" s="21">
        <f t="shared" si="440"/>
        <v>0</v>
      </c>
      <c r="AF597" s="58" t="str">
        <f t="shared" si="441"/>
        <v/>
      </c>
      <c r="AG597" s="21">
        <f t="shared" si="442"/>
        <v>0</v>
      </c>
      <c r="AH597" s="58" t="str">
        <f t="shared" si="443"/>
        <v/>
      </c>
      <c r="AI597" s="21">
        <f t="shared" si="444"/>
        <v>0</v>
      </c>
      <c r="AJ597" s="58" t="str">
        <f t="shared" si="445"/>
        <v/>
      </c>
      <c r="AK597" s="31">
        <f t="shared" si="446"/>
        <v>0</v>
      </c>
      <c r="AL597" s="21">
        <f t="shared" si="447"/>
        <v>0</v>
      </c>
      <c r="AM597" s="62" t="str">
        <f t="shared" si="448"/>
        <v/>
      </c>
      <c r="AN597" s="21">
        <f t="shared" si="449"/>
        <v>0</v>
      </c>
      <c r="AO597" s="62" t="str">
        <f t="shared" si="450"/>
        <v/>
      </c>
      <c r="AP597" s="21">
        <f t="shared" si="451"/>
        <v>0</v>
      </c>
      <c r="AQ597" s="62" t="str">
        <f t="shared" si="452"/>
        <v/>
      </c>
      <c r="AR597" s="31">
        <f t="shared" si="453"/>
        <v>0</v>
      </c>
      <c r="AS597" s="21">
        <f t="shared" si="454"/>
        <v>0</v>
      </c>
      <c r="AT597" s="62" t="str">
        <f t="shared" si="455"/>
        <v/>
      </c>
      <c r="AU597" s="84">
        <f t="shared" si="456"/>
        <v>0</v>
      </c>
      <c r="AV597" s="32">
        <f t="shared" si="457"/>
        <v>0</v>
      </c>
      <c r="AW597" s="85" t="str">
        <f t="shared" si="458"/>
        <v/>
      </c>
      <c r="AX597" s="86" t="str">
        <f t="shared" si="459"/>
        <v/>
      </c>
    </row>
    <row r="598" spans="1:50" x14ac:dyDescent="0.2">
      <c r="A598" s="29" t="str">
        <f t="shared" si="417"/>
        <v/>
      </c>
      <c r="B598" s="32" t="str">
        <f t="shared" si="418"/>
        <v/>
      </c>
      <c r="C598" s="35"/>
      <c r="D598" s="33" t="str">
        <f t="shared" si="419"/>
        <v/>
      </c>
      <c r="E598" s="22" t="str">
        <f t="shared" si="420"/>
        <v/>
      </c>
      <c r="F598" s="23" t="str">
        <f t="shared" si="421"/>
        <v/>
      </c>
      <c r="G598" s="23"/>
      <c r="H598" s="22"/>
      <c r="I598" s="23"/>
      <c r="J598" s="18"/>
      <c r="K598" s="13" t="str">
        <f t="shared" si="422"/>
        <v/>
      </c>
      <c r="L598" s="28" t="str">
        <f t="shared" si="423"/>
        <v/>
      </c>
      <c r="M598" s="10" t="str">
        <f t="shared" si="424"/>
        <v/>
      </c>
      <c r="N598" s="17" t="str">
        <f t="shared" si="425"/>
        <v/>
      </c>
      <c r="O598" s="39" t="str">
        <f t="shared" si="426"/>
        <v/>
      </c>
      <c r="P598" s="41" t="str">
        <f t="shared" si="427"/>
        <v/>
      </c>
      <c r="Q598" s="9" t="str">
        <f t="shared" si="428"/>
        <v/>
      </c>
      <c r="R598" s="14">
        <f t="shared" si="429"/>
        <v>0</v>
      </c>
      <c r="S598" s="61" t="str">
        <f t="shared" si="430"/>
        <v/>
      </c>
      <c r="T598" s="14">
        <f t="shared" si="431"/>
        <v>0</v>
      </c>
      <c r="U598" s="58" t="str">
        <f t="shared" si="432"/>
        <v/>
      </c>
      <c r="V598" s="14">
        <f t="shared" si="433"/>
        <v>0</v>
      </c>
      <c r="W598" s="58" t="str">
        <f t="shared" si="434"/>
        <v/>
      </c>
      <c r="X598" s="14">
        <f t="shared" si="435"/>
        <v>0</v>
      </c>
      <c r="Y598" s="58" t="str">
        <f t="shared" si="436"/>
        <v/>
      </c>
      <c r="Z598" s="31">
        <f t="shared" si="437"/>
        <v>0</v>
      </c>
      <c r="AA598" s="21">
        <f t="shared" si="438"/>
        <v>0</v>
      </c>
      <c r="AB598" s="58" t="str">
        <f t="shared" si="439"/>
        <v/>
      </c>
      <c r="AC598" s="630">
        <f t="shared" si="460"/>
        <v>0</v>
      </c>
      <c r="AD598" s="627"/>
      <c r="AE598" s="21">
        <f t="shared" si="440"/>
        <v>0</v>
      </c>
      <c r="AF598" s="58" t="str">
        <f t="shared" si="441"/>
        <v/>
      </c>
      <c r="AG598" s="21">
        <f t="shared" si="442"/>
        <v>0</v>
      </c>
      <c r="AH598" s="58" t="str">
        <f t="shared" si="443"/>
        <v/>
      </c>
      <c r="AI598" s="21">
        <f t="shared" si="444"/>
        <v>0</v>
      </c>
      <c r="AJ598" s="58" t="str">
        <f t="shared" si="445"/>
        <v/>
      </c>
      <c r="AK598" s="31">
        <f t="shared" si="446"/>
        <v>0</v>
      </c>
      <c r="AL598" s="21">
        <f t="shared" si="447"/>
        <v>0</v>
      </c>
      <c r="AM598" s="62" t="str">
        <f t="shared" si="448"/>
        <v/>
      </c>
      <c r="AN598" s="21">
        <f t="shared" si="449"/>
        <v>0</v>
      </c>
      <c r="AO598" s="62" t="str">
        <f t="shared" si="450"/>
        <v/>
      </c>
      <c r="AP598" s="21">
        <f t="shared" si="451"/>
        <v>0</v>
      </c>
      <c r="AQ598" s="62" t="str">
        <f t="shared" si="452"/>
        <v/>
      </c>
      <c r="AR598" s="31">
        <f t="shared" si="453"/>
        <v>0</v>
      </c>
      <c r="AS598" s="21">
        <f t="shared" si="454"/>
        <v>0</v>
      </c>
      <c r="AT598" s="62" t="str">
        <f t="shared" si="455"/>
        <v/>
      </c>
      <c r="AU598" s="84">
        <f t="shared" si="456"/>
        <v>0</v>
      </c>
      <c r="AV598" s="32">
        <f t="shared" si="457"/>
        <v>0</v>
      </c>
      <c r="AW598" s="85" t="str">
        <f t="shared" si="458"/>
        <v/>
      </c>
      <c r="AX598" s="86" t="str">
        <f t="shared" si="459"/>
        <v/>
      </c>
    </row>
    <row r="599" spans="1:50" x14ac:dyDescent="0.2">
      <c r="A599" s="29" t="str">
        <f t="shared" si="417"/>
        <v/>
      </c>
      <c r="B599" s="32" t="str">
        <f t="shared" si="418"/>
        <v/>
      </c>
      <c r="C599" s="35"/>
      <c r="D599" s="33" t="str">
        <f t="shared" si="419"/>
        <v/>
      </c>
      <c r="E599" s="22" t="str">
        <f t="shared" si="420"/>
        <v/>
      </c>
      <c r="F599" s="23" t="str">
        <f t="shared" si="421"/>
        <v/>
      </c>
      <c r="G599" s="23"/>
      <c r="H599" s="22"/>
      <c r="I599" s="23"/>
      <c r="J599" s="18"/>
      <c r="K599" s="13" t="str">
        <f t="shared" si="422"/>
        <v/>
      </c>
      <c r="L599" s="28" t="str">
        <f t="shared" si="423"/>
        <v/>
      </c>
      <c r="M599" s="10" t="str">
        <f t="shared" si="424"/>
        <v/>
      </c>
      <c r="N599" s="17" t="str">
        <f t="shared" si="425"/>
        <v/>
      </c>
      <c r="O599" s="39" t="str">
        <f t="shared" si="426"/>
        <v/>
      </c>
      <c r="P599" s="41" t="str">
        <f t="shared" si="427"/>
        <v/>
      </c>
      <c r="Q599" s="9" t="str">
        <f t="shared" si="428"/>
        <v/>
      </c>
      <c r="R599" s="14">
        <f t="shared" si="429"/>
        <v>0</v>
      </c>
      <c r="S599" s="61" t="str">
        <f t="shared" si="430"/>
        <v/>
      </c>
      <c r="T599" s="14">
        <f t="shared" si="431"/>
        <v>0</v>
      </c>
      <c r="U599" s="58" t="str">
        <f t="shared" si="432"/>
        <v/>
      </c>
      <c r="V599" s="14">
        <f t="shared" si="433"/>
        <v>0</v>
      </c>
      <c r="W599" s="58" t="str">
        <f t="shared" si="434"/>
        <v/>
      </c>
      <c r="X599" s="14">
        <f t="shared" si="435"/>
        <v>0</v>
      </c>
      <c r="Y599" s="58" t="str">
        <f t="shared" si="436"/>
        <v/>
      </c>
      <c r="Z599" s="31">
        <f t="shared" si="437"/>
        <v>0</v>
      </c>
      <c r="AA599" s="21">
        <f t="shared" si="438"/>
        <v>0</v>
      </c>
      <c r="AB599" s="58" t="str">
        <f t="shared" si="439"/>
        <v/>
      </c>
      <c r="AC599" s="630">
        <f t="shared" si="460"/>
        <v>0</v>
      </c>
      <c r="AD599" s="627"/>
      <c r="AE599" s="21">
        <f t="shared" si="440"/>
        <v>0</v>
      </c>
      <c r="AF599" s="58" t="str">
        <f t="shared" si="441"/>
        <v/>
      </c>
      <c r="AG599" s="21">
        <f t="shared" si="442"/>
        <v>0</v>
      </c>
      <c r="AH599" s="58" t="str">
        <f t="shared" si="443"/>
        <v/>
      </c>
      <c r="AI599" s="21">
        <f t="shared" si="444"/>
        <v>0</v>
      </c>
      <c r="AJ599" s="58" t="str">
        <f t="shared" si="445"/>
        <v/>
      </c>
      <c r="AK599" s="31">
        <f t="shared" si="446"/>
        <v>0</v>
      </c>
      <c r="AL599" s="21">
        <f t="shared" si="447"/>
        <v>0</v>
      </c>
      <c r="AM599" s="62" t="str">
        <f t="shared" si="448"/>
        <v/>
      </c>
      <c r="AN599" s="21">
        <f t="shared" si="449"/>
        <v>0</v>
      </c>
      <c r="AO599" s="62" t="str">
        <f t="shared" si="450"/>
        <v/>
      </c>
      <c r="AP599" s="21">
        <f t="shared" si="451"/>
        <v>0</v>
      </c>
      <c r="AQ599" s="62" t="str">
        <f t="shared" si="452"/>
        <v/>
      </c>
      <c r="AR599" s="31">
        <f t="shared" si="453"/>
        <v>0</v>
      </c>
      <c r="AS599" s="21">
        <f t="shared" si="454"/>
        <v>0</v>
      </c>
      <c r="AT599" s="62" t="str">
        <f t="shared" si="455"/>
        <v/>
      </c>
      <c r="AU599" s="84">
        <f t="shared" si="456"/>
        <v>0</v>
      </c>
      <c r="AV599" s="32">
        <f t="shared" si="457"/>
        <v>0</v>
      </c>
      <c r="AW599" s="85" t="str">
        <f t="shared" si="458"/>
        <v/>
      </c>
      <c r="AX599" s="86" t="str">
        <f t="shared" si="459"/>
        <v/>
      </c>
    </row>
    <row r="600" spans="1:50" x14ac:dyDescent="0.2">
      <c r="A600" s="29" t="str">
        <f t="shared" si="417"/>
        <v/>
      </c>
      <c r="B600" s="32" t="str">
        <f t="shared" si="418"/>
        <v/>
      </c>
      <c r="C600" s="35"/>
      <c r="D600" s="33" t="str">
        <f t="shared" si="419"/>
        <v/>
      </c>
      <c r="E600" s="22" t="str">
        <f t="shared" si="420"/>
        <v/>
      </c>
      <c r="F600" s="23" t="str">
        <f t="shared" si="421"/>
        <v/>
      </c>
      <c r="G600" s="23"/>
      <c r="H600" s="22"/>
      <c r="I600" s="23"/>
      <c r="J600" s="18"/>
      <c r="K600" s="13" t="str">
        <f t="shared" si="422"/>
        <v/>
      </c>
      <c r="L600" s="28" t="str">
        <f t="shared" si="423"/>
        <v/>
      </c>
      <c r="M600" s="10" t="str">
        <f t="shared" si="424"/>
        <v/>
      </c>
      <c r="N600" s="17" t="str">
        <f t="shared" si="425"/>
        <v/>
      </c>
      <c r="O600" s="39" t="str">
        <f t="shared" si="426"/>
        <v/>
      </c>
      <c r="P600" s="41" t="str">
        <f t="shared" si="427"/>
        <v/>
      </c>
      <c r="Q600" s="9" t="str">
        <f t="shared" si="428"/>
        <v/>
      </c>
      <c r="R600" s="14">
        <f t="shared" si="429"/>
        <v>0</v>
      </c>
      <c r="S600" s="61" t="str">
        <f t="shared" si="430"/>
        <v/>
      </c>
      <c r="T600" s="14">
        <f t="shared" si="431"/>
        <v>0</v>
      </c>
      <c r="U600" s="58" t="str">
        <f t="shared" si="432"/>
        <v/>
      </c>
      <c r="V600" s="14">
        <f t="shared" si="433"/>
        <v>0</v>
      </c>
      <c r="W600" s="58" t="str">
        <f t="shared" si="434"/>
        <v/>
      </c>
      <c r="X600" s="14">
        <f t="shared" si="435"/>
        <v>0</v>
      </c>
      <c r="Y600" s="58" t="str">
        <f t="shared" si="436"/>
        <v/>
      </c>
      <c r="Z600" s="31">
        <f t="shared" si="437"/>
        <v>0</v>
      </c>
      <c r="AA600" s="21">
        <f t="shared" si="438"/>
        <v>0</v>
      </c>
      <c r="AB600" s="58" t="str">
        <f t="shared" si="439"/>
        <v/>
      </c>
      <c r="AC600" s="630">
        <f t="shared" si="460"/>
        <v>0</v>
      </c>
      <c r="AD600" s="627"/>
      <c r="AE600" s="21">
        <f t="shared" si="440"/>
        <v>0</v>
      </c>
      <c r="AF600" s="58" t="str">
        <f t="shared" si="441"/>
        <v/>
      </c>
      <c r="AG600" s="21">
        <f t="shared" si="442"/>
        <v>0</v>
      </c>
      <c r="AH600" s="58" t="str">
        <f t="shared" si="443"/>
        <v/>
      </c>
      <c r="AI600" s="21">
        <f t="shared" si="444"/>
        <v>0</v>
      </c>
      <c r="AJ600" s="58" t="str">
        <f t="shared" si="445"/>
        <v/>
      </c>
      <c r="AK600" s="31">
        <f t="shared" si="446"/>
        <v>0</v>
      </c>
      <c r="AL600" s="21">
        <f t="shared" si="447"/>
        <v>0</v>
      </c>
      <c r="AM600" s="62" t="str">
        <f t="shared" si="448"/>
        <v/>
      </c>
      <c r="AN600" s="21">
        <f t="shared" si="449"/>
        <v>0</v>
      </c>
      <c r="AO600" s="62" t="str">
        <f t="shared" si="450"/>
        <v/>
      </c>
      <c r="AP600" s="21">
        <f t="shared" si="451"/>
        <v>0</v>
      </c>
      <c r="AQ600" s="62" t="str">
        <f t="shared" si="452"/>
        <v/>
      </c>
      <c r="AR600" s="31">
        <f t="shared" si="453"/>
        <v>0</v>
      </c>
      <c r="AS600" s="21">
        <f t="shared" si="454"/>
        <v>0</v>
      </c>
      <c r="AT600" s="62" t="str">
        <f t="shared" si="455"/>
        <v/>
      </c>
      <c r="AU600" s="84">
        <f t="shared" si="456"/>
        <v>0</v>
      </c>
      <c r="AV600" s="32">
        <f t="shared" si="457"/>
        <v>0</v>
      </c>
      <c r="AW600" s="85" t="str">
        <f t="shared" si="458"/>
        <v/>
      </c>
      <c r="AX600" s="86" t="str">
        <f t="shared" si="459"/>
        <v/>
      </c>
    </row>
    <row r="601" spans="1:50" x14ac:dyDescent="0.2">
      <c r="A601" s="29" t="str">
        <f t="shared" si="417"/>
        <v/>
      </c>
      <c r="B601" s="32" t="str">
        <f t="shared" si="418"/>
        <v/>
      </c>
      <c r="C601" s="35"/>
      <c r="D601" s="33" t="str">
        <f t="shared" si="419"/>
        <v/>
      </c>
      <c r="E601" s="22" t="str">
        <f t="shared" si="420"/>
        <v/>
      </c>
      <c r="F601" s="23" t="str">
        <f t="shared" si="421"/>
        <v/>
      </c>
      <c r="G601" s="23"/>
      <c r="H601" s="22"/>
      <c r="I601" s="23"/>
      <c r="J601" s="18"/>
      <c r="K601" s="13" t="str">
        <f t="shared" si="422"/>
        <v/>
      </c>
      <c r="L601" s="28" t="str">
        <f t="shared" si="423"/>
        <v/>
      </c>
      <c r="M601" s="10" t="str">
        <f t="shared" si="424"/>
        <v/>
      </c>
      <c r="N601" s="17" t="str">
        <f t="shared" si="425"/>
        <v/>
      </c>
      <c r="O601" s="39" t="str">
        <f t="shared" si="426"/>
        <v/>
      </c>
      <c r="P601" s="41" t="str">
        <f t="shared" si="427"/>
        <v/>
      </c>
      <c r="Q601" s="9" t="str">
        <f t="shared" si="428"/>
        <v/>
      </c>
      <c r="R601" s="14">
        <f t="shared" si="429"/>
        <v>0</v>
      </c>
      <c r="S601" s="61" t="str">
        <f t="shared" si="430"/>
        <v/>
      </c>
      <c r="T601" s="14">
        <f t="shared" si="431"/>
        <v>0</v>
      </c>
      <c r="U601" s="58" t="str">
        <f t="shared" si="432"/>
        <v/>
      </c>
      <c r="V601" s="14">
        <f t="shared" si="433"/>
        <v>0</v>
      </c>
      <c r="W601" s="58" t="str">
        <f t="shared" si="434"/>
        <v/>
      </c>
      <c r="X601" s="14">
        <f t="shared" si="435"/>
        <v>0</v>
      </c>
      <c r="Y601" s="58" t="str">
        <f t="shared" si="436"/>
        <v/>
      </c>
      <c r="Z601" s="31">
        <f t="shared" si="437"/>
        <v>0</v>
      </c>
      <c r="AA601" s="21">
        <f t="shared" si="438"/>
        <v>0</v>
      </c>
      <c r="AB601" s="58" t="str">
        <f t="shared" si="439"/>
        <v/>
      </c>
      <c r="AC601" s="630">
        <f t="shared" si="460"/>
        <v>0</v>
      </c>
      <c r="AD601" s="627"/>
      <c r="AE601" s="21">
        <f t="shared" si="440"/>
        <v>0</v>
      </c>
      <c r="AF601" s="58" t="str">
        <f t="shared" si="441"/>
        <v/>
      </c>
      <c r="AG601" s="21">
        <f t="shared" si="442"/>
        <v>0</v>
      </c>
      <c r="AH601" s="58" t="str">
        <f t="shared" si="443"/>
        <v/>
      </c>
      <c r="AI601" s="21">
        <f t="shared" si="444"/>
        <v>0</v>
      </c>
      <c r="AJ601" s="58" t="str">
        <f t="shared" si="445"/>
        <v/>
      </c>
      <c r="AK601" s="31">
        <f t="shared" si="446"/>
        <v>0</v>
      </c>
      <c r="AL601" s="21">
        <f t="shared" si="447"/>
        <v>0</v>
      </c>
      <c r="AM601" s="62" t="str">
        <f t="shared" si="448"/>
        <v/>
      </c>
      <c r="AN601" s="21">
        <f t="shared" si="449"/>
        <v>0</v>
      </c>
      <c r="AO601" s="62" t="str">
        <f t="shared" si="450"/>
        <v/>
      </c>
      <c r="AP601" s="21">
        <f t="shared" si="451"/>
        <v>0</v>
      </c>
      <c r="AQ601" s="62" t="str">
        <f t="shared" si="452"/>
        <v/>
      </c>
      <c r="AR601" s="31">
        <f t="shared" si="453"/>
        <v>0</v>
      </c>
      <c r="AS601" s="21">
        <f t="shared" si="454"/>
        <v>0</v>
      </c>
      <c r="AT601" s="62" t="str">
        <f t="shared" si="455"/>
        <v/>
      </c>
      <c r="AU601" s="84">
        <f t="shared" si="456"/>
        <v>0</v>
      </c>
      <c r="AV601" s="32">
        <f t="shared" si="457"/>
        <v>0</v>
      </c>
      <c r="AW601" s="85" t="str">
        <f t="shared" si="458"/>
        <v/>
      </c>
      <c r="AX601" s="86" t="str">
        <f t="shared" si="459"/>
        <v/>
      </c>
    </row>
    <row r="602" spans="1:50" x14ac:dyDescent="0.2">
      <c r="A602" s="29" t="str">
        <f t="shared" si="417"/>
        <v/>
      </c>
      <c r="B602" s="32" t="str">
        <f t="shared" si="418"/>
        <v/>
      </c>
      <c r="C602" s="35"/>
      <c r="D602" s="33" t="str">
        <f t="shared" si="419"/>
        <v/>
      </c>
      <c r="E602" s="22" t="str">
        <f t="shared" si="420"/>
        <v/>
      </c>
      <c r="F602" s="23" t="str">
        <f t="shared" si="421"/>
        <v/>
      </c>
      <c r="G602" s="23"/>
      <c r="H602" s="22"/>
      <c r="I602" s="23"/>
      <c r="J602" s="18"/>
      <c r="K602" s="13" t="str">
        <f t="shared" si="422"/>
        <v/>
      </c>
      <c r="L602" s="28" t="str">
        <f t="shared" si="423"/>
        <v/>
      </c>
      <c r="M602" s="10" t="str">
        <f t="shared" si="424"/>
        <v/>
      </c>
      <c r="N602" s="17" t="str">
        <f t="shared" si="425"/>
        <v/>
      </c>
      <c r="O602" s="39" t="str">
        <f t="shared" si="426"/>
        <v/>
      </c>
      <c r="P602" s="41" t="str">
        <f t="shared" si="427"/>
        <v/>
      </c>
      <c r="Q602" s="9" t="str">
        <f t="shared" si="428"/>
        <v/>
      </c>
      <c r="R602" s="14">
        <f t="shared" si="429"/>
        <v>0</v>
      </c>
      <c r="S602" s="61" t="str">
        <f t="shared" si="430"/>
        <v/>
      </c>
      <c r="T602" s="14">
        <f t="shared" si="431"/>
        <v>0</v>
      </c>
      <c r="U602" s="58" t="str">
        <f t="shared" si="432"/>
        <v/>
      </c>
      <c r="V602" s="14">
        <f t="shared" si="433"/>
        <v>0</v>
      </c>
      <c r="W602" s="58" t="str">
        <f t="shared" si="434"/>
        <v/>
      </c>
      <c r="X602" s="14">
        <f t="shared" si="435"/>
        <v>0</v>
      </c>
      <c r="Y602" s="58" t="str">
        <f t="shared" si="436"/>
        <v/>
      </c>
      <c r="Z602" s="31">
        <f t="shared" si="437"/>
        <v>0</v>
      </c>
      <c r="AA602" s="21">
        <f t="shared" si="438"/>
        <v>0</v>
      </c>
      <c r="AB602" s="58" t="str">
        <f t="shared" si="439"/>
        <v/>
      </c>
      <c r="AC602" s="630">
        <f t="shared" si="460"/>
        <v>0</v>
      </c>
      <c r="AD602" s="627"/>
      <c r="AE602" s="21">
        <f t="shared" si="440"/>
        <v>0</v>
      </c>
      <c r="AF602" s="58" t="str">
        <f t="shared" si="441"/>
        <v/>
      </c>
      <c r="AG602" s="21">
        <f t="shared" si="442"/>
        <v>0</v>
      </c>
      <c r="AH602" s="58" t="str">
        <f t="shared" si="443"/>
        <v/>
      </c>
      <c r="AI602" s="21">
        <f t="shared" si="444"/>
        <v>0</v>
      </c>
      <c r="AJ602" s="58" t="str">
        <f t="shared" si="445"/>
        <v/>
      </c>
      <c r="AK602" s="31">
        <f t="shared" si="446"/>
        <v>0</v>
      </c>
      <c r="AL602" s="21">
        <f t="shared" si="447"/>
        <v>0</v>
      </c>
      <c r="AM602" s="62" t="str">
        <f t="shared" si="448"/>
        <v/>
      </c>
      <c r="AN602" s="21">
        <f t="shared" si="449"/>
        <v>0</v>
      </c>
      <c r="AO602" s="62" t="str">
        <f t="shared" si="450"/>
        <v/>
      </c>
      <c r="AP602" s="21">
        <f t="shared" si="451"/>
        <v>0</v>
      </c>
      <c r="AQ602" s="62" t="str">
        <f t="shared" si="452"/>
        <v/>
      </c>
      <c r="AR602" s="31">
        <f t="shared" si="453"/>
        <v>0</v>
      </c>
      <c r="AS602" s="21">
        <f t="shared" si="454"/>
        <v>0</v>
      </c>
      <c r="AT602" s="62" t="str">
        <f t="shared" si="455"/>
        <v/>
      </c>
      <c r="AU602" s="84">
        <f t="shared" si="456"/>
        <v>0</v>
      </c>
      <c r="AV602" s="32">
        <f t="shared" si="457"/>
        <v>0</v>
      </c>
      <c r="AW602" s="85" t="str">
        <f t="shared" si="458"/>
        <v/>
      </c>
      <c r="AX602" s="86" t="str">
        <f t="shared" si="459"/>
        <v/>
      </c>
    </row>
    <row r="603" spans="1:50" x14ac:dyDescent="0.2">
      <c r="A603" s="29" t="str">
        <f t="shared" si="417"/>
        <v/>
      </c>
      <c r="B603" s="32" t="str">
        <f t="shared" si="418"/>
        <v/>
      </c>
      <c r="C603" s="35"/>
      <c r="D603" s="33" t="str">
        <f t="shared" si="419"/>
        <v/>
      </c>
      <c r="E603" s="22" t="str">
        <f t="shared" si="420"/>
        <v/>
      </c>
      <c r="F603" s="23" t="str">
        <f t="shared" si="421"/>
        <v/>
      </c>
      <c r="G603" s="23"/>
      <c r="H603" s="22"/>
      <c r="I603" s="23"/>
      <c r="J603" s="18"/>
      <c r="K603" s="13" t="str">
        <f t="shared" si="422"/>
        <v/>
      </c>
      <c r="L603" s="28" t="str">
        <f t="shared" si="423"/>
        <v/>
      </c>
      <c r="M603" s="10" t="str">
        <f t="shared" si="424"/>
        <v/>
      </c>
      <c r="N603" s="17" t="str">
        <f t="shared" si="425"/>
        <v/>
      </c>
      <c r="O603" s="39" t="str">
        <f t="shared" si="426"/>
        <v/>
      </c>
      <c r="P603" s="41" t="str">
        <f t="shared" si="427"/>
        <v/>
      </c>
      <c r="Q603" s="9" t="str">
        <f t="shared" si="428"/>
        <v/>
      </c>
      <c r="R603" s="14">
        <f t="shared" si="429"/>
        <v>0</v>
      </c>
      <c r="S603" s="61" t="str">
        <f t="shared" si="430"/>
        <v/>
      </c>
      <c r="T603" s="14">
        <f t="shared" si="431"/>
        <v>0</v>
      </c>
      <c r="U603" s="58" t="str">
        <f t="shared" si="432"/>
        <v/>
      </c>
      <c r="V603" s="14">
        <f t="shared" si="433"/>
        <v>0</v>
      </c>
      <c r="W603" s="58" t="str">
        <f t="shared" si="434"/>
        <v/>
      </c>
      <c r="X603" s="14">
        <f t="shared" si="435"/>
        <v>0</v>
      </c>
      <c r="Y603" s="58" t="str">
        <f t="shared" si="436"/>
        <v/>
      </c>
      <c r="Z603" s="31">
        <f t="shared" si="437"/>
        <v>0</v>
      </c>
      <c r="AA603" s="21">
        <f t="shared" si="438"/>
        <v>0</v>
      </c>
      <c r="AB603" s="58" t="str">
        <f t="shared" si="439"/>
        <v/>
      </c>
      <c r="AC603" s="630">
        <f t="shared" si="460"/>
        <v>0</v>
      </c>
      <c r="AD603" s="627"/>
      <c r="AE603" s="21">
        <f t="shared" si="440"/>
        <v>0</v>
      </c>
      <c r="AF603" s="58" t="str">
        <f t="shared" si="441"/>
        <v/>
      </c>
      <c r="AG603" s="21">
        <f t="shared" si="442"/>
        <v>0</v>
      </c>
      <c r="AH603" s="58" t="str">
        <f t="shared" si="443"/>
        <v/>
      </c>
      <c r="AI603" s="21">
        <f t="shared" si="444"/>
        <v>0</v>
      </c>
      <c r="AJ603" s="58" t="str">
        <f t="shared" si="445"/>
        <v/>
      </c>
      <c r="AK603" s="31">
        <f t="shared" si="446"/>
        <v>0</v>
      </c>
      <c r="AL603" s="21">
        <f t="shared" si="447"/>
        <v>0</v>
      </c>
      <c r="AM603" s="62" t="str">
        <f t="shared" si="448"/>
        <v/>
      </c>
      <c r="AN603" s="21">
        <f t="shared" si="449"/>
        <v>0</v>
      </c>
      <c r="AO603" s="62" t="str">
        <f t="shared" si="450"/>
        <v/>
      </c>
      <c r="AP603" s="21">
        <f t="shared" si="451"/>
        <v>0</v>
      </c>
      <c r="AQ603" s="62" t="str">
        <f t="shared" si="452"/>
        <v/>
      </c>
      <c r="AR603" s="31">
        <f t="shared" si="453"/>
        <v>0</v>
      </c>
      <c r="AS603" s="21">
        <f t="shared" si="454"/>
        <v>0</v>
      </c>
      <c r="AT603" s="62" t="str">
        <f t="shared" si="455"/>
        <v/>
      </c>
      <c r="AU603" s="84">
        <f t="shared" si="456"/>
        <v>0</v>
      </c>
      <c r="AV603" s="32">
        <f t="shared" si="457"/>
        <v>0</v>
      </c>
      <c r="AW603" s="85" t="str">
        <f t="shared" si="458"/>
        <v/>
      </c>
      <c r="AX603" s="86" t="str">
        <f t="shared" si="459"/>
        <v/>
      </c>
    </row>
    <row r="604" spans="1:50" x14ac:dyDescent="0.2">
      <c r="A604" s="29" t="str">
        <f t="shared" si="417"/>
        <v/>
      </c>
      <c r="B604" s="32" t="str">
        <f t="shared" si="418"/>
        <v/>
      </c>
      <c r="C604" s="35"/>
      <c r="D604" s="33" t="str">
        <f t="shared" si="419"/>
        <v/>
      </c>
      <c r="E604" s="22" t="str">
        <f t="shared" si="420"/>
        <v/>
      </c>
      <c r="F604" s="23" t="str">
        <f t="shared" si="421"/>
        <v/>
      </c>
      <c r="G604" s="23"/>
      <c r="H604" s="22"/>
      <c r="I604" s="23"/>
      <c r="J604" s="18"/>
      <c r="K604" s="13" t="str">
        <f t="shared" si="422"/>
        <v/>
      </c>
      <c r="L604" s="28" t="str">
        <f t="shared" si="423"/>
        <v/>
      </c>
      <c r="M604" s="10" t="str">
        <f t="shared" si="424"/>
        <v/>
      </c>
      <c r="N604" s="17" t="str">
        <f t="shared" si="425"/>
        <v/>
      </c>
      <c r="O604" s="39" t="str">
        <f t="shared" si="426"/>
        <v/>
      </c>
      <c r="P604" s="41" t="str">
        <f t="shared" si="427"/>
        <v/>
      </c>
      <c r="Q604" s="9" t="str">
        <f t="shared" si="428"/>
        <v/>
      </c>
      <c r="R604" s="14">
        <f t="shared" si="429"/>
        <v>0</v>
      </c>
      <c r="S604" s="61" t="str">
        <f t="shared" si="430"/>
        <v/>
      </c>
      <c r="T604" s="14">
        <f t="shared" si="431"/>
        <v>0</v>
      </c>
      <c r="U604" s="58" t="str">
        <f t="shared" si="432"/>
        <v/>
      </c>
      <c r="V604" s="14">
        <f t="shared" si="433"/>
        <v>0</v>
      </c>
      <c r="W604" s="58" t="str">
        <f t="shared" si="434"/>
        <v/>
      </c>
      <c r="X604" s="14">
        <f t="shared" si="435"/>
        <v>0</v>
      </c>
      <c r="Y604" s="58" t="str">
        <f t="shared" si="436"/>
        <v/>
      </c>
      <c r="Z604" s="31">
        <f t="shared" si="437"/>
        <v>0</v>
      </c>
      <c r="AA604" s="21">
        <f t="shared" si="438"/>
        <v>0</v>
      </c>
      <c r="AB604" s="58" t="str">
        <f t="shared" si="439"/>
        <v/>
      </c>
      <c r="AC604" s="630">
        <f t="shared" si="460"/>
        <v>0</v>
      </c>
      <c r="AD604" s="627"/>
      <c r="AE604" s="21">
        <f t="shared" si="440"/>
        <v>0</v>
      </c>
      <c r="AF604" s="58" t="str">
        <f t="shared" si="441"/>
        <v/>
      </c>
      <c r="AG604" s="21">
        <f t="shared" si="442"/>
        <v>0</v>
      </c>
      <c r="AH604" s="58" t="str">
        <f t="shared" si="443"/>
        <v/>
      </c>
      <c r="AI604" s="21">
        <f t="shared" si="444"/>
        <v>0</v>
      </c>
      <c r="AJ604" s="58" t="str">
        <f t="shared" si="445"/>
        <v/>
      </c>
      <c r="AK604" s="31">
        <f t="shared" si="446"/>
        <v>0</v>
      </c>
      <c r="AL604" s="21">
        <f t="shared" si="447"/>
        <v>0</v>
      </c>
      <c r="AM604" s="62" t="str">
        <f t="shared" si="448"/>
        <v/>
      </c>
      <c r="AN604" s="21">
        <f t="shared" si="449"/>
        <v>0</v>
      </c>
      <c r="AO604" s="62" t="str">
        <f t="shared" si="450"/>
        <v/>
      </c>
      <c r="AP604" s="21">
        <f t="shared" si="451"/>
        <v>0</v>
      </c>
      <c r="AQ604" s="62" t="str">
        <f t="shared" si="452"/>
        <v/>
      </c>
      <c r="AR604" s="31">
        <f t="shared" si="453"/>
        <v>0</v>
      </c>
      <c r="AS604" s="21">
        <f t="shared" si="454"/>
        <v>0</v>
      </c>
      <c r="AT604" s="62" t="str">
        <f t="shared" si="455"/>
        <v/>
      </c>
      <c r="AU604" s="84">
        <f t="shared" si="456"/>
        <v>0</v>
      </c>
      <c r="AV604" s="32">
        <f t="shared" si="457"/>
        <v>0</v>
      </c>
      <c r="AW604" s="85" t="str">
        <f t="shared" si="458"/>
        <v/>
      </c>
      <c r="AX604" s="86" t="str">
        <f t="shared" si="459"/>
        <v/>
      </c>
    </row>
    <row r="605" spans="1:50" x14ac:dyDescent="0.2">
      <c r="A605" s="29" t="str">
        <f t="shared" si="417"/>
        <v/>
      </c>
      <c r="B605" s="32" t="str">
        <f t="shared" si="418"/>
        <v/>
      </c>
      <c r="C605" s="35"/>
      <c r="D605" s="33" t="str">
        <f t="shared" si="419"/>
        <v/>
      </c>
      <c r="E605" s="22" t="str">
        <f t="shared" si="420"/>
        <v/>
      </c>
      <c r="F605" s="23" t="str">
        <f t="shared" si="421"/>
        <v/>
      </c>
      <c r="G605" s="23"/>
      <c r="H605" s="22"/>
      <c r="I605" s="23"/>
      <c r="J605" s="18"/>
      <c r="K605" s="13" t="str">
        <f t="shared" si="422"/>
        <v/>
      </c>
      <c r="L605" s="28" t="str">
        <f t="shared" si="423"/>
        <v/>
      </c>
      <c r="M605" s="10" t="str">
        <f t="shared" si="424"/>
        <v/>
      </c>
      <c r="N605" s="17" t="str">
        <f t="shared" si="425"/>
        <v/>
      </c>
      <c r="O605" s="39" t="str">
        <f t="shared" si="426"/>
        <v/>
      </c>
      <c r="P605" s="41" t="str">
        <f t="shared" si="427"/>
        <v/>
      </c>
      <c r="Q605" s="9" t="str">
        <f t="shared" si="428"/>
        <v/>
      </c>
      <c r="R605" s="14">
        <f t="shared" si="429"/>
        <v>0</v>
      </c>
      <c r="S605" s="61" t="str">
        <f t="shared" si="430"/>
        <v/>
      </c>
      <c r="T605" s="14">
        <f t="shared" si="431"/>
        <v>0</v>
      </c>
      <c r="U605" s="58" t="str">
        <f t="shared" si="432"/>
        <v/>
      </c>
      <c r="V605" s="14">
        <f t="shared" si="433"/>
        <v>0</v>
      </c>
      <c r="W605" s="58" t="str">
        <f t="shared" si="434"/>
        <v/>
      </c>
      <c r="X605" s="14">
        <f t="shared" si="435"/>
        <v>0</v>
      </c>
      <c r="Y605" s="58" t="str">
        <f t="shared" si="436"/>
        <v/>
      </c>
      <c r="Z605" s="31">
        <f t="shared" si="437"/>
        <v>0</v>
      </c>
      <c r="AA605" s="21">
        <f t="shared" si="438"/>
        <v>0</v>
      </c>
      <c r="AB605" s="58" t="str">
        <f t="shared" si="439"/>
        <v/>
      </c>
      <c r="AC605" s="630">
        <f t="shared" si="460"/>
        <v>0</v>
      </c>
      <c r="AD605" s="627"/>
      <c r="AE605" s="21">
        <f t="shared" si="440"/>
        <v>0</v>
      </c>
      <c r="AF605" s="58" t="str">
        <f t="shared" si="441"/>
        <v/>
      </c>
      <c r="AG605" s="21">
        <f t="shared" si="442"/>
        <v>0</v>
      </c>
      <c r="AH605" s="58" t="str">
        <f t="shared" si="443"/>
        <v/>
      </c>
      <c r="AI605" s="21">
        <f t="shared" si="444"/>
        <v>0</v>
      </c>
      <c r="AJ605" s="58" t="str">
        <f t="shared" si="445"/>
        <v/>
      </c>
      <c r="AK605" s="31">
        <f t="shared" si="446"/>
        <v>0</v>
      </c>
      <c r="AL605" s="21">
        <f t="shared" si="447"/>
        <v>0</v>
      </c>
      <c r="AM605" s="62" t="str">
        <f t="shared" si="448"/>
        <v/>
      </c>
      <c r="AN605" s="21">
        <f t="shared" si="449"/>
        <v>0</v>
      </c>
      <c r="AO605" s="62" t="str">
        <f t="shared" si="450"/>
        <v/>
      </c>
      <c r="AP605" s="21">
        <f t="shared" si="451"/>
        <v>0</v>
      </c>
      <c r="AQ605" s="62" t="str">
        <f t="shared" si="452"/>
        <v/>
      </c>
      <c r="AR605" s="31">
        <f t="shared" si="453"/>
        <v>0</v>
      </c>
      <c r="AS605" s="21">
        <f t="shared" si="454"/>
        <v>0</v>
      </c>
      <c r="AT605" s="62" t="str">
        <f t="shared" si="455"/>
        <v/>
      </c>
      <c r="AU605" s="84">
        <f t="shared" si="456"/>
        <v>0</v>
      </c>
      <c r="AV605" s="32">
        <f t="shared" si="457"/>
        <v>0</v>
      </c>
      <c r="AW605" s="85" t="str">
        <f t="shared" si="458"/>
        <v/>
      </c>
      <c r="AX605" s="86" t="str">
        <f t="shared" si="459"/>
        <v/>
      </c>
    </row>
    <row r="606" spans="1:50" x14ac:dyDescent="0.2">
      <c r="A606" s="29" t="str">
        <f t="shared" si="417"/>
        <v/>
      </c>
      <c r="B606" s="32" t="str">
        <f t="shared" si="418"/>
        <v/>
      </c>
      <c r="C606" s="35"/>
      <c r="D606" s="33" t="str">
        <f t="shared" si="419"/>
        <v/>
      </c>
      <c r="E606" s="22" t="str">
        <f t="shared" si="420"/>
        <v/>
      </c>
      <c r="F606" s="23" t="str">
        <f t="shared" si="421"/>
        <v/>
      </c>
      <c r="G606" s="23"/>
      <c r="H606" s="22"/>
      <c r="I606" s="23"/>
      <c r="J606" s="18"/>
      <c r="K606" s="13" t="str">
        <f t="shared" si="422"/>
        <v/>
      </c>
      <c r="L606" s="28" t="str">
        <f t="shared" si="423"/>
        <v/>
      </c>
      <c r="M606" s="10" t="str">
        <f t="shared" si="424"/>
        <v/>
      </c>
      <c r="N606" s="17" t="str">
        <f t="shared" si="425"/>
        <v/>
      </c>
      <c r="O606" s="39" t="str">
        <f t="shared" si="426"/>
        <v/>
      </c>
      <c r="P606" s="41" t="str">
        <f t="shared" si="427"/>
        <v/>
      </c>
      <c r="Q606" s="9" t="str">
        <f t="shared" si="428"/>
        <v/>
      </c>
      <c r="R606" s="14">
        <f t="shared" si="429"/>
        <v>0</v>
      </c>
      <c r="S606" s="61" t="str">
        <f t="shared" si="430"/>
        <v/>
      </c>
      <c r="T606" s="14">
        <f t="shared" si="431"/>
        <v>0</v>
      </c>
      <c r="U606" s="58" t="str">
        <f t="shared" si="432"/>
        <v/>
      </c>
      <c r="V606" s="14">
        <f t="shared" si="433"/>
        <v>0</v>
      </c>
      <c r="W606" s="58" t="str">
        <f t="shared" si="434"/>
        <v/>
      </c>
      <c r="X606" s="14">
        <f t="shared" si="435"/>
        <v>0</v>
      </c>
      <c r="Y606" s="58" t="str">
        <f t="shared" si="436"/>
        <v/>
      </c>
      <c r="Z606" s="31">
        <f t="shared" si="437"/>
        <v>0</v>
      </c>
      <c r="AA606" s="21">
        <f t="shared" si="438"/>
        <v>0</v>
      </c>
      <c r="AB606" s="58" t="str">
        <f t="shared" si="439"/>
        <v/>
      </c>
      <c r="AC606" s="630">
        <f t="shared" si="460"/>
        <v>0</v>
      </c>
      <c r="AD606" s="627"/>
      <c r="AE606" s="21">
        <f t="shared" si="440"/>
        <v>0</v>
      </c>
      <c r="AF606" s="58" t="str">
        <f t="shared" si="441"/>
        <v/>
      </c>
      <c r="AG606" s="21">
        <f t="shared" si="442"/>
        <v>0</v>
      </c>
      <c r="AH606" s="58" t="str">
        <f t="shared" si="443"/>
        <v/>
      </c>
      <c r="AI606" s="21">
        <f t="shared" si="444"/>
        <v>0</v>
      </c>
      <c r="AJ606" s="58" t="str">
        <f t="shared" si="445"/>
        <v/>
      </c>
      <c r="AK606" s="31">
        <f t="shared" si="446"/>
        <v>0</v>
      </c>
      <c r="AL606" s="21">
        <f t="shared" si="447"/>
        <v>0</v>
      </c>
      <c r="AM606" s="62" t="str">
        <f t="shared" si="448"/>
        <v/>
      </c>
      <c r="AN606" s="21">
        <f t="shared" si="449"/>
        <v>0</v>
      </c>
      <c r="AO606" s="62" t="str">
        <f t="shared" si="450"/>
        <v/>
      </c>
      <c r="AP606" s="21">
        <f t="shared" si="451"/>
        <v>0</v>
      </c>
      <c r="AQ606" s="62" t="str">
        <f t="shared" si="452"/>
        <v/>
      </c>
      <c r="AR606" s="31">
        <f t="shared" si="453"/>
        <v>0</v>
      </c>
      <c r="AS606" s="21">
        <f t="shared" si="454"/>
        <v>0</v>
      </c>
      <c r="AT606" s="62" t="str">
        <f t="shared" si="455"/>
        <v/>
      </c>
      <c r="AU606" s="84">
        <f t="shared" si="456"/>
        <v>0</v>
      </c>
      <c r="AV606" s="32">
        <f t="shared" si="457"/>
        <v>0</v>
      </c>
      <c r="AW606" s="85" t="str">
        <f t="shared" si="458"/>
        <v/>
      </c>
      <c r="AX606" s="86" t="str">
        <f t="shared" si="459"/>
        <v/>
      </c>
    </row>
    <row r="607" spans="1:50" x14ac:dyDescent="0.2">
      <c r="A607" s="29" t="str">
        <f t="shared" si="417"/>
        <v/>
      </c>
      <c r="B607" s="32" t="str">
        <f t="shared" si="418"/>
        <v/>
      </c>
      <c r="C607" s="35"/>
      <c r="D607" s="33" t="str">
        <f t="shared" si="419"/>
        <v/>
      </c>
      <c r="E607" s="22" t="str">
        <f t="shared" si="420"/>
        <v/>
      </c>
      <c r="F607" s="23" t="str">
        <f t="shared" si="421"/>
        <v/>
      </c>
      <c r="G607" s="23"/>
      <c r="H607" s="22"/>
      <c r="I607" s="23"/>
      <c r="J607" s="18"/>
      <c r="K607" s="13" t="str">
        <f t="shared" si="422"/>
        <v/>
      </c>
      <c r="L607" s="28" t="str">
        <f t="shared" si="423"/>
        <v/>
      </c>
      <c r="M607" s="10" t="str">
        <f t="shared" si="424"/>
        <v/>
      </c>
      <c r="N607" s="17" t="str">
        <f t="shared" si="425"/>
        <v/>
      </c>
      <c r="O607" s="39" t="str">
        <f t="shared" si="426"/>
        <v/>
      </c>
      <c r="P607" s="41" t="str">
        <f t="shared" si="427"/>
        <v/>
      </c>
      <c r="Q607" s="9" t="str">
        <f t="shared" si="428"/>
        <v/>
      </c>
      <c r="R607" s="14">
        <f t="shared" si="429"/>
        <v>0</v>
      </c>
      <c r="S607" s="61" t="str">
        <f t="shared" si="430"/>
        <v/>
      </c>
      <c r="T607" s="14">
        <f t="shared" si="431"/>
        <v>0</v>
      </c>
      <c r="U607" s="58" t="str">
        <f t="shared" si="432"/>
        <v/>
      </c>
      <c r="V607" s="14">
        <f t="shared" si="433"/>
        <v>0</v>
      </c>
      <c r="W607" s="58" t="str">
        <f t="shared" si="434"/>
        <v/>
      </c>
      <c r="X607" s="14">
        <f t="shared" si="435"/>
        <v>0</v>
      </c>
      <c r="Y607" s="58" t="str">
        <f t="shared" si="436"/>
        <v/>
      </c>
      <c r="Z607" s="31">
        <f t="shared" si="437"/>
        <v>0</v>
      </c>
      <c r="AA607" s="21">
        <f t="shared" si="438"/>
        <v>0</v>
      </c>
      <c r="AB607" s="58" t="str">
        <f t="shared" si="439"/>
        <v/>
      </c>
      <c r="AC607" s="630">
        <f t="shared" si="460"/>
        <v>0</v>
      </c>
      <c r="AD607" s="627"/>
      <c r="AE607" s="21">
        <f t="shared" si="440"/>
        <v>0</v>
      </c>
      <c r="AF607" s="58" t="str">
        <f t="shared" si="441"/>
        <v/>
      </c>
      <c r="AG607" s="21">
        <f t="shared" si="442"/>
        <v>0</v>
      </c>
      <c r="AH607" s="58" t="str">
        <f t="shared" si="443"/>
        <v/>
      </c>
      <c r="AI607" s="21">
        <f t="shared" si="444"/>
        <v>0</v>
      </c>
      <c r="AJ607" s="58" t="str">
        <f t="shared" si="445"/>
        <v/>
      </c>
      <c r="AK607" s="31">
        <f t="shared" si="446"/>
        <v>0</v>
      </c>
      <c r="AL607" s="21">
        <f t="shared" si="447"/>
        <v>0</v>
      </c>
      <c r="AM607" s="62" t="str">
        <f t="shared" si="448"/>
        <v/>
      </c>
      <c r="AN607" s="21">
        <f t="shared" si="449"/>
        <v>0</v>
      </c>
      <c r="AO607" s="62" t="str">
        <f t="shared" si="450"/>
        <v/>
      </c>
      <c r="AP607" s="21">
        <f t="shared" si="451"/>
        <v>0</v>
      </c>
      <c r="AQ607" s="62" t="str">
        <f t="shared" si="452"/>
        <v/>
      </c>
      <c r="AR607" s="31">
        <f t="shared" si="453"/>
        <v>0</v>
      </c>
      <c r="AS607" s="21">
        <f t="shared" si="454"/>
        <v>0</v>
      </c>
      <c r="AT607" s="62" t="str">
        <f t="shared" si="455"/>
        <v/>
      </c>
      <c r="AU607" s="84">
        <f t="shared" si="456"/>
        <v>0</v>
      </c>
      <c r="AV607" s="32">
        <f t="shared" si="457"/>
        <v>0</v>
      </c>
      <c r="AW607" s="85" t="str">
        <f t="shared" si="458"/>
        <v/>
      </c>
      <c r="AX607" s="86" t="str">
        <f t="shared" si="459"/>
        <v/>
      </c>
    </row>
    <row r="608" spans="1:50" x14ac:dyDescent="0.2">
      <c r="A608" s="29" t="str">
        <f t="shared" si="417"/>
        <v/>
      </c>
      <c r="B608" s="32" t="str">
        <f t="shared" si="418"/>
        <v/>
      </c>
      <c r="C608" s="35"/>
      <c r="D608" s="33" t="str">
        <f t="shared" si="419"/>
        <v/>
      </c>
      <c r="E608" s="22" t="str">
        <f t="shared" si="420"/>
        <v/>
      </c>
      <c r="F608" s="23" t="str">
        <f t="shared" si="421"/>
        <v/>
      </c>
      <c r="G608" s="23"/>
      <c r="H608" s="22"/>
      <c r="I608" s="23"/>
      <c r="J608" s="18"/>
      <c r="K608" s="13" t="str">
        <f t="shared" si="422"/>
        <v/>
      </c>
      <c r="L608" s="28" t="str">
        <f t="shared" si="423"/>
        <v/>
      </c>
      <c r="M608" s="10" t="str">
        <f t="shared" si="424"/>
        <v/>
      </c>
      <c r="N608" s="17" t="str">
        <f t="shared" si="425"/>
        <v/>
      </c>
      <c r="O608" s="39" t="str">
        <f t="shared" si="426"/>
        <v/>
      </c>
      <c r="P608" s="41" t="str">
        <f t="shared" si="427"/>
        <v/>
      </c>
      <c r="Q608" s="9" t="str">
        <f t="shared" si="428"/>
        <v/>
      </c>
      <c r="R608" s="14">
        <f t="shared" si="429"/>
        <v>0</v>
      </c>
      <c r="S608" s="61" t="str">
        <f t="shared" si="430"/>
        <v/>
      </c>
      <c r="T608" s="14">
        <f t="shared" si="431"/>
        <v>0</v>
      </c>
      <c r="U608" s="58" t="str">
        <f t="shared" si="432"/>
        <v/>
      </c>
      <c r="V608" s="14">
        <f t="shared" si="433"/>
        <v>0</v>
      </c>
      <c r="W608" s="58" t="str">
        <f t="shared" si="434"/>
        <v/>
      </c>
      <c r="X608" s="14">
        <f t="shared" si="435"/>
        <v>0</v>
      </c>
      <c r="Y608" s="58" t="str">
        <f t="shared" si="436"/>
        <v/>
      </c>
      <c r="Z608" s="31">
        <f t="shared" si="437"/>
        <v>0</v>
      </c>
      <c r="AA608" s="21">
        <f t="shared" si="438"/>
        <v>0</v>
      </c>
      <c r="AB608" s="58" t="str">
        <f t="shared" si="439"/>
        <v/>
      </c>
      <c r="AC608" s="630">
        <f t="shared" si="460"/>
        <v>0</v>
      </c>
      <c r="AD608" s="627"/>
      <c r="AE608" s="21">
        <f t="shared" si="440"/>
        <v>0</v>
      </c>
      <c r="AF608" s="58" t="str">
        <f t="shared" si="441"/>
        <v/>
      </c>
      <c r="AG608" s="21">
        <f t="shared" si="442"/>
        <v>0</v>
      </c>
      <c r="AH608" s="58" t="str">
        <f t="shared" si="443"/>
        <v/>
      </c>
      <c r="AI608" s="21">
        <f t="shared" si="444"/>
        <v>0</v>
      </c>
      <c r="AJ608" s="58" t="str">
        <f t="shared" si="445"/>
        <v/>
      </c>
      <c r="AK608" s="31">
        <f t="shared" si="446"/>
        <v>0</v>
      </c>
      <c r="AL608" s="21">
        <f t="shared" si="447"/>
        <v>0</v>
      </c>
      <c r="AM608" s="62" t="str">
        <f t="shared" si="448"/>
        <v/>
      </c>
      <c r="AN608" s="21">
        <f t="shared" si="449"/>
        <v>0</v>
      </c>
      <c r="AO608" s="62" t="str">
        <f t="shared" si="450"/>
        <v/>
      </c>
      <c r="AP608" s="21">
        <f t="shared" si="451"/>
        <v>0</v>
      </c>
      <c r="AQ608" s="62" t="str">
        <f t="shared" si="452"/>
        <v/>
      </c>
      <c r="AR608" s="31">
        <f t="shared" si="453"/>
        <v>0</v>
      </c>
      <c r="AS608" s="21">
        <f t="shared" si="454"/>
        <v>0</v>
      </c>
      <c r="AT608" s="62" t="str">
        <f t="shared" si="455"/>
        <v/>
      </c>
      <c r="AU608" s="84">
        <f t="shared" si="456"/>
        <v>0</v>
      </c>
      <c r="AV608" s="32">
        <f t="shared" si="457"/>
        <v>0</v>
      </c>
      <c r="AW608" s="85" t="str">
        <f t="shared" si="458"/>
        <v/>
      </c>
      <c r="AX608" s="86" t="str">
        <f t="shared" si="459"/>
        <v/>
      </c>
    </row>
    <row r="609" spans="1:50" x14ac:dyDescent="0.2">
      <c r="A609" s="29" t="str">
        <f t="shared" si="417"/>
        <v/>
      </c>
      <c r="B609" s="32" t="str">
        <f t="shared" si="418"/>
        <v/>
      </c>
      <c r="C609" s="35"/>
      <c r="D609" s="33" t="str">
        <f t="shared" si="419"/>
        <v/>
      </c>
      <c r="E609" s="22" t="str">
        <f t="shared" si="420"/>
        <v/>
      </c>
      <c r="F609" s="23" t="str">
        <f t="shared" si="421"/>
        <v/>
      </c>
      <c r="G609" s="23"/>
      <c r="H609" s="22"/>
      <c r="I609" s="23"/>
      <c r="J609" s="18"/>
      <c r="K609" s="13" t="str">
        <f t="shared" si="422"/>
        <v/>
      </c>
      <c r="L609" s="28" t="str">
        <f t="shared" si="423"/>
        <v/>
      </c>
      <c r="M609" s="10" t="str">
        <f t="shared" si="424"/>
        <v/>
      </c>
      <c r="N609" s="17" t="str">
        <f t="shared" si="425"/>
        <v/>
      </c>
      <c r="O609" s="39" t="str">
        <f t="shared" si="426"/>
        <v/>
      </c>
      <c r="P609" s="41" t="str">
        <f t="shared" si="427"/>
        <v/>
      </c>
      <c r="Q609" s="9" t="str">
        <f t="shared" si="428"/>
        <v/>
      </c>
      <c r="R609" s="14">
        <f t="shared" si="429"/>
        <v>0</v>
      </c>
      <c r="S609" s="61" t="str">
        <f t="shared" si="430"/>
        <v/>
      </c>
      <c r="T609" s="14">
        <f t="shared" si="431"/>
        <v>0</v>
      </c>
      <c r="U609" s="58" t="str">
        <f t="shared" si="432"/>
        <v/>
      </c>
      <c r="V609" s="14">
        <f t="shared" si="433"/>
        <v>0</v>
      </c>
      <c r="W609" s="58" t="str">
        <f t="shared" si="434"/>
        <v/>
      </c>
      <c r="X609" s="14">
        <f t="shared" si="435"/>
        <v>0</v>
      </c>
      <c r="Y609" s="58" t="str">
        <f t="shared" si="436"/>
        <v/>
      </c>
      <c r="Z609" s="31">
        <f t="shared" si="437"/>
        <v>0</v>
      </c>
      <c r="AA609" s="21">
        <f t="shared" si="438"/>
        <v>0</v>
      </c>
      <c r="AB609" s="58" t="str">
        <f t="shared" si="439"/>
        <v/>
      </c>
      <c r="AC609" s="630">
        <f t="shared" si="460"/>
        <v>0</v>
      </c>
      <c r="AD609" s="627"/>
      <c r="AE609" s="21">
        <f t="shared" si="440"/>
        <v>0</v>
      </c>
      <c r="AF609" s="58" t="str">
        <f t="shared" si="441"/>
        <v/>
      </c>
      <c r="AG609" s="21">
        <f t="shared" si="442"/>
        <v>0</v>
      </c>
      <c r="AH609" s="58" t="str">
        <f t="shared" si="443"/>
        <v/>
      </c>
      <c r="AI609" s="21">
        <f t="shared" si="444"/>
        <v>0</v>
      </c>
      <c r="AJ609" s="58" t="str">
        <f t="shared" si="445"/>
        <v/>
      </c>
      <c r="AK609" s="31">
        <f t="shared" si="446"/>
        <v>0</v>
      </c>
      <c r="AL609" s="21">
        <f t="shared" si="447"/>
        <v>0</v>
      </c>
      <c r="AM609" s="62" t="str">
        <f t="shared" si="448"/>
        <v/>
      </c>
      <c r="AN609" s="21">
        <f t="shared" si="449"/>
        <v>0</v>
      </c>
      <c r="AO609" s="62" t="str">
        <f t="shared" si="450"/>
        <v/>
      </c>
      <c r="AP609" s="21">
        <f t="shared" si="451"/>
        <v>0</v>
      </c>
      <c r="AQ609" s="62" t="str">
        <f t="shared" si="452"/>
        <v/>
      </c>
      <c r="AR609" s="31">
        <f t="shared" si="453"/>
        <v>0</v>
      </c>
      <c r="AS609" s="21">
        <f t="shared" si="454"/>
        <v>0</v>
      </c>
      <c r="AT609" s="62" t="str">
        <f t="shared" si="455"/>
        <v/>
      </c>
      <c r="AU609" s="84">
        <f t="shared" si="456"/>
        <v>0</v>
      </c>
      <c r="AV609" s="32">
        <f t="shared" si="457"/>
        <v>0</v>
      </c>
      <c r="AW609" s="85" t="str">
        <f t="shared" si="458"/>
        <v/>
      </c>
      <c r="AX609" s="86" t="str">
        <f t="shared" si="459"/>
        <v/>
      </c>
    </row>
    <row r="610" spans="1:50" x14ac:dyDescent="0.2">
      <c r="A610" s="29" t="str">
        <f t="shared" ref="A610:A673" si="461">IF(A609="","",IF(C610="","",A609))</f>
        <v/>
      </c>
      <c r="B610" s="32" t="str">
        <f t="shared" ref="B610:B673" si="462">IF(B609="","",IF(C610="","",B609))</f>
        <v/>
      </c>
      <c r="C610" s="35"/>
      <c r="D610" s="33" t="str">
        <f t="shared" ref="D610:D673" si="463">IF(A610="","",IF(D609="","",D609))</f>
        <v/>
      </c>
      <c r="E610" s="22" t="str">
        <f t="shared" ref="E610:E673" si="464">IF(A610="","",IF(E609="","",E609))</f>
        <v/>
      </c>
      <c r="F610" s="23" t="str">
        <f t="shared" ref="F610:F673" si="465">IF(A610="","",IF(F609="","",F609))</f>
        <v/>
      </c>
      <c r="G610" s="23"/>
      <c r="H610" s="22"/>
      <c r="I610" s="23"/>
      <c r="J610" s="18"/>
      <c r="K610" s="13" t="str">
        <f t="shared" ref="K610:K673" si="466">IF($N$4="M",IF(A610="","",IF(D610=6,16,IF(A610&lt;=$M$5,26,IF(A610&lt;=$M$6,24,IF(A610&lt;=$M$7,22,IF(A610&lt;=$M$8,20,18)))))),IF(A610="","",IF(D610=6,16,IF(A610&lt;=$P$5,26,IF(A610&lt;=$P$6,24,IF(A610&lt;=$P$7,22,IF(A610&lt;=$P$8,20,18)))))))</f>
        <v/>
      </c>
      <c r="L610" s="28" t="str">
        <f t="shared" ref="L610:L673" si="467">IF($N$4="M",IF(A610="","",IF(K610=26,(A610+B610+Q610)*C610*0.02739,IF(K610=24,(A610+B610+Q610)*C610*0.02739,IF(K610=22,(A610+B610+Q610)*C610*0.0333,IF(K610=20,(A610+B610+Q610)*C610*0.0393,IF(K610=18,(A610+B610+Q610)*C610*0.0511,IF(K610=16,(A610+B610+Q610)*C610*0.0628))))))),IF(A610="","",IF(K610=26,(A610+B610+Q610)*C610*0.211,IF(K610=24,(A610+B610+Q610)*C610*0.211,IF(K610=22,(A610+B610+Q610)*C610*0.258,IF(K610=20,(A610+B610+Q610)*C610*0.304,IF(K610=18,(A610+B610+Q610)*C610*0.395,IF(K610=16,(A610+B610+Q610)*C610*0.487))))))))</f>
        <v/>
      </c>
      <c r="M610" s="10" t="str">
        <f t="shared" ref="M610:M673" si="468">IF(D610=1,0.5,IF(D610=2,"1 F",IF(D610=21,"1 R",IF(D610=3,2,""))))</f>
        <v/>
      </c>
      <c r="N610" s="17" t="str">
        <f t="shared" ref="N610:N673" si="469">IF(M610="","",IF($N$4="M",(A610+B610+Q610)*C610*0.022,(A610+B610+Q610)*C610*0.17))</f>
        <v/>
      </c>
      <c r="O610" s="39" t="str">
        <f t="shared" ref="O610:O673" si="470">IF(D610=4,1,IF(D610=5,2,""))</f>
        <v/>
      </c>
      <c r="P610" s="41" t="str">
        <f t="shared" ref="P610:P673" si="471">IF(O610="","",IF($N$4="M",IF(O610=1,(A610+B610+Q610)*C610*0.022*1.1,(A610+B610+Q610)*C610*0.022*1.15),IF(O610=1,(A610+B610+Q610)*C610*0.17*1.1,(A610+B610+Q610)*C610*0.17*1.15)))</f>
        <v/>
      </c>
      <c r="Q610" s="9" t="str">
        <f t="shared" ref="Q610:Q673" si="472">IF($N$4="M",IF(A610="","",IF(D610=1,50,IF(D610=2,100,IF(D610=21,100,IF(D610=3,200,0))))),IF(A610="","",IF(D610=1,2,IF(D610=2,4,IF(D610=21,4,IF(D610=3,8,0))))))</f>
        <v/>
      </c>
      <c r="R610" s="14">
        <f t="shared" ref="R610:R673" si="473">COUNTIF(G610:J610,7)</f>
        <v>0</v>
      </c>
      <c r="S610" s="61" t="str">
        <f t="shared" ref="S610:S673" si="474">IF(A610="","",IF($N$4="M",A610*B610*0.000011111*R610*1.5,A610*B610/144*R610*1.5))</f>
        <v/>
      </c>
      <c r="T610" s="14">
        <f t="shared" ref="T610:T673" si="475">COUNTIF(G610:J610,71)</f>
        <v>0</v>
      </c>
      <c r="U610" s="58" t="str">
        <f t="shared" ref="U610:U673" si="476">IF(A610="","",IF($N$4="M",A610*B610*0.000011111*T610*1.5,A610*B610/144*T610*1.5))</f>
        <v/>
      </c>
      <c r="V610" s="14">
        <f t="shared" ref="V610:V673" si="477">COUNTIF(G610:J610,8)</f>
        <v>0</v>
      </c>
      <c r="W610" s="58" t="str">
        <f t="shared" ref="W610:W673" si="478">IF(A610="","",IF($N$4="M",(A610+B610)*2*0.0032808*V610,(A610+B610)*2*V610/12))</f>
        <v/>
      </c>
      <c r="X610" s="14">
        <f t="shared" ref="X610:X673" si="479">COUNTIF(G610:J610,81)</f>
        <v>0</v>
      </c>
      <c r="Y610" s="58" t="str">
        <f t="shared" ref="Y610:Y673" si="480">IF(A610="","",IF($N$4="M",(A610+B610)*2*0.0032808*X610,(A610+B610)*2*X610/12))</f>
        <v/>
      </c>
      <c r="Z610" s="31">
        <f t="shared" ref="Z610:Z673" si="481">COUNTIF(G610:J610,9)</f>
        <v>0</v>
      </c>
      <c r="AA610" s="21">
        <f t="shared" ref="AA610:AA673" si="482">COUNTIF(G610:J610,10)</f>
        <v>0</v>
      </c>
      <c r="AB610" s="58" t="str">
        <f t="shared" ref="AB610:AB673" si="483">IF(A610="","",IF($N$4="M",(A610+B610)*2*0.0032808*AA610,(A610+B610)*2*AA610/12))</f>
        <v/>
      </c>
      <c r="AC610" s="630">
        <f t="shared" si="460"/>
        <v>0</v>
      </c>
      <c r="AD610" s="627"/>
      <c r="AE610" s="21">
        <f t="shared" ref="AE610:AE673" si="484">COUNTIF(G610:J610,11)</f>
        <v>0</v>
      </c>
      <c r="AF610" s="58" t="str">
        <f t="shared" ref="AF610:AF673" si="485">IF(A610="","",IF($N$4="M",A610*B610*0.000011111*AE610,A610*B610/144*AE610))</f>
        <v/>
      </c>
      <c r="AG610" s="21">
        <f t="shared" ref="AG610:AG673" si="486">COUNTIF(G610:J610,111)</f>
        <v>0</v>
      </c>
      <c r="AH610" s="58" t="str">
        <f t="shared" ref="AH610:AH673" si="487">IF(A610="","",IF($N$4="M",A610*B610*0.000011111*AG610,A610*B610/144*AG610))</f>
        <v/>
      </c>
      <c r="AI610" s="21">
        <f t="shared" ref="AI610:AI673" si="488">COUNTIF(G610:J610,12)</f>
        <v>0</v>
      </c>
      <c r="AJ610" s="58" t="str">
        <f t="shared" ref="AJ610:AJ673" si="489">IF(A610="","",IF($N$4="M",A610*B610*0.000011111*AI610,A610*B610/144*AI610))</f>
        <v/>
      </c>
      <c r="AK610" s="31">
        <f t="shared" ref="AK610:AK673" si="490">COUNTIF(G610:J610,13)</f>
        <v>0</v>
      </c>
      <c r="AL610" s="21">
        <f t="shared" ref="AL610:AL673" si="491">COUNTIF(G610:J610,131)</f>
        <v>0</v>
      </c>
      <c r="AM610" s="62" t="str">
        <f t="shared" ref="AM610:AM673" si="492">IF(A610="","",IF($N$4="M",A610*B610*0.000011111*AL610,A610*B610/144*AL610))</f>
        <v/>
      </c>
      <c r="AN610" s="21">
        <f t="shared" ref="AN610:AN673" si="493">COUNTIF(G610:J610,14)</f>
        <v>0</v>
      </c>
      <c r="AO610" s="62" t="str">
        <f t="shared" ref="AO610:AO673" si="494">IF(A610="","",IF($N$4="M",A610*B610*0.000011111*AN610,A610*B610/144*AN610))</f>
        <v/>
      </c>
      <c r="AP610" s="21">
        <f t="shared" ref="AP610:AP673" si="495">COUNTIF(G610:J610,141)</f>
        <v>0</v>
      </c>
      <c r="AQ610" s="62" t="str">
        <f t="shared" ref="AQ610:AQ673" si="496">IF(A610="","",IF($N$4="M",A610*B610*0.000011111*AP610,A610*B610/144*AP610))</f>
        <v/>
      </c>
      <c r="AR610" s="31">
        <f t="shared" ref="AR610:AR673" si="497">COUNTIF(G610:J610,15)</f>
        <v>0</v>
      </c>
      <c r="AS610" s="21">
        <f t="shared" ref="AS610:AS673" si="498">COUNTIF(G610:J610,16)</f>
        <v>0</v>
      </c>
      <c r="AT610" s="62" t="str">
        <f t="shared" ref="AT610:AT673" si="499">IF(A610="","",IF($N$4="M",A610*B610*0.000011111*AS610,A610*B610/144*AS610))</f>
        <v/>
      </c>
      <c r="AU610" s="84">
        <f t="shared" ref="AU610:AU673" si="500">IF(D610=61,C610,0)</f>
        <v>0</v>
      </c>
      <c r="AV610" s="32">
        <f t="shared" ref="AV610:AV673" si="501">IF(D610=61,L610,0)</f>
        <v>0</v>
      </c>
      <c r="AW610" s="85" t="str">
        <f t="shared" ref="AW610:AW673" si="502">IF(A610="","",(C610-AU610))</f>
        <v/>
      </c>
      <c r="AX610" s="86" t="str">
        <f t="shared" ref="AX610:AX673" si="503">IF(A610="","",(L610-AV610))</f>
        <v/>
      </c>
    </row>
    <row r="611" spans="1:50" x14ac:dyDescent="0.2">
      <c r="A611" s="29" t="str">
        <f t="shared" si="461"/>
        <v/>
      </c>
      <c r="B611" s="32" t="str">
        <f t="shared" si="462"/>
        <v/>
      </c>
      <c r="C611" s="35"/>
      <c r="D611" s="33" t="str">
        <f t="shared" si="463"/>
        <v/>
      </c>
      <c r="E611" s="22" t="str">
        <f t="shared" si="464"/>
        <v/>
      </c>
      <c r="F611" s="23" t="str">
        <f t="shared" si="465"/>
        <v/>
      </c>
      <c r="G611" s="23"/>
      <c r="H611" s="22"/>
      <c r="I611" s="23"/>
      <c r="J611" s="18"/>
      <c r="K611" s="13" t="str">
        <f t="shared" si="466"/>
        <v/>
      </c>
      <c r="L611" s="28" t="str">
        <f t="shared" si="467"/>
        <v/>
      </c>
      <c r="M611" s="10" t="str">
        <f t="shared" si="468"/>
        <v/>
      </c>
      <c r="N611" s="17" t="str">
        <f t="shared" si="469"/>
        <v/>
      </c>
      <c r="O611" s="39" t="str">
        <f t="shared" si="470"/>
        <v/>
      </c>
      <c r="P611" s="41" t="str">
        <f t="shared" si="471"/>
        <v/>
      </c>
      <c r="Q611" s="9" t="str">
        <f t="shared" si="472"/>
        <v/>
      </c>
      <c r="R611" s="14">
        <f t="shared" si="473"/>
        <v>0</v>
      </c>
      <c r="S611" s="61" t="str">
        <f t="shared" si="474"/>
        <v/>
      </c>
      <c r="T611" s="14">
        <f t="shared" si="475"/>
        <v>0</v>
      </c>
      <c r="U611" s="58" t="str">
        <f t="shared" si="476"/>
        <v/>
      </c>
      <c r="V611" s="14">
        <f t="shared" si="477"/>
        <v>0</v>
      </c>
      <c r="W611" s="58" t="str">
        <f t="shared" si="478"/>
        <v/>
      </c>
      <c r="X611" s="14">
        <f t="shared" si="479"/>
        <v>0</v>
      </c>
      <c r="Y611" s="58" t="str">
        <f t="shared" si="480"/>
        <v/>
      </c>
      <c r="Z611" s="31">
        <f t="shared" si="481"/>
        <v>0</v>
      </c>
      <c r="AA611" s="21">
        <f t="shared" si="482"/>
        <v>0</v>
      </c>
      <c r="AB611" s="58" t="str">
        <f t="shared" si="483"/>
        <v/>
      </c>
      <c r="AC611" s="630">
        <f t="shared" si="460"/>
        <v>0</v>
      </c>
      <c r="AD611" s="627"/>
      <c r="AE611" s="21">
        <f t="shared" si="484"/>
        <v>0</v>
      </c>
      <c r="AF611" s="58" t="str">
        <f t="shared" si="485"/>
        <v/>
      </c>
      <c r="AG611" s="21">
        <f t="shared" si="486"/>
        <v>0</v>
      </c>
      <c r="AH611" s="58" t="str">
        <f t="shared" si="487"/>
        <v/>
      </c>
      <c r="AI611" s="21">
        <f t="shared" si="488"/>
        <v>0</v>
      </c>
      <c r="AJ611" s="58" t="str">
        <f t="shared" si="489"/>
        <v/>
      </c>
      <c r="AK611" s="31">
        <f t="shared" si="490"/>
        <v>0</v>
      </c>
      <c r="AL611" s="21">
        <f t="shared" si="491"/>
        <v>0</v>
      </c>
      <c r="AM611" s="62" t="str">
        <f t="shared" si="492"/>
        <v/>
      </c>
      <c r="AN611" s="21">
        <f t="shared" si="493"/>
        <v>0</v>
      </c>
      <c r="AO611" s="62" t="str">
        <f t="shared" si="494"/>
        <v/>
      </c>
      <c r="AP611" s="21">
        <f t="shared" si="495"/>
        <v>0</v>
      </c>
      <c r="AQ611" s="62" t="str">
        <f t="shared" si="496"/>
        <v/>
      </c>
      <c r="AR611" s="31">
        <f t="shared" si="497"/>
        <v>0</v>
      </c>
      <c r="AS611" s="21">
        <f t="shared" si="498"/>
        <v>0</v>
      </c>
      <c r="AT611" s="62" t="str">
        <f t="shared" si="499"/>
        <v/>
      </c>
      <c r="AU611" s="84">
        <f t="shared" si="500"/>
        <v>0</v>
      </c>
      <c r="AV611" s="32">
        <f t="shared" si="501"/>
        <v>0</v>
      </c>
      <c r="AW611" s="85" t="str">
        <f t="shared" si="502"/>
        <v/>
      </c>
      <c r="AX611" s="86" t="str">
        <f t="shared" si="503"/>
        <v/>
      </c>
    </row>
    <row r="612" spans="1:50" x14ac:dyDescent="0.2">
      <c r="A612" s="29" t="str">
        <f t="shared" si="461"/>
        <v/>
      </c>
      <c r="B612" s="32" t="str">
        <f t="shared" si="462"/>
        <v/>
      </c>
      <c r="C612" s="35"/>
      <c r="D612" s="33" t="str">
        <f t="shared" si="463"/>
        <v/>
      </c>
      <c r="E612" s="22" t="str">
        <f t="shared" si="464"/>
        <v/>
      </c>
      <c r="F612" s="23" t="str">
        <f t="shared" si="465"/>
        <v/>
      </c>
      <c r="G612" s="23"/>
      <c r="H612" s="22"/>
      <c r="I612" s="23"/>
      <c r="J612" s="18"/>
      <c r="K612" s="13" t="str">
        <f t="shared" si="466"/>
        <v/>
      </c>
      <c r="L612" s="28" t="str">
        <f t="shared" si="467"/>
        <v/>
      </c>
      <c r="M612" s="10" t="str">
        <f t="shared" si="468"/>
        <v/>
      </c>
      <c r="N612" s="17" t="str">
        <f t="shared" si="469"/>
        <v/>
      </c>
      <c r="O612" s="39" t="str">
        <f t="shared" si="470"/>
        <v/>
      </c>
      <c r="P612" s="41" t="str">
        <f t="shared" si="471"/>
        <v/>
      </c>
      <c r="Q612" s="9" t="str">
        <f t="shared" si="472"/>
        <v/>
      </c>
      <c r="R612" s="14">
        <f t="shared" si="473"/>
        <v>0</v>
      </c>
      <c r="S612" s="61" t="str">
        <f t="shared" si="474"/>
        <v/>
      </c>
      <c r="T612" s="14">
        <f t="shared" si="475"/>
        <v>0</v>
      </c>
      <c r="U612" s="58" t="str">
        <f t="shared" si="476"/>
        <v/>
      </c>
      <c r="V612" s="14">
        <f t="shared" si="477"/>
        <v>0</v>
      </c>
      <c r="W612" s="58" t="str">
        <f t="shared" si="478"/>
        <v/>
      </c>
      <c r="X612" s="14">
        <f t="shared" si="479"/>
        <v>0</v>
      </c>
      <c r="Y612" s="58" t="str">
        <f t="shared" si="480"/>
        <v/>
      </c>
      <c r="Z612" s="31">
        <f t="shared" si="481"/>
        <v>0</v>
      </c>
      <c r="AA612" s="21">
        <f t="shared" si="482"/>
        <v>0</v>
      </c>
      <c r="AB612" s="58" t="str">
        <f t="shared" si="483"/>
        <v/>
      </c>
      <c r="AC612" s="630">
        <f t="shared" si="460"/>
        <v>0</v>
      </c>
      <c r="AD612" s="627"/>
      <c r="AE612" s="21">
        <f t="shared" si="484"/>
        <v>0</v>
      </c>
      <c r="AF612" s="58" t="str">
        <f t="shared" si="485"/>
        <v/>
      </c>
      <c r="AG612" s="21">
        <f t="shared" si="486"/>
        <v>0</v>
      </c>
      <c r="AH612" s="58" t="str">
        <f t="shared" si="487"/>
        <v/>
      </c>
      <c r="AI612" s="21">
        <f t="shared" si="488"/>
        <v>0</v>
      </c>
      <c r="AJ612" s="58" t="str">
        <f t="shared" si="489"/>
        <v/>
      </c>
      <c r="AK612" s="31">
        <f t="shared" si="490"/>
        <v>0</v>
      </c>
      <c r="AL612" s="21">
        <f t="shared" si="491"/>
        <v>0</v>
      </c>
      <c r="AM612" s="62" t="str">
        <f t="shared" si="492"/>
        <v/>
      </c>
      <c r="AN612" s="21">
        <f t="shared" si="493"/>
        <v>0</v>
      </c>
      <c r="AO612" s="62" t="str">
        <f t="shared" si="494"/>
        <v/>
      </c>
      <c r="AP612" s="21">
        <f t="shared" si="495"/>
        <v>0</v>
      </c>
      <c r="AQ612" s="62" t="str">
        <f t="shared" si="496"/>
        <v/>
      </c>
      <c r="AR612" s="31">
        <f t="shared" si="497"/>
        <v>0</v>
      </c>
      <c r="AS612" s="21">
        <f t="shared" si="498"/>
        <v>0</v>
      </c>
      <c r="AT612" s="62" t="str">
        <f t="shared" si="499"/>
        <v/>
      </c>
      <c r="AU612" s="84">
        <f t="shared" si="500"/>
        <v>0</v>
      </c>
      <c r="AV612" s="32">
        <f t="shared" si="501"/>
        <v>0</v>
      </c>
      <c r="AW612" s="85" t="str">
        <f t="shared" si="502"/>
        <v/>
      </c>
      <c r="AX612" s="86" t="str">
        <f t="shared" si="503"/>
        <v/>
      </c>
    </row>
    <row r="613" spans="1:50" x14ac:dyDescent="0.2">
      <c r="A613" s="29" t="str">
        <f t="shared" si="461"/>
        <v/>
      </c>
      <c r="B613" s="32" t="str">
        <f t="shared" si="462"/>
        <v/>
      </c>
      <c r="C613" s="35"/>
      <c r="D613" s="33" t="str">
        <f t="shared" si="463"/>
        <v/>
      </c>
      <c r="E613" s="22" t="str">
        <f t="shared" si="464"/>
        <v/>
      </c>
      <c r="F613" s="23" t="str">
        <f t="shared" si="465"/>
        <v/>
      </c>
      <c r="G613" s="23"/>
      <c r="H613" s="22"/>
      <c r="I613" s="23"/>
      <c r="J613" s="18"/>
      <c r="K613" s="13" t="str">
        <f t="shared" si="466"/>
        <v/>
      </c>
      <c r="L613" s="28" t="str">
        <f t="shared" si="467"/>
        <v/>
      </c>
      <c r="M613" s="10" t="str">
        <f t="shared" si="468"/>
        <v/>
      </c>
      <c r="N613" s="17" t="str">
        <f t="shared" si="469"/>
        <v/>
      </c>
      <c r="O613" s="39" t="str">
        <f t="shared" si="470"/>
        <v/>
      </c>
      <c r="P613" s="41" t="str">
        <f t="shared" si="471"/>
        <v/>
      </c>
      <c r="Q613" s="9" t="str">
        <f t="shared" si="472"/>
        <v/>
      </c>
      <c r="R613" s="14">
        <f t="shared" si="473"/>
        <v>0</v>
      </c>
      <c r="S613" s="61" t="str">
        <f t="shared" si="474"/>
        <v/>
      </c>
      <c r="T613" s="14">
        <f t="shared" si="475"/>
        <v>0</v>
      </c>
      <c r="U613" s="58" t="str">
        <f t="shared" si="476"/>
        <v/>
      </c>
      <c r="V613" s="14">
        <f t="shared" si="477"/>
        <v>0</v>
      </c>
      <c r="W613" s="58" t="str">
        <f t="shared" si="478"/>
        <v/>
      </c>
      <c r="X613" s="14">
        <f t="shared" si="479"/>
        <v>0</v>
      </c>
      <c r="Y613" s="58" t="str">
        <f t="shared" si="480"/>
        <v/>
      </c>
      <c r="Z613" s="31">
        <f t="shared" si="481"/>
        <v>0</v>
      </c>
      <c r="AA613" s="21">
        <f t="shared" si="482"/>
        <v>0</v>
      </c>
      <c r="AB613" s="58" t="str">
        <f t="shared" si="483"/>
        <v/>
      </c>
      <c r="AC613" s="630">
        <f t="shared" si="460"/>
        <v>0</v>
      </c>
      <c r="AD613" s="627"/>
      <c r="AE613" s="21">
        <f t="shared" si="484"/>
        <v>0</v>
      </c>
      <c r="AF613" s="58" t="str">
        <f t="shared" si="485"/>
        <v/>
      </c>
      <c r="AG613" s="21">
        <f t="shared" si="486"/>
        <v>0</v>
      </c>
      <c r="AH613" s="58" t="str">
        <f t="shared" si="487"/>
        <v/>
      </c>
      <c r="AI613" s="21">
        <f t="shared" si="488"/>
        <v>0</v>
      </c>
      <c r="AJ613" s="58" t="str">
        <f t="shared" si="489"/>
        <v/>
      </c>
      <c r="AK613" s="31">
        <f t="shared" si="490"/>
        <v>0</v>
      </c>
      <c r="AL613" s="21">
        <f t="shared" si="491"/>
        <v>0</v>
      </c>
      <c r="AM613" s="62" t="str">
        <f t="shared" si="492"/>
        <v/>
      </c>
      <c r="AN613" s="21">
        <f t="shared" si="493"/>
        <v>0</v>
      </c>
      <c r="AO613" s="62" t="str">
        <f t="shared" si="494"/>
        <v/>
      </c>
      <c r="AP613" s="21">
        <f t="shared" si="495"/>
        <v>0</v>
      </c>
      <c r="AQ613" s="62" t="str">
        <f t="shared" si="496"/>
        <v/>
      </c>
      <c r="AR613" s="31">
        <f t="shared" si="497"/>
        <v>0</v>
      </c>
      <c r="AS613" s="21">
        <f t="shared" si="498"/>
        <v>0</v>
      </c>
      <c r="AT613" s="62" t="str">
        <f t="shared" si="499"/>
        <v/>
      </c>
      <c r="AU613" s="84">
        <f t="shared" si="500"/>
        <v>0</v>
      </c>
      <c r="AV613" s="32">
        <f t="shared" si="501"/>
        <v>0</v>
      </c>
      <c r="AW613" s="85" t="str">
        <f t="shared" si="502"/>
        <v/>
      </c>
      <c r="AX613" s="86" t="str">
        <f t="shared" si="503"/>
        <v/>
      </c>
    </row>
    <row r="614" spans="1:50" x14ac:dyDescent="0.2">
      <c r="A614" s="29" t="str">
        <f t="shared" si="461"/>
        <v/>
      </c>
      <c r="B614" s="32" t="str">
        <f t="shared" si="462"/>
        <v/>
      </c>
      <c r="C614" s="35"/>
      <c r="D614" s="33" t="str">
        <f t="shared" si="463"/>
        <v/>
      </c>
      <c r="E614" s="22" t="str">
        <f t="shared" si="464"/>
        <v/>
      </c>
      <c r="F614" s="23" t="str">
        <f t="shared" si="465"/>
        <v/>
      </c>
      <c r="G614" s="23"/>
      <c r="H614" s="22"/>
      <c r="I614" s="23"/>
      <c r="J614" s="18"/>
      <c r="K614" s="13" t="str">
        <f t="shared" si="466"/>
        <v/>
      </c>
      <c r="L614" s="28" t="str">
        <f t="shared" si="467"/>
        <v/>
      </c>
      <c r="M614" s="10" t="str">
        <f t="shared" si="468"/>
        <v/>
      </c>
      <c r="N614" s="17" t="str">
        <f t="shared" si="469"/>
        <v/>
      </c>
      <c r="O614" s="39" t="str">
        <f t="shared" si="470"/>
        <v/>
      </c>
      <c r="P614" s="41" t="str">
        <f t="shared" si="471"/>
        <v/>
      </c>
      <c r="Q614" s="9" t="str">
        <f t="shared" si="472"/>
        <v/>
      </c>
      <c r="R614" s="14">
        <f t="shared" si="473"/>
        <v>0</v>
      </c>
      <c r="S614" s="61" t="str">
        <f t="shared" si="474"/>
        <v/>
      </c>
      <c r="T614" s="14">
        <f t="shared" si="475"/>
        <v>0</v>
      </c>
      <c r="U614" s="58" t="str">
        <f t="shared" si="476"/>
        <v/>
      </c>
      <c r="V614" s="14">
        <f t="shared" si="477"/>
        <v>0</v>
      </c>
      <c r="W614" s="58" t="str">
        <f t="shared" si="478"/>
        <v/>
      </c>
      <c r="X614" s="14">
        <f t="shared" si="479"/>
        <v>0</v>
      </c>
      <c r="Y614" s="58" t="str">
        <f t="shared" si="480"/>
        <v/>
      </c>
      <c r="Z614" s="31">
        <f t="shared" si="481"/>
        <v>0</v>
      </c>
      <c r="AA614" s="21">
        <f t="shared" si="482"/>
        <v>0</v>
      </c>
      <c r="AB614" s="58" t="str">
        <f t="shared" si="483"/>
        <v/>
      </c>
      <c r="AC614" s="630">
        <f t="shared" si="460"/>
        <v>0</v>
      </c>
      <c r="AD614" s="627"/>
      <c r="AE614" s="21">
        <f t="shared" si="484"/>
        <v>0</v>
      </c>
      <c r="AF614" s="58" t="str">
        <f t="shared" si="485"/>
        <v/>
      </c>
      <c r="AG614" s="21">
        <f t="shared" si="486"/>
        <v>0</v>
      </c>
      <c r="AH614" s="58" t="str">
        <f t="shared" si="487"/>
        <v/>
      </c>
      <c r="AI614" s="21">
        <f t="shared" si="488"/>
        <v>0</v>
      </c>
      <c r="AJ614" s="58" t="str">
        <f t="shared" si="489"/>
        <v/>
      </c>
      <c r="AK614" s="31">
        <f t="shared" si="490"/>
        <v>0</v>
      </c>
      <c r="AL614" s="21">
        <f t="shared" si="491"/>
        <v>0</v>
      </c>
      <c r="AM614" s="62" t="str">
        <f t="shared" si="492"/>
        <v/>
      </c>
      <c r="AN614" s="21">
        <f t="shared" si="493"/>
        <v>0</v>
      </c>
      <c r="AO614" s="62" t="str">
        <f t="shared" si="494"/>
        <v/>
      </c>
      <c r="AP614" s="21">
        <f t="shared" si="495"/>
        <v>0</v>
      </c>
      <c r="AQ614" s="62" t="str">
        <f t="shared" si="496"/>
        <v/>
      </c>
      <c r="AR614" s="31">
        <f t="shared" si="497"/>
        <v>0</v>
      </c>
      <c r="AS614" s="21">
        <f t="shared" si="498"/>
        <v>0</v>
      </c>
      <c r="AT614" s="62" t="str">
        <f t="shared" si="499"/>
        <v/>
      </c>
      <c r="AU614" s="84">
        <f t="shared" si="500"/>
        <v>0</v>
      </c>
      <c r="AV614" s="32">
        <f t="shared" si="501"/>
        <v>0</v>
      </c>
      <c r="AW614" s="85" t="str">
        <f t="shared" si="502"/>
        <v/>
      </c>
      <c r="AX614" s="86" t="str">
        <f t="shared" si="503"/>
        <v/>
      </c>
    </row>
    <row r="615" spans="1:50" x14ac:dyDescent="0.2">
      <c r="A615" s="29" t="str">
        <f t="shared" si="461"/>
        <v/>
      </c>
      <c r="B615" s="32" t="str">
        <f t="shared" si="462"/>
        <v/>
      </c>
      <c r="C615" s="35"/>
      <c r="D615" s="33" t="str">
        <f t="shared" si="463"/>
        <v/>
      </c>
      <c r="E615" s="22" t="str">
        <f t="shared" si="464"/>
        <v/>
      </c>
      <c r="F615" s="23" t="str">
        <f t="shared" si="465"/>
        <v/>
      </c>
      <c r="G615" s="23"/>
      <c r="H615" s="22"/>
      <c r="I615" s="23"/>
      <c r="J615" s="18"/>
      <c r="K615" s="13" t="str">
        <f t="shared" si="466"/>
        <v/>
      </c>
      <c r="L615" s="28" t="str">
        <f t="shared" si="467"/>
        <v/>
      </c>
      <c r="M615" s="10" t="str">
        <f t="shared" si="468"/>
        <v/>
      </c>
      <c r="N615" s="17" t="str">
        <f t="shared" si="469"/>
        <v/>
      </c>
      <c r="O615" s="39" t="str">
        <f t="shared" si="470"/>
        <v/>
      </c>
      <c r="P615" s="41" t="str">
        <f t="shared" si="471"/>
        <v/>
      </c>
      <c r="Q615" s="9" t="str">
        <f t="shared" si="472"/>
        <v/>
      </c>
      <c r="R615" s="14">
        <f t="shared" si="473"/>
        <v>0</v>
      </c>
      <c r="S615" s="61" t="str">
        <f t="shared" si="474"/>
        <v/>
      </c>
      <c r="T615" s="14">
        <f t="shared" si="475"/>
        <v>0</v>
      </c>
      <c r="U615" s="58" t="str">
        <f t="shared" si="476"/>
        <v/>
      </c>
      <c r="V615" s="14">
        <f t="shared" si="477"/>
        <v>0</v>
      </c>
      <c r="W615" s="58" t="str">
        <f t="shared" si="478"/>
        <v/>
      </c>
      <c r="X615" s="14">
        <f t="shared" si="479"/>
        <v>0</v>
      </c>
      <c r="Y615" s="58" t="str">
        <f t="shared" si="480"/>
        <v/>
      </c>
      <c r="Z615" s="31">
        <f t="shared" si="481"/>
        <v>0</v>
      </c>
      <c r="AA615" s="21">
        <f t="shared" si="482"/>
        <v>0</v>
      </c>
      <c r="AB615" s="58" t="str">
        <f t="shared" si="483"/>
        <v/>
      </c>
      <c r="AC615" s="630">
        <f t="shared" si="460"/>
        <v>0</v>
      </c>
      <c r="AD615" s="627"/>
      <c r="AE615" s="21">
        <f t="shared" si="484"/>
        <v>0</v>
      </c>
      <c r="AF615" s="58" t="str">
        <f t="shared" si="485"/>
        <v/>
      </c>
      <c r="AG615" s="21">
        <f t="shared" si="486"/>
        <v>0</v>
      </c>
      <c r="AH615" s="58" t="str">
        <f t="shared" si="487"/>
        <v/>
      </c>
      <c r="AI615" s="21">
        <f t="shared" si="488"/>
        <v>0</v>
      </c>
      <c r="AJ615" s="58" t="str">
        <f t="shared" si="489"/>
        <v/>
      </c>
      <c r="AK615" s="31">
        <f t="shared" si="490"/>
        <v>0</v>
      </c>
      <c r="AL615" s="21">
        <f t="shared" si="491"/>
        <v>0</v>
      </c>
      <c r="AM615" s="62" t="str">
        <f t="shared" si="492"/>
        <v/>
      </c>
      <c r="AN615" s="21">
        <f t="shared" si="493"/>
        <v>0</v>
      </c>
      <c r="AO615" s="62" t="str">
        <f t="shared" si="494"/>
        <v/>
      </c>
      <c r="AP615" s="21">
        <f t="shared" si="495"/>
        <v>0</v>
      </c>
      <c r="AQ615" s="62" t="str">
        <f t="shared" si="496"/>
        <v/>
      </c>
      <c r="AR615" s="31">
        <f t="shared" si="497"/>
        <v>0</v>
      </c>
      <c r="AS615" s="21">
        <f t="shared" si="498"/>
        <v>0</v>
      </c>
      <c r="AT615" s="62" t="str">
        <f t="shared" si="499"/>
        <v/>
      </c>
      <c r="AU615" s="84">
        <f t="shared" si="500"/>
        <v>0</v>
      </c>
      <c r="AV615" s="32">
        <f t="shared" si="501"/>
        <v>0</v>
      </c>
      <c r="AW615" s="85" t="str">
        <f t="shared" si="502"/>
        <v/>
      </c>
      <c r="AX615" s="86" t="str">
        <f t="shared" si="503"/>
        <v/>
      </c>
    </row>
    <row r="616" spans="1:50" x14ac:dyDescent="0.2">
      <c r="A616" s="29" t="str">
        <f t="shared" si="461"/>
        <v/>
      </c>
      <c r="B616" s="32" t="str">
        <f t="shared" si="462"/>
        <v/>
      </c>
      <c r="C616" s="35"/>
      <c r="D616" s="33" t="str">
        <f t="shared" si="463"/>
        <v/>
      </c>
      <c r="E616" s="22" t="str">
        <f t="shared" si="464"/>
        <v/>
      </c>
      <c r="F616" s="23" t="str">
        <f t="shared" si="465"/>
        <v/>
      </c>
      <c r="G616" s="23"/>
      <c r="H616" s="22"/>
      <c r="I616" s="23"/>
      <c r="J616" s="18"/>
      <c r="K616" s="13" t="str">
        <f t="shared" si="466"/>
        <v/>
      </c>
      <c r="L616" s="28" t="str">
        <f t="shared" si="467"/>
        <v/>
      </c>
      <c r="M616" s="10" t="str">
        <f t="shared" si="468"/>
        <v/>
      </c>
      <c r="N616" s="17" t="str">
        <f t="shared" si="469"/>
        <v/>
      </c>
      <c r="O616" s="39" t="str">
        <f t="shared" si="470"/>
        <v/>
      </c>
      <c r="P616" s="41" t="str">
        <f t="shared" si="471"/>
        <v/>
      </c>
      <c r="Q616" s="9" t="str">
        <f t="shared" si="472"/>
        <v/>
      </c>
      <c r="R616" s="14">
        <f t="shared" si="473"/>
        <v>0</v>
      </c>
      <c r="S616" s="61" t="str">
        <f t="shared" si="474"/>
        <v/>
      </c>
      <c r="T616" s="14">
        <f t="shared" si="475"/>
        <v>0</v>
      </c>
      <c r="U616" s="58" t="str">
        <f t="shared" si="476"/>
        <v/>
      </c>
      <c r="V616" s="14">
        <f t="shared" si="477"/>
        <v>0</v>
      </c>
      <c r="W616" s="58" t="str">
        <f t="shared" si="478"/>
        <v/>
      </c>
      <c r="X616" s="14">
        <f t="shared" si="479"/>
        <v>0</v>
      </c>
      <c r="Y616" s="58" t="str">
        <f t="shared" si="480"/>
        <v/>
      </c>
      <c r="Z616" s="31">
        <f t="shared" si="481"/>
        <v>0</v>
      </c>
      <c r="AA616" s="21">
        <f t="shared" si="482"/>
        <v>0</v>
      </c>
      <c r="AB616" s="58" t="str">
        <f t="shared" si="483"/>
        <v/>
      </c>
      <c r="AC616" s="630">
        <f t="shared" si="460"/>
        <v>0</v>
      </c>
      <c r="AD616" s="627"/>
      <c r="AE616" s="21">
        <f t="shared" si="484"/>
        <v>0</v>
      </c>
      <c r="AF616" s="58" t="str">
        <f t="shared" si="485"/>
        <v/>
      </c>
      <c r="AG616" s="21">
        <f t="shared" si="486"/>
        <v>0</v>
      </c>
      <c r="AH616" s="58" t="str">
        <f t="shared" si="487"/>
        <v/>
      </c>
      <c r="AI616" s="21">
        <f t="shared" si="488"/>
        <v>0</v>
      </c>
      <c r="AJ616" s="58" t="str">
        <f t="shared" si="489"/>
        <v/>
      </c>
      <c r="AK616" s="31">
        <f t="shared" si="490"/>
        <v>0</v>
      </c>
      <c r="AL616" s="21">
        <f t="shared" si="491"/>
        <v>0</v>
      </c>
      <c r="AM616" s="62" t="str">
        <f t="shared" si="492"/>
        <v/>
      </c>
      <c r="AN616" s="21">
        <f t="shared" si="493"/>
        <v>0</v>
      </c>
      <c r="AO616" s="62" t="str">
        <f t="shared" si="494"/>
        <v/>
      </c>
      <c r="AP616" s="21">
        <f t="shared" si="495"/>
        <v>0</v>
      </c>
      <c r="AQ616" s="62" t="str">
        <f t="shared" si="496"/>
        <v/>
      </c>
      <c r="AR616" s="31">
        <f t="shared" si="497"/>
        <v>0</v>
      </c>
      <c r="AS616" s="21">
        <f t="shared" si="498"/>
        <v>0</v>
      </c>
      <c r="AT616" s="62" t="str">
        <f t="shared" si="499"/>
        <v/>
      </c>
      <c r="AU616" s="84">
        <f t="shared" si="500"/>
        <v>0</v>
      </c>
      <c r="AV616" s="32">
        <f t="shared" si="501"/>
        <v>0</v>
      </c>
      <c r="AW616" s="85" t="str">
        <f t="shared" si="502"/>
        <v/>
      </c>
      <c r="AX616" s="86" t="str">
        <f t="shared" si="503"/>
        <v/>
      </c>
    </row>
    <row r="617" spans="1:50" x14ac:dyDescent="0.2">
      <c r="A617" s="29" t="str">
        <f t="shared" si="461"/>
        <v/>
      </c>
      <c r="B617" s="32" t="str">
        <f t="shared" si="462"/>
        <v/>
      </c>
      <c r="C617" s="35"/>
      <c r="D617" s="33" t="str">
        <f t="shared" si="463"/>
        <v/>
      </c>
      <c r="E617" s="22" t="str">
        <f t="shared" si="464"/>
        <v/>
      </c>
      <c r="F617" s="23" t="str">
        <f t="shared" si="465"/>
        <v/>
      </c>
      <c r="G617" s="23"/>
      <c r="H617" s="22"/>
      <c r="I617" s="23"/>
      <c r="J617" s="18"/>
      <c r="K617" s="13" t="str">
        <f t="shared" si="466"/>
        <v/>
      </c>
      <c r="L617" s="28" t="str">
        <f t="shared" si="467"/>
        <v/>
      </c>
      <c r="M617" s="10" t="str">
        <f t="shared" si="468"/>
        <v/>
      </c>
      <c r="N617" s="17" t="str">
        <f t="shared" si="469"/>
        <v/>
      </c>
      <c r="O617" s="39" t="str">
        <f t="shared" si="470"/>
        <v/>
      </c>
      <c r="P617" s="41" t="str">
        <f t="shared" si="471"/>
        <v/>
      </c>
      <c r="Q617" s="9" t="str">
        <f t="shared" si="472"/>
        <v/>
      </c>
      <c r="R617" s="14">
        <f t="shared" si="473"/>
        <v>0</v>
      </c>
      <c r="S617" s="61" t="str">
        <f t="shared" si="474"/>
        <v/>
      </c>
      <c r="T617" s="14">
        <f t="shared" si="475"/>
        <v>0</v>
      </c>
      <c r="U617" s="58" t="str">
        <f t="shared" si="476"/>
        <v/>
      </c>
      <c r="V617" s="14">
        <f t="shared" si="477"/>
        <v>0</v>
      </c>
      <c r="W617" s="58" t="str">
        <f t="shared" si="478"/>
        <v/>
      </c>
      <c r="X617" s="14">
        <f t="shared" si="479"/>
        <v>0</v>
      </c>
      <c r="Y617" s="58" t="str">
        <f t="shared" si="480"/>
        <v/>
      </c>
      <c r="Z617" s="31">
        <f t="shared" si="481"/>
        <v>0</v>
      </c>
      <c r="AA617" s="21">
        <f t="shared" si="482"/>
        <v>0</v>
      </c>
      <c r="AB617" s="58" t="str">
        <f t="shared" si="483"/>
        <v/>
      </c>
      <c r="AC617" s="630">
        <f t="shared" si="460"/>
        <v>0</v>
      </c>
      <c r="AD617" s="627"/>
      <c r="AE617" s="21">
        <f t="shared" si="484"/>
        <v>0</v>
      </c>
      <c r="AF617" s="58" t="str">
        <f t="shared" si="485"/>
        <v/>
      </c>
      <c r="AG617" s="21">
        <f t="shared" si="486"/>
        <v>0</v>
      </c>
      <c r="AH617" s="58" t="str">
        <f t="shared" si="487"/>
        <v/>
      </c>
      <c r="AI617" s="21">
        <f t="shared" si="488"/>
        <v>0</v>
      </c>
      <c r="AJ617" s="58" t="str">
        <f t="shared" si="489"/>
        <v/>
      </c>
      <c r="AK617" s="31">
        <f t="shared" si="490"/>
        <v>0</v>
      </c>
      <c r="AL617" s="21">
        <f t="shared" si="491"/>
        <v>0</v>
      </c>
      <c r="AM617" s="62" t="str">
        <f t="shared" si="492"/>
        <v/>
      </c>
      <c r="AN617" s="21">
        <f t="shared" si="493"/>
        <v>0</v>
      </c>
      <c r="AO617" s="62" t="str">
        <f t="shared" si="494"/>
        <v/>
      </c>
      <c r="AP617" s="21">
        <f t="shared" si="495"/>
        <v>0</v>
      </c>
      <c r="AQ617" s="62" t="str">
        <f t="shared" si="496"/>
        <v/>
      </c>
      <c r="AR617" s="31">
        <f t="shared" si="497"/>
        <v>0</v>
      </c>
      <c r="AS617" s="21">
        <f t="shared" si="498"/>
        <v>0</v>
      </c>
      <c r="AT617" s="62" t="str">
        <f t="shared" si="499"/>
        <v/>
      </c>
      <c r="AU617" s="84">
        <f t="shared" si="500"/>
        <v>0</v>
      </c>
      <c r="AV617" s="32">
        <f t="shared" si="501"/>
        <v>0</v>
      </c>
      <c r="AW617" s="85" t="str">
        <f t="shared" si="502"/>
        <v/>
      </c>
      <c r="AX617" s="86" t="str">
        <f t="shared" si="503"/>
        <v/>
      </c>
    </row>
    <row r="618" spans="1:50" x14ac:dyDescent="0.2">
      <c r="A618" s="29" t="str">
        <f t="shared" si="461"/>
        <v/>
      </c>
      <c r="B618" s="32" t="str">
        <f t="shared" si="462"/>
        <v/>
      </c>
      <c r="C618" s="35"/>
      <c r="D618" s="33" t="str">
        <f t="shared" si="463"/>
        <v/>
      </c>
      <c r="E618" s="22" t="str">
        <f t="shared" si="464"/>
        <v/>
      </c>
      <c r="F618" s="23" t="str">
        <f t="shared" si="465"/>
        <v/>
      </c>
      <c r="G618" s="23"/>
      <c r="H618" s="22"/>
      <c r="I618" s="23"/>
      <c r="J618" s="18"/>
      <c r="K618" s="13" t="str">
        <f t="shared" si="466"/>
        <v/>
      </c>
      <c r="L618" s="28" t="str">
        <f t="shared" si="467"/>
        <v/>
      </c>
      <c r="M618" s="10" t="str">
        <f t="shared" si="468"/>
        <v/>
      </c>
      <c r="N618" s="17" t="str">
        <f t="shared" si="469"/>
        <v/>
      </c>
      <c r="O618" s="39" t="str">
        <f t="shared" si="470"/>
        <v/>
      </c>
      <c r="P618" s="41" t="str">
        <f t="shared" si="471"/>
        <v/>
      </c>
      <c r="Q618" s="9" t="str">
        <f t="shared" si="472"/>
        <v/>
      </c>
      <c r="R618" s="14">
        <f t="shared" si="473"/>
        <v>0</v>
      </c>
      <c r="S618" s="61" t="str">
        <f t="shared" si="474"/>
        <v/>
      </c>
      <c r="T618" s="14">
        <f t="shared" si="475"/>
        <v>0</v>
      </c>
      <c r="U618" s="58" t="str">
        <f t="shared" si="476"/>
        <v/>
      </c>
      <c r="V618" s="14">
        <f t="shared" si="477"/>
        <v>0</v>
      </c>
      <c r="W618" s="58" t="str">
        <f t="shared" si="478"/>
        <v/>
      </c>
      <c r="X618" s="14">
        <f t="shared" si="479"/>
        <v>0</v>
      </c>
      <c r="Y618" s="58" t="str">
        <f t="shared" si="480"/>
        <v/>
      </c>
      <c r="Z618" s="31">
        <f t="shared" si="481"/>
        <v>0</v>
      </c>
      <c r="AA618" s="21">
        <f t="shared" si="482"/>
        <v>0</v>
      </c>
      <c r="AB618" s="58" t="str">
        <f t="shared" si="483"/>
        <v/>
      </c>
      <c r="AC618" s="630">
        <f t="shared" si="460"/>
        <v>0</v>
      </c>
      <c r="AD618" s="627"/>
      <c r="AE618" s="21">
        <f t="shared" si="484"/>
        <v>0</v>
      </c>
      <c r="AF618" s="58" t="str">
        <f t="shared" si="485"/>
        <v/>
      </c>
      <c r="AG618" s="21">
        <f t="shared" si="486"/>
        <v>0</v>
      </c>
      <c r="AH618" s="58" t="str">
        <f t="shared" si="487"/>
        <v/>
      </c>
      <c r="AI618" s="21">
        <f t="shared" si="488"/>
        <v>0</v>
      </c>
      <c r="AJ618" s="58" t="str">
        <f t="shared" si="489"/>
        <v/>
      </c>
      <c r="AK618" s="31">
        <f t="shared" si="490"/>
        <v>0</v>
      </c>
      <c r="AL618" s="21">
        <f t="shared" si="491"/>
        <v>0</v>
      </c>
      <c r="AM618" s="62" t="str">
        <f t="shared" si="492"/>
        <v/>
      </c>
      <c r="AN618" s="21">
        <f t="shared" si="493"/>
        <v>0</v>
      </c>
      <c r="AO618" s="62" t="str">
        <f t="shared" si="494"/>
        <v/>
      </c>
      <c r="AP618" s="21">
        <f t="shared" si="495"/>
        <v>0</v>
      </c>
      <c r="AQ618" s="62" t="str">
        <f t="shared" si="496"/>
        <v/>
      </c>
      <c r="AR618" s="31">
        <f t="shared" si="497"/>
        <v>0</v>
      </c>
      <c r="AS618" s="21">
        <f t="shared" si="498"/>
        <v>0</v>
      </c>
      <c r="AT618" s="62" t="str">
        <f t="shared" si="499"/>
        <v/>
      </c>
      <c r="AU618" s="84">
        <f t="shared" si="500"/>
        <v>0</v>
      </c>
      <c r="AV618" s="32">
        <f t="shared" si="501"/>
        <v>0</v>
      </c>
      <c r="AW618" s="85" t="str">
        <f t="shared" si="502"/>
        <v/>
      </c>
      <c r="AX618" s="86" t="str">
        <f t="shared" si="503"/>
        <v/>
      </c>
    </row>
    <row r="619" spans="1:50" x14ac:dyDescent="0.2">
      <c r="A619" s="29" t="str">
        <f t="shared" si="461"/>
        <v/>
      </c>
      <c r="B619" s="32" t="str">
        <f t="shared" si="462"/>
        <v/>
      </c>
      <c r="C619" s="35"/>
      <c r="D619" s="33" t="str">
        <f t="shared" si="463"/>
        <v/>
      </c>
      <c r="E619" s="22" t="str">
        <f t="shared" si="464"/>
        <v/>
      </c>
      <c r="F619" s="23" t="str">
        <f t="shared" si="465"/>
        <v/>
      </c>
      <c r="G619" s="23"/>
      <c r="H619" s="22"/>
      <c r="I619" s="23"/>
      <c r="J619" s="18"/>
      <c r="K619" s="13" t="str">
        <f t="shared" si="466"/>
        <v/>
      </c>
      <c r="L619" s="28" t="str">
        <f t="shared" si="467"/>
        <v/>
      </c>
      <c r="M619" s="10" t="str">
        <f t="shared" si="468"/>
        <v/>
      </c>
      <c r="N619" s="17" t="str">
        <f t="shared" si="469"/>
        <v/>
      </c>
      <c r="O619" s="39" t="str">
        <f t="shared" si="470"/>
        <v/>
      </c>
      <c r="P619" s="41" t="str">
        <f t="shared" si="471"/>
        <v/>
      </c>
      <c r="Q619" s="9" t="str">
        <f t="shared" si="472"/>
        <v/>
      </c>
      <c r="R619" s="14">
        <f t="shared" si="473"/>
        <v>0</v>
      </c>
      <c r="S619" s="61" t="str">
        <f t="shared" si="474"/>
        <v/>
      </c>
      <c r="T619" s="14">
        <f t="shared" si="475"/>
        <v>0</v>
      </c>
      <c r="U619" s="58" t="str">
        <f t="shared" si="476"/>
        <v/>
      </c>
      <c r="V619" s="14">
        <f t="shared" si="477"/>
        <v>0</v>
      </c>
      <c r="W619" s="58" t="str">
        <f t="shared" si="478"/>
        <v/>
      </c>
      <c r="X619" s="14">
        <f t="shared" si="479"/>
        <v>0</v>
      </c>
      <c r="Y619" s="58" t="str">
        <f t="shared" si="480"/>
        <v/>
      </c>
      <c r="Z619" s="31">
        <f t="shared" si="481"/>
        <v>0</v>
      </c>
      <c r="AA619" s="21">
        <f t="shared" si="482"/>
        <v>0</v>
      </c>
      <c r="AB619" s="58" t="str">
        <f t="shared" si="483"/>
        <v/>
      </c>
      <c r="AC619" s="630">
        <f t="shared" si="460"/>
        <v>0</v>
      </c>
      <c r="AD619" s="627"/>
      <c r="AE619" s="21">
        <f t="shared" si="484"/>
        <v>0</v>
      </c>
      <c r="AF619" s="58" t="str">
        <f t="shared" si="485"/>
        <v/>
      </c>
      <c r="AG619" s="21">
        <f t="shared" si="486"/>
        <v>0</v>
      </c>
      <c r="AH619" s="58" t="str">
        <f t="shared" si="487"/>
        <v/>
      </c>
      <c r="AI619" s="21">
        <f t="shared" si="488"/>
        <v>0</v>
      </c>
      <c r="AJ619" s="58" t="str">
        <f t="shared" si="489"/>
        <v/>
      </c>
      <c r="AK619" s="31">
        <f t="shared" si="490"/>
        <v>0</v>
      </c>
      <c r="AL619" s="21">
        <f t="shared" si="491"/>
        <v>0</v>
      </c>
      <c r="AM619" s="62" t="str">
        <f t="shared" si="492"/>
        <v/>
      </c>
      <c r="AN619" s="21">
        <f t="shared" si="493"/>
        <v>0</v>
      </c>
      <c r="AO619" s="62" t="str">
        <f t="shared" si="494"/>
        <v/>
      </c>
      <c r="AP619" s="21">
        <f t="shared" si="495"/>
        <v>0</v>
      </c>
      <c r="AQ619" s="62" t="str">
        <f t="shared" si="496"/>
        <v/>
      </c>
      <c r="AR619" s="31">
        <f t="shared" si="497"/>
        <v>0</v>
      </c>
      <c r="AS619" s="21">
        <f t="shared" si="498"/>
        <v>0</v>
      </c>
      <c r="AT619" s="62" t="str">
        <f t="shared" si="499"/>
        <v/>
      </c>
      <c r="AU619" s="84">
        <f t="shared" si="500"/>
        <v>0</v>
      </c>
      <c r="AV619" s="32">
        <f t="shared" si="501"/>
        <v>0</v>
      </c>
      <c r="AW619" s="85" t="str">
        <f t="shared" si="502"/>
        <v/>
      </c>
      <c r="AX619" s="86" t="str">
        <f t="shared" si="503"/>
        <v/>
      </c>
    </row>
    <row r="620" spans="1:50" x14ac:dyDescent="0.2">
      <c r="A620" s="29" t="str">
        <f t="shared" si="461"/>
        <v/>
      </c>
      <c r="B620" s="32" t="str">
        <f t="shared" si="462"/>
        <v/>
      </c>
      <c r="C620" s="35"/>
      <c r="D620" s="33" t="str">
        <f t="shared" si="463"/>
        <v/>
      </c>
      <c r="E620" s="22" t="str">
        <f t="shared" si="464"/>
        <v/>
      </c>
      <c r="F620" s="23" t="str">
        <f t="shared" si="465"/>
        <v/>
      </c>
      <c r="G620" s="23"/>
      <c r="H620" s="22"/>
      <c r="I620" s="23"/>
      <c r="J620" s="18"/>
      <c r="K620" s="13" t="str">
        <f t="shared" si="466"/>
        <v/>
      </c>
      <c r="L620" s="28" t="str">
        <f t="shared" si="467"/>
        <v/>
      </c>
      <c r="M620" s="10" t="str">
        <f t="shared" si="468"/>
        <v/>
      </c>
      <c r="N620" s="17" t="str">
        <f t="shared" si="469"/>
        <v/>
      </c>
      <c r="O620" s="39" t="str">
        <f t="shared" si="470"/>
        <v/>
      </c>
      <c r="P620" s="41" t="str">
        <f t="shared" si="471"/>
        <v/>
      </c>
      <c r="Q620" s="9" t="str">
        <f t="shared" si="472"/>
        <v/>
      </c>
      <c r="R620" s="14">
        <f t="shared" si="473"/>
        <v>0</v>
      </c>
      <c r="S620" s="61" t="str">
        <f t="shared" si="474"/>
        <v/>
      </c>
      <c r="T620" s="14">
        <f t="shared" si="475"/>
        <v>0</v>
      </c>
      <c r="U620" s="58" t="str">
        <f t="shared" si="476"/>
        <v/>
      </c>
      <c r="V620" s="14">
        <f t="shared" si="477"/>
        <v>0</v>
      </c>
      <c r="W620" s="58" t="str">
        <f t="shared" si="478"/>
        <v/>
      </c>
      <c r="X620" s="14">
        <f t="shared" si="479"/>
        <v>0</v>
      </c>
      <c r="Y620" s="58" t="str">
        <f t="shared" si="480"/>
        <v/>
      </c>
      <c r="Z620" s="31">
        <f t="shared" si="481"/>
        <v>0</v>
      </c>
      <c r="AA620" s="21">
        <f t="shared" si="482"/>
        <v>0</v>
      </c>
      <c r="AB620" s="58" t="str">
        <f t="shared" si="483"/>
        <v/>
      </c>
      <c r="AC620" s="630">
        <f t="shared" si="460"/>
        <v>0</v>
      </c>
      <c r="AD620" s="627"/>
      <c r="AE620" s="21">
        <f t="shared" si="484"/>
        <v>0</v>
      </c>
      <c r="AF620" s="58" t="str">
        <f t="shared" si="485"/>
        <v/>
      </c>
      <c r="AG620" s="21">
        <f t="shared" si="486"/>
        <v>0</v>
      </c>
      <c r="AH620" s="58" t="str">
        <f t="shared" si="487"/>
        <v/>
      </c>
      <c r="AI620" s="21">
        <f t="shared" si="488"/>
        <v>0</v>
      </c>
      <c r="AJ620" s="58" t="str">
        <f t="shared" si="489"/>
        <v/>
      </c>
      <c r="AK620" s="31">
        <f t="shared" si="490"/>
        <v>0</v>
      </c>
      <c r="AL620" s="21">
        <f t="shared" si="491"/>
        <v>0</v>
      </c>
      <c r="AM620" s="62" t="str">
        <f t="shared" si="492"/>
        <v/>
      </c>
      <c r="AN620" s="21">
        <f t="shared" si="493"/>
        <v>0</v>
      </c>
      <c r="AO620" s="62" t="str">
        <f t="shared" si="494"/>
        <v/>
      </c>
      <c r="AP620" s="21">
        <f t="shared" si="495"/>
        <v>0</v>
      </c>
      <c r="AQ620" s="62" t="str">
        <f t="shared" si="496"/>
        <v/>
      </c>
      <c r="AR620" s="31">
        <f t="shared" si="497"/>
        <v>0</v>
      </c>
      <c r="AS620" s="21">
        <f t="shared" si="498"/>
        <v>0</v>
      </c>
      <c r="AT620" s="62" t="str">
        <f t="shared" si="499"/>
        <v/>
      </c>
      <c r="AU620" s="84">
        <f t="shared" si="500"/>
        <v>0</v>
      </c>
      <c r="AV620" s="32">
        <f t="shared" si="501"/>
        <v>0</v>
      </c>
      <c r="AW620" s="85" t="str">
        <f t="shared" si="502"/>
        <v/>
      </c>
      <c r="AX620" s="86" t="str">
        <f t="shared" si="503"/>
        <v/>
      </c>
    </row>
    <row r="621" spans="1:50" x14ac:dyDescent="0.2">
      <c r="A621" s="29" t="str">
        <f t="shared" si="461"/>
        <v/>
      </c>
      <c r="B621" s="32" t="str">
        <f t="shared" si="462"/>
        <v/>
      </c>
      <c r="C621" s="35"/>
      <c r="D621" s="33" t="str">
        <f t="shared" si="463"/>
        <v/>
      </c>
      <c r="E621" s="22" t="str">
        <f t="shared" si="464"/>
        <v/>
      </c>
      <c r="F621" s="23" t="str">
        <f t="shared" si="465"/>
        <v/>
      </c>
      <c r="G621" s="23"/>
      <c r="H621" s="22"/>
      <c r="I621" s="23"/>
      <c r="J621" s="18"/>
      <c r="K621" s="13" t="str">
        <f t="shared" si="466"/>
        <v/>
      </c>
      <c r="L621" s="28" t="str">
        <f t="shared" si="467"/>
        <v/>
      </c>
      <c r="M621" s="10" t="str">
        <f t="shared" si="468"/>
        <v/>
      </c>
      <c r="N621" s="17" t="str">
        <f t="shared" si="469"/>
        <v/>
      </c>
      <c r="O621" s="39" t="str">
        <f t="shared" si="470"/>
        <v/>
      </c>
      <c r="P621" s="41" t="str">
        <f t="shared" si="471"/>
        <v/>
      </c>
      <c r="Q621" s="9" t="str">
        <f t="shared" si="472"/>
        <v/>
      </c>
      <c r="R621" s="14">
        <f t="shared" si="473"/>
        <v>0</v>
      </c>
      <c r="S621" s="61" t="str">
        <f t="shared" si="474"/>
        <v/>
      </c>
      <c r="T621" s="14">
        <f t="shared" si="475"/>
        <v>0</v>
      </c>
      <c r="U621" s="58" t="str">
        <f t="shared" si="476"/>
        <v/>
      </c>
      <c r="V621" s="14">
        <f t="shared" si="477"/>
        <v>0</v>
      </c>
      <c r="W621" s="58" t="str">
        <f t="shared" si="478"/>
        <v/>
      </c>
      <c r="X621" s="14">
        <f t="shared" si="479"/>
        <v>0</v>
      </c>
      <c r="Y621" s="58" t="str">
        <f t="shared" si="480"/>
        <v/>
      </c>
      <c r="Z621" s="31">
        <f t="shared" si="481"/>
        <v>0</v>
      </c>
      <c r="AA621" s="21">
        <f t="shared" si="482"/>
        <v>0</v>
      </c>
      <c r="AB621" s="58" t="str">
        <f t="shared" si="483"/>
        <v/>
      </c>
      <c r="AC621" s="630">
        <f t="shared" si="460"/>
        <v>0</v>
      </c>
      <c r="AD621" s="627"/>
      <c r="AE621" s="21">
        <f t="shared" si="484"/>
        <v>0</v>
      </c>
      <c r="AF621" s="58" t="str">
        <f t="shared" si="485"/>
        <v/>
      </c>
      <c r="AG621" s="21">
        <f t="shared" si="486"/>
        <v>0</v>
      </c>
      <c r="AH621" s="58" t="str">
        <f t="shared" si="487"/>
        <v/>
      </c>
      <c r="AI621" s="21">
        <f t="shared" si="488"/>
        <v>0</v>
      </c>
      <c r="AJ621" s="58" t="str">
        <f t="shared" si="489"/>
        <v/>
      </c>
      <c r="AK621" s="31">
        <f t="shared" si="490"/>
        <v>0</v>
      </c>
      <c r="AL621" s="21">
        <f t="shared" si="491"/>
        <v>0</v>
      </c>
      <c r="AM621" s="62" t="str">
        <f t="shared" si="492"/>
        <v/>
      </c>
      <c r="AN621" s="21">
        <f t="shared" si="493"/>
        <v>0</v>
      </c>
      <c r="AO621" s="62" t="str">
        <f t="shared" si="494"/>
        <v/>
      </c>
      <c r="AP621" s="21">
        <f t="shared" si="495"/>
        <v>0</v>
      </c>
      <c r="AQ621" s="62" t="str">
        <f t="shared" si="496"/>
        <v/>
      </c>
      <c r="AR621" s="31">
        <f t="shared" si="497"/>
        <v>0</v>
      </c>
      <c r="AS621" s="21">
        <f t="shared" si="498"/>
        <v>0</v>
      </c>
      <c r="AT621" s="62" t="str">
        <f t="shared" si="499"/>
        <v/>
      </c>
      <c r="AU621" s="84">
        <f t="shared" si="500"/>
        <v>0</v>
      </c>
      <c r="AV621" s="32">
        <f t="shared" si="501"/>
        <v>0</v>
      </c>
      <c r="AW621" s="85" t="str">
        <f t="shared" si="502"/>
        <v/>
      </c>
      <c r="AX621" s="86" t="str">
        <f t="shared" si="503"/>
        <v/>
      </c>
    </row>
    <row r="622" spans="1:50" x14ac:dyDescent="0.2">
      <c r="A622" s="29" t="str">
        <f t="shared" si="461"/>
        <v/>
      </c>
      <c r="B622" s="32" t="str">
        <f t="shared" si="462"/>
        <v/>
      </c>
      <c r="C622" s="35"/>
      <c r="D622" s="33" t="str">
        <f t="shared" si="463"/>
        <v/>
      </c>
      <c r="E622" s="22" t="str">
        <f t="shared" si="464"/>
        <v/>
      </c>
      <c r="F622" s="23" t="str">
        <f t="shared" si="465"/>
        <v/>
      </c>
      <c r="G622" s="23"/>
      <c r="H622" s="22"/>
      <c r="I622" s="23"/>
      <c r="J622" s="18"/>
      <c r="K622" s="13" t="str">
        <f t="shared" si="466"/>
        <v/>
      </c>
      <c r="L622" s="28" t="str">
        <f t="shared" si="467"/>
        <v/>
      </c>
      <c r="M622" s="10" t="str">
        <f t="shared" si="468"/>
        <v/>
      </c>
      <c r="N622" s="17" t="str">
        <f t="shared" si="469"/>
        <v/>
      </c>
      <c r="O622" s="39" t="str">
        <f t="shared" si="470"/>
        <v/>
      </c>
      <c r="P622" s="41" t="str">
        <f t="shared" si="471"/>
        <v/>
      </c>
      <c r="Q622" s="9" t="str">
        <f t="shared" si="472"/>
        <v/>
      </c>
      <c r="R622" s="14">
        <f t="shared" si="473"/>
        <v>0</v>
      </c>
      <c r="S622" s="61" t="str">
        <f t="shared" si="474"/>
        <v/>
      </c>
      <c r="T622" s="14">
        <f t="shared" si="475"/>
        <v>0</v>
      </c>
      <c r="U622" s="58" t="str">
        <f t="shared" si="476"/>
        <v/>
      </c>
      <c r="V622" s="14">
        <f t="shared" si="477"/>
        <v>0</v>
      </c>
      <c r="W622" s="58" t="str">
        <f t="shared" si="478"/>
        <v/>
      </c>
      <c r="X622" s="14">
        <f t="shared" si="479"/>
        <v>0</v>
      </c>
      <c r="Y622" s="58" t="str">
        <f t="shared" si="480"/>
        <v/>
      </c>
      <c r="Z622" s="31">
        <f t="shared" si="481"/>
        <v>0</v>
      </c>
      <c r="AA622" s="21">
        <f t="shared" si="482"/>
        <v>0</v>
      </c>
      <c r="AB622" s="58" t="str">
        <f t="shared" si="483"/>
        <v/>
      </c>
      <c r="AC622" s="630">
        <f t="shared" si="460"/>
        <v>0</v>
      </c>
      <c r="AD622" s="627"/>
      <c r="AE622" s="21">
        <f t="shared" si="484"/>
        <v>0</v>
      </c>
      <c r="AF622" s="58" t="str">
        <f t="shared" si="485"/>
        <v/>
      </c>
      <c r="AG622" s="21">
        <f t="shared" si="486"/>
        <v>0</v>
      </c>
      <c r="AH622" s="58" t="str">
        <f t="shared" si="487"/>
        <v/>
      </c>
      <c r="AI622" s="21">
        <f t="shared" si="488"/>
        <v>0</v>
      </c>
      <c r="AJ622" s="58" t="str">
        <f t="shared" si="489"/>
        <v/>
      </c>
      <c r="AK622" s="31">
        <f t="shared" si="490"/>
        <v>0</v>
      </c>
      <c r="AL622" s="21">
        <f t="shared" si="491"/>
        <v>0</v>
      </c>
      <c r="AM622" s="62" t="str">
        <f t="shared" si="492"/>
        <v/>
      </c>
      <c r="AN622" s="21">
        <f t="shared" si="493"/>
        <v>0</v>
      </c>
      <c r="AO622" s="62" t="str">
        <f t="shared" si="494"/>
        <v/>
      </c>
      <c r="AP622" s="21">
        <f t="shared" si="495"/>
        <v>0</v>
      </c>
      <c r="AQ622" s="62" t="str">
        <f t="shared" si="496"/>
        <v/>
      </c>
      <c r="AR622" s="31">
        <f t="shared" si="497"/>
        <v>0</v>
      </c>
      <c r="AS622" s="21">
        <f t="shared" si="498"/>
        <v>0</v>
      </c>
      <c r="AT622" s="62" t="str">
        <f t="shared" si="499"/>
        <v/>
      </c>
      <c r="AU622" s="84">
        <f t="shared" si="500"/>
        <v>0</v>
      </c>
      <c r="AV622" s="32">
        <f t="shared" si="501"/>
        <v>0</v>
      </c>
      <c r="AW622" s="85" t="str">
        <f t="shared" si="502"/>
        <v/>
      </c>
      <c r="AX622" s="86" t="str">
        <f t="shared" si="503"/>
        <v/>
      </c>
    </row>
    <row r="623" spans="1:50" x14ac:dyDescent="0.2">
      <c r="A623" s="29" t="str">
        <f t="shared" si="461"/>
        <v/>
      </c>
      <c r="B623" s="32" t="str">
        <f t="shared" si="462"/>
        <v/>
      </c>
      <c r="C623" s="35"/>
      <c r="D623" s="33" t="str">
        <f t="shared" si="463"/>
        <v/>
      </c>
      <c r="E623" s="22" t="str">
        <f t="shared" si="464"/>
        <v/>
      </c>
      <c r="F623" s="23" t="str">
        <f t="shared" si="465"/>
        <v/>
      </c>
      <c r="G623" s="23"/>
      <c r="H623" s="22"/>
      <c r="I623" s="23"/>
      <c r="J623" s="18"/>
      <c r="K623" s="13" t="str">
        <f t="shared" si="466"/>
        <v/>
      </c>
      <c r="L623" s="28" t="str">
        <f t="shared" si="467"/>
        <v/>
      </c>
      <c r="M623" s="10" t="str">
        <f t="shared" si="468"/>
        <v/>
      </c>
      <c r="N623" s="17" t="str">
        <f t="shared" si="469"/>
        <v/>
      </c>
      <c r="O623" s="39" t="str">
        <f t="shared" si="470"/>
        <v/>
      </c>
      <c r="P623" s="41" t="str">
        <f t="shared" si="471"/>
        <v/>
      </c>
      <c r="Q623" s="9" t="str">
        <f t="shared" si="472"/>
        <v/>
      </c>
      <c r="R623" s="14">
        <f t="shared" si="473"/>
        <v>0</v>
      </c>
      <c r="S623" s="61" t="str">
        <f t="shared" si="474"/>
        <v/>
      </c>
      <c r="T623" s="14">
        <f t="shared" si="475"/>
        <v>0</v>
      </c>
      <c r="U623" s="58" t="str">
        <f t="shared" si="476"/>
        <v/>
      </c>
      <c r="V623" s="14">
        <f t="shared" si="477"/>
        <v>0</v>
      </c>
      <c r="W623" s="58" t="str">
        <f t="shared" si="478"/>
        <v/>
      </c>
      <c r="X623" s="14">
        <f t="shared" si="479"/>
        <v>0</v>
      </c>
      <c r="Y623" s="58" t="str">
        <f t="shared" si="480"/>
        <v/>
      </c>
      <c r="Z623" s="31">
        <f t="shared" si="481"/>
        <v>0</v>
      </c>
      <c r="AA623" s="21">
        <f t="shared" si="482"/>
        <v>0</v>
      </c>
      <c r="AB623" s="58" t="str">
        <f t="shared" si="483"/>
        <v/>
      </c>
      <c r="AC623" s="630">
        <f t="shared" si="460"/>
        <v>0</v>
      </c>
      <c r="AD623" s="627"/>
      <c r="AE623" s="21">
        <f t="shared" si="484"/>
        <v>0</v>
      </c>
      <c r="AF623" s="58" t="str">
        <f t="shared" si="485"/>
        <v/>
      </c>
      <c r="AG623" s="21">
        <f t="shared" si="486"/>
        <v>0</v>
      </c>
      <c r="AH623" s="58" t="str">
        <f t="shared" si="487"/>
        <v/>
      </c>
      <c r="AI623" s="21">
        <f t="shared" si="488"/>
        <v>0</v>
      </c>
      <c r="AJ623" s="58" t="str">
        <f t="shared" si="489"/>
        <v/>
      </c>
      <c r="AK623" s="31">
        <f t="shared" si="490"/>
        <v>0</v>
      </c>
      <c r="AL623" s="21">
        <f t="shared" si="491"/>
        <v>0</v>
      </c>
      <c r="AM623" s="62" t="str">
        <f t="shared" si="492"/>
        <v/>
      </c>
      <c r="AN623" s="21">
        <f t="shared" si="493"/>
        <v>0</v>
      </c>
      <c r="AO623" s="62" t="str">
        <f t="shared" si="494"/>
        <v/>
      </c>
      <c r="AP623" s="21">
        <f t="shared" si="495"/>
        <v>0</v>
      </c>
      <c r="AQ623" s="62" t="str">
        <f t="shared" si="496"/>
        <v/>
      </c>
      <c r="AR623" s="31">
        <f t="shared" si="497"/>
        <v>0</v>
      </c>
      <c r="AS623" s="21">
        <f t="shared" si="498"/>
        <v>0</v>
      </c>
      <c r="AT623" s="62" t="str">
        <f t="shared" si="499"/>
        <v/>
      </c>
      <c r="AU623" s="84">
        <f t="shared" si="500"/>
        <v>0</v>
      </c>
      <c r="AV623" s="32">
        <f t="shared" si="501"/>
        <v>0</v>
      </c>
      <c r="AW623" s="85" t="str">
        <f t="shared" si="502"/>
        <v/>
      </c>
      <c r="AX623" s="86" t="str">
        <f t="shared" si="503"/>
        <v/>
      </c>
    </row>
    <row r="624" spans="1:50" x14ac:dyDescent="0.2">
      <c r="A624" s="29" t="str">
        <f t="shared" si="461"/>
        <v/>
      </c>
      <c r="B624" s="32" t="str">
        <f t="shared" si="462"/>
        <v/>
      </c>
      <c r="C624" s="35"/>
      <c r="D624" s="33" t="str">
        <f t="shared" si="463"/>
        <v/>
      </c>
      <c r="E624" s="22" t="str">
        <f t="shared" si="464"/>
        <v/>
      </c>
      <c r="F624" s="23" t="str">
        <f t="shared" si="465"/>
        <v/>
      </c>
      <c r="G624" s="23"/>
      <c r="H624" s="22"/>
      <c r="I624" s="23"/>
      <c r="J624" s="18"/>
      <c r="K624" s="13" t="str">
        <f t="shared" si="466"/>
        <v/>
      </c>
      <c r="L624" s="28" t="str">
        <f t="shared" si="467"/>
        <v/>
      </c>
      <c r="M624" s="10" t="str">
        <f t="shared" si="468"/>
        <v/>
      </c>
      <c r="N624" s="17" t="str">
        <f t="shared" si="469"/>
        <v/>
      </c>
      <c r="O624" s="39" t="str">
        <f t="shared" si="470"/>
        <v/>
      </c>
      <c r="P624" s="41" t="str">
        <f t="shared" si="471"/>
        <v/>
      </c>
      <c r="Q624" s="9" t="str">
        <f t="shared" si="472"/>
        <v/>
      </c>
      <c r="R624" s="14">
        <f t="shared" si="473"/>
        <v>0</v>
      </c>
      <c r="S624" s="61" t="str">
        <f t="shared" si="474"/>
        <v/>
      </c>
      <c r="T624" s="14">
        <f t="shared" si="475"/>
        <v>0</v>
      </c>
      <c r="U624" s="58" t="str">
        <f t="shared" si="476"/>
        <v/>
      </c>
      <c r="V624" s="14">
        <f t="shared" si="477"/>
        <v>0</v>
      </c>
      <c r="W624" s="58" t="str">
        <f t="shared" si="478"/>
        <v/>
      </c>
      <c r="X624" s="14">
        <f t="shared" si="479"/>
        <v>0</v>
      </c>
      <c r="Y624" s="58" t="str">
        <f t="shared" si="480"/>
        <v/>
      </c>
      <c r="Z624" s="31">
        <f t="shared" si="481"/>
        <v>0</v>
      </c>
      <c r="AA624" s="21">
        <f t="shared" si="482"/>
        <v>0</v>
      </c>
      <c r="AB624" s="58" t="str">
        <f t="shared" si="483"/>
        <v/>
      </c>
      <c r="AC624" s="630">
        <f t="shared" si="460"/>
        <v>0</v>
      </c>
      <c r="AD624" s="627"/>
      <c r="AE624" s="21">
        <f t="shared" si="484"/>
        <v>0</v>
      </c>
      <c r="AF624" s="58" t="str">
        <f t="shared" si="485"/>
        <v/>
      </c>
      <c r="AG624" s="21">
        <f t="shared" si="486"/>
        <v>0</v>
      </c>
      <c r="AH624" s="58" t="str">
        <f t="shared" si="487"/>
        <v/>
      </c>
      <c r="AI624" s="21">
        <f t="shared" si="488"/>
        <v>0</v>
      </c>
      <c r="AJ624" s="58" t="str">
        <f t="shared" si="489"/>
        <v/>
      </c>
      <c r="AK624" s="31">
        <f t="shared" si="490"/>
        <v>0</v>
      </c>
      <c r="AL624" s="21">
        <f t="shared" si="491"/>
        <v>0</v>
      </c>
      <c r="AM624" s="62" t="str">
        <f t="shared" si="492"/>
        <v/>
      </c>
      <c r="AN624" s="21">
        <f t="shared" si="493"/>
        <v>0</v>
      </c>
      <c r="AO624" s="62" t="str">
        <f t="shared" si="494"/>
        <v/>
      </c>
      <c r="AP624" s="21">
        <f t="shared" si="495"/>
        <v>0</v>
      </c>
      <c r="AQ624" s="62" t="str">
        <f t="shared" si="496"/>
        <v/>
      </c>
      <c r="AR624" s="31">
        <f t="shared" si="497"/>
        <v>0</v>
      </c>
      <c r="AS624" s="21">
        <f t="shared" si="498"/>
        <v>0</v>
      </c>
      <c r="AT624" s="62" t="str">
        <f t="shared" si="499"/>
        <v/>
      </c>
      <c r="AU624" s="84">
        <f t="shared" si="500"/>
        <v>0</v>
      </c>
      <c r="AV624" s="32">
        <f t="shared" si="501"/>
        <v>0</v>
      </c>
      <c r="AW624" s="85" t="str">
        <f t="shared" si="502"/>
        <v/>
      </c>
      <c r="AX624" s="86" t="str">
        <f t="shared" si="503"/>
        <v/>
      </c>
    </row>
    <row r="625" spans="1:50" x14ac:dyDescent="0.2">
      <c r="A625" s="29" t="str">
        <f t="shared" si="461"/>
        <v/>
      </c>
      <c r="B625" s="32" t="str">
        <f t="shared" si="462"/>
        <v/>
      </c>
      <c r="C625" s="35"/>
      <c r="D625" s="33" t="str">
        <f t="shared" si="463"/>
        <v/>
      </c>
      <c r="E625" s="22" t="str">
        <f t="shared" si="464"/>
        <v/>
      </c>
      <c r="F625" s="23" t="str">
        <f t="shared" si="465"/>
        <v/>
      </c>
      <c r="G625" s="23"/>
      <c r="H625" s="22"/>
      <c r="I625" s="23"/>
      <c r="J625" s="18"/>
      <c r="K625" s="13" t="str">
        <f t="shared" si="466"/>
        <v/>
      </c>
      <c r="L625" s="28" t="str">
        <f t="shared" si="467"/>
        <v/>
      </c>
      <c r="M625" s="10" t="str">
        <f t="shared" si="468"/>
        <v/>
      </c>
      <c r="N625" s="17" t="str">
        <f t="shared" si="469"/>
        <v/>
      </c>
      <c r="O625" s="39" t="str">
        <f t="shared" si="470"/>
        <v/>
      </c>
      <c r="P625" s="41" t="str">
        <f t="shared" si="471"/>
        <v/>
      </c>
      <c r="Q625" s="9" t="str">
        <f t="shared" si="472"/>
        <v/>
      </c>
      <c r="R625" s="14">
        <f t="shared" si="473"/>
        <v>0</v>
      </c>
      <c r="S625" s="61" t="str">
        <f t="shared" si="474"/>
        <v/>
      </c>
      <c r="T625" s="14">
        <f t="shared" si="475"/>
        <v>0</v>
      </c>
      <c r="U625" s="58" t="str">
        <f t="shared" si="476"/>
        <v/>
      </c>
      <c r="V625" s="14">
        <f t="shared" si="477"/>
        <v>0</v>
      </c>
      <c r="W625" s="58" t="str">
        <f t="shared" si="478"/>
        <v/>
      </c>
      <c r="X625" s="14">
        <f t="shared" si="479"/>
        <v>0</v>
      </c>
      <c r="Y625" s="58" t="str">
        <f t="shared" si="480"/>
        <v/>
      </c>
      <c r="Z625" s="31">
        <f t="shared" si="481"/>
        <v>0</v>
      </c>
      <c r="AA625" s="21">
        <f t="shared" si="482"/>
        <v>0</v>
      </c>
      <c r="AB625" s="58" t="str">
        <f t="shared" si="483"/>
        <v/>
      </c>
      <c r="AC625" s="630">
        <f t="shared" si="460"/>
        <v>0</v>
      </c>
      <c r="AD625" s="627"/>
      <c r="AE625" s="21">
        <f t="shared" si="484"/>
        <v>0</v>
      </c>
      <c r="AF625" s="58" t="str">
        <f t="shared" si="485"/>
        <v/>
      </c>
      <c r="AG625" s="21">
        <f t="shared" si="486"/>
        <v>0</v>
      </c>
      <c r="AH625" s="58" t="str">
        <f t="shared" si="487"/>
        <v/>
      </c>
      <c r="AI625" s="21">
        <f t="shared" si="488"/>
        <v>0</v>
      </c>
      <c r="AJ625" s="58" t="str">
        <f t="shared" si="489"/>
        <v/>
      </c>
      <c r="AK625" s="31">
        <f t="shared" si="490"/>
        <v>0</v>
      </c>
      <c r="AL625" s="21">
        <f t="shared" si="491"/>
        <v>0</v>
      </c>
      <c r="AM625" s="62" t="str">
        <f t="shared" si="492"/>
        <v/>
      </c>
      <c r="AN625" s="21">
        <f t="shared" si="493"/>
        <v>0</v>
      </c>
      <c r="AO625" s="62" t="str">
        <f t="shared" si="494"/>
        <v/>
      </c>
      <c r="AP625" s="21">
        <f t="shared" si="495"/>
        <v>0</v>
      </c>
      <c r="AQ625" s="62" t="str">
        <f t="shared" si="496"/>
        <v/>
      </c>
      <c r="AR625" s="31">
        <f t="shared" si="497"/>
        <v>0</v>
      </c>
      <c r="AS625" s="21">
        <f t="shared" si="498"/>
        <v>0</v>
      </c>
      <c r="AT625" s="62" t="str">
        <f t="shared" si="499"/>
        <v/>
      </c>
      <c r="AU625" s="84">
        <f t="shared" si="500"/>
        <v>0</v>
      </c>
      <c r="AV625" s="32">
        <f t="shared" si="501"/>
        <v>0</v>
      </c>
      <c r="AW625" s="85" t="str">
        <f t="shared" si="502"/>
        <v/>
      </c>
      <c r="AX625" s="86" t="str">
        <f t="shared" si="503"/>
        <v/>
      </c>
    </row>
    <row r="626" spans="1:50" x14ac:dyDescent="0.2">
      <c r="A626" s="29" t="str">
        <f t="shared" si="461"/>
        <v/>
      </c>
      <c r="B626" s="32" t="str">
        <f t="shared" si="462"/>
        <v/>
      </c>
      <c r="C626" s="35"/>
      <c r="D626" s="33" t="str">
        <f t="shared" si="463"/>
        <v/>
      </c>
      <c r="E626" s="22" t="str">
        <f t="shared" si="464"/>
        <v/>
      </c>
      <c r="F626" s="23" t="str">
        <f t="shared" si="465"/>
        <v/>
      </c>
      <c r="G626" s="23"/>
      <c r="H626" s="22"/>
      <c r="I626" s="23"/>
      <c r="J626" s="18"/>
      <c r="K626" s="13" t="str">
        <f t="shared" si="466"/>
        <v/>
      </c>
      <c r="L626" s="28" t="str">
        <f t="shared" si="467"/>
        <v/>
      </c>
      <c r="M626" s="10" t="str">
        <f t="shared" si="468"/>
        <v/>
      </c>
      <c r="N626" s="17" t="str">
        <f t="shared" si="469"/>
        <v/>
      </c>
      <c r="O626" s="39" t="str">
        <f t="shared" si="470"/>
        <v/>
      </c>
      <c r="P626" s="41" t="str">
        <f t="shared" si="471"/>
        <v/>
      </c>
      <c r="Q626" s="9" t="str">
        <f t="shared" si="472"/>
        <v/>
      </c>
      <c r="R626" s="14">
        <f t="shared" si="473"/>
        <v>0</v>
      </c>
      <c r="S626" s="61" t="str">
        <f t="shared" si="474"/>
        <v/>
      </c>
      <c r="T626" s="14">
        <f t="shared" si="475"/>
        <v>0</v>
      </c>
      <c r="U626" s="58" t="str">
        <f t="shared" si="476"/>
        <v/>
      </c>
      <c r="V626" s="14">
        <f t="shared" si="477"/>
        <v>0</v>
      </c>
      <c r="W626" s="58" t="str">
        <f t="shared" si="478"/>
        <v/>
      </c>
      <c r="X626" s="14">
        <f t="shared" si="479"/>
        <v>0</v>
      </c>
      <c r="Y626" s="58" t="str">
        <f t="shared" si="480"/>
        <v/>
      </c>
      <c r="Z626" s="31">
        <f t="shared" si="481"/>
        <v>0</v>
      </c>
      <c r="AA626" s="21">
        <f t="shared" si="482"/>
        <v>0</v>
      </c>
      <c r="AB626" s="58" t="str">
        <f t="shared" si="483"/>
        <v/>
      </c>
      <c r="AC626" s="630">
        <f t="shared" si="460"/>
        <v>0</v>
      </c>
      <c r="AD626" s="627"/>
      <c r="AE626" s="21">
        <f t="shared" si="484"/>
        <v>0</v>
      </c>
      <c r="AF626" s="58" t="str">
        <f t="shared" si="485"/>
        <v/>
      </c>
      <c r="AG626" s="21">
        <f t="shared" si="486"/>
        <v>0</v>
      </c>
      <c r="AH626" s="58" t="str">
        <f t="shared" si="487"/>
        <v/>
      </c>
      <c r="AI626" s="21">
        <f t="shared" si="488"/>
        <v>0</v>
      </c>
      <c r="AJ626" s="58" t="str">
        <f t="shared" si="489"/>
        <v/>
      </c>
      <c r="AK626" s="31">
        <f t="shared" si="490"/>
        <v>0</v>
      </c>
      <c r="AL626" s="21">
        <f t="shared" si="491"/>
        <v>0</v>
      </c>
      <c r="AM626" s="62" t="str">
        <f t="shared" si="492"/>
        <v/>
      </c>
      <c r="AN626" s="21">
        <f t="shared" si="493"/>
        <v>0</v>
      </c>
      <c r="AO626" s="62" t="str">
        <f t="shared" si="494"/>
        <v/>
      </c>
      <c r="AP626" s="21">
        <f t="shared" si="495"/>
        <v>0</v>
      </c>
      <c r="AQ626" s="62" t="str">
        <f t="shared" si="496"/>
        <v/>
      </c>
      <c r="AR626" s="31">
        <f t="shared" si="497"/>
        <v>0</v>
      </c>
      <c r="AS626" s="21">
        <f t="shared" si="498"/>
        <v>0</v>
      </c>
      <c r="AT626" s="62" t="str">
        <f t="shared" si="499"/>
        <v/>
      </c>
      <c r="AU626" s="84">
        <f t="shared" si="500"/>
        <v>0</v>
      </c>
      <c r="AV626" s="32">
        <f t="shared" si="501"/>
        <v>0</v>
      </c>
      <c r="AW626" s="85" t="str">
        <f t="shared" si="502"/>
        <v/>
      </c>
      <c r="AX626" s="86" t="str">
        <f t="shared" si="503"/>
        <v/>
      </c>
    </row>
    <row r="627" spans="1:50" x14ac:dyDescent="0.2">
      <c r="A627" s="29" t="str">
        <f t="shared" si="461"/>
        <v/>
      </c>
      <c r="B627" s="32" t="str">
        <f t="shared" si="462"/>
        <v/>
      </c>
      <c r="C627" s="35"/>
      <c r="D627" s="33" t="str">
        <f t="shared" si="463"/>
        <v/>
      </c>
      <c r="E627" s="22" t="str">
        <f t="shared" si="464"/>
        <v/>
      </c>
      <c r="F627" s="23" t="str">
        <f t="shared" si="465"/>
        <v/>
      </c>
      <c r="G627" s="23"/>
      <c r="H627" s="22"/>
      <c r="I627" s="23"/>
      <c r="J627" s="18"/>
      <c r="K627" s="13" t="str">
        <f t="shared" si="466"/>
        <v/>
      </c>
      <c r="L627" s="28" t="str">
        <f t="shared" si="467"/>
        <v/>
      </c>
      <c r="M627" s="10" t="str">
        <f t="shared" si="468"/>
        <v/>
      </c>
      <c r="N627" s="17" t="str">
        <f t="shared" si="469"/>
        <v/>
      </c>
      <c r="O627" s="39" t="str">
        <f t="shared" si="470"/>
        <v/>
      </c>
      <c r="P627" s="41" t="str">
        <f t="shared" si="471"/>
        <v/>
      </c>
      <c r="Q627" s="9" t="str">
        <f t="shared" si="472"/>
        <v/>
      </c>
      <c r="R627" s="14">
        <f t="shared" si="473"/>
        <v>0</v>
      </c>
      <c r="S627" s="61" t="str">
        <f t="shared" si="474"/>
        <v/>
      </c>
      <c r="T627" s="14">
        <f t="shared" si="475"/>
        <v>0</v>
      </c>
      <c r="U627" s="58" t="str">
        <f t="shared" si="476"/>
        <v/>
      </c>
      <c r="V627" s="14">
        <f t="shared" si="477"/>
        <v>0</v>
      </c>
      <c r="W627" s="58" t="str">
        <f t="shared" si="478"/>
        <v/>
      </c>
      <c r="X627" s="14">
        <f t="shared" si="479"/>
        <v>0</v>
      </c>
      <c r="Y627" s="58" t="str">
        <f t="shared" si="480"/>
        <v/>
      </c>
      <c r="Z627" s="31">
        <f t="shared" si="481"/>
        <v>0</v>
      </c>
      <c r="AA627" s="21">
        <f t="shared" si="482"/>
        <v>0</v>
      </c>
      <c r="AB627" s="58" t="str">
        <f t="shared" si="483"/>
        <v/>
      </c>
      <c r="AC627" s="630">
        <f t="shared" si="460"/>
        <v>0</v>
      </c>
      <c r="AD627" s="627"/>
      <c r="AE627" s="21">
        <f t="shared" si="484"/>
        <v>0</v>
      </c>
      <c r="AF627" s="58" t="str">
        <f t="shared" si="485"/>
        <v/>
      </c>
      <c r="AG627" s="21">
        <f t="shared" si="486"/>
        <v>0</v>
      </c>
      <c r="AH627" s="58" t="str">
        <f t="shared" si="487"/>
        <v/>
      </c>
      <c r="AI627" s="21">
        <f t="shared" si="488"/>
        <v>0</v>
      </c>
      <c r="AJ627" s="58" t="str">
        <f t="shared" si="489"/>
        <v/>
      </c>
      <c r="AK627" s="31">
        <f t="shared" si="490"/>
        <v>0</v>
      </c>
      <c r="AL627" s="21">
        <f t="shared" si="491"/>
        <v>0</v>
      </c>
      <c r="AM627" s="62" t="str">
        <f t="shared" si="492"/>
        <v/>
      </c>
      <c r="AN627" s="21">
        <f t="shared" si="493"/>
        <v>0</v>
      </c>
      <c r="AO627" s="62" t="str">
        <f t="shared" si="494"/>
        <v/>
      </c>
      <c r="AP627" s="21">
        <f t="shared" si="495"/>
        <v>0</v>
      </c>
      <c r="AQ627" s="62" t="str">
        <f t="shared" si="496"/>
        <v/>
      </c>
      <c r="AR627" s="31">
        <f t="shared" si="497"/>
        <v>0</v>
      </c>
      <c r="AS627" s="21">
        <f t="shared" si="498"/>
        <v>0</v>
      </c>
      <c r="AT627" s="62" t="str">
        <f t="shared" si="499"/>
        <v/>
      </c>
      <c r="AU627" s="84">
        <f t="shared" si="500"/>
        <v>0</v>
      </c>
      <c r="AV627" s="32">
        <f t="shared" si="501"/>
        <v>0</v>
      </c>
      <c r="AW627" s="85" t="str">
        <f t="shared" si="502"/>
        <v/>
      </c>
      <c r="AX627" s="86" t="str">
        <f t="shared" si="503"/>
        <v/>
      </c>
    </row>
    <row r="628" spans="1:50" x14ac:dyDescent="0.2">
      <c r="A628" s="29" t="str">
        <f t="shared" si="461"/>
        <v/>
      </c>
      <c r="B628" s="32" t="str">
        <f t="shared" si="462"/>
        <v/>
      </c>
      <c r="C628" s="35"/>
      <c r="D628" s="33" t="str">
        <f t="shared" si="463"/>
        <v/>
      </c>
      <c r="E628" s="22" t="str">
        <f t="shared" si="464"/>
        <v/>
      </c>
      <c r="F628" s="23" t="str">
        <f t="shared" si="465"/>
        <v/>
      </c>
      <c r="G628" s="23"/>
      <c r="H628" s="22"/>
      <c r="I628" s="23"/>
      <c r="J628" s="18"/>
      <c r="K628" s="13" t="str">
        <f t="shared" si="466"/>
        <v/>
      </c>
      <c r="L628" s="28" t="str">
        <f t="shared" si="467"/>
        <v/>
      </c>
      <c r="M628" s="10" t="str">
        <f t="shared" si="468"/>
        <v/>
      </c>
      <c r="N628" s="17" t="str">
        <f t="shared" si="469"/>
        <v/>
      </c>
      <c r="O628" s="39" t="str">
        <f t="shared" si="470"/>
        <v/>
      </c>
      <c r="P628" s="41" t="str">
        <f t="shared" si="471"/>
        <v/>
      </c>
      <c r="Q628" s="9" t="str">
        <f t="shared" si="472"/>
        <v/>
      </c>
      <c r="R628" s="14">
        <f t="shared" si="473"/>
        <v>0</v>
      </c>
      <c r="S628" s="61" t="str">
        <f t="shared" si="474"/>
        <v/>
      </c>
      <c r="T628" s="14">
        <f t="shared" si="475"/>
        <v>0</v>
      </c>
      <c r="U628" s="58" t="str">
        <f t="shared" si="476"/>
        <v/>
      </c>
      <c r="V628" s="14">
        <f t="shared" si="477"/>
        <v>0</v>
      </c>
      <c r="W628" s="58" t="str">
        <f t="shared" si="478"/>
        <v/>
      </c>
      <c r="X628" s="14">
        <f t="shared" si="479"/>
        <v>0</v>
      </c>
      <c r="Y628" s="58" t="str">
        <f t="shared" si="480"/>
        <v/>
      </c>
      <c r="Z628" s="31">
        <f t="shared" si="481"/>
        <v>0</v>
      </c>
      <c r="AA628" s="21">
        <f t="shared" si="482"/>
        <v>0</v>
      </c>
      <c r="AB628" s="58" t="str">
        <f t="shared" si="483"/>
        <v/>
      </c>
      <c r="AC628" s="630">
        <f t="shared" si="460"/>
        <v>0</v>
      </c>
      <c r="AD628" s="627"/>
      <c r="AE628" s="21">
        <f t="shared" si="484"/>
        <v>0</v>
      </c>
      <c r="AF628" s="58" t="str">
        <f t="shared" si="485"/>
        <v/>
      </c>
      <c r="AG628" s="21">
        <f t="shared" si="486"/>
        <v>0</v>
      </c>
      <c r="AH628" s="58" t="str">
        <f t="shared" si="487"/>
        <v/>
      </c>
      <c r="AI628" s="21">
        <f t="shared" si="488"/>
        <v>0</v>
      </c>
      <c r="AJ628" s="58" t="str">
        <f t="shared" si="489"/>
        <v/>
      </c>
      <c r="AK628" s="31">
        <f t="shared" si="490"/>
        <v>0</v>
      </c>
      <c r="AL628" s="21">
        <f t="shared" si="491"/>
        <v>0</v>
      </c>
      <c r="AM628" s="62" t="str">
        <f t="shared" si="492"/>
        <v/>
      </c>
      <c r="AN628" s="21">
        <f t="shared" si="493"/>
        <v>0</v>
      </c>
      <c r="AO628" s="62" t="str">
        <f t="shared" si="494"/>
        <v/>
      </c>
      <c r="AP628" s="21">
        <f t="shared" si="495"/>
        <v>0</v>
      </c>
      <c r="AQ628" s="62" t="str">
        <f t="shared" si="496"/>
        <v/>
      </c>
      <c r="AR628" s="31">
        <f t="shared" si="497"/>
        <v>0</v>
      </c>
      <c r="AS628" s="21">
        <f t="shared" si="498"/>
        <v>0</v>
      </c>
      <c r="AT628" s="62" t="str">
        <f t="shared" si="499"/>
        <v/>
      </c>
      <c r="AU628" s="84">
        <f t="shared" si="500"/>
        <v>0</v>
      </c>
      <c r="AV628" s="32">
        <f t="shared" si="501"/>
        <v>0</v>
      </c>
      <c r="AW628" s="85" t="str">
        <f t="shared" si="502"/>
        <v/>
      </c>
      <c r="AX628" s="86" t="str">
        <f t="shared" si="503"/>
        <v/>
      </c>
    </row>
    <row r="629" spans="1:50" x14ac:dyDescent="0.2">
      <c r="A629" s="29" t="str">
        <f t="shared" si="461"/>
        <v/>
      </c>
      <c r="B629" s="32" t="str">
        <f t="shared" si="462"/>
        <v/>
      </c>
      <c r="C629" s="35"/>
      <c r="D629" s="33" t="str">
        <f t="shared" si="463"/>
        <v/>
      </c>
      <c r="E629" s="22" t="str">
        <f t="shared" si="464"/>
        <v/>
      </c>
      <c r="F629" s="23" t="str">
        <f t="shared" si="465"/>
        <v/>
      </c>
      <c r="G629" s="23"/>
      <c r="H629" s="22"/>
      <c r="I629" s="23"/>
      <c r="J629" s="18"/>
      <c r="K629" s="13" t="str">
        <f t="shared" si="466"/>
        <v/>
      </c>
      <c r="L629" s="28" t="str">
        <f t="shared" si="467"/>
        <v/>
      </c>
      <c r="M629" s="10" t="str">
        <f t="shared" si="468"/>
        <v/>
      </c>
      <c r="N629" s="17" t="str">
        <f t="shared" si="469"/>
        <v/>
      </c>
      <c r="O629" s="39" t="str">
        <f t="shared" si="470"/>
        <v/>
      </c>
      <c r="P629" s="41" t="str">
        <f t="shared" si="471"/>
        <v/>
      </c>
      <c r="Q629" s="9" t="str">
        <f t="shared" si="472"/>
        <v/>
      </c>
      <c r="R629" s="14">
        <f t="shared" si="473"/>
        <v>0</v>
      </c>
      <c r="S629" s="61" t="str">
        <f t="shared" si="474"/>
        <v/>
      </c>
      <c r="T629" s="14">
        <f t="shared" si="475"/>
        <v>0</v>
      </c>
      <c r="U629" s="58" t="str">
        <f t="shared" si="476"/>
        <v/>
      </c>
      <c r="V629" s="14">
        <f t="shared" si="477"/>
        <v>0</v>
      </c>
      <c r="W629" s="58" t="str">
        <f t="shared" si="478"/>
        <v/>
      </c>
      <c r="X629" s="14">
        <f t="shared" si="479"/>
        <v>0</v>
      </c>
      <c r="Y629" s="58" t="str">
        <f t="shared" si="480"/>
        <v/>
      </c>
      <c r="Z629" s="31">
        <f t="shared" si="481"/>
        <v>0</v>
      </c>
      <c r="AA629" s="21">
        <f t="shared" si="482"/>
        <v>0</v>
      </c>
      <c r="AB629" s="58" t="str">
        <f t="shared" si="483"/>
        <v/>
      </c>
      <c r="AC629" s="630">
        <f t="shared" si="460"/>
        <v>0</v>
      </c>
      <c r="AD629" s="627"/>
      <c r="AE629" s="21">
        <f t="shared" si="484"/>
        <v>0</v>
      </c>
      <c r="AF629" s="58" t="str">
        <f t="shared" si="485"/>
        <v/>
      </c>
      <c r="AG629" s="21">
        <f t="shared" si="486"/>
        <v>0</v>
      </c>
      <c r="AH629" s="58" t="str">
        <f t="shared" si="487"/>
        <v/>
      </c>
      <c r="AI629" s="21">
        <f t="shared" si="488"/>
        <v>0</v>
      </c>
      <c r="AJ629" s="58" t="str">
        <f t="shared" si="489"/>
        <v/>
      </c>
      <c r="AK629" s="31">
        <f t="shared" si="490"/>
        <v>0</v>
      </c>
      <c r="AL629" s="21">
        <f t="shared" si="491"/>
        <v>0</v>
      </c>
      <c r="AM629" s="62" t="str">
        <f t="shared" si="492"/>
        <v/>
      </c>
      <c r="AN629" s="21">
        <f t="shared" si="493"/>
        <v>0</v>
      </c>
      <c r="AO629" s="62" t="str">
        <f t="shared" si="494"/>
        <v/>
      </c>
      <c r="AP629" s="21">
        <f t="shared" si="495"/>
        <v>0</v>
      </c>
      <c r="AQ629" s="62" t="str">
        <f t="shared" si="496"/>
        <v/>
      </c>
      <c r="AR629" s="31">
        <f t="shared" si="497"/>
        <v>0</v>
      </c>
      <c r="AS629" s="21">
        <f t="shared" si="498"/>
        <v>0</v>
      </c>
      <c r="AT629" s="62" t="str">
        <f t="shared" si="499"/>
        <v/>
      </c>
      <c r="AU629" s="84">
        <f t="shared" si="500"/>
        <v>0</v>
      </c>
      <c r="AV629" s="32">
        <f t="shared" si="501"/>
        <v>0</v>
      </c>
      <c r="AW629" s="85" t="str">
        <f t="shared" si="502"/>
        <v/>
      </c>
      <c r="AX629" s="86" t="str">
        <f t="shared" si="503"/>
        <v/>
      </c>
    </row>
    <row r="630" spans="1:50" x14ac:dyDescent="0.2">
      <c r="A630" s="29" t="str">
        <f t="shared" si="461"/>
        <v/>
      </c>
      <c r="B630" s="32" t="str">
        <f t="shared" si="462"/>
        <v/>
      </c>
      <c r="C630" s="35"/>
      <c r="D630" s="33" t="str">
        <f t="shared" si="463"/>
        <v/>
      </c>
      <c r="E630" s="22" t="str">
        <f t="shared" si="464"/>
        <v/>
      </c>
      <c r="F630" s="23" t="str">
        <f t="shared" si="465"/>
        <v/>
      </c>
      <c r="G630" s="23"/>
      <c r="H630" s="22"/>
      <c r="I630" s="23"/>
      <c r="J630" s="18"/>
      <c r="K630" s="13" t="str">
        <f t="shared" si="466"/>
        <v/>
      </c>
      <c r="L630" s="28" t="str">
        <f t="shared" si="467"/>
        <v/>
      </c>
      <c r="M630" s="10" t="str">
        <f t="shared" si="468"/>
        <v/>
      </c>
      <c r="N630" s="17" t="str">
        <f t="shared" si="469"/>
        <v/>
      </c>
      <c r="O630" s="39" t="str">
        <f t="shared" si="470"/>
        <v/>
      </c>
      <c r="P630" s="41" t="str">
        <f t="shared" si="471"/>
        <v/>
      </c>
      <c r="Q630" s="9" t="str">
        <f t="shared" si="472"/>
        <v/>
      </c>
      <c r="R630" s="14">
        <f t="shared" si="473"/>
        <v>0</v>
      </c>
      <c r="S630" s="61" t="str">
        <f t="shared" si="474"/>
        <v/>
      </c>
      <c r="T630" s="14">
        <f t="shared" si="475"/>
        <v>0</v>
      </c>
      <c r="U630" s="58" t="str">
        <f t="shared" si="476"/>
        <v/>
      </c>
      <c r="V630" s="14">
        <f t="shared" si="477"/>
        <v>0</v>
      </c>
      <c r="W630" s="58" t="str">
        <f t="shared" si="478"/>
        <v/>
      </c>
      <c r="X630" s="14">
        <f t="shared" si="479"/>
        <v>0</v>
      </c>
      <c r="Y630" s="58" t="str">
        <f t="shared" si="480"/>
        <v/>
      </c>
      <c r="Z630" s="31">
        <f t="shared" si="481"/>
        <v>0</v>
      </c>
      <c r="AA630" s="21">
        <f t="shared" si="482"/>
        <v>0</v>
      </c>
      <c r="AB630" s="58" t="str">
        <f t="shared" si="483"/>
        <v/>
      </c>
      <c r="AC630" s="630">
        <f t="shared" si="460"/>
        <v>0</v>
      </c>
      <c r="AD630" s="627"/>
      <c r="AE630" s="21">
        <f t="shared" si="484"/>
        <v>0</v>
      </c>
      <c r="AF630" s="58" t="str">
        <f t="shared" si="485"/>
        <v/>
      </c>
      <c r="AG630" s="21">
        <f t="shared" si="486"/>
        <v>0</v>
      </c>
      <c r="AH630" s="58" t="str">
        <f t="shared" si="487"/>
        <v/>
      </c>
      <c r="AI630" s="21">
        <f t="shared" si="488"/>
        <v>0</v>
      </c>
      <c r="AJ630" s="58" t="str">
        <f t="shared" si="489"/>
        <v/>
      </c>
      <c r="AK630" s="31">
        <f t="shared" si="490"/>
        <v>0</v>
      </c>
      <c r="AL630" s="21">
        <f t="shared" si="491"/>
        <v>0</v>
      </c>
      <c r="AM630" s="62" t="str">
        <f t="shared" si="492"/>
        <v/>
      </c>
      <c r="AN630" s="21">
        <f t="shared" si="493"/>
        <v>0</v>
      </c>
      <c r="AO630" s="62" t="str">
        <f t="shared" si="494"/>
        <v/>
      </c>
      <c r="AP630" s="21">
        <f t="shared" si="495"/>
        <v>0</v>
      </c>
      <c r="AQ630" s="62" t="str">
        <f t="shared" si="496"/>
        <v/>
      </c>
      <c r="AR630" s="31">
        <f t="shared" si="497"/>
        <v>0</v>
      </c>
      <c r="AS630" s="21">
        <f t="shared" si="498"/>
        <v>0</v>
      </c>
      <c r="AT630" s="62" t="str">
        <f t="shared" si="499"/>
        <v/>
      </c>
      <c r="AU630" s="84">
        <f t="shared" si="500"/>
        <v>0</v>
      </c>
      <c r="AV630" s="32">
        <f t="shared" si="501"/>
        <v>0</v>
      </c>
      <c r="AW630" s="85" t="str">
        <f t="shared" si="502"/>
        <v/>
      </c>
      <c r="AX630" s="86" t="str">
        <f t="shared" si="503"/>
        <v/>
      </c>
    </row>
    <row r="631" spans="1:50" x14ac:dyDescent="0.2">
      <c r="A631" s="29" t="str">
        <f t="shared" si="461"/>
        <v/>
      </c>
      <c r="B631" s="32" t="str">
        <f t="shared" si="462"/>
        <v/>
      </c>
      <c r="C631" s="35"/>
      <c r="D631" s="33" t="str">
        <f t="shared" si="463"/>
        <v/>
      </c>
      <c r="E631" s="22" t="str">
        <f t="shared" si="464"/>
        <v/>
      </c>
      <c r="F631" s="23" t="str">
        <f t="shared" si="465"/>
        <v/>
      </c>
      <c r="G631" s="23"/>
      <c r="H631" s="22"/>
      <c r="I631" s="23"/>
      <c r="J631" s="18"/>
      <c r="K631" s="13" t="str">
        <f t="shared" si="466"/>
        <v/>
      </c>
      <c r="L631" s="28" t="str">
        <f t="shared" si="467"/>
        <v/>
      </c>
      <c r="M631" s="10" t="str">
        <f t="shared" si="468"/>
        <v/>
      </c>
      <c r="N631" s="17" t="str">
        <f t="shared" si="469"/>
        <v/>
      </c>
      <c r="O631" s="39" t="str">
        <f t="shared" si="470"/>
        <v/>
      </c>
      <c r="P631" s="41" t="str">
        <f t="shared" si="471"/>
        <v/>
      </c>
      <c r="Q631" s="9" t="str">
        <f t="shared" si="472"/>
        <v/>
      </c>
      <c r="R631" s="14">
        <f t="shared" si="473"/>
        <v>0</v>
      </c>
      <c r="S631" s="61" t="str">
        <f t="shared" si="474"/>
        <v/>
      </c>
      <c r="T631" s="14">
        <f t="shared" si="475"/>
        <v>0</v>
      </c>
      <c r="U631" s="58" t="str">
        <f t="shared" si="476"/>
        <v/>
      </c>
      <c r="V631" s="14">
        <f t="shared" si="477"/>
        <v>0</v>
      </c>
      <c r="W631" s="58" t="str">
        <f t="shared" si="478"/>
        <v/>
      </c>
      <c r="X631" s="14">
        <f t="shared" si="479"/>
        <v>0</v>
      </c>
      <c r="Y631" s="58" t="str">
        <f t="shared" si="480"/>
        <v/>
      </c>
      <c r="Z631" s="31">
        <f t="shared" si="481"/>
        <v>0</v>
      </c>
      <c r="AA631" s="21">
        <f t="shared" si="482"/>
        <v>0</v>
      </c>
      <c r="AB631" s="58" t="str">
        <f t="shared" si="483"/>
        <v/>
      </c>
      <c r="AC631" s="630">
        <f t="shared" si="460"/>
        <v>0</v>
      </c>
      <c r="AD631" s="627"/>
      <c r="AE631" s="21">
        <f t="shared" si="484"/>
        <v>0</v>
      </c>
      <c r="AF631" s="58" t="str">
        <f t="shared" si="485"/>
        <v/>
      </c>
      <c r="AG631" s="21">
        <f t="shared" si="486"/>
        <v>0</v>
      </c>
      <c r="AH631" s="58" t="str">
        <f t="shared" si="487"/>
        <v/>
      </c>
      <c r="AI631" s="21">
        <f t="shared" si="488"/>
        <v>0</v>
      </c>
      <c r="AJ631" s="58" t="str">
        <f t="shared" si="489"/>
        <v/>
      </c>
      <c r="AK631" s="31">
        <f t="shared" si="490"/>
        <v>0</v>
      </c>
      <c r="AL631" s="21">
        <f t="shared" si="491"/>
        <v>0</v>
      </c>
      <c r="AM631" s="62" t="str">
        <f t="shared" si="492"/>
        <v/>
      </c>
      <c r="AN631" s="21">
        <f t="shared" si="493"/>
        <v>0</v>
      </c>
      <c r="AO631" s="62" t="str">
        <f t="shared" si="494"/>
        <v/>
      </c>
      <c r="AP631" s="21">
        <f t="shared" si="495"/>
        <v>0</v>
      </c>
      <c r="AQ631" s="62" t="str">
        <f t="shared" si="496"/>
        <v/>
      </c>
      <c r="AR631" s="31">
        <f t="shared" si="497"/>
        <v>0</v>
      </c>
      <c r="AS631" s="21">
        <f t="shared" si="498"/>
        <v>0</v>
      </c>
      <c r="AT631" s="62" t="str">
        <f t="shared" si="499"/>
        <v/>
      </c>
      <c r="AU631" s="84">
        <f t="shared" si="500"/>
        <v>0</v>
      </c>
      <c r="AV631" s="32">
        <f t="shared" si="501"/>
        <v>0</v>
      </c>
      <c r="AW631" s="85" t="str">
        <f t="shared" si="502"/>
        <v/>
      </c>
      <c r="AX631" s="86" t="str">
        <f t="shared" si="503"/>
        <v/>
      </c>
    </row>
    <row r="632" spans="1:50" x14ac:dyDescent="0.2">
      <c r="A632" s="29" t="str">
        <f t="shared" si="461"/>
        <v/>
      </c>
      <c r="B632" s="32" t="str">
        <f t="shared" si="462"/>
        <v/>
      </c>
      <c r="C632" s="35"/>
      <c r="D632" s="33" t="str">
        <f t="shared" si="463"/>
        <v/>
      </c>
      <c r="E632" s="22" t="str">
        <f t="shared" si="464"/>
        <v/>
      </c>
      <c r="F632" s="23" t="str">
        <f t="shared" si="465"/>
        <v/>
      </c>
      <c r="G632" s="23"/>
      <c r="H632" s="22"/>
      <c r="I632" s="23"/>
      <c r="J632" s="18"/>
      <c r="K632" s="13" t="str">
        <f t="shared" si="466"/>
        <v/>
      </c>
      <c r="L632" s="28" t="str">
        <f t="shared" si="467"/>
        <v/>
      </c>
      <c r="M632" s="10" t="str">
        <f t="shared" si="468"/>
        <v/>
      </c>
      <c r="N632" s="17" t="str">
        <f t="shared" si="469"/>
        <v/>
      </c>
      <c r="O632" s="39" t="str">
        <f t="shared" si="470"/>
        <v/>
      </c>
      <c r="P632" s="41" t="str">
        <f t="shared" si="471"/>
        <v/>
      </c>
      <c r="Q632" s="9" t="str">
        <f t="shared" si="472"/>
        <v/>
      </c>
      <c r="R632" s="14">
        <f t="shared" si="473"/>
        <v>0</v>
      </c>
      <c r="S632" s="61" t="str">
        <f t="shared" si="474"/>
        <v/>
      </c>
      <c r="T632" s="14">
        <f t="shared" si="475"/>
        <v>0</v>
      </c>
      <c r="U632" s="58" t="str">
        <f t="shared" si="476"/>
        <v/>
      </c>
      <c r="V632" s="14">
        <f t="shared" si="477"/>
        <v>0</v>
      </c>
      <c r="W632" s="58" t="str">
        <f t="shared" si="478"/>
        <v/>
      </c>
      <c r="X632" s="14">
        <f t="shared" si="479"/>
        <v>0</v>
      </c>
      <c r="Y632" s="58" t="str">
        <f t="shared" si="480"/>
        <v/>
      </c>
      <c r="Z632" s="31">
        <f t="shared" si="481"/>
        <v>0</v>
      </c>
      <c r="AA632" s="21">
        <f t="shared" si="482"/>
        <v>0</v>
      </c>
      <c r="AB632" s="58" t="str">
        <f t="shared" si="483"/>
        <v/>
      </c>
      <c r="AC632" s="630">
        <f t="shared" si="460"/>
        <v>0</v>
      </c>
      <c r="AD632" s="627"/>
      <c r="AE632" s="21">
        <f t="shared" si="484"/>
        <v>0</v>
      </c>
      <c r="AF632" s="58" t="str">
        <f t="shared" si="485"/>
        <v/>
      </c>
      <c r="AG632" s="21">
        <f t="shared" si="486"/>
        <v>0</v>
      </c>
      <c r="AH632" s="58" t="str">
        <f t="shared" si="487"/>
        <v/>
      </c>
      <c r="AI632" s="21">
        <f t="shared" si="488"/>
        <v>0</v>
      </c>
      <c r="AJ632" s="58" t="str">
        <f t="shared" si="489"/>
        <v/>
      </c>
      <c r="AK632" s="31">
        <f t="shared" si="490"/>
        <v>0</v>
      </c>
      <c r="AL632" s="21">
        <f t="shared" si="491"/>
        <v>0</v>
      </c>
      <c r="AM632" s="62" t="str">
        <f t="shared" si="492"/>
        <v/>
      </c>
      <c r="AN632" s="21">
        <f t="shared" si="493"/>
        <v>0</v>
      </c>
      <c r="AO632" s="62" t="str">
        <f t="shared" si="494"/>
        <v/>
      </c>
      <c r="AP632" s="21">
        <f t="shared" si="495"/>
        <v>0</v>
      </c>
      <c r="AQ632" s="62" t="str">
        <f t="shared" si="496"/>
        <v/>
      </c>
      <c r="AR632" s="31">
        <f t="shared" si="497"/>
        <v>0</v>
      </c>
      <c r="AS632" s="21">
        <f t="shared" si="498"/>
        <v>0</v>
      </c>
      <c r="AT632" s="62" t="str">
        <f t="shared" si="499"/>
        <v/>
      </c>
      <c r="AU632" s="84">
        <f t="shared" si="500"/>
        <v>0</v>
      </c>
      <c r="AV632" s="32">
        <f t="shared" si="501"/>
        <v>0</v>
      </c>
      <c r="AW632" s="85" t="str">
        <f t="shared" si="502"/>
        <v/>
      </c>
      <c r="AX632" s="86" t="str">
        <f t="shared" si="503"/>
        <v/>
      </c>
    </row>
    <row r="633" spans="1:50" x14ac:dyDescent="0.2">
      <c r="A633" s="29" t="str">
        <f t="shared" si="461"/>
        <v/>
      </c>
      <c r="B633" s="32" t="str">
        <f t="shared" si="462"/>
        <v/>
      </c>
      <c r="C633" s="35"/>
      <c r="D633" s="33" t="str">
        <f t="shared" si="463"/>
        <v/>
      </c>
      <c r="E633" s="22" t="str">
        <f t="shared" si="464"/>
        <v/>
      </c>
      <c r="F633" s="23" t="str">
        <f t="shared" si="465"/>
        <v/>
      </c>
      <c r="G633" s="23"/>
      <c r="H633" s="22"/>
      <c r="I633" s="23"/>
      <c r="J633" s="18"/>
      <c r="K633" s="13" t="str">
        <f t="shared" si="466"/>
        <v/>
      </c>
      <c r="L633" s="28" t="str">
        <f t="shared" si="467"/>
        <v/>
      </c>
      <c r="M633" s="10" t="str">
        <f t="shared" si="468"/>
        <v/>
      </c>
      <c r="N633" s="17" t="str">
        <f t="shared" si="469"/>
        <v/>
      </c>
      <c r="O633" s="39" t="str">
        <f t="shared" si="470"/>
        <v/>
      </c>
      <c r="P633" s="41" t="str">
        <f t="shared" si="471"/>
        <v/>
      </c>
      <c r="Q633" s="9" t="str">
        <f t="shared" si="472"/>
        <v/>
      </c>
      <c r="R633" s="14">
        <f t="shared" si="473"/>
        <v>0</v>
      </c>
      <c r="S633" s="61" t="str">
        <f t="shared" si="474"/>
        <v/>
      </c>
      <c r="T633" s="14">
        <f t="shared" si="475"/>
        <v>0</v>
      </c>
      <c r="U633" s="58" t="str">
        <f t="shared" si="476"/>
        <v/>
      </c>
      <c r="V633" s="14">
        <f t="shared" si="477"/>
        <v>0</v>
      </c>
      <c r="W633" s="58" t="str">
        <f t="shared" si="478"/>
        <v/>
      </c>
      <c r="X633" s="14">
        <f t="shared" si="479"/>
        <v>0</v>
      </c>
      <c r="Y633" s="58" t="str">
        <f t="shared" si="480"/>
        <v/>
      </c>
      <c r="Z633" s="31">
        <f t="shared" si="481"/>
        <v>0</v>
      </c>
      <c r="AA633" s="21">
        <f t="shared" si="482"/>
        <v>0</v>
      </c>
      <c r="AB633" s="58" t="str">
        <f t="shared" si="483"/>
        <v/>
      </c>
      <c r="AC633" s="630">
        <f t="shared" si="460"/>
        <v>0</v>
      </c>
      <c r="AD633" s="627"/>
      <c r="AE633" s="21">
        <f t="shared" si="484"/>
        <v>0</v>
      </c>
      <c r="AF633" s="58" t="str">
        <f t="shared" si="485"/>
        <v/>
      </c>
      <c r="AG633" s="21">
        <f t="shared" si="486"/>
        <v>0</v>
      </c>
      <c r="AH633" s="58" t="str">
        <f t="shared" si="487"/>
        <v/>
      </c>
      <c r="AI633" s="21">
        <f t="shared" si="488"/>
        <v>0</v>
      </c>
      <c r="AJ633" s="58" t="str">
        <f t="shared" si="489"/>
        <v/>
      </c>
      <c r="AK633" s="31">
        <f t="shared" si="490"/>
        <v>0</v>
      </c>
      <c r="AL633" s="21">
        <f t="shared" si="491"/>
        <v>0</v>
      </c>
      <c r="AM633" s="62" t="str">
        <f t="shared" si="492"/>
        <v/>
      </c>
      <c r="AN633" s="21">
        <f t="shared" si="493"/>
        <v>0</v>
      </c>
      <c r="AO633" s="62" t="str">
        <f t="shared" si="494"/>
        <v/>
      </c>
      <c r="AP633" s="21">
        <f t="shared" si="495"/>
        <v>0</v>
      </c>
      <c r="AQ633" s="62" t="str">
        <f t="shared" si="496"/>
        <v/>
      </c>
      <c r="AR633" s="31">
        <f t="shared" si="497"/>
        <v>0</v>
      </c>
      <c r="AS633" s="21">
        <f t="shared" si="498"/>
        <v>0</v>
      </c>
      <c r="AT633" s="62" t="str">
        <f t="shared" si="499"/>
        <v/>
      </c>
      <c r="AU633" s="84">
        <f t="shared" si="500"/>
        <v>0</v>
      </c>
      <c r="AV633" s="32">
        <f t="shared" si="501"/>
        <v>0</v>
      </c>
      <c r="AW633" s="85" t="str">
        <f t="shared" si="502"/>
        <v/>
      </c>
      <c r="AX633" s="86" t="str">
        <f t="shared" si="503"/>
        <v/>
      </c>
    </row>
    <row r="634" spans="1:50" x14ac:dyDescent="0.2">
      <c r="A634" s="29" t="str">
        <f t="shared" si="461"/>
        <v/>
      </c>
      <c r="B634" s="32" t="str">
        <f t="shared" si="462"/>
        <v/>
      </c>
      <c r="C634" s="35"/>
      <c r="D634" s="33" t="str">
        <f t="shared" si="463"/>
        <v/>
      </c>
      <c r="E634" s="22" t="str">
        <f t="shared" si="464"/>
        <v/>
      </c>
      <c r="F634" s="23" t="str">
        <f t="shared" si="465"/>
        <v/>
      </c>
      <c r="G634" s="23"/>
      <c r="H634" s="22"/>
      <c r="I634" s="23"/>
      <c r="J634" s="18"/>
      <c r="K634" s="13" t="str">
        <f t="shared" si="466"/>
        <v/>
      </c>
      <c r="L634" s="28" t="str">
        <f t="shared" si="467"/>
        <v/>
      </c>
      <c r="M634" s="10" t="str">
        <f t="shared" si="468"/>
        <v/>
      </c>
      <c r="N634" s="17" t="str">
        <f t="shared" si="469"/>
        <v/>
      </c>
      <c r="O634" s="39" t="str">
        <f t="shared" si="470"/>
        <v/>
      </c>
      <c r="P634" s="41" t="str">
        <f t="shared" si="471"/>
        <v/>
      </c>
      <c r="Q634" s="9" t="str">
        <f t="shared" si="472"/>
        <v/>
      </c>
      <c r="R634" s="14">
        <f t="shared" si="473"/>
        <v>0</v>
      </c>
      <c r="S634" s="61" t="str">
        <f t="shared" si="474"/>
        <v/>
      </c>
      <c r="T634" s="14">
        <f t="shared" si="475"/>
        <v>0</v>
      </c>
      <c r="U634" s="58" t="str">
        <f t="shared" si="476"/>
        <v/>
      </c>
      <c r="V634" s="14">
        <f t="shared" si="477"/>
        <v>0</v>
      </c>
      <c r="W634" s="58" t="str">
        <f t="shared" si="478"/>
        <v/>
      </c>
      <c r="X634" s="14">
        <f t="shared" si="479"/>
        <v>0</v>
      </c>
      <c r="Y634" s="58" t="str">
        <f t="shared" si="480"/>
        <v/>
      </c>
      <c r="Z634" s="31">
        <f t="shared" si="481"/>
        <v>0</v>
      </c>
      <c r="AA634" s="21">
        <f t="shared" si="482"/>
        <v>0</v>
      </c>
      <c r="AB634" s="58" t="str">
        <f t="shared" si="483"/>
        <v/>
      </c>
      <c r="AC634" s="630">
        <f t="shared" si="460"/>
        <v>0</v>
      </c>
      <c r="AD634" s="627"/>
      <c r="AE634" s="21">
        <f t="shared" si="484"/>
        <v>0</v>
      </c>
      <c r="AF634" s="58" t="str">
        <f t="shared" si="485"/>
        <v/>
      </c>
      <c r="AG634" s="21">
        <f t="shared" si="486"/>
        <v>0</v>
      </c>
      <c r="AH634" s="58" t="str">
        <f t="shared" si="487"/>
        <v/>
      </c>
      <c r="AI634" s="21">
        <f t="shared" si="488"/>
        <v>0</v>
      </c>
      <c r="AJ634" s="58" t="str">
        <f t="shared" si="489"/>
        <v/>
      </c>
      <c r="AK634" s="31">
        <f t="shared" si="490"/>
        <v>0</v>
      </c>
      <c r="AL634" s="21">
        <f t="shared" si="491"/>
        <v>0</v>
      </c>
      <c r="AM634" s="62" t="str">
        <f t="shared" si="492"/>
        <v/>
      </c>
      <c r="AN634" s="21">
        <f t="shared" si="493"/>
        <v>0</v>
      </c>
      <c r="AO634" s="62" t="str">
        <f t="shared" si="494"/>
        <v/>
      </c>
      <c r="AP634" s="21">
        <f t="shared" si="495"/>
        <v>0</v>
      </c>
      <c r="AQ634" s="62" t="str">
        <f t="shared" si="496"/>
        <v/>
      </c>
      <c r="AR634" s="31">
        <f t="shared" si="497"/>
        <v>0</v>
      </c>
      <c r="AS634" s="21">
        <f t="shared" si="498"/>
        <v>0</v>
      </c>
      <c r="AT634" s="62" t="str">
        <f t="shared" si="499"/>
        <v/>
      </c>
      <c r="AU634" s="84">
        <f t="shared" si="500"/>
        <v>0</v>
      </c>
      <c r="AV634" s="32">
        <f t="shared" si="501"/>
        <v>0</v>
      </c>
      <c r="AW634" s="85" t="str">
        <f t="shared" si="502"/>
        <v/>
      </c>
      <c r="AX634" s="86" t="str">
        <f t="shared" si="503"/>
        <v/>
      </c>
    </row>
    <row r="635" spans="1:50" x14ac:dyDescent="0.2">
      <c r="A635" s="29" t="str">
        <f t="shared" si="461"/>
        <v/>
      </c>
      <c r="B635" s="32" t="str">
        <f t="shared" si="462"/>
        <v/>
      </c>
      <c r="C635" s="35"/>
      <c r="D635" s="33" t="str">
        <f t="shared" si="463"/>
        <v/>
      </c>
      <c r="E635" s="22" t="str">
        <f t="shared" si="464"/>
        <v/>
      </c>
      <c r="F635" s="23" t="str">
        <f t="shared" si="465"/>
        <v/>
      </c>
      <c r="G635" s="23"/>
      <c r="H635" s="22"/>
      <c r="I635" s="23"/>
      <c r="J635" s="18"/>
      <c r="K635" s="13" t="str">
        <f t="shared" si="466"/>
        <v/>
      </c>
      <c r="L635" s="28" t="str">
        <f t="shared" si="467"/>
        <v/>
      </c>
      <c r="M635" s="10" t="str">
        <f t="shared" si="468"/>
        <v/>
      </c>
      <c r="N635" s="17" t="str">
        <f t="shared" si="469"/>
        <v/>
      </c>
      <c r="O635" s="39" t="str">
        <f t="shared" si="470"/>
        <v/>
      </c>
      <c r="P635" s="41" t="str">
        <f t="shared" si="471"/>
        <v/>
      </c>
      <c r="Q635" s="9" t="str">
        <f t="shared" si="472"/>
        <v/>
      </c>
      <c r="R635" s="14">
        <f t="shared" si="473"/>
        <v>0</v>
      </c>
      <c r="S635" s="61" t="str">
        <f t="shared" si="474"/>
        <v/>
      </c>
      <c r="T635" s="14">
        <f t="shared" si="475"/>
        <v>0</v>
      </c>
      <c r="U635" s="58" t="str">
        <f t="shared" si="476"/>
        <v/>
      </c>
      <c r="V635" s="14">
        <f t="shared" si="477"/>
        <v>0</v>
      </c>
      <c r="W635" s="58" t="str">
        <f t="shared" si="478"/>
        <v/>
      </c>
      <c r="X635" s="14">
        <f t="shared" si="479"/>
        <v>0</v>
      </c>
      <c r="Y635" s="58" t="str">
        <f t="shared" si="480"/>
        <v/>
      </c>
      <c r="Z635" s="31">
        <f t="shared" si="481"/>
        <v>0</v>
      </c>
      <c r="AA635" s="21">
        <f t="shared" si="482"/>
        <v>0</v>
      </c>
      <c r="AB635" s="58" t="str">
        <f t="shared" si="483"/>
        <v/>
      </c>
      <c r="AC635" s="630">
        <f t="shared" si="460"/>
        <v>0</v>
      </c>
      <c r="AD635" s="627"/>
      <c r="AE635" s="21">
        <f t="shared" si="484"/>
        <v>0</v>
      </c>
      <c r="AF635" s="58" t="str">
        <f t="shared" si="485"/>
        <v/>
      </c>
      <c r="AG635" s="21">
        <f t="shared" si="486"/>
        <v>0</v>
      </c>
      <c r="AH635" s="58" t="str">
        <f t="shared" si="487"/>
        <v/>
      </c>
      <c r="AI635" s="21">
        <f t="shared" si="488"/>
        <v>0</v>
      </c>
      <c r="AJ635" s="58" t="str">
        <f t="shared" si="489"/>
        <v/>
      </c>
      <c r="AK635" s="31">
        <f t="shared" si="490"/>
        <v>0</v>
      </c>
      <c r="AL635" s="21">
        <f t="shared" si="491"/>
        <v>0</v>
      </c>
      <c r="AM635" s="62" t="str">
        <f t="shared" si="492"/>
        <v/>
      </c>
      <c r="AN635" s="21">
        <f t="shared" si="493"/>
        <v>0</v>
      </c>
      <c r="AO635" s="62" t="str">
        <f t="shared" si="494"/>
        <v/>
      </c>
      <c r="AP635" s="21">
        <f t="shared" si="495"/>
        <v>0</v>
      </c>
      <c r="AQ635" s="62" t="str">
        <f t="shared" si="496"/>
        <v/>
      </c>
      <c r="AR635" s="31">
        <f t="shared" si="497"/>
        <v>0</v>
      </c>
      <c r="AS635" s="21">
        <f t="shared" si="498"/>
        <v>0</v>
      </c>
      <c r="AT635" s="62" t="str">
        <f t="shared" si="499"/>
        <v/>
      </c>
      <c r="AU635" s="84">
        <f t="shared" si="500"/>
        <v>0</v>
      </c>
      <c r="AV635" s="32">
        <f t="shared" si="501"/>
        <v>0</v>
      </c>
      <c r="AW635" s="85" t="str">
        <f t="shared" si="502"/>
        <v/>
      </c>
      <c r="AX635" s="86" t="str">
        <f t="shared" si="503"/>
        <v/>
      </c>
    </row>
    <row r="636" spans="1:50" x14ac:dyDescent="0.2">
      <c r="A636" s="29" t="str">
        <f t="shared" si="461"/>
        <v/>
      </c>
      <c r="B636" s="32" t="str">
        <f t="shared" si="462"/>
        <v/>
      </c>
      <c r="C636" s="35"/>
      <c r="D636" s="33" t="str">
        <f t="shared" si="463"/>
        <v/>
      </c>
      <c r="E636" s="22" t="str">
        <f t="shared" si="464"/>
        <v/>
      </c>
      <c r="F636" s="23" t="str">
        <f t="shared" si="465"/>
        <v/>
      </c>
      <c r="G636" s="23"/>
      <c r="H636" s="22"/>
      <c r="I636" s="23"/>
      <c r="J636" s="18"/>
      <c r="K636" s="13" t="str">
        <f t="shared" si="466"/>
        <v/>
      </c>
      <c r="L636" s="28" t="str">
        <f t="shared" si="467"/>
        <v/>
      </c>
      <c r="M636" s="10" t="str">
        <f t="shared" si="468"/>
        <v/>
      </c>
      <c r="N636" s="17" t="str">
        <f t="shared" si="469"/>
        <v/>
      </c>
      <c r="O636" s="39" t="str">
        <f t="shared" si="470"/>
        <v/>
      </c>
      <c r="P636" s="41" t="str">
        <f t="shared" si="471"/>
        <v/>
      </c>
      <c r="Q636" s="9" t="str">
        <f t="shared" si="472"/>
        <v/>
      </c>
      <c r="R636" s="14">
        <f t="shared" si="473"/>
        <v>0</v>
      </c>
      <c r="S636" s="61" t="str">
        <f t="shared" si="474"/>
        <v/>
      </c>
      <c r="T636" s="14">
        <f t="shared" si="475"/>
        <v>0</v>
      </c>
      <c r="U636" s="58" t="str">
        <f t="shared" si="476"/>
        <v/>
      </c>
      <c r="V636" s="14">
        <f t="shared" si="477"/>
        <v>0</v>
      </c>
      <c r="W636" s="58" t="str">
        <f t="shared" si="478"/>
        <v/>
      </c>
      <c r="X636" s="14">
        <f t="shared" si="479"/>
        <v>0</v>
      </c>
      <c r="Y636" s="58" t="str">
        <f t="shared" si="480"/>
        <v/>
      </c>
      <c r="Z636" s="31">
        <f t="shared" si="481"/>
        <v>0</v>
      </c>
      <c r="AA636" s="21">
        <f t="shared" si="482"/>
        <v>0</v>
      </c>
      <c r="AB636" s="58" t="str">
        <f t="shared" si="483"/>
        <v/>
      </c>
      <c r="AC636" s="630">
        <f t="shared" si="460"/>
        <v>0</v>
      </c>
      <c r="AD636" s="627"/>
      <c r="AE636" s="21">
        <f t="shared" si="484"/>
        <v>0</v>
      </c>
      <c r="AF636" s="58" t="str">
        <f t="shared" si="485"/>
        <v/>
      </c>
      <c r="AG636" s="21">
        <f t="shared" si="486"/>
        <v>0</v>
      </c>
      <c r="AH636" s="58" t="str">
        <f t="shared" si="487"/>
        <v/>
      </c>
      <c r="AI636" s="21">
        <f t="shared" si="488"/>
        <v>0</v>
      </c>
      <c r="AJ636" s="58" t="str">
        <f t="shared" si="489"/>
        <v/>
      </c>
      <c r="AK636" s="31">
        <f t="shared" si="490"/>
        <v>0</v>
      </c>
      <c r="AL636" s="21">
        <f t="shared" si="491"/>
        <v>0</v>
      </c>
      <c r="AM636" s="62" t="str">
        <f t="shared" si="492"/>
        <v/>
      </c>
      <c r="AN636" s="21">
        <f t="shared" si="493"/>
        <v>0</v>
      </c>
      <c r="AO636" s="62" t="str">
        <f t="shared" si="494"/>
        <v/>
      </c>
      <c r="AP636" s="21">
        <f t="shared" si="495"/>
        <v>0</v>
      </c>
      <c r="AQ636" s="62" t="str">
        <f t="shared" si="496"/>
        <v/>
      </c>
      <c r="AR636" s="31">
        <f t="shared" si="497"/>
        <v>0</v>
      </c>
      <c r="AS636" s="21">
        <f t="shared" si="498"/>
        <v>0</v>
      </c>
      <c r="AT636" s="62" t="str">
        <f t="shared" si="499"/>
        <v/>
      </c>
      <c r="AU636" s="84">
        <f t="shared" si="500"/>
        <v>0</v>
      </c>
      <c r="AV636" s="32">
        <f t="shared" si="501"/>
        <v>0</v>
      </c>
      <c r="AW636" s="85" t="str">
        <f t="shared" si="502"/>
        <v/>
      </c>
      <c r="AX636" s="86" t="str">
        <f t="shared" si="503"/>
        <v/>
      </c>
    </row>
    <row r="637" spans="1:50" x14ac:dyDescent="0.2">
      <c r="A637" s="29" t="str">
        <f t="shared" si="461"/>
        <v/>
      </c>
      <c r="B637" s="32" t="str">
        <f t="shared" si="462"/>
        <v/>
      </c>
      <c r="C637" s="35"/>
      <c r="D637" s="33" t="str">
        <f t="shared" si="463"/>
        <v/>
      </c>
      <c r="E637" s="22" t="str">
        <f t="shared" si="464"/>
        <v/>
      </c>
      <c r="F637" s="23" t="str">
        <f t="shared" si="465"/>
        <v/>
      </c>
      <c r="G637" s="23"/>
      <c r="H637" s="22"/>
      <c r="I637" s="23"/>
      <c r="J637" s="18"/>
      <c r="K637" s="13" t="str">
        <f t="shared" si="466"/>
        <v/>
      </c>
      <c r="L637" s="28" t="str">
        <f t="shared" si="467"/>
        <v/>
      </c>
      <c r="M637" s="10" t="str">
        <f t="shared" si="468"/>
        <v/>
      </c>
      <c r="N637" s="17" t="str">
        <f t="shared" si="469"/>
        <v/>
      </c>
      <c r="O637" s="39" t="str">
        <f t="shared" si="470"/>
        <v/>
      </c>
      <c r="P637" s="41" t="str">
        <f t="shared" si="471"/>
        <v/>
      </c>
      <c r="Q637" s="9" t="str">
        <f t="shared" si="472"/>
        <v/>
      </c>
      <c r="R637" s="14">
        <f t="shared" si="473"/>
        <v>0</v>
      </c>
      <c r="S637" s="61" t="str">
        <f t="shared" si="474"/>
        <v/>
      </c>
      <c r="T637" s="14">
        <f t="shared" si="475"/>
        <v>0</v>
      </c>
      <c r="U637" s="58" t="str">
        <f t="shared" si="476"/>
        <v/>
      </c>
      <c r="V637" s="14">
        <f t="shared" si="477"/>
        <v>0</v>
      </c>
      <c r="W637" s="58" t="str">
        <f t="shared" si="478"/>
        <v/>
      </c>
      <c r="X637" s="14">
        <f t="shared" si="479"/>
        <v>0</v>
      </c>
      <c r="Y637" s="58" t="str">
        <f t="shared" si="480"/>
        <v/>
      </c>
      <c r="Z637" s="31">
        <f t="shared" si="481"/>
        <v>0</v>
      </c>
      <c r="AA637" s="21">
        <f t="shared" si="482"/>
        <v>0</v>
      </c>
      <c r="AB637" s="58" t="str">
        <f t="shared" si="483"/>
        <v/>
      </c>
      <c r="AC637" s="630">
        <f t="shared" si="460"/>
        <v>0</v>
      </c>
      <c r="AD637" s="627"/>
      <c r="AE637" s="21">
        <f t="shared" si="484"/>
        <v>0</v>
      </c>
      <c r="AF637" s="58" t="str">
        <f t="shared" si="485"/>
        <v/>
      </c>
      <c r="AG637" s="21">
        <f t="shared" si="486"/>
        <v>0</v>
      </c>
      <c r="AH637" s="58" t="str">
        <f t="shared" si="487"/>
        <v/>
      </c>
      <c r="AI637" s="21">
        <f t="shared" si="488"/>
        <v>0</v>
      </c>
      <c r="AJ637" s="58" t="str">
        <f t="shared" si="489"/>
        <v/>
      </c>
      <c r="AK637" s="31">
        <f t="shared" si="490"/>
        <v>0</v>
      </c>
      <c r="AL637" s="21">
        <f t="shared" si="491"/>
        <v>0</v>
      </c>
      <c r="AM637" s="62" t="str">
        <f t="shared" si="492"/>
        <v/>
      </c>
      <c r="AN637" s="21">
        <f t="shared" si="493"/>
        <v>0</v>
      </c>
      <c r="AO637" s="62" t="str">
        <f t="shared" si="494"/>
        <v/>
      </c>
      <c r="AP637" s="21">
        <f t="shared" si="495"/>
        <v>0</v>
      </c>
      <c r="AQ637" s="62" t="str">
        <f t="shared" si="496"/>
        <v/>
      </c>
      <c r="AR637" s="31">
        <f t="shared" si="497"/>
        <v>0</v>
      </c>
      <c r="AS637" s="21">
        <f t="shared" si="498"/>
        <v>0</v>
      </c>
      <c r="AT637" s="62" t="str">
        <f t="shared" si="499"/>
        <v/>
      </c>
      <c r="AU637" s="84">
        <f t="shared" si="500"/>
        <v>0</v>
      </c>
      <c r="AV637" s="32">
        <f t="shared" si="501"/>
        <v>0</v>
      </c>
      <c r="AW637" s="85" t="str">
        <f t="shared" si="502"/>
        <v/>
      </c>
      <c r="AX637" s="86" t="str">
        <f t="shared" si="503"/>
        <v/>
      </c>
    </row>
    <row r="638" spans="1:50" x14ac:dyDescent="0.2">
      <c r="A638" s="29" t="str">
        <f t="shared" si="461"/>
        <v/>
      </c>
      <c r="B638" s="32" t="str">
        <f t="shared" si="462"/>
        <v/>
      </c>
      <c r="C638" s="35"/>
      <c r="D638" s="33" t="str">
        <f t="shared" si="463"/>
        <v/>
      </c>
      <c r="E638" s="22" t="str">
        <f t="shared" si="464"/>
        <v/>
      </c>
      <c r="F638" s="23" t="str">
        <f t="shared" si="465"/>
        <v/>
      </c>
      <c r="G638" s="23"/>
      <c r="H638" s="22"/>
      <c r="I638" s="23"/>
      <c r="J638" s="18"/>
      <c r="K638" s="13" t="str">
        <f t="shared" si="466"/>
        <v/>
      </c>
      <c r="L638" s="28" t="str">
        <f t="shared" si="467"/>
        <v/>
      </c>
      <c r="M638" s="10" t="str">
        <f t="shared" si="468"/>
        <v/>
      </c>
      <c r="N638" s="17" t="str">
        <f t="shared" si="469"/>
        <v/>
      </c>
      <c r="O638" s="39" t="str">
        <f t="shared" si="470"/>
        <v/>
      </c>
      <c r="P638" s="41" t="str">
        <f t="shared" si="471"/>
        <v/>
      </c>
      <c r="Q638" s="9" t="str">
        <f t="shared" si="472"/>
        <v/>
      </c>
      <c r="R638" s="14">
        <f t="shared" si="473"/>
        <v>0</v>
      </c>
      <c r="S638" s="61" t="str">
        <f t="shared" si="474"/>
        <v/>
      </c>
      <c r="T638" s="14">
        <f t="shared" si="475"/>
        <v>0</v>
      </c>
      <c r="U638" s="58" t="str">
        <f t="shared" si="476"/>
        <v/>
      </c>
      <c r="V638" s="14">
        <f t="shared" si="477"/>
        <v>0</v>
      </c>
      <c r="W638" s="58" t="str">
        <f t="shared" si="478"/>
        <v/>
      </c>
      <c r="X638" s="14">
        <f t="shared" si="479"/>
        <v>0</v>
      </c>
      <c r="Y638" s="58" t="str">
        <f t="shared" si="480"/>
        <v/>
      </c>
      <c r="Z638" s="31">
        <f t="shared" si="481"/>
        <v>0</v>
      </c>
      <c r="AA638" s="21">
        <f t="shared" si="482"/>
        <v>0</v>
      </c>
      <c r="AB638" s="58" t="str">
        <f t="shared" si="483"/>
        <v/>
      </c>
      <c r="AC638" s="630">
        <f t="shared" si="460"/>
        <v>0</v>
      </c>
      <c r="AD638" s="627"/>
      <c r="AE638" s="21">
        <f t="shared" si="484"/>
        <v>0</v>
      </c>
      <c r="AF638" s="58" t="str">
        <f t="shared" si="485"/>
        <v/>
      </c>
      <c r="AG638" s="21">
        <f t="shared" si="486"/>
        <v>0</v>
      </c>
      <c r="AH638" s="58" t="str">
        <f t="shared" si="487"/>
        <v/>
      </c>
      <c r="AI638" s="21">
        <f t="shared" si="488"/>
        <v>0</v>
      </c>
      <c r="AJ638" s="58" t="str">
        <f t="shared" si="489"/>
        <v/>
      </c>
      <c r="AK638" s="31">
        <f t="shared" si="490"/>
        <v>0</v>
      </c>
      <c r="AL638" s="21">
        <f t="shared" si="491"/>
        <v>0</v>
      </c>
      <c r="AM638" s="62" t="str">
        <f t="shared" si="492"/>
        <v/>
      </c>
      <c r="AN638" s="21">
        <f t="shared" si="493"/>
        <v>0</v>
      </c>
      <c r="AO638" s="62" t="str">
        <f t="shared" si="494"/>
        <v/>
      </c>
      <c r="AP638" s="21">
        <f t="shared" si="495"/>
        <v>0</v>
      </c>
      <c r="AQ638" s="62" t="str">
        <f t="shared" si="496"/>
        <v/>
      </c>
      <c r="AR638" s="31">
        <f t="shared" si="497"/>
        <v>0</v>
      </c>
      <c r="AS638" s="21">
        <f t="shared" si="498"/>
        <v>0</v>
      </c>
      <c r="AT638" s="62" t="str">
        <f t="shared" si="499"/>
        <v/>
      </c>
      <c r="AU638" s="84">
        <f t="shared" si="500"/>
        <v>0</v>
      </c>
      <c r="AV638" s="32">
        <f t="shared" si="501"/>
        <v>0</v>
      </c>
      <c r="AW638" s="85" t="str">
        <f t="shared" si="502"/>
        <v/>
      </c>
      <c r="AX638" s="86" t="str">
        <f t="shared" si="503"/>
        <v/>
      </c>
    </row>
    <row r="639" spans="1:50" x14ac:dyDescent="0.2">
      <c r="A639" s="29" t="str">
        <f t="shared" si="461"/>
        <v/>
      </c>
      <c r="B639" s="32" t="str">
        <f t="shared" si="462"/>
        <v/>
      </c>
      <c r="C639" s="35"/>
      <c r="D639" s="33" t="str">
        <f t="shared" si="463"/>
        <v/>
      </c>
      <c r="E639" s="22" t="str">
        <f t="shared" si="464"/>
        <v/>
      </c>
      <c r="F639" s="23" t="str">
        <f t="shared" si="465"/>
        <v/>
      </c>
      <c r="G639" s="23"/>
      <c r="H639" s="22"/>
      <c r="I639" s="23"/>
      <c r="J639" s="18"/>
      <c r="K639" s="13" t="str">
        <f t="shared" si="466"/>
        <v/>
      </c>
      <c r="L639" s="28" t="str">
        <f t="shared" si="467"/>
        <v/>
      </c>
      <c r="M639" s="10" t="str">
        <f t="shared" si="468"/>
        <v/>
      </c>
      <c r="N639" s="17" t="str">
        <f t="shared" si="469"/>
        <v/>
      </c>
      <c r="O639" s="39" t="str">
        <f t="shared" si="470"/>
        <v/>
      </c>
      <c r="P639" s="41" t="str">
        <f t="shared" si="471"/>
        <v/>
      </c>
      <c r="Q639" s="9" t="str">
        <f t="shared" si="472"/>
        <v/>
      </c>
      <c r="R639" s="14">
        <f t="shared" si="473"/>
        <v>0</v>
      </c>
      <c r="S639" s="61" t="str">
        <f t="shared" si="474"/>
        <v/>
      </c>
      <c r="T639" s="14">
        <f t="shared" si="475"/>
        <v>0</v>
      </c>
      <c r="U639" s="58" t="str">
        <f t="shared" si="476"/>
        <v/>
      </c>
      <c r="V639" s="14">
        <f t="shared" si="477"/>
        <v>0</v>
      </c>
      <c r="W639" s="58" t="str">
        <f t="shared" si="478"/>
        <v/>
      </c>
      <c r="X639" s="14">
        <f t="shared" si="479"/>
        <v>0</v>
      </c>
      <c r="Y639" s="58" t="str">
        <f t="shared" si="480"/>
        <v/>
      </c>
      <c r="Z639" s="31">
        <f t="shared" si="481"/>
        <v>0</v>
      </c>
      <c r="AA639" s="21">
        <f t="shared" si="482"/>
        <v>0</v>
      </c>
      <c r="AB639" s="58" t="str">
        <f t="shared" si="483"/>
        <v/>
      </c>
      <c r="AC639" s="630">
        <f t="shared" si="460"/>
        <v>0</v>
      </c>
      <c r="AD639" s="627"/>
      <c r="AE639" s="21">
        <f t="shared" si="484"/>
        <v>0</v>
      </c>
      <c r="AF639" s="58" t="str">
        <f t="shared" si="485"/>
        <v/>
      </c>
      <c r="AG639" s="21">
        <f t="shared" si="486"/>
        <v>0</v>
      </c>
      <c r="AH639" s="58" t="str">
        <f t="shared" si="487"/>
        <v/>
      </c>
      <c r="AI639" s="21">
        <f t="shared" si="488"/>
        <v>0</v>
      </c>
      <c r="AJ639" s="58" t="str">
        <f t="shared" si="489"/>
        <v/>
      </c>
      <c r="AK639" s="31">
        <f t="shared" si="490"/>
        <v>0</v>
      </c>
      <c r="AL639" s="21">
        <f t="shared" si="491"/>
        <v>0</v>
      </c>
      <c r="AM639" s="62" t="str">
        <f t="shared" si="492"/>
        <v/>
      </c>
      <c r="AN639" s="21">
        <f t="shared" si="493"/>
        <v>0</v>
      </c>
      <c r="AO639" s="62" t="str">
        <f t="shared" si="494"/>
        <v/>
      </c>
      <c r="AP639" s="21">
        <f t="shared" si="495"/>
        <v>0</v>
      </c>
      <c r="AQ639" s="62" t="str">
        <f t="shared" si="496"/>
        <v/>
      </c>
      <c r="AR639" s="31">
        <f t="shared" si="497"/>
        <v>0</v>
      </c>
      <c r="AS639" s="21">
        <f t="shared" si="498"/>
        <v>0</v>
      </c>
      <c r="AT639" s="62" t="str">
        <f t="shared" si="499"/>
        <v/>
      </c>
      <c r="AU639" s="84">
        <f t="shared" si="500"/>
        <v>0</v>
      </c>
      <c r="AV639" s="32">
        <f t="shared" si="501"/>
        <v>0</v>
      </c>
      <c r="AW639" s="85" t="str">
        <f t="shared" si="502"/>
        <v/>
      </c>
      <c r="AX639" s="86" t="str">
        <f t="shared" si="503"/>
        <v/>
      </c>
    </row>
    <row r="640" spans="1:50" x14ac:dyDescent="0.2">
      <c r="A640" s="29" t="str">
        <f t="shared" si="461"/>
        <v/>
      </c>
      <c r="B640" s="32" t="str">
        <f t="shared" si="462"/>
        <v/>
      </c>
      <c r="C640" s="35"/>
      <c r="D640" s="33" t="str">
        <f t="shared" si="463"/>
        <v/>
      </c>
      <c r="E640" s="22" t="str">
        <f t="shared" si="464"/>
        <v/>
      </c>
      <c r="F640" s="23" t="str">
        <f t="shared" si="465"/>
        <v/>
      </c>
      <c r="G640" s="23"/>
      <c r="H640" s="22"/>
      <c r="I640" s="23"/>
      <c r="J640" s="18"/>
      <c r="K640" s="13" t="str">
        <f t="shared" si="466"/>
        <v/>
      </c>
      <c r="L640" s="28" t="str">
        <f t="shared" si="467"/>
        <v/>
      </c>
      <c r="M640" s="10" t="str">
        <f t="shared" si="468"/>
        <v/>
      </c>
      <c r="N640" s="17" t="str">
        <f t="shared" si="469"/>
        <v/>
      </c>
      <c r="O640" s="39" t="str">
        <f t="shared" si="470"/>
        <v/>
      </c>
      <c r="P640" s="41" t="str">
        <f t="shared" si="471"/>
        <v/>
      </c>
      <c r="Q640" s="9" t="str">
        <f t="shared" si="472"/>
        <v/>
      </c>
      <c r="R640" s="14">
        <f t="shared" si="473"/>
        <v>0</v>
      </c>
      <c r="S640" s="61" t="str">
        <f t="shared" si="474"/>
        <v/>
      </c>
      <c r="T640" s="14">
        <f t="shared" si="475"/>
        <v>0</v>
      </c>
      <c r="U640" s="58" t="str">
        <f t="shared" si="476"/>
        <v/>
      </c>
      <c r="V640" s="14">
        <f t="shared" si="477"/>
        <v>0</v>
      </c>
      <c r="W640" s="58" t="str">
        <f t="shared" si="478"/>
        <v/>
      </c>
      <c r="X640" s="14">
        <f t="shared" si="479"/>
        <v>0</v>
      </c>
      <c r="Y640" s="58" t="str">
        <f t="shared" si="480"/>
        <v/>
      </c>
      <c r="Z640" s="31">
        <f t="shared" si="481"/>
        <v>0</v>
      </c>
      <c r="AA640" s="21">
        <f t="shared" si="482"/>
        <v>0</v>
      </c>
      <c r="AB640" s="58" t="str">
        <f t="shared" si="483"/>
        <v/>
      </c>
      <c r="AC640" s="630">
        <f t="shared" si="460"/>
        <v>0</v>
      </c>
      <c r="AD640" s="627"/>
      <c r="AE640" s="21">
        <f t="shared" si="484"/>
        <v>0</v>
      </c>
      <c r="AF640" s="58" t="str">
        <f t="shared" si="485"/>
        <v/>
      </c>
      <c r="AG640" s="21">
        <f t="shared" si="486"/>
        <v>0</v>
      </c>
      <c r="AH640" s="58" t="str">
        <f t="shared" si="487"/>
        <v/>
      </c>
      <c r="AI640" s="21">
        <f t="shared" si="488"/>
        <v>0</v>
      </c>
      <c r="AJ640" s="58" t="str">
        <f t="shared" si="489"/>
        <v/>
      </c>
      <c r="AK640" s="31">
        <f t="shared" si="490"/>
        <v>0</v>
      </c>
      <c r="AL640" s="21">
        <f t="shared" si="491"/>
        <v>0</v>
      </c>
      <c r="AM640" s="62" t="str">
        <f t="shared" si="492"/>
        <v/>
      </c>
      <c r="AN640" s="21">
        <f t="shared" si="493"/>
        <v>0</v>
      </c>
      <c r="AO640" s="62" t="str">
        <f t="shared" si="494"/>
        <v/>
      </c>
      <c r="AP640" s="21">
        <f t="shared" si="495"/>
        <v>0</v>
      </c>
      <c r="AQ640" s="62" t="str">
        <f t="shared" si="496"/>
        <v/>
      </c>
      <c r="AR640" s="31">
        <f t="shared" si="497"/>
        <v>0</v>
      </c>
      <c r="AS640" s="21">
        <f t="shared" si="498"/>
        <v>0</v>
      </c>
      <c r="AT640" s="62" t="str">
        <f t="shared" si="499"/>
        <v/>
      </c>
      <c r="AU640" s="84">
        <f t="shared" si="500"/>
        <v>0</v>
      </c>
      <c r="AV640" s="32">
        <f t="shared" si="501"/>
        <v>0</v>
      </c>
      <c r="AW640" s="85" t="str">
        <f t="shared" si="502"/>
        <v/>
      </c>
      <c r="AX640" s="86" t="str">
        <f t="shared" si="503"/>
        <v/>
      </c>
    </row>
    <row r="641" spans="1:50" x14ac:dyDescent="0.2">
      <c r="A641" s="29" t="str">
        <f t="shared" si="461"/>
        <v/>
      </c>
      <c r="B641" s="32" t="str">
        <f t="shared" si="462"/>
        <v/>
      </c>
      <c r="C641" s="35"/>
      <c r="D641" s="33" t="str">
        <f t="shared" si="463"/>
        <v/>
      </c>
      <c r="E641" s="22" t="str">
        <f t="shared" si="464"/>
        <v/>
      </c>
      <c r="F641" s="23" t="str">
        <f t="shared" si="465"/>
        <v/>
      </c>
      <c r="G641" s="23"/>
      <c r="H641" s="22"/>
      <c r="I641" s="23"/>
      <c r="J641" s="18"/>
      <c r="K641" s="13" t="str">
        <f t="shared" si="466"/>
        <v/>
      </c>
      <c r="L641" s="28" t="str">
        <f t="shared" si="467"/>
        <v/>
      </c>
      <c r="M641" s="10" t="str">
        <f t="shared" si="468"/>
        <v/>
      </c>
      <c r="N641" s="17" t="str">
        <f t="shared" si="469"/>
        <v/>
      </c>
      <c r="O641" s="39" t="str">
        <f t="shared" si="470"/>
        <v/>
      </c>
      <c r="P641" s="41" t="str">
        <f t="shared" si="471"/>
        <v/>
      </c>
      <c r="Q641" s="9" t="str">
        <f t="shared" si="472"/>
        <v/>
      </c>
      <c r="R641" s="14">
        <f t="shared" si="473"/>
        <v>0</v>
      </c>
      <c r="S641" s="61" t="str">
        <f t="shared" si="474"/>
        <v/>
      </c>
      <c r="T641" s="14">
        <f t="shared" si="475"/>
        <v>0</v>
      </c>
      <c r="U641" s="58" t="str">
        <f t="shared" si="476"/>
        <v/>
      </c>
      <c r="V641" s="14">
        <f t="shared" si="477"/>
        <v>0</v>
      </c>
      <c r="W641" s="58" t="str">
        <f t="shared" si="478"/>
        <v/>
      </c>
      <c r="X641" s="14">
        <f t="shared" si="479"/>
        <v>0</v>
      </c>
      <c r="Y641" s="58" t="str">
        <f t="shared" si="480"/>
        <v/>
      </c>
      <c r="Z641" s="31">
        <f t="shared" si="481"/>
        <v>0</v>
      </c>
      <c r="AA641" s="21">
        <f t="shared" si="482"/>
        <v>0</v>
      </c>
      <c r="AB641" s="58" t="str">
        <f t="shared" si="483"/>
        <v/>
      </c>
      <c r="AC641" s="630">
        <f t="shared" si="460"/>
        <v>0</v>
      </c>
      <c r="AD641" s="627"/>
      <c r="AE641" s="21">
        <f t="shared" si="484"/>
        <v>0</v>
      </c>
      <c r="AF641" s="58" t="str">
        <f t="shared" si="485"/>
        <v/>
      </c>
      <c r="AG641" s="21">
        <f t="shared" si="486"/>
        <v>0</v>
      </c>
      <c r="AH641" s="58" t="str">
        <f t="shared" si="487"/>
        <v/>
      </c>
      <c r="AI641" s="21">
        <f t="shared" si="488"/>
        <v>0</v>
      </c>
      <c r="AJ641" s="58" t="str">
        <f t="shared" si="489"/>
        <v/>
      </c>
      <c r="AK641" s="31">
        <f t="shared" si="490"/>
        <v>0</v>
      </c>
      <c r="AL641" s="21">
        <f t="shared" si="491"/>
        <v>0</v>
      </c>
      <c r="AM641" s="62" t="str">
        <f t="shared" si="492"/>
        <v/>
      </c>
      <c r="AN641" s="21">
        <f t="shared" si="493"/>
        <v>0</v>
      </c>
      <c r="AO641" s="62" t="str">
        <f t="shared" si="494"/>
        <v/>
      </c>
      <c r="AP641" s="21">
        <f t="shared" si="495"/>
        <v>0</v>
      </c>
      <c r="AQ641" s="62" t="str">
        <f t="shared" si="496"/>
        <v/>
      </c>
      <c r="AR641" s="31">
        <f t="shared" si="497"/>
        <v>0</v>
      </c>
      <c r="AS641" s="21">
        <f t="shared" si="498"/>
        <v>0</v>
      </c>
      <c r="AT641" s="62" t="str">
        <f t="shared" si="499"/>
        <v/>
      </c>
      <c r="AU641" s="84">
        <f t="shared" si="500"/>
        <v>0</v>
      </c>
      <c r="AV641" s="32">
        <f t="shared" si="501"/>
        <v>0</v>
      </c>
      <c r="AW641" s="85" t="str">
        <f t="shared" si="502"/>
        <v/>
      </c>
      <c r="AX641" s="86" t="str">
        <f t="shared" si="503"/>
        <v/>
      </c>
    </row>
    <row r="642" spans="1:50" x14ac:dyDescent="0.2">
      <c r="A642" s="29" t="str">
        <f t="shared" si="461"/>
        <v/>
      </c>
      <c r="B642" s="32" t="str">
        <f t="shared" si="462"/>
        <v/>
      </c>
      <c r="C642" s="35"/>
      <c r="D642" s="33" t="str">
        <f t="shared" si="463"/>
        <v/>
      </c>
      <c r="E642" s="22" t="str">
        <f t="shared" si="464"/>
        <v/>
      </c>
      <c r="F642" s="23" t="str">
        <f t="shared" si="465"/>
        <v/>
      </c>
      <c r="G642" s="23"/>
      <c r="H642" s="22"/>
      <c r="I642" s="23"/>
      <c r="J642" s="18"/>
      <c r="K642" s="13" t="str">
        <f t="shared" si="466"/>
        <v/>
      </c>
      <c r="L642" s="28" t="str">
        <f t="shared" si="467"/>
        <v/>
      </c>
      <c r="M642" s="10" t="str">
        <f t="shared" si="468"/>
        <v/>
      </c>
      <c r="N642" s="17" t="str">
        <f t="shared" si="469"/>
        <v/>
      </c>
      <c r="O642" s="39" t="str">
        <f t="shared" si="470"/>
        <v/>
      </c>
      <c r="P642" s="41" t="str">
        <f t="shared" si="471"/>
        <v/>
      </c>
      <c r="Q642" s="9" t="str">
        <f t="shared" si="472"/>
        <v/>
      </c>
      <c r="R642" s="14">
        <f t="shared" si="473"/>
        <v>0</v>
      </c>
      <c r="S642" s="61" t="str">
        <f t="shared" si="474"/>
        <v/>
      </c>
      <c r="T642" s="14">
        <f t="shared" si="475"/>
        <v>0</v>
      </c>
      <c r="U642" s="58" t="str">
        <f t="shared" si="476"/>
        <v/>
      </c>
      <c r="V642" s="14">
        <f t="shared" si="477"/>
        <v>0</v>
      </c>
      <c r="W642" s="58" t="str">
        <f t="shared" si="478"/>
        <v/>
      </c>
      <c r="X642" s="14">
        <f t="shared" si="479"/>
        <v>0</v>
      </c>
      <c r="Y642" s="58" t="str">
        <f t="shared" si="480"/>
        <v/>
      </c>
      <c r="Z642" s="31">
        <f t="shared" si="481"/>
        <v>0</v>
      </c>
      <c r="AA642" s="21">
        <f t="shared" si="482"/>
        <v>0</v>
      </c>
      <c r="AB642" s="58" t="str">
        <f t="shared" si="483"/>
        <v/>
      </c>
      <c r="AC642" s="630">
        <f t="shared" si="460"/>
        <v>0</v>
      </c>
      <c r="AD642" s="627"/>
      <c r="AE642" s="21">
        <f t="shared" si="484"/>
        <v>0</v>
      </c>
      <c r="AF642" s="58" t="str">
        <f t="shared" si="485"/>
        <v/>
      </c>
      <c r="AG642" s="21">
        <f t="shared" si="486"/>
        <v>0</v>
      </c>
      <c r="AH642" s="58" t="str">
        <f t="shared" si="487"/>
        <v/>
      </c>
      <c r="AI642" s="21">
        <f t="shared" si="488"/>
        <v>0</v>
      </c>
      <c r="AJ642" s="58" t="str">
        <f t="shared" si="489"/>
        <v/>
      </c>
      <c r="AK642" s="31">
        <f t="shared" si="490"/>
        <v>0</v>
      </c>
      <c r="AL642" s="21">
        <f t="shared" si="491"/>
        <v>0</v>
      </c>
      <c r="AM642" s="62" t="str">
        <f t="shared" si="492"/>
        <v/>
      </c>
      <c r="AN642" s="21">
        <f t="shared" si="493"/>
        <v>0</v>
      </c>
      <c r="AO642" s="62" t="str">
        <f t="shared" si="494"/>
        <v/>
      </c>
      <c r="AP642" s="21">
        <f t="shared" si="495"/>
        <v>0</v>
      </c>
      <c r="AQ642" s="62" t="str">
        <f t="shared" si="496"/>
        <v/>
      </c>
      <c r="AR642" s="31">
        <f t="shared" si="497"/>
        <v>0</v>
      </c>
      <c r="AS642" s="21">
        <f t="shared" si="498"/>
        <v>0</v>
      </c>
      <c r="AT642" s="62" t="str">
        <f t="shared" si="499"/>
        <v/>
      </c>
      <c r="AU642" s="84">
        <f t="shared" si="500"/>
        <v>0</v>
      </c>
      <c r="AV642" s="32">
        <f t="shared" si="501"/>
        <v>0</v>
      </c>
      <c r="AW642" s="85" t="str">
        <f t="shared" si="502"/>
        <v/>
      </c>
      <c r="AX642" s="86" t="str">
        <f t="shared" si="503"/>
        <v/>
      </c>
    </row>
    <row r="643" spans="1:50" x14ac:dyDescent="0.2">
      <c r="A643" s="29" t="str">
        <f t="shared" si="461"/>
        <v/>
      </c>
      <c r="B643" s="32" t="str">
        <f t="shared" si="462"/>
        <v/>
      </c>
      <c r="C643" s="35"/>
      <c r="D643" s="33" t="str">
        <f t="shared" si="463"/>
        <v/>
      </c>
      <c r="E643" s="22" t="str">
        <f t="shared" si="464"/>
        <v/>
      </c>
      <c r="F643" s="23" t="str">
        <f t="shared" si="465"/>
        <v/>
      </c>
      <c r="G643" s="23"/>
      <c r="H643" s="22"/>
      <c r="I643" s="23"/>
      <c r="J643" s="18"/>
      <c r="K643" s="13" t="str">
        <f t="shared" si="466"/>
        <v/>
      </c>
      <c r="L643" s="28" t="str">
        <f t="shared" si="467"/>
        <v/>
      </c>
      <c r="M643" s="10" t="str">
        <f t="shared" si="468"/>
        <v/>
      </c>
      <c r="N643" s="17" t="str">
        <f t="shared" si="469"/>
        <v/>
      </c>
      <c r="O643" s="39" t="str">
        <f t="shared" si="470"/>
        <v/>
      </c>
      <c r="P643" s="41" t="str">
        <f t="shared" si="471"/>
        <v/>
      </c>
      <c r="Q643" s="9" t="str">
        <f t="shared" si="472"/>
        <v/>
      </c>
      <c r="R643" s="14">
        <f t="shared" si="473"/>
        <v>0</v>
      </c>
      <c r="S643" s="61" t="str">
        <f t="shared" si="474"/>
        <v/>
      </c>
      <c r="T643" s="14">
        <f t="shared" si="475"/>
        <v>0</v>
      </c>
      <c r="U643" s="58" t="str">
        <f t="shared" si="476"/>
        <v/>
      </c>
      <c r="V643" s="14">
        <f t="shared" si="477"/>
        <v>0</v>
      </c>
      <c r="W643" s="58" t="str">
        <f t="shared" si="478"/>
        <v/>
      </c>
      <c r="X643" s="14">
        <f t="shared" si="479"/>
        <v>0</v>
      </c>
      <c r="Y643" s="58" t="str">
        <f t="shared" si="480"/>
        <v/>
      </c>
      <c r="Z643" s="31">
        <f t="shared" si="481"/>
        <v>0</v>
      </c>
      <c r="AA643" s="21">
        <f t="shared" si="482"/>
        <v>0</v>
      </c>
      <c r="AB643" s="58" t="str">
        <f t="shared" si="483"/>
        <v/>
      </c>
      <c r="AC643" s="630">
        <f t="shared" si="460"/>
        <v>0</v>
      </c>
      <c r="AD643" s="627"/>
      <c r="AE643" s="21">
        <f t="shared" si="484"/>
        <v>0</v>
      </c>
      <c r="AF643" s="58" t="str">
        <f t="shared" si="485"/>
        <v/>
      </c>
      <c r="AG643" s="21">
        <f t="shared" si="486"/>
        <v>0</v>
      </c>
      <c r="AH643" s="58" t="str">
        <f t="shared" si="487"/>
        <v/>
      </c>
      <c r="AI643" s="21">
        <f t="shared" si="488"/>
        <v>0</v>
      </c>
      <c r="AJ643" s="58" t="str">
        <f t="shared" si="489"/>
        <v/>
      </c>
      <c r="AK643" s="31">
        <f t="shared" si="490"/>
        <v>0</v>
      </c>
      <c r="AL643" s="21">
        <f t="shared" si="491"/>
        <v>0</v>
      </c>
      <c r="AM643" s="62" t="str">
        <f t="shared" si="492"/>
        <v/>
      </c>
      <c r="AN643" s="21">
        <f t="shared" si="493"/>
        <v>0</v>
      </c>
      <c r="AO643" s="62" t="str">
        <f t="shared" si="494"/>
        <v/>
      </c>
      <c r="AP643" s="21">
        <f t="shared" si="495"/>
        <v>0</v>
      </c>
      <c r="AQ643" s="62" t="str">
        <f t="shared" si="496"/>
        <v/>
      </c>
      <c r="AR643" s="31">
        <f t="shared" si="497"/>
        <v>0</v>
      </c>
      <c r="AS643" s="21">
        <f t="shared" si="498"/>
        <v>0</v>
      </c>
      <c r="AT643" s="62" t="str">
        <f t="shared" si="499"/>
        <v/>
      </c>
      <c r="AU643" s="84">
        <f t="shared" si="500"/>
        <v>0</v>
      </c>
      <c r="AV643" s="32">
        <f t="shared" si="501"/>
        <v>0</v>
      </c>
      <c r="AW643" s="85" t="str">
        <f t="shared" si="502"/>
        <v/>
      </c>
      <c r="AX643" s="86" t="str">
        <f t="shared" si="503"/>
        <v/>
      </c>
    </row>
    <row r="644" spans="1:50" x14ac:dyDescent="0.2">
      <c r="A644" s="29" t="str">
        <f t="shared" si="461"/>
        <v/>
      </c>
      <c r="B644" s="32" t="str">
        <f t="shared" si="462"/>
        <v/>
      </c>
      <c r="C644" s="35"/>
      <c r="D644" s="33" t="str">
        <f t="shared" si="463"/>
        <v/>
      </c>
      <c r="E644" s="22" t="str">
        <f t="shared" si="464"/>
        <v/>
      </c>
      <c r="F644" s="23" t="str">
        <f t="shared" si="465"/>
        <v/>
      </c>
      <c r="G644" s="23"/>
      <c r="H644" s="22"/>
      <c r="I644" s="23"/>
      <c r="J644" s="18"/>
      <c r="K644" s="13" t="str">
        <f t="shared" si="466"/>
        <v/>
      </c>
      <c r="L644" s="28" t="str">
        <f t="shared" si="467"/>
        <v/>
      </c>
      <c r="M644" s="10" t="str">
        <f t="shared" si="468"/>
        <v/>
      </c>
      <c r="N644" s="17" t="str">
        <f t="shared" si="469"/>
        <v/>
      </c>
      <c r="O644" s="39" t="str">
        <f t="shared" si="470"/>
        <v/>
      </c>
      <c r="P644" s="41" t="str">
        <f t="shared" si="471"/>
        <v/>
      </c>
      <c r="Q644" s="9" t="str">
        <f t="shared" si="472"/>
        <v/>
      </c>
      <c r="R644" s="14">
        <f t="shared" si="473"/>
        <v>0</v>
      </c>
      <c r="S644" s="61" t="str">
        <f t="shared" si="474"/>
        <v/>
      </c>
      <c r="T644" s="14">
        <f t="shared" si="475"/>
        <v>0</v>
      </c>
      <c r="U644" s="58" t="str">
        <f t="shared" si="476"/>
        <v/>
      </c>
      <c r="V644" s="14">
        <f t="shared" si="477"/>
        <v>0</v>
      </c>
      <c r="W644" s="58" t="str">
        <f t="shared" si="478"/>
        <v/>
      </c>
      <c r="X644" s="14">
        <f t="shared" si="479"/>
        <v>0</v>
      </c>
      <c r="Y644" s="58" t="str">
        <f t="shared" si="480"/>
        <v/>
      </c>
      <c r="Z644" s="31">
        <f t="shared" si="481"/>
        <v>0</v>
      </c>
      <c r="AA644" s="21">
        <f t="shared" si="482"/>
        <v>0</v>
      </c>
      <c r="AB644" s="58" t="str">
        <f t="shared" si="483"/>
        <v/>
      </c>
      <c r="AC644" s="630">
        <f t="shared" si="460"/>
        <v>0</v>
      </c>
      <c r="AD644" s="627"/>
      <c r="AE644" s="21">
        <f t="shared" si="484"/>
        <v>0</v>
      </c>
      <c r="AF644" s="58" t="str">
        <f t="shared" si="485"/>
        <v/>
      </c>
      <c r="AG644" s="21">
        <f t="shared" si="486"/>
        <v>0</v>
      </c>
      <c r="AH644" s="58" t="str">
        <f t="shared" si="487"/>
        <v/>
      </c>
      <c r="AI644" s="21">
        <f t="shared" si="488"/>
        <v>0</v>
      </c>
      <c r="AJ644" s="58" t="str">
        <f t="shared" si="489"/>
        <v/>
      </c>
      <c r="AK644" s="31">
        <f t="shared" si="490"/>
        <v>0</v>
      </c>
      <c r="AL644" s="21">
        <f t="shared" si="491"/>
        <v>0</v>
      </c>
      <c r="AM644" s="62" t="str">
        <f t="shared" si="492"/>
        <v/>
      </c>
      <c r="AN644" s="21">
        <f t="shared" si="493"/>
        <v>0</v>
      </c>
      <c r="AO644" s="62" t="str">
        <f t="shared" si="494"/>
        <v/>
      </c>
      <c r="AP644" s="21">
        <f t="shared" si="495"/>
        <v>0</v>
      </c>
      <c r="AQ644" s="62" t="str">
        <f t="shared" si="496"/>
        <v/>
      </c>
      <c r="AR644" s="31">
        <f t="shared" si="497"/>
        <v>0</v>
      </c>
      <c r="AS644" s="21">
        <f t="shared" si="498"/>
        <v>0</v>
      </c>
      <c r="AT644" s="62" t="str">
        <f t="shared" si="499"/>
        <v/>
      </c>
      <c r="AU644" s="84">
        <f t="shared" si="500"/>
        <v>0</v>
      </c>
      <c r="AV644" s="32">
        <f t="shared" si="501"/>
        <v>0</v>
      </c>
      <c r="AW644" s="85" t="str">
        <f t="shared" si="502"/>
        <v/>
      </c>
      <c r="AX644" s="86" t="str">
        <f t="shared" si="503"/>
        <v/>
      </c>
    </row>
    <row r="645" spans="1:50" x14ac:dyDescent="0.2">
      <c r="A645" s="29" t="str">
        <f t="shared" si="461"/>
        <v/>
      </c>
      <c r="B645" s="32" t="str">
        <f t="shared" si="462"/>
        <v/>
      </c>
      <c r="C645" s="35"/>
      <c r="D645" s="33" t="str">
        <f t="shared" si="463"/>
        <v/>
      </c>
      <c r="E645" s="22" t="str">
        <f t="shared" si="464"/>
        <v/>
      </c>
      <c r="F645" s="23" t="str">
        <f t="shared" si="465"/>
        <v/>
      </c>
      <c r="G645" s="23"/>
      <c r="H645" s="22"/>
      <c r="I645" s="23"/>
      <c r="J645" s="18"/>
      <c r="K645" s="13" t="str">
        <f t="shared" si="466"/>
        <v/>
      </c>
      <c r="L645" s="28" t="str">
        <f t="shared" si="467"/>
        <v/>
      </c>
      <c r="M645" s="10" t="str">
        <f t="shared" si="468"/>
        <v/>
      </c>
      <c r="N645" s="17" t="str">
        <f t="shared" si="469"/>
        <v/>
      </c>
      <c r="O645" s="39" t="str">
        <f t="shared" si="470"/>
        <v/>
      </c>
      <c r="P645" s="41" t="str">
        <f t="shared" si="471"/>
        <v/>
      </c>
      <c r="Q645" s="9" t="str">
        <f t="shared" si="472"/>
        <v/>
      </c>
      <c r="R645" s="14">
        <f t="shared" si="473"/>
        <v>0</v>
      </c>
      <c r="S645" s="61" t="str">
        <f t="shared" si="474"/>
        <v/>
      </c>
      <c r="T645" s="14">
        <f t="shared" si="475"/>
        <v>0</v>
      </c>
      <c r="U645" s="58" t="str">
        <f t="shared" si="476"/>
        <v/>
      </c>
      <c r="V645" s="14">
        <f t="shared" si="477"/>
        <v>0</v>
      </c>
      <c r="W645" s="58" t="str">
        <f t="shared" si="478"/>
        <v/>
      </c>
      <c r="X645" s="14">
        <f t="shared" si="479"/>
        <v>0</v>
      </c>
      <c r="Y645" s="58" t="str">
        <f t="shared" si="480"/>
        <v/>
      </c>
      <c r="Z645" s="31">
        <f t="shared" si="481"/>
        <v>0</v>
      </c>
      <c r="AA645" s="21">
        <f t="shared" si="482"/>
        <v>0</v>
      </c>
      <c r="AB645" s="58" t="str">
        <f t="shared" si="483"/>
        <v/>
      </c>
      <c r="AC645" s="630">
        <f t="shared" si="460"/>
        <v>0</v>
      </c>
      <c r="AD645" s="627"/>
      <c r="AE645" s="21">
        <f t="shared" si="484"/>
        <v>0</v>
      </c>
      <c r="AF645" s="58" t="str">
        <f t="shared" si="485"/>
        <v/>
      </c>
      <c r="AG645" s="21">
        <f t="shared" si="486"/>
        <v>0</v>
      </c>
      <c r="AH645" s="58" t="str">
        <f t="shared" si="487"/>
        <v/>
      </c>
      <c r="AI645" s="21">
        <f t="shared" si="488"/>
        <v>0</v>
      </c>
      <c r="AJ645" s="58" t="str">
        <f t="shared" si="489"/>
        <v/>
      </c>
      <c r="AK645" s="31">
        <f t="shared" si="490"/>
        <v>0</v>
      </c>
      <c r="AL645" s="21">
        <f t="shared" si="491"/>
        <v>0</v>
      </c>
      <c r="AM645" s="62" t="str">
        <f t="shared" si="492"/>
        <v/>
      </c>
      <c r="AN645" s="21">
        <f t="shared" si="493"/>
        <v>0</v>
      </c>
      <c r="AO645" s="62" t="str">
        <f t="shared" si="494"/>
        <v/>
      </c>
      <c r="AP645" s="21">
        <f t="shared" si="495"/>
        <v>0</v>
      </c>
      <c r="AQ645" s="62" t="str">
        <f t="shared" si="496"/>
        <v/>
      </c>
      <c r="AR645" s="31">
        <f t="shared" si="497"/>
        <v>0</v>
      </c>
      <c r="AS645" s="21">
        <f t="shared" si="498"/>
        <v>0</v>
      </c>
      <c r="AT645" s="62" t="str">
        <f t="shared" si="499"/>
        <v/>
      </c>
      <c r="AU645" s="84">
        <f t="shared" si="500"/>
        <v>0</v>
      </c>
      <c r="AV645" s="32">
        <f t="shared" si="501"/>
        <v>0</v>
      </c>
      <c r="AW645" s="85" t="str">
        <f t="shared" si="502"/>
        <v/>
      </c>
      <c r="AX645" s="86" t="str">
        <f t="shared" si="503"/>
        <v/>
      </c>
    </row>
    <row r="646" spans="1:50" x14ac:dyDescent="0.2">
      <c r="A646" s="29" t="str">
        <f t="shared" si="461"/>
        <v/>
      </c>
      <c r="B646" s="32" t="str">
        <f t="shared" si="462"/>
        <v/>
      </c>
      <c r="C646" s="35"/>
      <c r="D646" s="33" t="str">
        <f t="shared" si="463"/>
        <v/>
      </c>
      <c r="E646" s="22" t="str">
        <f t="shared" si="464"/>
        <v/>
      </c>
      <c r="F646" s="23" t="str">
        <f t="shared" si="465"/>
        <v/>
      </c>
      <c r="G646" s="23"/>
      <c r="H646" s="22"/>
      <c r="I646" s="23"/>
      <c r="J646" s="18"/>
      <c r="K646" s="13" t="str">
        <f t="shared" si="466"/>
        <v/>
      </c>
      <c r="L646" s="28" t="str">
        <f t="shared" si="467"/>
        <v/>
      </c>
      <c r="M646" s="10" t="str">
        <f t="shared" si="468"/>
        <v/>
      </c>
      <c r="N646" s="17" t="str">
        <f t="shared" si="469"/>
        <v/>
      </c>
      <c r="O646" s="39" t="str">
        <f t="shared" si="470"/>
        <v/>
      </c>
      <c r="P646" s="41" t="str">
        <f t="shared" si="471"/>
        <v/>
      </c>
      <c r="Q646" s="9" t="str">
        <f t="shared" si="472"/>
        <v/>
      </c>
      <c r="R646" s="14">
        <f t="shared" si="473"/>
        <v>0</v>
      </c>
      <c r="S646" s="61" t="str">
        <f t="shared" si="474"/>
        <v/>
      </c>
      <c r="T646" s="14">
        <f t="shared" si="475"/>
        <v>0</v>
      </c>
      <c r="U646" s="58" t="str">
        <f t="shared" si="476"/>
        <v/>
      </c>
      <c r="V646" s="14">
        <f t="shared" si="477"/>
        <v>0</v>
      </c>
      <c r="W646" s="58" t="str">
        <f t="shared" si="478"/>
        <v/>
      </c>
      <c r="X646" s="14">
        <f t="shared" si="479"/>
        <v>0</v>
      </c>
      <c r="Y646" s="58" t="str">
        <f t="shared" si="480"/>
        <v/>
      </c>
      <c r="Z646" s="31">
        <f t="shared" si="481"/>
        <v>0</v>
      </c>
      <c r="AA646" s="21">
        <f t="shared" si="482"/>
        <v>0</v>
      </c>
      <c r="AB646" s="58" t="str">
        <f t="shared" si="483"/>
        <v/>
      </c>
      <c r="AC646" s="630">
        <f t="shared" si="460"/>
        <v>0</v>
      </c>
      <c r="AD646" s="627"/>
      <c r="AE646" s="21">
        <f t="shared" si="484"/>
        <v>0</v>
      </c>
      <c r="AF646" s="58" t="str">
        <f t="shared" si="485"/>
        <v/>
      </c>
      <c r="AG646" s="21">
        <f t="shared" si="486"/>
        <v>0</v>
      </c>
      <c r="AH646" s="58" t="str">
        <f t="shared" si="487"/>
        <v/>
      </c>
      <c r="AI646" s="21">
        <f t="shared" si="488"/>
        <v>0</v>
      </c>
      <c r="AJ646" s="58" t="str">
        <f t="shared" si="489"/>
        <v/>
      </c>
      <c r="AK646" s="31">
        <f t="shared" si="490"/>
        <v>0</v>
      </c>
      <c r="AL646" s="21">
        <f t="shared" si="491"/>
        <v>0</v>
      </c>
      <c r="AM646" s="62" t="str">
        <f t="shared" si="492"/>
        <v/>
      </c>
      <c r="AN646" s="21">
        <f t="shared" si="493"/>
        <v>0</v>
      </c>
      <c r="AO646" s="62" t="str">
        <f t="shared" si="494"/>
        <v/>
      </c>
      <c r="AP646" s="21">
        <f t="shared" si="495"/>
        <v>0</v>
      </c>
      <c r="AQ646" s="62" t="str">
        <f t="shared" si="496"/>
        <v/>
      </c>
      <c r="AR646" s="31">
        <f t="shared" si="497"/>
        <v>0</v>
      </c>
      <c r="AS646" s="21">
        <f t="shared" si="498"/>
        <v>0</v>
      </c>
      <c r="AT646" s="62" t="str">
        <f t="shared" si="499"/>
        <v/>
      </c>
      <c r="AU646" s="84">
        <f t="shared" si="500"/>
        <v>0</v>
      </c>
      <c r="AV646" s="32">
        <f t="shared" si="501"/>
        <v>0</v>
      </c>
      <c r="AW646" s="85" t="str">
        <f t="shared" si="502"/>
        <v/>
      </c>
      <c r="AX646" s="86" t="str">
        <f t="shared" si="503"/>
        <v/>
      </c>
    </row>
    <row r="647" spans="1:50" x14ac:dyDescent="0.2">
      <c r="A647" s="29" t="str">
        <f t="shared" si="461"/>
        <v/>
      </c>
      <c r="B647" s="32" t="str">
        <f t="shared" si="462"/>
        <v/>
      </c>
      <c r="C647" s="35"/>
      <c r="D647" s="33" t="str">
        <f t="shared" si="463"/>
        <v/>
      </c>
      <c r="E647" s="22" t="str">
        <f t="shared" si="464"/>
        <v/>
      </c>
      <c r="F647" s="23" t="str">
        <f t="shared" si="465"/>
        <v/>
      </c>
      <c r="G647" s="23"/>
      <c r="H647" s="22"/>
      <c r="I647" s="23"/>
      <c r="J647" s="18"/>
      <c r="K647" s="13" t="str">
        <f t="shared" si="466"/>
        <v/>
      </c>
      <c r="L647" s="28" t="str">
        <f t="shared" si="467"/>
        <v/>
      </c>
      <c r="M647" s="10" t="str">
        <f t="shared" si="468"/>
        <v/>
      </c>
      <c r="N647" s="17" t="str">
        <f t="shared" si="469"/>
        <v/>
      </c>
      <c r="O647" s="39" t="str">
        <f t="shared" si="470"/>
        <v/>
      </c>
      <c r="P647" s="41" t="str">
        <f t="shared" si="471"/>
        <v/>
      </c>
      <c r="Q647" s="9" t="str">
        <f t="shared" si="472"/>
        <v/>
      </c>
      <c r="R647" s="14">
        <f t="shared" si="473"/>
        <v>0</v>
      </c>
      <c r="S647" s="61" t="str">
        <f t="shared" si="474"/>
        <v/>
      </c>
      <c r="T647" s="14">
        <f t="shared" si="475"/>
        <v>0</v>
      </c>
      <c r="U647" s="58" t="str">
        <f t="shared" si="476"/>
        <v/>
      </c>
      <c r="V647" s="14">
        <f t="shared" si="477"/>
        <v>0</v>
      </c>
      <c r="W647" s="58" t="str">
        <f t="shared" si="478"/>
        <v/>
      </c>
      <c r="X647" s="14">
        <f t="shared" si="479"/>
        <v>0</v>
      </c>
      <c r="Y647" s="58" t="str">
        <f t="shared" si="480"/>
        <v/>
      </c>
      <c r="Z647" s="31">
        <f t="shared" si="481"/>
        <v>0</v>
      </c>
      <c r="AA647" s="21">
        <f t="shared" si="482"/>
        <v>0</v>
      </c>
      <c r="AB647" s="58" t="str">
        <f t="shared" si="483"/>
        <v/>
      </c>
      <c r="AC647" s="630">
        <f t="shared" si="460"/>
        <v>0</v>
      </c>
      <c r="AD647" s="627"/>
      <c r="AE647" s="21">
        <f t="shared" si="484"/>
        <v>0</v>
      </c>
      <c r="AF647" s="58" t="str">
        <f t="shared" si="485"/>
        <v/>
      </c>
      <c r="AG647" s="21">
        <f t="shared" si="486"/>
        <v>0</v>
      </c>
      <c r="AH647" s="58" t="str">
        <f t="shared" si="487"/>
        <v/>
      </c>
      <c r="AI647" s="21">
        <f t="shared" si="488"/>
        <v>0</v>
      </c>
      <c r="AJ647" s="58" t="str">
        <f t="shared" si="489"/>
        <v/>
      </c>
      <c r="AK647" s="31">
        <f t="shared" si="490"/>
        <v>0</v>
      </c>
      <c r="AL647" s="21">
        <f t="shared" si="491"/>
        <v>0</v>
      </c>
      <c r="AM647" s="62" t="str">
        <f t="shared" si="492"/>
        <v/>
      </c>
      <c r="AN647" s="21">
        <f t="shared" si="493"/>
        <v>0</v>
      </c>
      <c r="AO647" s="62" t="str">
        <f t="shared" si="494"/>
        <v/>
      </c>
      <c r="AP647" s="21">
        <f t="shared" si="495"/>
        <v>0</v>
      </c>
      <c r="AQ647" s="62" t="str">
        <f t="shared" si="496"/>
        <v/>
      </c>
      <c r="AR647" s="31">
        <f t="shared" si="497"/>
        <v>0</v>
      </c>
      <c r="AS647" s="21">
        <f t="shared" si="498"/>
        <v>0</v>
      </c>
      <c r="AT647" s="62" t="str">
        <f t="shared" si="499"/>
        <v/>
      </c>
      <c r="AU647" s="84">
        <f t="shared" si="500"/>
        <v>0</v>
      </c>
      <c r="AV647" s="32">
        <f t="shared" si="501"/>
        <v>0</v>
      </c>
      <c r="AW647" s="85" t="str">
        <f t="shared" si="502"/>
        <v/>
      </c>
      <c r="AX647" s="86" t="str">
        <f t="shared" si="503"/>
        <v/>
      </c>
    </row>
    <row r="648" spans="1:50" x14ac:dyDescent="0.2">
      <c r="A648" s="29" t="str">
        <f t="shared" si="461"/>
        <v/>
      </c>
      <c r="B648" s="32" t="str">
        <f t="shared" si="462"/>
        <v/>
      </c>
      <c r="C648" s="35"/>
      <c r="D648" s="33" t="str">
        <f t="shared" si="463"/>
        <v/>
      </c>
      <c r="E648" s="22" t="str">
        <f t="shared" si="464"/>
        <v/>
      </c>
      <c r="F648" s="23" t="str">
        <f t="shared" si="465"/>
        <v/>
      </c>
      <c r="G648" s="23"/>
      <c r="H648" s="22"/>
      <c r="I648" s="23"/>
      <c r="J648" s="18"/>
      <c r="K648" s="13" t="str">
        <f t="shared" si="466"/>
        <v/>
      </c>
      <c r="L648" s="28" t="str">
        <f t="shared" si="467"/>
        <v/>
      </c>
      <c r="M648" s="10" t="str">
        <f t="shared" si="468"/>
        <v/>
      </c>
      <c r="N648" s="17" t="str">
        <f t="shared" si="469"/>
        <v/>
      </c>
      <c r="O648" s="39" t="str">
        <f t="shared" si="470"/>
        <v/>
      </c>
      <c r="P648" s="41" t="str">
        <f t="shared" si="471"/>
        <v/>
      </c>
      <c r="Q648" s="9" t="str">
        <f t="shared" si="472"/>
        <v/>
      </c>
      <c r="R648" s="14">
        <f t="shared" si="473"/>
        <v>0</v>
      </c>
      <c r="S648" s="61" t="str">
        <f t="shared" si="474"/>
        <v/>
      </c>
      <c r="T648" s="14">
        <f t="shared" si="475"/>
        <v>0</v>
      </c>
      <c r="U648" s="58" t="str">
        <f t="shared" si="476"/>
        <v/>
      </c>
      <c r="V648" s="14">
        <f t="shared" si="477"/>
        <v>0</v>
      </c>
      <c r="W648" s="58" t="str">
        <f t="shared" si="478"/>
        <v/>
      </c>
      <c r="X648" s="14">
        <f t="shared" si="479"/>
        <v>0</v>
      </c>
      <c r="Y648" s="58" t="str">
        <f t="shared" si="480"/>
        <v/>
      </c>
      <c r="Z648" s="31">
        <f t="shared" si="481"/>
        <v>0</v>
      </c>
      <c r="AA648" s="21">
        <f t="shared" si="482"/>
        <v>0</v>
      </c>
      <c r="AB648" s="58" t="str">
        <f t="shared" si="483"/>
        <v/>
      </c>
      <c r="AC648" s="630">
        <f t="shared" si="460"/>
        <v>0</v>
      </c>
      <c r="AD648" s="627"/>
      <c r="AE648" s="21">
        <f t="shared" si="484"/>
        <v>0</v>
      </c>
      <c r="AF648" s="58" t="str">
        <f t="shared" si="485"/>
        <v/>
      </c>
      <c r="AG648" s="21">
        <f t="shared" si="486"/>
        <v>0</v>
      </c>
      <c r="AH648" s="58" t="str">
        <f t="shared" si="487"/>
        <v/>
      </c>
      <c r="AI648" s="21">
        <f t="shared" si="488"/>
        <v>0</v>
      </c>
      <c r="AJ648" s="58" t="str">
        <f t="shared" si="489"/>
        <v/>
      </c>
      <c r="AK648" s="31">
        <f t="shared" si="490"/>
        <v>0</v>
      </c>
      <c r="AL648" s="21">
        <f t="shared" si="491"/>
        <v>0</v>
      </c>
      <c r="AM648" s="62" t="str">
        <f t="shared" si="492"/>
        <v/>
      </c>
      <c r="AN648" s="21">
        <f t="shared" si="493"/>
        <v>0</v>
      </c>
      <c r="AO648" s="62" t="str">
        <f t="shared" si="494"/>
        <v/>
      </c>
      <c r="AP648" s="21">
        <f t="shared" si="495"/>
        <v>0</v>
      </c>
      <c r="AQ648" s="62" t="str">
        <f t="shared" si="496"/>
        <v/>
      </c>
      <c r="AR648" s="31">
        <f t="shared" si="497"/>
        <v>0</v>
      </c>
      <c r="AS648" s="21">
        <f t="shared" si="498"/>
        <v>0</v>
      </c>
      <c r="AT648" s="62" t="str">
        <f t="shared" si="499"/>
        <v/>
      </c>
      <c r="AU648" s="84">
        <f t="shared" si="500"/>
        <v>0</v>
      </c>
      <c r="AV648" s="32">
        <f t="shared" si="501"/>
        <v>0</v>
      </c>
      <c r="AW648" s="85" t="str">
        <f t="shared" si="502"/>
        <v/>
      </c>
      <c r="AX648" s="86" t="str">
        <f t="shared" si="503"/>
        <v/>
      </c>
    </row>
    <row r="649" spans="1:50" x14ac:dyDescent="0.2">
      <c r="A649" s="29" t="str">
        <f t="shared" si="461"/>
        <v/>
      </c>
      <c r="B649" s="32" t="str">
        <f t="shared" si="462"/>
        <v/>
      </c>
      <c r="C649" s="35"/>
      <c r="D649" s="33" t="str">
        <f t="shared" si="463"/>
        <v/>
      </c>
      <c r="E649" s="22" t="str">
        <f t="shared" si="464"/>
        <v/>
      </c>
      <c r="F649" s="23" t="str">
        <f t="shared" si="465"/>
        <v/>
      </c>
      <c r="G649" s="23"/>
      <c r="H649" s="22"/>
      <c r="I649" s="23"/>
      <c r="J649" s="18"/>
      <c r="K649" s="13" t="str">
        <f t="shared" si="466"/>
        <v/>
      </c>
      <c r="L649" s="28" t="str">
        <f t="shared" si="467"/>
        <v/>
      </c>
      <c r="M649" s="10" t="str">
        <f t="shared" si="468"/>
        <v/>
      </c>
      <c r="N649" s="17" t="str">
        <f t="shared" si="469"/>
        <v/>
      </c>
      <c r="O649" s="39" t="str">
        <f t="shared" si="470"/>
        <v/>
      </c>
      <c r="P649" s="41" t="str">
        <f t="shared" si="471"/>
        <v/>
      </c>
      <c r="Q649" s="9" t="str">
        <f t="shared" si="472"/>
        <v/>
      </c>
      <c r="R649" s="14">
        <f t="shared" si="473"/>
        <v>0</v>
      </c>
      <c r="S649" s="61" t="str">
        <f t="shared" si="474"/>
        <v/>
      </c>
      <c r="T649" s="14">
        <f t="shared" si="475"/>
        <v>0</v>
      </c>
      <c r="U649" s="58" t="str">
        <f t="shared" si="476"/>
        <v/>
      </c>
      <c r="V649" s="14">
        <f t="shared" si="477"/>
        <v>0</v>
      </c>
      <c r="W649" s="58" t="str">
        <f t="shared" si="478"/>
        <v/>
      </c>
      <c r="X649" s="14">
        <f t="shared" si="479"/>
        <v>0</v>
      </c>
      <c r="Y649" s="58" t="str">
        <f t="shared" si="480"/>
        <v/>
      </c>
      <c r="Z649" s="31">
        <f t="shared" si="481"/>
        <v>0</v>
      </c>
      <c r="AA649" s="21">
        <f t="shared" si="482"/>
        <v>0</v>
      </c>
      <c r="AB649" s="58" t="str">
        <f t="shared" si="483"/>
        <v/>
      </c>
      <c r="AC649" s="630">
        <f t="shared" si="460"/>
        <v>0</v>
      </c>
      <c r="AD649" s="627"/>
      <c r="AE649" s="21">
        <f t="shared" si="484"/>
        <v>0</v>
      </c>
      <c r="AF649" s="58" t="str">
        <f t="shared" si="485"/>
        <v/>
      </c>
      <c r="AG649" s="21">
        <f t="shared" si="486"/>
        <v>0</v>
      </c>
      <c r="AH649" s="58" t="str">
        <f t="shared" si="487"/>
        <v/>
      </c>
      <c r="AI649" s="21">
        <f t="shared" si="488"/>
        <v>0</v>
      </c>
      <c r="AJ649" s="58" t="str">
        <f t="shared" si="489"/>
        <v/>
      </c>
      <c r="AK649" s="31">
        <f t="shared" si="490"/>
        <v>0</v>
      </c>
      <c r="AL649" s="21">
        <f t="shared" si="491"/>
        <v>0</v>
      </c>
      <c r="AM649" s="62" t="str">
        <f t="shared" si="492"/>
        <v/>
      </c>
      <c r="AN649" s="21">
        <f t="shared" si="493"/>
        <v>0</v>
      </c>
      <c r="AO649" s="62" t="str">
        <f t="shared" si="494"/>
        <v/>
      </c>
      <c r="AP649" s="21">
        <f t="shared" si="495"/>
        <v>0</v>
      </c>
      <c r="AQ649" s="62" t="str">
        <f t="shared" si="496"/>
        <v/>
      </c>
      <c r="AR649" s="31">
        <f t="shared" si="497"/>
        <v>0</v>
      </c>
      <c r="AS649" s="21">
        <f t="shared" si="498"/>
        <v>0</v>
      </c>
      <c r="AT649" s="62" t="str">
        <f t="shared" si="499"/>
        <v/>
      </c>
      <c r="AU649" s="84">
        <f t="shared" si="500"/>
        <v>0</v>
      </c>
      <c r="AV649" s="32">
        <f t="shared" si="501"/>
        <v>0</v>
      </c>
      <c r="AW649" s="85" t="str">
        <f t="shared" si="502"/>
        <v/>
      </c>
      <c r="AX649" s="86" t="str">
        <f t="shared" si="503"/>
        <v/>
      </c>
    </row>
    <row r="650" spans="1:50" x14ac:dyDescent="0.2">
      <c r="A650" s="29" t="str">
        <f t="shared" si="461"/>
        <v/>
      </c>
      <c r="B650" s="32" t="str">
        <f t="shared" si="462"/>
        <v/>
      </c>
      <c r="C650" s="35"/>
      <c r="D650" s="33" t="str">
        <f t="shared" si="463"/>
        <v/>
      </c>
      <c r="E650" s="22" t="str">
        <f t="shared" si="464"/>
        <v/>
      </c>
      <c r="F650" s="23" t="str">
        <f t="shared" si="465"/>
        <v/>
      </c>
      <c r="G650" s="23"/>
      <c r="H650" s="22"/>
      <c r="I650" s="23"/>
      <c r="J650" s="18"/>
      <c r="K650" s="13" t="str">
        <f t="shared" si="466"/>
        <v/>
      </c>
      <c r="L650" s="28" t="str">
        <f t="shared" si="467"/>
        <v/>
      </c>
      <c r="M650" s="10" t="str">
        <f t="shared" si="468"/>
        <v/>
      </c>
      <c r="N650" s="17" t="str">
        <f t="shared" si="469"/>
        <v/>
      </c>
      <c r="O650" s="39" t="str">
        <f t="shared" si="470"/>
        <v/>
      </c>
      <c r="P650" s="41" t="str">
        <f t="shared" si="471"/>
        <v/>
      </c>
      <c r="Q650" s="9" t="str">
        <f t="shared" si="472"/>
        <v/>
      </c>
      <c r="R650" s="14">
        <f t="shared" si="473"/>
        <v>0</v>
      </c>
      <c r="S650" s="61" t="str">
        <f t="shared" si="474"/>
        <v/>
      </c>
      <c r="T650" s="14">
        <f t="shared" si="475"/>
        <v>0</v>
      </c>
      <c r="U650" s="58" t="str">
        <f t="shared" si="476"/>
        <v/>
      </c>
      <c r="V650" s="14">
        <f t="shared" si="477"/>
        <v>0</v>
      </c>
      <c r="W650" s="58" t="str">
        <f t="shared" si="478"/>
        <v/>
      </c>
      <c r="X650" s="14">
        <f t="shared" si="479"/>
        <v>0</v>
      </c>
      <c r="Y650" s="58" t="str">
        <f t="shared" si="480"/>
        <v/>
      </c>
      <c r="Z650" s="31">
        <f t="shared" si="481"/>
        <v>0</v>
      </c>
      <c r="AA650" s="21">
        <f t="shared" si="482"/>
        <v>0</v>
      </c>
      <c r="AB650" s="58" t="str">
        <f t="shared" si="483"/>
        <v/>
      </c>
      <c r="AC650" s="630">
        <f t="shared" si="460"/>
        <v>0</v>
      </c>
      <c r="AD650" s="627"/>
      <c r="AE650" s="21">
        <f t="shared" si="484"/>
        <v>0</v>
      </c>
      <c r="AF650" s="58" t="str">
        <f t="shared" si="485"/>
        <v/>
      </c>
      <c r="AG650" s="21">
        <f t="shared" si="486"/>
        <v>0</v>
      </c>
      <c r="AH650" s="58" t="str">
        <f t="shared" si="487"/>
        <v/>
      </c>
      <c r="AI650" s="21">
        <f t="shared" si="488"/>
        <v>0</v>
      </c>
      <c r="AJ650" s="58" t="str">
        <f t="shared" si="489"/>
        <v/>
      </c>
      <c r="AK650" s="31">
        <f t="shared" si="490"/>
        <v>0</v>
      </c>
      <c r="AL650" s="21">
        <f t="shared" si="491"/>
        <v>0</v>
      </c>
      <c r="AM650" s="62" t="str">
        <f t="shared" si="492"/>
        <v/>
      </c>
      <c r="AN650" s="21">
        <f t="shared" si="493"/>
        <v>0</v>
      </c>
      <c r="AO650" s="62" t="str">
        <f t="shared" si="494"/>
        <v/>
      </c>
      <c r="AP650" s="21">
        <f t="shared" si="495"/>
        <v>0</v>
      </c>
      <c r="AQ650" s="62" t="str">
        <f t="shared" si="496"/>
        <v/>
      </c>
      <c r="AR650" s="31">
        <f t="shared" si="497"/>
        <v>0</v>
      </c>
      <c r="AS650" s="21">
        <f t="shared" si="498"/>
        <v>0</v>
      </c>
      <c r="AT650" s="62" t="str">
        <f t="shared" si="499"/>
        <v/>
      </c>
      <c r="AU650" s="84">
        <f t="shared" si="500"/>
        <v>0</v>
      </c>
      <c r="AV650" s="32">
        <f t="shared" si="501"/>
        <v>0</v>
      </c>
      <c r="AW650" s="85" t="str">
        <f t="shared" si="502"/>
        <v/>
      </c>
      <c r="AX650" s="86" t="str">
        <f t="shared" si="503"/>
        <v/>
      </c>
    </row>
    <row r="651" spans="1:50" x14ac:dyDescent="0.2">
      <c r="A651" s="29" t="str">
        <f t="shared" si="461"/>
        <v/>
      </c>
      <c r="B651" s="32" t="str">
        <f t="shared" si="462"/>
        <v/>
      </c>
      <c r="C651" s="35"/>
      <c r="D651" s="33" t="str">
        <f t="shared" si="463"/>
        <v/>
      </c>
      <c r="E651" s="22" t="str">
        <f t="shared" si="464"/>
        <v/>
      </c>
      <c r="F651" s="23" t="str">
        <f t="shared" si="465"/>
        <v/>
      </c>
      <c r="G651" s="23"/>
      <c r="H651" s="22"/>
      <c r="I651" s="23"/>
      <c r="J651" s="18"/>
      <c r="K651" s="13" t="str">
        <f t="shared" si="466"/>
        <v/>
      </c>
      <c r="L651" s="28" t="str">
        <f t="shared" si="467"/>
        <v/>
      </c>
      <c r="M651" s="10" t="str">
        <f t="shared" si="468"/>
        <v/>
      </c>
      <c r="N651" s="17" t="str">
        <f t="shared" si="469"/>
        <v/>
      </c>
      <c r="O651" s="39" t="str">
        <f t="shared" si="470"/>
        <v/>
      </c>
      <c r="P651" s="41" t="str">
        <f t="shared" si="471"/>
        <v/>
      </c>
      <c r="Q651" s="9" t="str">
        <f t="shared" si="472"/>
        <v/>
      </c>
      <c r="R651" s="14">
        <f t="shared" si="473"/>
        <v>0</v>
      </c>
      <c r="S651" s="61" t="str">
        <f t="shared" si="474"/>
        <v/>
      </c>
      <c r="T651" s="14">
        <f t="shared" si="475"/>
        <v>0</v>
      </c>
      <c r="U651" s="58" t="str">
        <f t="shared" si="476"/>
        <v/>
      </c>
      <c r="V651" s="14">
        <f t="shared" si="477"/>
        <v>0</v>
      </c>
      <c r="W651" s="58" t="str">
        <f t="shared" si="478"/>
        <v/>
      </c>
      <c r="X651" s="14">
        <f t="shared" si="479"/>
        <v>0</v>
      </c>
      <c r="Y651" s="58" t="str">
        <f t="shared" si="480"/>
        <v/>
      </c>
      <c r="Z651" s="31">
        <f t="shared" si="481"/>
        <v>0</v>
      </c>
      <c r="AA651" s="21">
        <f t="shared" si="482"/>
        <v>0</v>
      </c>
      <c r="AB651" s="58" t="str">
        <f t="shared" si="483"/>
        <v/>
      </c>
      <c r="AC651" s="630">
        <f t="shared" si="460"/>
        <v>0</v>
      </c>
      <c r="AD651" s="627"/>
      <c r="AE651" s="21">
        <f t="shared" si="484"/>
        <v>0</v>
      </c>
      <c r="AF651" s="58" t="str">
        <f t="shared" si="485"/>
        <v/>
      </c>
      <c r="AG651" s="21">
        <f t="shared" si="486"/>
        <v>0</v>
      </c>
      <c r="AH651" s="58" t="str">
        <f t="shared" si="487"/>
        <v/>
      </c>
      <c r="AI651" s="21">
        <f t="shared" si="488"/>
        <v>0</v>
      </c>
      <c r="AJ651" s="58" t="str">
        <f t="shared" si="489"/>
        <v/>
      </c>
      <c r="AK651" s="31">
        <f t="shared" si="490"/>
        <v>0</v>
      </c>
      <c r="AL651" s="21">
        <f t="shared" si="491"/>
        <v>0</v>
      </c>
      <c r="AM651" s="62" t="str">
        <f t="shared" si="492"/>
        <v/>
      </c>
      <c r="AN651" s="21">
        <f t="shared" si="493"/>
        <v>0</v>
      </c>
      <c r="AO651" s="62" t="str">
        <f t="shared" si="494"/>
        <v/>
      </c>
      <c r="AP651" s="21">
        <f t="shared" si="495"/>
        <v>0</v>
      </c>
      <c r="AQ651" s="62" t="str">
        <f t="shared" si="496"/>
        <v/>
      </c>
      <c r="AR651" s="31">
        <f t="shared" si="497"/>
        <v>0</v>
      </c>
      <c r="AS651" s="21">
        <f t="shared" si="498"/>
        <v>0</v>
      </c>
      <c r="AT651" s="62" t="str">
        <f t="shared" si="499"/>
        <v/>
      </c>
      <c r="AU651" s="84">
        <f t="shared" si="500"/>
        <v>0</v>
      </c>
      <c r="AV651" s="32">
        <f t="shared" si="501"/>
        <v>0</v>
      </c>
      <c r="AW651" s="85" t="str">
        <f t="shared" si="502"/>
        <v/>
      </c>
      <c r="AX651" s="86" t="str">
        <f t="shared" si="503"/>
        <v/>
      </c>
    </row>
    <row r="652" spans="1:50" x14ac:dyDescent="0.2">
      <c r="A652" s="29" t="str">
        <f t="shared" si="461"/>
        <v/>
      </c>
      <c r="B652" s="32" t="str">
        <f t="shared" si="462"/>
        <v/>
      </c>
      <c r="C652" s="35"/>
      <c r="D652" s="33" t="str">
        <f t="shared" si="463"/>
        <v/>
      </c>
      <c r="E652" s="22" t="str">
        <f t="shared" si="464"/>
        <v/>
      </c>
      <c r="F652" s="23" t="str">
        <f t="shared" si="465"/>
        <v/>
      </c>
      <c r="G652" s="23"/>
      <c r="H652" s="22"/>
      <c r="I652" s="23"/>
      <c r="J652" s="18"/>
      <c r="K652" s="13" t="str">
        <f t="shared" si="466"/>
        <v/>
      </c>
      <c r="L652" s="28" t="str">
        <f t="shared" si="467"/>
        <v/>
      </c>
      <c r="M652" s="10" t="str">
        <f t="shared" si="468"/>
        <v/>
      </c>
      <c r="N652" s="17" t="str">
        <f t="shared" si="469"/>
        <v/>
      </c>
      <c r="O652" s="39" t="str">
        <f t="shared" si="470"/>
        <v/>
      </c>
      <c r="P652" s="41" t="str">
        <f t="shared" si="471"/>
        <v/>
      </c>
      <c r="Q652" s="9" t="str">
        <f t="shared" si="472"/>
        <v/>
      </c>
      <c r="R652" s="14">
        <f t="shared" si="473"/>
        <v>0</v>
      </c>
      <c r="S652" s="61" t="str">
        <f t="shared" si="474"/>
        <v/>
      </c>
      <c r="T652" s="14">
        <f t="shared" si="475"/>
        <v>0</v>
      </c>
      <c r="U652" s="58" t="str">
        <f t="shared" si="476"/>
        <v/>
      </c>
      <c r="V652" s="14">
        <f t="shared" si="477"/>
        <v>0</v>
      </c>
      <c r="W652" s="58" t="str">
        <f t="shared" si="478"/>
        <v/>
      </c>
      <c r="X652" s="14">
        <f t="shared" si="479"/>
        <v>0</v>
      </c>
      <c r="Y652" s="58" t="str">
        <f t="shared" si="480"/>
        <v/>
      </c>
      <c r="Z652" s="31">
        <f t="shared" si="481"/>
        <v>0</v>
      </c>
      <c r="AA652" s="21">
        <f t="shared" si="482"/>
        <v>0</v>
      </c>
      <c r="AB652" s="58" t="str">
        <f t="shared" si="483"/>
        <v/>
      </c>
      <c r="AC652" s="630">
        <f t="shared" si="460"/>
        <v>0</v>
      </c>
      <c r="AD652" s="627"/>
      <c r="AE652" s="21">
        <f t="shared" si="484"/>
        <v>0</v>
      </c>
      <c r="AF652" s="58" t="str">
        <f t="shared" si="485"/>
        <v/>
      </c>
      <c r="AG652" s="21">
        <f t="shared" si="486"/>
        <v>0</v>
      </c>
      <c r="AH652" s="58" t="str">
        <f t="shared" si="487"/>
        <v/>
      </c>
      <c r="AI652" s="21">
        <f t="shared" si="488"/>
        <v>0</v>
      </c>
      <c r="AJ652" s="58" t="str">
        <f t="shared" si="489"/>
        <v/>
      </c>
      <c r="AK652" s="31">
        <f t="shared" si="490"/>
        <v>0</v>
      </c>
      <c r="AL652" s="21">
        <f t="shared" si="491"/>
        <v>0</v>
      </c>
      <c r="AM652" s="62" t="str">
        <f t="shared" si="492"/>
        <v/>
      </c>
      <c r="AN652" s="21">
        <f t="shared" si="493"/>
        <v>0</v>
      </c>
      <c r="AO652" s="62" t="str">
        <f t="shared" si="494"/>
        <v/>
      </c>
      <c r="AP652" s="21">
        <f t="shared" si="495"/>
        <v>0</v>
      </c>
      <c r="AQ652" s="62" t="str">
        <f t="shared" si="496"/>
        <v/>
      </c>
      <c r="AR652" s="31">
        <f t="shared" si="497"/>
        <v>0</v>
      </c>
      <c r="AS652" s="21">
        <f t="shared" si="498"/>
        <v>0</v>
      </c>
      <c r="AT652" s="62" t="str">
        <f t="shared" si="499"/>
        <v/>
      </c>
      <c r="AU652" s="84">
        <f t="shared" si="500"/>
        <v>0</v>
      </c>
      <c r="AV652" s="32">
        <f t="shared" si="501"/>
        <v>0</v>
      </c>
      <c r="AW652" s="85" t="str">
        <f t="shared" si="502"/>
        <v/>
      </c>
      <c r="AX652" s="86" t="str">
        <f t="shared" si="503"/>
        <v/>
      </c>
    </row>
    <row r="653" spans="1:50" x14ac:dyDescent="0.2">
      <c r="A653" s="29" t="str">
        <f t="shared" si="461"/>
        <v/>
      </c>
      <c r="B653" s="32" t="str">
        <f t="shared" si="462"/>
        <v/>
      </c>
      <c r="C653" s="35"/>
      <c r="D653" s="33" t="str">
        <f t="shared" si="463"/>
        <v/>
      </c>
      <c r="E653" s="22" t="str">
        <f t="shared" si="464"/>
        <v/>
      </c>
      <c r="F653" s="23" t="str">
        <f t="shared" si="465"/>
        <v/>
      </c>
      <c r="G653" s="23"/>
      <c r="H653" s="22"/>
      <c r="I653" s="23"/>
      <c r="J653" s="18"/>
      <c r="K653" s="13" t="str">
        <f t="shared" si="466"/>
        <v/>
      </c>
      <c r="L653" s="28" t="str">
        <f t="shared" si="467"/>
        <v/>
      </c>
      <c r="M653" s="10" t="str">
        <f t="shared" si="468"/>
        <v/>
      </c>
      <c r="N653" s="17" t="str">
        <f t="shared" si="469"/>
        <v/>
      </c>
      <c r="O653" s="39" t="str">
        <f t="shared" si="470"/>
        <v/>
      </c>
      <c r="P653" s="41" t="str">
        <f t="shared" si="471"/>
        <v/>
      </c>
      <c r="Q653" s="9" t="str">
        <f t="shared" si="472"/>
        <v/>
      </c>
      <c r="R653" s="14">
        <f t="shared" si="473"/>
        <v>0</v>
      </c>
      <c r="S653" s="61" t="str">
        <f t="shared" si="474"/>
        <v/>
      </c>
      <c r="T653" s="14">
        <f t="shared" si="475"/>
        <v>0</v>
      </c>
      <c r="U653" s="58" t="str">
        <f t="shared" si="476"/>
        <v/>
      </c>
      <c r="V653" s="14">
        <f t="shared" si="477"/>
        <v>0</v>
      </c>
      <c r="W653" s="58" t="str">
        <f t="shared" si="478"/>
        <v/>
      </c>
      <c r="X653" s="14">
        <f t="shared" si="479"/>
        <v>0</v>
      </c>
      <c r="Y653" s="58" t="str">
        <f t="shared" si="480"/>
        <v/>
      </c>
      <c r="Z653" s="31">
        <f t="shared" si="481"/>
        <v>0</v>
      </c>
      <c r="AA653" s="21">
        <f t="shared" si="482"/>
        <v>0</v>
      </c>
      <c r="AB653" s="58" t="str">
        <f t="shared" si="483"/>
        <v/>
      </c>
      <c r="AC653" s="630">
        <f t="shared" si="460"/>
        <v>0</v>
      </c>
      <c r="AD653" s="627"/>
      <c r="AE653" s="21">
        <f t="shared" si="484"/>
        <v>0</v>
      </c>
      <c r="AF653" s="58" t="str">
        <f t="shared" si="485"/>
        <v/>
      </c>
      <c r="AG653" s="21">
        <f t="shared" si="486"/>
        <v>0</v>
      </c>
      <c r="AH653" s="58" t="str">
        <f t="shared" si="487"/>
        <v/>
      </c>
      <c r="AI653" s="21">
        <f t="shared" si="488"/>
        <v>0</v>
      </c>
      <c r="AJ653" s="58" t="str">
        <f t="shared" si="489"/>
        <v/>
      </c>
      <c r="AK653" s="31">
        <f t="shared" si="490"/>
        <v>0</v>
      </c>
      <c r="AL653" s="21">
        <f t="shared" si="491"/>
        <v>0</v>
      </c>
      <c r="AM653" s="62" t="str">
        <f t="shared" si="492"/>
        <v/>
      </c>
      <c r="AN653" s="21">
        <f t="shared" si="493"/>
        <v>0</v>
      </c>
      <c r="AO653" s="62" t="str">
        <f t="shared" si="494"/>
        <v/>
      </c>
      <c r="AP653" s="21">
        <f t="shared" si="495"/>
        <v>0</v>
      </c>
      <c r="AQ653" s="62" t="str">
        <f t="shared" si="496"/>
        <v/>
      </c>
      <c r="AR653" s="31">
        <f t="shared" si="497"/>
        <v>0</v>
      </c>
      <c r="AS653" s="21">
        <f t="shared" si="498"/>
        <v>0</v>
      </c>
      <c r="AT653" s="62" t="str">
        <f t="shared" si="499"/>
        <v/>
      </c>
      <c r="AU653" s="84">
        <f t="shared" si="500"/>
        <v>0</v>
      </c>
      <c r="AV653" s="32">
        <f t="shared" si="501"/>
        <v>0</v>
      </c>
      <c r="AW653" s="85" t="str">
        <f t="shared" si="502"/>
        <v/>
      </c>
      <c r="AX653" s="86" t="str">
        <f t="shared" si="503"/>
        <v/>
      </c>
    </row>
    <row r="654" spans="1:50" x14ac:dyDescent="0.2">
      <c r="A654" s="29" t="str">
        <f t="shared" si="461"/>
        <v/>
      </c>
      <c r="B654" s="32" t="str">
        <f t="shared" si="462"/>
        <v/>
      </c>
      <c r="C654" s="35"/>
      <c r="D654" s="33" t="str">
        <f t="shared" si="463"/>
        <v/>
      </c>
      <c r="E654" s="22" t="str">
        <f t="shared" si="464"/>
        <v/>
      </c>
      <c r="F654" s="23" t="str">
        <f t="shared" si="465"/>
        <v/>
      </c>
      <c r="G654" s="23"/>
      <c r="H654" s="22"/>
      <c r="I654" s="23"/>
      <c r="J654" s="18"/>
      <c r="K654" s="13" t="str">
        <f t="shared" si="466"/>
        <v/>
      </c>
      <c r="L654" s="28" t="str">
        <f t="shared" si="467"/>
        <v/>
      </c>
      <c r="M654" s="10" t="str">
        <f t="shared" si="468"/>
        <v/>
      </c>
      <c r="N654" s="17" t="str">
        <f t="shared" si="469"/>
        <v/>
      </c>
      <c r="O654" s="39" t="str">
        <f t="shared" si="470"/>
        <v/>
      </c>
      <c r="P654" s="41" t="str">
        <f t="shared" si="471"/>
        <v/>
      </c>
      <c r="Q654" s="9" t="str">
        <f t="shared" si="472"/>
        <v/>
      </c>
      <c r="R654" s="14">
        <f t="shared" si="473"/>
        <v>0</v>
      </c>
      <c r="S654" s="61" t="str">
        <f t="shared" si="474"/>
        <v/>
      </c>
      <c r="T654" s="14">
        <f t="shared" si="475"/>
        <v>0</v>
      </c>
      <c r="U654" s="58" t="str">
        <f t="shared" si="476"/>
        <v/>
      </c>
      <c r="V654" s="14">
        <f t="shared" si="477"/>
        <v>0</v>
      </c>
      <c r="W654" s="58" t="str">
        <f t="shared" si="478"/>
        <v/>
      </c>
      <c r="X654" s="14">
        <f t="shared" si="479"/>
        <v>0</v>
      </c>
      <c r="Y654" s="58" t="str">
        <f t="shared" si="480"/>
        <v/>
      </c>
      <c r="Z654" s="31">
        <f t="shared" si="481"/>
        <v>0</v>
      </c>
      <c r="AA654" s="21">
        <f t="shared" si="482"/>
        <v>0</v>
      </c>
      <c r="AB654" s="58" t="str">
        <f t="shared" si="483"/>
        <v/>
      </c>
      <c r="AC654" s="630">
        <f t="shared" si="460"/>
        <v>0</v>
      </c>
      <c r="AD654" s="627"/>
      <c r="AE654" s="21">
        <f t="shared" si="484"/>
        <v>0</v>
      </c>
      <c r="AF654" s="58" t="str">
        <f t="shared" si="485"/>
        <v/>
      </c>
      <c r="AG654" s="21">
        <f t="shared" si="486"/>
        <v>0</v>
      </c>
      <c r="AH654" s="58" t="str">
        <f t="shared" si="487"/>
        <v/>
      </c>
      <c r="AI654" s="21">
        <f t="shared" si="488"/>
        <v>0</v>
      </c>
      <c r="AJ654" s="58" t="str">
        <f t="shared" si="489"/>
        <v/>
      </c>
      <c r="AK654" s="31">
        <f t="shared" si="490"/>
        <v>0</v>
      </c>
      <c r="AL654" s="21">
        <f t="shared" si="491"/>
        <v>0</v>
      </c>
      <c r="AM654" s="62" t="str">
        <f t="shared" si="492"/>
        <v/>
      </c>
      <c r="AN654" s="21">
        <f t="shared" si="493"/>
        <v>0</v>
      </c>
      <c r="AO654" s="62" t="str">
        <f t="shared" si="494"/>
        <v/>
      </c>
      <c r="AP654" s="21">
        <f t="shared" si="495"/>
        <v>0</v>
      </c>
      <c r="AQ654" s="62" t="str">
        <f t="shared" si="496"/>
        <v/>
      </c>
      <c r="AR654" s="31">
        <f t="shared" si="497"/>
        <v>0</v>
      </c>
      <c r="AS654" s="21">
        <f t="shared" si="498"/>
        <v>0</v>
      </c>
      <c r="AT654" s="62" t="str">
        <f t="shared" si="499"/>
        <v/>
      </c>
      <c r="AU654" s="84">
        <f t="shared" si="500"/>
        <v>0</v>
      </c>
      <c r="AV654" s="32">
        <f t="shared" si="501"/>
        <v>0</v>
      </c>
      <c r="AW654" s="85" t="str">
        <f t="shared" si="502"/>
        <v/>
      </c>
      <c r="AX654" s="86" t="str">
        <f t="shared" si="503"/>
        <v/>
      </c>
    </row>
    <row r="655" spans="1:50" x14ac:dyDescent="0.2">
      <c r="A655" s="29" t="str">
        <f t="shared" si="461"/>
        <v/>
      </c>
      <c r="B655" s="32" t="str">
        <f t="shared" si="462"/>
        <v/>
      </c>
      <c r="C655" s="35"/>
      <c r="D655" s="33" t="str">
        <f t="shared" si="463"/>
        <v/>
      </c>
      <c r="E655" s="22" t="str">
        <f t="shared" si="464"/>
        <v/>
      </c>
      <c r="F655" s="23" t="str">
        <f t="shared" si="465"/>
        <v/>
      </c>
      <c r="G655" s="23"/>
      <c r="H655" s="22"/>
      <c r="I655" s="23"/>
      <c r="J655" s="18"/>
      <c r="K655" s="13" t="str">
        <f t="shared" si="466"/>
        <v/>
      </c>
      <c r="L655" s="28" t="str">
        <f t="shared" si="467"/>
        <v/>
      </c>
      <c r="M655" s="10" t="str">
        <f t="shared" si="468"/>
        <v/>
      </c>
      <c r="N655" s="17" t="str">
        <f t="shared" si="469"/>
        <v/>
      </c>
      <c r="O655" s="39" t="str">
        <f t="shared" si="470"/>
        <v/>
      </c>
      <c r="P655" s="41" t="str">
        <f t="shared" si="471"/>
        <v/>
      </c>
      <c r="Q655" s="9" t="str">
        <f t="shared" si="472"/>
        <v/>
      </c>
      <c r="R655" s="14">
        <f t="shared" si="473"/>
        <v>0</v>
      </c>
      <c r="S655" s="61" t="str">
        <f t="shared" si="474"/>
        <v/>
      </c>
      <c r="T655" s="14">
        <f t="shared" si="475"/>
        <v>0</v>
      </c>
      <c r="U655" s="58" t="str">
        <f t="shared" si="476"/>
        <v/>
      </c>
      <c r="V655" s="14">
        <f t="shared" si="477"/>
        <v>0</v>
      </c>
      <c r="W655" s="58" t="str">
        <f t="shared" si="478"/>
        <v/>
      </c>
      <c r="X655" s="14">
        <f t="shared" si="479"/>
        <v>0</v>
      </c>
      <c r="Y655" s="58" t="str">
        <f t="shared" si="480"/>
        <v/>
      </c>
      <c r="Z655" s="31">
        <f t="shared" si="481"/>
        <v>0</v>
      </c>
      <c r="AA655" s="21">
        <f t="shared" si="482"/>
        <v>0</v>
      </c>
      <c r="AB655" s="58" t="str">
        <f t="shared" si="483"/>
        <v/>
      </c>
      <c r="AC655" s="630">
        <f t="shared" si="460"/>
        <v>0</v>
      </c>
      <c r="AD655" s="627"/>
      <c r="AE655" s="21">
        <f t="shared" si="484"/>
        <v>0</v>
      </c>
      <c r="AF655" s="58" t="str">
        <f t="shared" si="485"/>
        <v/>
      </c>
      <c r="AG655" s="21">
        <f t="shared" si="486"/>
        <v>0</v>
      </c>
      <c r="AH655" s="58" t="str">
        <f t="shared" si="487"/>
        <v/>
      </c>
      <c r="AI655" s="21">
        <f t="shared" si="488"/>
        <v>0</v>
      </c>
      <c r="AJ655" s="58" t="str">
        <f t="shared" si="489"/>
        <v/>
      </c>
      <c r="AK655" s="31">
        <f t="shared" si="490"/>
        <v>0</v>
      </c>
      <c r="AL655" s="21">
        <f t="shared" si="491"/>
        <v>0</v>
      </c>
      <c r="AM655" s="62" t="str">
        <f t="shared" si="492"/>
        <v/>
      </c>
      <c r="AN655" s="21">
        <f t="shared" si="493"/>
        <v>0</v>
      </c>
      <c r="AO655" s="62" t="str">
        <f t="shared" si="494"/>
        <v/>
      </c>
      <c r="AP655" s="21">
        <f t="shared" si="495"/>
        <v>0</v>
      </c>
      <c r="AQ655" s="62" t="str">
        <f t="shared" si="496"/>
        <v/>
      </c>
      <c r="AR655" s="31">
        <f t="shared" si="497"/>
        <v>0</v>
      </c>
      <c r="AS655" s="21">
        <f t="shared" si="498"/>
        <v>0</v>
      </c>
      <c r="AT655" s="62" t="str">
        <f t="shared" si="499"/>
        <v/>
      </c>
      <c r="AU655" s="84">
        <f t="shared" si="500"/>
        <v>0</v>
      </c>
      <c r="AV655" s="32">
        <f t="shared" si="501"/>
        <v>0</v>
      </c>
      <c r="AW655" s="85" t="str">
        <f t="shared" si="502"/>
        <v/>
      </c>
      <c r="AX655" s="86" t="str">
        <f t="shared" si="503"/>
        <v/>
      </c>
    </row>
    <row r="656" spans="1:50" x14ac:dyDescent="0.2">
      <c r="A656" s="29" t="str">
        <f t="shared" si="461"/>
        <v/>
      </c>
      <c r="B656" s="32" t="str">
        <f t="shared" si="462"/>
        <v/>
      </c>
      <c r="C656" s="35"/>
      <c r="D656" s="33" t="str">
        <f t="shared" si="463"/>
        <v/>
      </c>
      <c r="E656" s="22" t="str">
        <f t="shared" si="464"/>
        <v/>
      </c>
      <c r="F656" s="23" t="str">
        <f t="shared" si="465"/>
        <v/>
      </c>
      <c r="G656" s="23"/>
      <c r="H656" s="22"/>
      <c r="I656" s="23"/>
      <c r="J656" s="18"/>
      <c r="K656" s="13" t="str">
        <f t="shared" si="466"/>
        <v/>
      </c>
      <c r="L656" s="28" t="str">
        <f t="shared" si="467"/>
        <v/>
      </c>
      <c r="M656" s="10" t="str">
        <f t="shared" si="468"/>
        <v/>
      </c>
      <c r="N656" s="17" t="str">
        <f t="shared" si="469"/>
        <v/>
      </c>
      <c r="O656" s="39" t="str">
        <f t="shared" si="470"/>
        <v/>
      </c>
      <c r="P656" s="41" t="str">
        <f t="shared" si="471"/>
        <v/>
      </c>
      <c r="Q656" s="9" t="str">
        <f t="shared" si="472"/>
        <v/>
      </c>
      <c r="R656" s="14">
        <f t="shared" si="473"/>
        <v>0</v>
      </c>
      <c r="S656" s="61" t="str">
        <f t="shared" si="474"/>
        <v/>
      </c>
      <c r="T656" s="14">
        <f t="shared" si="475"/>
        <v>0</v>
      </c>
      <c r="U656" s="58" t="str">
        <f t="shared" si="476"/>
        <v/>
      </c>
      <c r="V656" s="14">
        <f t="shared" si="477"/>
        <v>0</v>
      </c>
      <c r="W656" s="58" t="str">
        <f t="shared" si="478"/>
        <v/>
      </c>
      <c r="X656" s="14">
        <f t="shared" si="479"/>
        <v>0</v>
      </c>
      <c r="Y656" s="58" t="str">
        <f t="shared" si="480"/>
        <v/>
      </c>
      <c r="Z656" s="31">
        <f t="shared" si="481"/>
        <v>0</v>
      </c>
      <c r="AA656" s="21">
        <f t="shared" si="482"/>
        <v>0</v>
      </c>
      <c r="AB656" s="58" t="str">
        <f t="shared" si="483"/>
        <v/>
      </c>
      <c r="AC656" s="630">
        <f t="shared" si="460"/>
        <v>0</v>
      </c>
      <c r="AD656" s="627"/>
      <c r="AE656" s="21">
        <f t="shared" si="484"/>
        <v>0</v>
      </c>
      <c r="AF656" s="58" t="str">
        <f t="shared" si="485"/>
        <v/>
      </c>
      <c r="AG656" s="21">
        <f t="shared" si="486"/>
        <v>0</v>
      </c>
      <c r="AH656" s="58" t="str">
        <f t="shared" si="487"/>
        <v/>
      </c>
      <c r="AI656" s="21">
        <f t="shared" si="488"/>
        <v>0</v>
      </c>
      <c r="AJ656" s="58" t="str">
        <f t="shared" si="489"/>
        <v/>
      </c>
      <c r="AK656" s="31">
        <f t="shared" si="490"/>
        <v>0</v>
      </c>
      <c r="AL656" s="21">
        <f t="shared" si="491"/>
        <v>0</v>
      </c>
      <c r="AM656" s="62" t="str">
        <f t="shared" si="492"/>
        <v/>
      </c>
      <c r="AN656" s="21">
        <f t="shared" si="493"/>
        <v>0</v>
      </c>
      <c r="AO656" s="62" t="str">
        <f t="shared" si="494"/>
        <v/>
      </c>
      <c r="AP656" s="21">
        <f t="shared" si="495"/>
        <v>0</v>
      </c>
      <c r="AQ656" s="62" t="str">
        <f t="shared" si="496"/>
        <v/>
      </c>
      <c r="AR656" s="31">
        <f t="shared" si="497"/>
        <v>0</v>
      </c>
      <c r="AS656" s="21">
        <f t="shared" si="498"/>
        <v>0</v>
      </c>
      <c r="AT656" s="62" t="str">
        <f t="shared" si="499"/>
        <v/>
      </c>
      <c r="AU656" s="84">
        <f t="shared" si="500"/>
        <v>0</v>
      </c>
      <c r="AV656" s="32">
        <f t="shared" si="501"/>
        <v>0</v>
      </c>
      <c r="AW656" s="85" t="str">
        <f t="shared" si="502"/>
        <v/>
      </c>
      <c r="AX656" s="86" t="str">
        <f t="shared" si="503"/>
        <v/>
      </c>
    </row>
    <row r="657" spans="1:50" x14ac:dyDescent="0.2">
      <c r="A657" s="29" t="str">
        <f t="shared" si="461"/>
        <v/>
      </c>
      <c r="B657" s="32" t="str">
        <f t="shared" si="462"/>
        <v/>
      </c>
      <c r="C657" s="35"/>
      <c r="D657" s="33" t="str">
        <f t="shared" si="463"/>
        <v/>
      </c>
      <c r="E657" s="22" t="str">
        <f t="shared" si="464"/>
        <v/>
      </c>
      <c r="F657" s="23" t="str">
        <f t="shared" si="465"/>
        <v/>
      </c>
      <c r="G657" s="23"/>
      <c r="H657" s="22"/>
      <c r="I657" s="23"/>
      <c r="J657" s="18"/>
      <c r="K657" s="13" t="str">
        <f t="shared" si="466"/>
        <v/>
      </c>
      <c r="L657" s="28" t="str">
        <f t="shared" si="467"/>
        <v/>
      </c>
      <c r="M657" s="10" t="str">
        <f t="shared" si="468"/>
        <v/>
      </c>
      <c r="N657" s="17" t="str">
        <f t="shared" si="469"/>
        <v/>
      </c>
      <c r="O657" s="39" t="str">
        <f t="shared" si="470"/>
        <v/>
      </c>
      <c r="P657" s="41" t="str">
        <f t="shared" si="471"/>
        <v/>
      </c>
      <c r="Q657" s="9" t="str">
        <f t="shared" si="472"/>
        <v/>
      </c>
      <c r="R657" s="14">
        <f t="shared" si="473"/>
        <v>0</v>
      </c>
      <c r="S657" s="61" t="str">
        <f t="shared" si="474"/>
        <v/>
      </c>
      <c r="T657" s="14">
        <f t="shared" si="475"/>
        <v>0</v>
      </c>
      <c r="U657" s="58" t="str">
        <f t="shared" si="476"/>
        <v/>
      </c>
      <c r="V657" s="14">
        <f t="shared" si="477"/>
        <v>0</v>
      </c>
      <c r="W657" s="58" t="str">
        <f t="shared" si="478"/>
        <v/>
      </c>
      <c r="X657" s="14">
        <f t="shared" si="479"/>
        <v>0</v>
      </c>
      <c r="Y657" s="58" t="str">
        <f t="shared" si="480"/>
        <v/>
      </c>
      <c r="Z657" s="31">
        <f t="shared" si="481"/>
        <v>0</v>
      </c>
      <c r="AA657" s="21">
        <f t="shared" si="482"/>
        <v>0</v>
      </c>
      <c r="AB657" s="58" t="str">
        <f t="shared" si="483"/>
        <v/>
      </c>
      <c r="AC657" s="630">
        <f t="shared" si="460"/>
        <v>0</v>
      </c>
      <c r="AD657" s="627"/>
      <c r="AE657" s="21">
        <f t="shared" si="484"/>
        <v>0</v>
      </c>
      <c r="AF657" s="58" t="str">
        <f t="shared" si="485"/>
        <v/>
      </c>
      <c r="AG657" s="21">
        <f t="shared" si="486"/>
        <v>0</v>
      </c>
      <c r="AH657" s="58" t="str">
        <f t="shared" si="487"/>
        <v/>
      </c>
      <c r="AI657" s="21">
        <f t="shared" si="488"/>
        <v>0</v>
      </c>
      <c r="AJ657" s="58" t="str">
        <f t="shared" si="489"/>
        <v/>
      </c>
      <c r="AK657" s="31">
        <f t="shared" si="490"/>
        <v>0</v>
      </c>
      <c r="AL657" s="21">
        <f t="shared" si="491"/>
        <v>0</v>
      </c>
      <c r="AM657" s="62" t="str">
        <f t="shared" si="492"/>
        <v/>
      </c>
      <c r="AN657" s="21">
        <f t="shared" si="493"/>
        <v>0</v>
      </c>
      <c r="AO657" s="62" t="str">
        <f t="shared" si="494"/>
        <v/>
      </c>
      <c r="AP657" s="21">
        <f t="shared" si="495"/>
        <v>0</v>
      </c>
      <c r="AQ657" s="62" t="str">
        <f t="shared" si="496"/>
        <v/>
      </c>
      <c r="AR657" s="31">
        <f t="shared" si="497"/>
        <v>0</v>
      </c>
      <c r="AS657" s="21">
        <f t="shared" si="498"/>
        <v>0</v>
      </c>
      <c r="AT657" s="62" t="str">
        <f t="shared" si="499"/>
        <v/>
      </c>
      <c r="AU657" s="84">
        <f t="shared" si="500"/>
        <v>0</v>
      </c>
      <c r="AV657" s="32">
        <f t="shared" si="501"/>
        <v>0</v>
      </c>
      <c r="AW657" s="85" t="str">
        <f t="shared" si="502"/>
        <v/>
      </c>
      <c r="AX657" s="86" t="str">
        <f t="shared" si="503"/>
        <v/>
      </c>
    </row>
    <row r="658" spans="1:50" x14ac:dyDescent="0.2">
      <c r="A658" s="29" t="str">
        <f t="shared" si="461"/>
        <v/>
      </c>
      <c r="B658" s="32" t="str">
        <f t="shared" si="462"/>
        <v/>
      </c>
      <c r="C658" s="35"/>
      <c r="D658" s="33" t="str">
        <f t="shared" si="463"/>
        <v/>
      </c>
      <c r="E658" s="22" t="str">
        <f t="shared" si="464"/>
        <v/>
      </c>
      <c r="F658" s="23" t="str">
        <f t="shared" si="465"/>
        <v/>
      </c>
      <c r="G658" s="23"/>
      <c r="H658" s="22"/>
      <c r="I658" s="23"/>
      <c r="J658" s="18"/>
      <c r="K658" s="13" t="str">
        <f t="shared" si="466"/>
        <v/>
      </c>
      <c r="L658" s="28" t="str">
        <f t="shared" si="467"/>
        <v/>
      </c>
      <c r="M658" s="10" t="str">
        <f t="shared" si="468"/>
        <v/>
      </c>
      <c r="N658" s="17" t="str">
        <f t="shared" si="469"/>
        <v/>
      </c>
      <c r="O658" s="39" t="str">
        <f t="shared" si="470"/>
        <v/>
      </c>
      <c r="P658" s="41" t="str">
        <f t="shared" si="471"/>
        <v/>
      </c>
      <c r="Q658" s="9" t="str">
        <f t="shared" si="472"/>
        <v/>
      </c>
      <c r="R658" s="14">
        <f t="shared" si="473"/>
        <v>0</v>
      </c>
      <c r="S658" s="61" t="str">
        <f t="shared" si="474"/>
        <v/>
      </c>
      <c r="T658" s="14">
        <f t="shared" si="475"/>
        <v>0</v>
      </c>
      <c r="U658" s="58" t="str">
        <f t="shared" si="476"/>
        <v/>
      </c>
      <c r="V658" s="14">
        <f t="shared" si="477"/>
        <v>0</v>
      </c>
      <c r="W658" s="58" t="str">
        <f t="shared" si="478"/>
        <v/>
      </c>
      <c r="X658" s="14">
        <f t="shared" si="479"/>
        <v>0</v>
      </c>
      <c r="Y658" s="58" t="str">
        <f t="shared" si="480"/>
        <v/>
      </c>
      <c r="Z658" s="31">
        <f t="shared" si="481"/>
        <v>0</v>
      </c>
      <c r="AA658" s="21">
        <f t="shared" si="482"/>
        <v>0</v>
      </c>
      <c r="AB658" s="58" t="str">
        <f t="shared" si="483"/>
        <v/>
      </c>
      <c r="AC658" s="630">
        <f t="shared" si="460"/>
        <v>0</v>
      </c>
      <c r="AD658" s="627"/>
      <c r="AE658" s="21">
        <f t="shared" si="484"/>
        <v>0</v>
      </c>
      <c r="AF658" s="58" t="str">
        <f t="shared" si="485"/>
        <v/>
      </c>
      <c r="AG658" s="21">
        <f t="shared" si="486"/>
        <v>0</v>
      </c>
      <c r="AH658" s="58" t="str">
        <f t="shared" si="487"/>
        <v/>
      </c>
      <c r="AI658" s="21">
        <f t="shared" si="488"/>
        <v>0</v>
      </c>
      <c r="AJ658" s="58" t="str">
        <f t="shared" si="489"/>
        <v/>
      </c>
      <c r="AK658" s="31">
        <f t="shared" si="490"/>
        <v>0</v>
      </c>
      <c r="AL658" s="21">
        <f t="shared" si="491"/>
        <v>0</v>
      </c>
      <c r="AM658" s="62" t="str">
        <f t="shared" si="492"/>
        <v/>
      </c>
      <c r="AN658" s="21">
        <f t="shared" si="493"/>
        <v>0</v>
      </c>
      <c r="AO658" s="62" t="str">
        <f t="shared" si="494"/>
        <v/>
      </c>
      <c r="AP658" s="21">
        <f t="shared" si="495"/>
        <v>0</v>
      </c>
      <c r="AQ658" s="62" t="str">
        <f t="shared" si="496"/>
        <v/>
      </c>
      <c r="AR658" s="31">
        <f t="shared" si="497"/>
        <v>0</v>
      </c>
      <c r="AS658" s="21">
        <f t="shared" si="498"/>
        <v>0</v>
      </c>
      <c r="AT658" s="62" t="str">
        <f t="shared" si="499"/>
        <v/>
      </c>
      <c r="AU658" s="84">
        <f t="shared" si="500"/>
        <v>0</v>
      </c>
      <c r="AV658" s="32">
        <f t="shared" si="501"/>
        <v>0</v>
      </c>
      <c r="AW658" s="85" t="str">
        <f t="shared" si="502"/>
        <v/>
      </c>
      <c r="AX658" s="86" t="str">
        <f t="shared" si="503"/>
        <v/>
      </c>
    </row>
    <row r="659" spans="1:50" x14ac:dyDescent="0.2">
      <c r="A659" s="29" t="str">
        <f t="shared" si="461"/>
        <v/>
      </c>
      <c r="B659" s="32" t="str">
        <f t="shared" si="462"/>
        <v/>
      </c>
      <c r="C659" s="35"/>
      <c r="D659" s="33" t="str">
        <f t="shared" si="463"/>
        <v/>
      </c>
      <c r="E659" s="22" t="str">
        <f t="shared" si="464"/>
        <v/>
      </c>
      <c r="F659" s="23" t="str">
        <f t="shared" si="465"/>
        <v/>
      </c>
      <c r="G659" s="23"/>
      <c r="H659" s="22"/>
      <c r="I659" s="23"/>
      <c r="J659" s="18"/>
      <c r="K659" s="13" t="str">
        <f t="shared" si="466"/>
        <v/>
      </c>
      <c r="L659" s="28" t="str">
        <f t="shared" si="467"/>
        <v/>
      </c>
      <c r="M659" s="10" t="str">
        <f t="shared" si="468"/>
        <v/>
      </c>
      <c r="N659" s="17" t="str">
        <f t="shared" si="469"/>
        <v/>
      </c>
      <c r="O659" s="39" t="str">
        <f t="shared" si="470"/>
        <v/>
      </c>
      <c r="P659" s="41" t="str">
        <f t="shared" si="471"/>
        <v/>
      </c>
      <c r="Q659" s="9" t="str">
        <f t="shared" si="472"/>
        <v/>
      </c>
      <c r="R659" s="14">
        <f t="shared" si="473"/>
        <v>0</v>
      </c>
      <c r="S659" s="61" t="str">
        <f t="shared" si="474"/>
        <v/>
      </c>
      <c r="T659" s="14">
        <f t="shared" si="475"/>
        <v>0</v>
      </c>
      <c r="U659" s="58" t="str">
        <f t="shared" si="476"/>
        <v/>
      </c>
      <c r="V659" s="14">
        <f t="shared" si="477"/>
        <v>0</v>
      </c>
      <c r="W659" s="58" t="str">
        <f t="shared" si="478"/>
        <v/>
      </c>
      <c r="X659" s="14">
        <f t="shared" si="479"/>
        <v>0</v>
      </c>
      <c r="Y659" s="58" t="str">
        <f t="shared" si="480"/>
        <v/>
      </c>
      <c r="Z659" s="31">
        <f t="shared" si="481"/>
        <v>0</v>
      </c>
      <c r="AA659" s="21">
        <f t="shared" si="482"/>
        <v>0</v>
      </c>
      <c r="AB659" s="58" t="str">
        <f t="shared" si="483"/>
        <v/>
      </c>
      <c r="AC659" s="630">
        <f t="shared" si="460"/>
        <v>0</v>
      </c>
      <c r="AD659" s="627"/>
      <c r="AE659" s="21">
        <f t="shared" si="484"/>
        <v>0</v>
      </c>
      <c r="AF659" s="58" t="str">
        <f t="shared" si="485"/>
        <v/>
      </c>
      <c r="AG659" s="21">
        <f t="shared" si="486"/>
        <v>0</v>
      </c>
      <c r="AH659" s="58" t="str">
        <f t="shared" si="487"/>
        <v/>
      </c>
      <c r="AI659" s="21">
        <f t="shared" si="488"/>
        <v>0</v>
      </c>
      <c r="AJ659" s="58" t="str">
        <f t="shared" si="489"/>
        <v/>
      </c>
      <c r="AK659" s="31">
        <f t="shared" si="490"/>
        <v>0</v>
      </c>
      <c r="AL659" s="21">
        <f t="shared" si="491"/>
        <v>0</v>
      </c>
      <c r="AM659" s="62" t="str">
        <f t="shared" si="492"/>
        <v/>
      </c>
      <c r="AN659" s="21">
        <f t="shared" si="493"/>
        <v>0</v>
      </c>
      <c r="AO659" s="62" t="str">
        <f t="shared" si="494"/>
        <v/>
      </c>
      <c r="AP659" s="21">
        <f t="shared" si="495"/>
        <v>0</v>
      </c>
      <c r="AQ659" s="62" t="str">
        <f t="shared" si="496"/>
        <v/>
      </c>
      <c r="AR659" s="31">
        <f t="shared" si="497"/>
        <v>0</v>
      </c>
      <c r="AS659" s="21">
        <f t="shared" si="498"/>
        <v>0</v>
      </c>
      <c r="AT659" s="62" t="str">
        <f t="shared" si="499"/>
        <v/>
      </c>
      <c r="AU659" s="84">
        <f t="shared" si="500"/>
        <v>0</v>
      </c>
      <c r="AV659" s="32">
        <f t="shared" si="501"/>
        <v>0</v>
      </c>
      <c r="AW659" s="85" t="str">
        <f t="shared" si="502"/>
        <v/>
      </c>
      <c r="AX659" s="86" t="str">
        <f t="shared" si="503"/>
        <v/>
      </c>
    </row>
    <row r="660" spans="1:50" x14ac:dyDescent="0.2">
      <c r="A660" s="29" t="str">
        <f t="shared" si="461"/>
        <v/>
      </c>
      <c r="B660" s="32" t="str">
        <f t="shared" si="462"/>
        <v/>
      </c>
      <c r="C660" s="35"/>
      <c r="D660" s="33" t="str">
        <f t="shared" si="463"/>
        <v/>
      </c>
      <c r="E660" s="22" t="str">
        <f t="shared" si="464"/>
        <v/>
      </c>
      <c r="F660" s="23" t="str">
        <f t="shared" si="465"/>
        <v/>
      </c>
      <c r="G660" s="23"/>
      <c r="H660" s="22"/>
      <c r="I660" s="23"/>
      <c r="J660" s="18"/>
      <c r="K660" s="13" t="str">
        <f t="shared" si="466"/>
        <v/>
      </c>
      <c r="L660" s="28" t="str">
        <f t="shared" si="467"/>
        <v/>
      </c>
      <c r="M660" s="10" t="str">
        <f t="shared" si="468"/>
        <v/>
      </c>
      <c r="N660" s="17" t="str">
        <f t="shared" si="469"/>
        <v/>
      </c>
      <c r="O660" s="39" t="str">
        <f t="shared" si="470"/>
        <v/>
      </c>
      <c r="P660" s="41" t="str">
        <f t="shared" si="471"/>
        <v/>
      </c>
      <c r="Q660" s="9" t="str">
        <f t="shared" si="472"/>
        <v/>
      </c>
      <c r="R660" s="14">
        <f t="shared" si="473"/>
        <v>0</v>
      </c>
      <c r="S660" s="61" t="str">
        <f t="shared" si="474"/>
        <v/>
      </c>
      <c r="T660" s="14">
        <f t="shared" si="475"/>
        <v>0</v>
      </c>
      <c r="U660" s="58" t="str">
        <f t="shared" si="476"/>
        <v/>
      </c>
      <c r="V660" s="14">
        <f t="shared" si="477"/>
        <v>0</v>
      </c>
      <c r="W660" s="58" t="str">
        <f t="shared" si="478"/>
        <v/>
      </c>
      <c r="X660" s="14">
        <f t="shared" si="479"/>
        <v>0</v>
      </c>
      <c r="Y660" s="58" t="str">
        <f t="shared" si="480"/>
        <v/>
      </c>
      <c r="Z660" s="31">
        <f t="shared" si="481"/>
        <v>0</v>
      </c>
      <c r="AA660" s="21">
        <f t="shared" si="482"/>
        <v>0</v>
      </c>
      <c r="AB660" s="58" t="str">
        <f t="shared" si="483"/>
        <v/>
      </c>
      <c r="AC660" s="630">
        <f t="shared" si="460"/>
        <v>0</v>
      </c>
      <c r="AD660" s="627"/>
      <c r="AE660" s="21">
        <f t="shared" si="484"/>
        <v>0</v>
      </c>
      <c r="AF660" s="58" t="str">
        <f t="shared" si="485"/>
        <v/>
      </c>
      <c r="AG660" s="21">
        <f t="shared" si="486"/>
        <v>0</v>
      </c>
      <c r="AH660" s="58" t="str">
        <f t="shared" si="487"/>
        <v/>
      </c>
      <c r="AI660" s="21">
        <f t="shared" si="488"/>
        <v>0</v>
      </c>
      <c r="AJ660" s="58" t="str">
        <f t="shared" si="489"/>
        <v/>
      </c>
      <c r="AK660" s="31">
        <f t="shared" si="490"/>
        <v>0</v>
      </c>
      <c r="AL660" s="21">
        <f t="shared" si="491"/>
        <v>0</v>
      </c>
      <c r="AM660" s="62" t="str">
        <f t="shared" si="492"/>
        <v/>
      </c>
      <c r="AN660" s="21">
        <f t="shared" si="493"/>
        <v>0</v>
      </c>
      <c r="AO660" s="62" t="str">
        <f t="shared" si="494"/>
        <v/>
      </c>
      <c r="AP660" s="21">
        <f t="shared" si="495"/>
        <v>0</v>
      </c>
      <c r="AQ660" s="62" t="str">
        <f t="shared" si="496"/>
        <v/>
      </c>
      <c r="AR660" s="31">
        <f t="shared" si="497"/>
        <v>0</v>
      </c>
      <c r="AS660" s="21">
        <f t="shared" si="498"/>
        <v>0</v>
      </c>
      <c r="AT660" s="62" t="str">
        <f t="shared" si="499"/>
        <v/>
      </c>
      <c r="AU660" s="84">
        <f t="shared" si="500"/>
        <v>0</v>
      </c>
      <c r="AV660" s="32">
        <f t="shared" si="501"/>
        <v>0</v>
      </c>
      <c r="AW660" s="85" t="str">
        <f t="shared" si="502"/>
        <v/>
      </c>
      <c r="AX660" s="86" t="str">
        <f t="shared" si="503"/>
        <v/>
      </c>
    </row>
    <row r="661" spans="1:50" x14ac:dyDescent="0.2">
      <c r="A661" s="29" t="str">
        <f t="shared" si="461"/>
        <v/>
      </c>
      <c r="B661" s="32" t="str">
        <f t="shared" si="462"/>
        <v/>
      </c>
      <c r="C661" s="35"/>
      <c r="D661" s="33" t="str">
        <f t="shared" si="463"/>
        <v/>
      </c>
      <c r="E661" s="22" t="str">
        <f t="shared" si="464"/>
        <v/>
      </c>
      <c r="F661" s="23" t="str">
        <f t="shared" si="465"/>
        <v/>
      </c>
      <c r="G661" s="23"/>
      <c r="H661" s="22"/>
      <c r="I661" s="23"/>
      <c r="J661" s="18"/>
      <c r="K661" s="13" t="str">
        <f t="shared" si="466"/>
        <v/>
      </c>
      <c r="L661" s="28" t="str">
        <f t="shared" si="467"/>
        <v/>
      </c>
      <c r="M661" s="10" t="str">
        <f t="shared" si="468"/>
        <v/>
      </c>
      <c r="N661" s="17" t="str">
        <f t="shared" si="469"/>
        <v/>
      </c>
      <c r="O661" s="39" t="str">
        <f t="shared" si="470"/>
        <v/>
      </c>
      <c r="P661" s="41" t="str">
        <f t="shared" si="471"/>
        <v/>
      </c>
      <c r="Q661" s="9" t="str">
        <f t="shared" si="472"/>
        <v/>
      </c>
      <c r="R661" s="14">
        <f t="shared" si="473"/>
        <v>0</v>
      </c>
      <c r="S661" s="61" t="str">
        <f t="shared" si="474"/>
        <v/>
      </c>
      <c r="T661" s="14">
        <f t="shared" si="475"/>
        <v>0</v>
      </c>
      <c r="U661" s="58" t="str">
        <f t="shared" si="476"/>
        <v/>
      </c>
      <c r="V661" s="14">
        <f t="shared" si="477"/>
        <v>0</v>
      </c>
      <c r="W661" s="58" t="str">
        <f t="shared" si="478"/>
        <v/>
      </c>
      <c r="X661" s="14">
        <f t="shared" si="479"/>
        <v>0</v>
      </c>
      <c r="Y661" s="58" t="str">
        <f t="shared" si="480"/>
        <v/>
      </c>
      <c r="Z661" s="31">
        <f t="shared" si="481"/>
        <v>0</v>
      </c>
      <c r="AA661" s="21">
        <f t="shared" si="482"/>
        <v>0</v>
      </c>
      <c r="AB661" s="58" t="str">
        <f t="shared" si="483"/>
        <v/>
      </c>
      <c r="AC661" s="630">
        <f t="shared" ref="AC661:AC724" si="504">COUNTIF(G661:J661,100)</f>
        <v>0</v>
      </c>
      <c r="AD661" s="627"/>
      <c r="AE661" s="21">
        <f t="shared" si="484"/>
        <v>0</v>
      </c>
      <c r="AF661" s="58" t="str">
        <f t="shared" si="485"/>
        <v/>
      </c>
      <c r="AG661" s="21">
        <f t="shared" si="486"/>
        <v>0</v>
      </c>
      <c r="AH661" s="58" t="str">
        <f t="shared" si="487"/>
        <v/>
      </c>
      <c r="AI661" s="21">
        <f t="shared" si="488"/>
        <v>0</v>
      </c>
      <c r="AJ661" s="58" t="str">
        <f t="shared" si="489"/>
        <v/>
      </c>
      <c r="AK661" s="31">
        <f t="shared" si="490"/>
        <v>0</v>
      </c>
      <c r="AL661" s="21">
        <f t="shared" si="491"/>
        <v>0</v>
      </c>
      <c r="AM661" s="62" t="str">
        <f t="shared" si="492"/>
        <v/>
      </c>
      <c r="AN661" s="21">
        <f t="shared" si="493"/>
        <v>0</v>
      </c>
      <c r="AO661" s="62" t="str">
        <f t="shared" si="494"/>
        <v/>
      </c>
      <c r="AP661" s="21">
        <f t="shared" si="495"/>
        <v>0</v>
      </c>
      <c r="AQ661" s="62" t="str">
        <f t="shared" si="496"/>
        <v/>
      </c>
      <c r="AR661" s="31">
        <f t="shared" si="497"/>
        <v>0</v>
      </c>
      <c r="AS661" s="21">
        <f t="shared" si="498"/>
        <v>0</v>
      </c>
      <c r="AT661" s="62" t="str">
        <f t="shared" si="499"/>
        <v/>
      </c>
      <c r="AU661" s="84">
        <f t="shared" si="500"/>
        <v>0</v>
      </c>
      <c r="AV661" s="32">
        <f t="shared" si="501"/>
        <v>0</v>
      </c>
      <c r="AW661" s="85" t="str">
        <f t="shared" si="502"/>
        <v/>
      </c>
      <c r="AX661" s="86" t="str">
        <f t="shared" si="503"/>
        <v/>
      </c>
    </row>
    <row r="662" spans="1:50" x14ac:dyDescent="0.2">
      <c r="A662" s="29" t="str">
        <f t="shared" si="461"/>
        <v/>
      </c>
      <c r="B662" s="32" t="str">
        <f t="shared" si="462"/>
        <v/>
      </c>
      <c r="C662" s="35"/>
      <c r="D662" s="33" t="str">
        <f t="shared" si="463"/>
        <v/>
      </c>
      <c r="E662" s="22" t="str">
        <f t="shared" si="464"/>
        <v/>
      </c>
      <c r="F662" s="23" t="str">
        <f t="shared" si="465"/>
        <v/>
      </c>
      <c r="G662" s="23"/>
      <c r="H662" s="22"/>
      <c r="I662" s="23"/>
      <c r="J662" s="18"/>
      <c r="K662" s="13" t="str">
        <f t="shared" si="466"/>
        <v/>
      </c>
      <c r="L662" s="28" t="str">
        <f t="shared" si="467"/>
        <v/>
      </c>
      <c r="M662" s="10" t="str">
        <f t="shared" si="468"/>
        <v/>
      </c>
      <c r="N662" s="17" t="str">
        <f t="shared" si="469"/>
        <v/>
      </c>
      <c r="O662" s="39" t="str">
        <f t="shared" si="470"/>
        <v/>
      </c>
      <c r="P662" s="41" t="str">
        <f t="shared" si="471"/>
        <v/>
      </c>
      <c r="Q662" s="9" t="str">
        <f t="shared" si="472"/>
        <v/>
      </c>
      <c r="R662" s="14">
        <f t="shared" si="473"/>
        <v>0</v>
      </c>
      <c r="S662" s="61" t="str">
        <f t="shared" si="474"/>
        <v/>
      </c>
      <c r="T662" s="14">
        <f t="shared" si="475"/>
        <v>0</v>
      </c>
      <c r="U662" s="58" t="str">
        <f t="shared" si="476"/>
        <v/>
      </c>
      <c r="V662" s="14">
        <f t="shared" si="477"/>
        <v>0</v>
      </c>
      <c r="W662" s="58" t="str">
        <f t="shared" si="478"/>
        <v/>
      </c>
      <c r="X662" s="14">
        <f t="shared" si="479"/>
        <v>0</v>
      </c>
      <c r="Y662" s="58" t="str">
        <f t="shared" si="480"/>
        <v/>
      </c>
      <c r="Z662" s="31">
        <f t="shared" si="481"/>
        <v>0</v>
      </c>
      <c r="AA662" s="21">
        <f t="shared" si="482"/>
        <v>0</v>
      </c>
      <c r="AB662" s="58" t="str">
        <f t="shared" si="483"/>
        <v/>
      </c>
      <c r="AC662" s="630">
        <f t="shared" si="504"/>
        <v>0</v>
      </c>
      <c r="AD662" s="627"/>
      <c r="AE662" s="21">
        <f t="shared" si="484"/>
        <v>0</v>
      </c>
      <c r="AF662" s="58" t="str">
        <f t="shared" si="485"/>
        <v/>
      </c>
      <c r="AG662" s="21">
        <f t="shared" si="486"/>
        <v>0</v>
      </c>
      <c r="AH662" s="58" t="str">
        <f t="shared" si="487"/>
        <v/>
      </c>
      <c r="AI662" s="21">
        <f t="shared" si="488"/>
        <v>0</v>
      </c>
      <c r="AJ662" s="58" t="str">
        <f t="shared" si="489"/>
        <v/>
      </c>
      <c r="AK662" s="31">
        <f t="shared" si="490"/>
        <v>0</v>
      </c>
      <c r="AL662" s="21">
        <f t="shared" si="491"/>
        <v>0</v>
      </c>
      <c r="AM662" s="62" t="str">
        <f t="shared" si="492"/>
        <v/>
      </c>
      <c r="AN662" s="21">
        <f t="shared" si="493"/>
        <v>0</v>
      </c>
      <c r="AO662" s="62" t="str">
        <f t="shared" si="494"/>
        <v/>
      </c>
      <c r="AP662" s="21">
        <f t="shared" si="495"/>
        <v>0</v>
      </c>
      <c r="AQ662" s="62" t="str">
        <f t="shared" si="496"/>
        <v/>
      </c>
      <c r="AR662" s="31">
        <f t="shared" si="497"/>
        <v>0</v>
      </c>
      <c r="AS662" s="21">
        <f t="shared" si="498"/>
        <v>0</v>
      </c>
      <c r="AT662" s="62" t="str">
        <f t="shared" si="499"/>
        <v/>
      </c>
      <c r="AU662" s="84">
        <f t="shared" si="500"/>
        <v>0</v>
      </c>
      <c r="AV662" s="32">
        <f t="shared" si="501"/>
        <v>0</v>
      </c>
      <c r="AW662" s="85" t="str">
        <f t="shared" si="502"/>
        <v/>
      </c>
      <c r="AX662" s="86" t="str">
        <f t="shared" si="503"/>
        <v/>
      </c>
    </row>
    <row r="663" spans="1:50" x14ac:dyDescent="0.2">
      <c r="A663" s="29" t="str">
        <f t="shared" si="461"/>
        <v/>
      </c>
      <c r="B663" s="32" t="str">
        <f t="shared" si="462"/>
        <v/>
      </c>
      <c r="C663" s="35"/>
      <c r="D663" s="33" t="str">
        <f t="shared" si="463"/>
        <v/>
      </c>
      <c r="E663" s="22" t="str">
        <f t="shared" si="464"/>
        <v/>
      </c>
      <c r="F663" s="23" t="str">
        <f t="shared" si="465"/>
        <v/>
      </c>
      <c r="G663" s="23"/>
      <c r="H663" s="22"/>
      <c r="I663" s="23"/>
      <c r="J663" s="18"/>
      <c r="K663" s="13" t="str">
        <f t="shared" si="466"/>
        <v/>
      </c>
      <c r="L663" s="28" t="str">
        <f t="shared" si="467"/>
        <v/>
      </c>
      <c r="M663" s="10" t="str">
        <f t="shared" si="468"/>
        <v/>
      </c>
      <c r="N663" s="17" t="str">
        <f t="shared" si="469"/>
        <v/>
      </c>
      <c r="O663" s="39" t="str">
        <f t="shared" si="470"/>
        <v/>
      </c>
      <c r="P663" s="41" t="str">
        <f t="shared" si="471"/>
        <v/>
      </c>
      <c r="Q663" s="9" t="str">
        <f t="shared" si="472"/>
        <v/>
      </c>
      <c r="R663" s="14">
        <f t="shared" si="473"/>
        <v>0</v>
      </c>
      <c r="S663" s="61" t="str">
        <f t="shared" si="474"/>
        <v/>
      </c>
      <c r="T663" s="14">
        <f t="shared" si="475"/>
        <v>0</v>
      </c>
      <c r="U663" s="58" t="str">
        <f t="shared" si="476"/>
        <v/>
      </c>
      <c r="V663" s="14">
        <f t="shared" si="477"/>
        <v>0</v>
      </c>
      <c r="W663" s="58" t="str">
        <f t="shared" si="478"/>
        <v/>
      </c>
      <c r="X663" s="14">
        <f t="shared" si="479"/>
        <v>0</v>
      </c>
      <c r="Y663" s="58" t="str">
        <f t="shared" si="480"/>
        <v/>
      </c>
      <c r="Z663" s="31">
        <f t="shared" si="481"/>
        <v>0</v>
      </c>
      <c r="AA663" s="21">
        <f t="shared" si="482"/>
        <v>0</v>
      </c>
      <c r="AB663" s="58" t="str">
        <f t="shared" si="483"/>
        <v/>
      </c>
      <c r="AC663" s="630">
        <f t="shared" si="504"/>
        <v>0</v>
      </c>
      <c r="AD663" s="627"/>
      <c r="AE663" s="21">
        <f t="shared" si="484"/>
        <v>0</v>
      </c>
      <c r="AF663" s="58" t="str">
        <f t="shared" si="485"/>
        <v/>
      </c>
      <c r="AG663" s="21">
        <f t="shared" si="486"/>
        <v>0</v>
      </c>
      <c r="AH663" s="58" t="str">
        <f t="shared" si="487"/>
        <v/>
      </c>
      <c r="AI663" s="21">
        <f t="shared" si="488"/>
        <v>0</v>
      </c>
      <c r="AJ663" s="58" t="str">
        <f t="shared" si="489"/>
        <v/>
      </c>
      <c r="AK663" s="31">
        <f t="shared" si="490"/>
        <v>0</v>
      </c>
      <c r="AL663" s="21">
        <f t="shared" si="491"/>
        <v>0</v>
      </c>
      <c r="AM663" s="62" t="str">
        <f t="shared" si="492"/>
        <v/>
      </c>
      <c r="AN663" s="21">
        <f t="shared" si="493"/>
        <v>0</v>
      </c>
      <c r="AO663" s="62" t="str">
        <f t="shared" si="494"/>
        <v/>
      </c>
      <c r="AP663" s="21">
        <f t="shared" si="495"/>
        <v>0</v>
      </c>
      <c r="AQ663" s="62" t="str">
        <f t="shared" si="496"/>
        <v/>
      </c>
      <c r="AR663" s="31">
        <f t="shared" si="497"/>
        <v>0</v>
      </c>
      <c r="AS663" s="21">
        <f t="shared" si="498"/>
        <v>0</v>
      </c>
      <c r="AT663" s="62" t="str">
        <f t="shared" si="499"/>
        <v/>
      </c>
      <c r="AU663" s="84">
        <f t="shared" si="500"/>
        <v>0</v>
      </c>
      <c r="AV663" s="32">
        <f t="shared" si="501"/>
        <v>0</v>
      </c>
      <c r="AW663" s="85" t="str">
        <f t="shared" si="502"/>
        <v/>
      </c>
      <c r="AX663" s="86" t="str">
        <f t="shared" si="503"/>
        <v/>
      </c>
    </row>
    <row r="664" spans="1:50" x14ac:dyDescent="0.2">
      <c r="A664" s="29" t="str">
        <f t="shared" si="461"/>
        <v/>
      </c>
      <c r="B664" s="32" t="str">
        <f t="shared" si="462"/>
        <v/>
      </c>
      <c r="C664" s="35"/>
      <c r="D664" s="33" t="str">
        <f t="shared" si="463"/>
        <v/>
      </c>
      <c r="E664" s="22" t="str">
        <f t="shared" si="464"/>
        <v/>
      </c>
      <c r="F664" s="23" t="str">
        <f t="shared" si="465"/>
        <v/>
      </c>
      <c r="G664" s="23"/>
      <c r="H664" s="22"/>
      <c r="I664" s="23"/>
      <c r="J664" s="18"/>
      <c r="K664" s="13" t="str">
        <f t="shared" si="466"/>
        <v/>
      </c>
      <c r="L664" s="28" t="str">
        <f t="shared" si="467"/>
        <v/>
      </c>
      <c r="M664" s="10" t="str">
        <f t="shared" si="468"/>
        <v/>
      </c>
      <c r="N664" s="17" t="str">
        <f t="shared" si="469"/>
        <v/>
      </c>
      <c r="O664" s="39" t="str">
        <f t="shared" si="470"/>
        <v/>
      </c>
      <c r="P664" s="41" t="str">
        <f t="shared" si="471"/>
        <v/>
      </c>
      <c r="Q664" s="9" t="str">
        <f t="shared" si="472"/>
        <v/>
      </c>
      <c r="R664" s="14">
        <f t="shared" si="473"/>
        <v>0</v>
      </c>
      <c r="S664" s="61" t="str">
        <f t="shared" si="474"/>
        <v/>
      </c>
      <c r="T664" s="14">
        <f t="shared" si="475"/>
        <v>0</v>
      </c>
      <c r="U664" s="58" t="str">
        <f t="shared" si="476"/>
        <v/>
      </c>
      <c r="V664" s="14">
        <f t="shared" si="477"/>
        <v>0</v>
      </c>
      <c r="W664" s="58" t="str">
        <f t="shared" si="478"/>
        <v/>
      </c>
      <c r="X664" s="14">
        <f t="shared" si="479"/>
        <v>0</v>
      </c>
      <c r="Y664" s="58" t="str">
        <f t="shared" si="480"/>
        <v/>
      </c>
      <c r="Z664" s="31">
        <f t="shared" si="481"/>
        <v>0</v>
      </c>
      <c r="AA664" s="21">
        <f t="shared" si="482"/>
        <v>0</v>
      </c>
      <c r="AB664" s="58" t="str">
        <f t="shared" si="483"/>
        <v/>
      </c>
      <c r="AC664" s="630">
        <f t="shared" si="504"/>
        <v>0</v>
      </c>
      <c r="AD664" s="627"/>
      <c r="AE664" s="21">
        <f t="shared" si="484"/>
        <v>0</v>
      </c>
      <c r="AF664" s="58" t="str">
        <f t="shared" si="485"/>
        <v/>
      </c>
      <c r="AG664" s="21">
        <f t="shared" si="486"/>
        <v>0</v>
      </c>
      <c r="AH664" s="58" t="str">
        <f t="shared" si="487"/>
        <v/>
      </c>
      <c r="AI664" s="21">
        <f t="shared" si="488"/>
        <v>0</v>
      </c>
      <c r="AJ664" s="58" t="str">
        <f t="shared" si="489"/>
        <v/>
      </c>
      <c r="AK664" s="31">
        <f t="shared" si="490"/>
        <v>0</v>
      </c>
      <c r="AL664" s="21">
        <f t="shared" si="491"/>
        <v>0</v>
      </c>
      <c r="AM664" s="62" t="str">
        <f t="shared" si="492"/>
        <v/>
      </c>
      <c r="AN664" s="21">
        <f t="shared" si="493"/>
        <v>0</v>
      </c>
      <c r="AO664" s="62" t="str">
        <f t="shared" si="494"/>
        <v/>
      </c>
      <c r="AP664" s="21">
        <f t="shared" si="495"/>
        <v>0</v>
      </c>
      <c r="AQ664" s="62" t="str">
        <f t="shared" si="496"/>
        <v/>
      </c>
      <c r="AR664" s="31">
        <f t="shared" si="497"/>
        <v>0</v>
      </c>
      <c r="AS664" s="21">
        <f t="shared" si="498"/>
        <v>0</v>
      </c>
      <c r="AT664" s="62" t="str">
        <f t="shared" si="499"/>
        <v/>
      </c>
      <c r="AU664" s="84">
        <f t="shared" si="500"/>
        <v>0</v>
      </c>
      <c r="AV664" s="32">
        <f t="shared" si="501"/>
        <v>0</v>
      </c>
      <c r="AW664" s="85" t="str">
        <f t="shared" si="502"/>
        <v/>
      </c>
      <c r="AX664" s="86" t="str">
        <f t="shared" si="503"/>
        <v/>
      </c>
    </row>
    <row r="665" spans="1:50" x14ac:dyDescent="0.2">
      <c r="A665" s="29" t="str">
        <f t="shared" si="461"/>
        <v/>
      </c>
      <c r="B665" s="32" t="str">
        <f t="shared" si="462"/>
        <v/>
      </c>
      <c r="C665" s="35"/>
      <c r="D665" s="33" t="str">
        <f t="shared" si="463"/>
        <v/>
      </c>
      <c r="E665" s="22" t="str">
        <f t="shared" si="464"/>
        <v/>
      </c>
      <c r="F665" s="23" t="str">
        <f t="shared" si="465"/>
        <v/>
      </c>
      <c r="G665" s="23"/>
      <c r="H665" s="22"/>
      <c r="I665" s="23"/>
      <c r="J665" s="18"/>
      <c r="K665" s="13" t="str">
        <f t="shared" si="466"/>
        <v/>
      </c>
      <c r="L665" s="28" t="str">
        <f t="shared" si="467"/>
        <v/>
      </c>
      <c r="M665" s="10" t="str">
        <f t="shared" si="468"/>
        <v/>
      </c>
      <c r="N665" s="17" t="str">
        <f t="shared" si="469"/>
        <v/>
      </c>
      <c r="O665" s="39" t="str">
        <f t="shared" si="470"/>
        <v/>
      </c>
      <c r="P665" s="41" t="str">
        <f t="shared" si="471"/>
        <v/>
      </c>
      <c r="Q665" s="9" t="str">
        <f t="shared" si="472"/>
        <v/>
      </c>
      <c r="R665" s="14">
        <f t="shared" si="473"/>
        <v>0</v>
      </c>
      <c r="S665" s="61" t="str">
        <f t="shared" si="474"/>
        <v/>
      </c>
      <c r="T665" s="14">
        <f t="shared" si="475"/>
        <v>0</v>
      </c>
      <c r="U665" s="58" t="str">
        <f t="shared" si="476"/>
        <v/>
      </c>
      <c r="V665" s="14">
        <f t="shared" si="477"/>
        <v>0</v>
      </c>
      <c r="W665" s="58" t="str">
        <f t="shared" si="478"/>
        <v/>
      </c>
      <c r="X665" s="14">
        <f t="shared" si="479"/>
        <v>0</v>
      </c>
      <c r="Y665" s="58" t="str">
        <f t="shared" si="480"/>
        <v/>
      </c>
      <c r="Z665" s="31">
        <f t="shared" si="481"/>
        <v>0</v>
      </c>
      <c r="AA665" s="21">
        <f t="shared" si="482"/>
        <v>0</v>
      </c>
      <c r="AB665" s="58" t="str">
        <f t="shared" si="483"/>
        <v/>
      </c>
      <c r="AC665" s="630">
        <f t="shared" si="504"/>
        <v>0</v>
      </c>
      <c r="AD665" s="627"/>
      <c r="AE665" s="21">
        <f t="shared" si="484"/>
        <v>0</v>
      </c>
      <c r="AF665" s="58" t="str">
        <f t="shared" si="485"/>
        <v/>
      </c>
      <c r="AG665" s="21">
        <f t="shared" si="486"/>
        <v>0</v>
      </c>
      <c r="AH665" s="58" t="str">
        <f t="shared" si="487"/>
        <v/>
      </c>
      <c r="AI665" s="21">
        <f t="shared" si="488"/>
        <v>0</v>
      </c>
      <c r="AJ665" s="58" t="str">
        <f t="shared" si="489"/>
        <v/>
      </c>
      <c r="AK665" s="31">
        <f t="shared" si="490"/>
        <v>0</v>
      </c>
      <c r="AL665" s="21">
        <f t="shared" si="491"/>
        <v>0</v>
      </c>
      <c r="AM665" s="62" t="str">
        <f t="shared" si="492"/>
        <v/>
      </c>
      <c r="AN665" s="21">
        <f t="shared" si="493"/>
        <v>0</v>
      </c>
      <c r="AO665" s="62" t="str">
        <f t="shared" si="494"/>
        <v/>
      </c>
      <c r="AP665" s="21">
        <f t="shared" si="495"/>
        <v>0</v>
      </c>
      <c r="AQ665" s="62" t="str">
        <f t="shared" si="496"/>
        <v/>
      </c>
      <c r="AR665" s="31">
        <f t="shared" si="497"/>
        <v>0</v>
      </c>
      <c r="AS665" s="21">
        <f t="shared" si="498"/>
        <v>0</v>
      </c>
      <c r="AT665" s="62" t="str">
        <f t="shared" si="499"/>
        <v/>
      </c>
      <c r="AU665" s="84">
        <f t="shared" si="500"/>
        <v>0</v>
      </c>
      <c r="AV665" s="32">
        <f t="shared" si="501"/>
        <v>0</v>
      </c>
      <c r="AW665" s="85" t="str">
        <f t="shared" si="502"/>
        <v/>
      </c>
      <c r="AX665" s="86" t="str">
        <f t="shared" si="503"/>
        <v/>
      </c>
    </row>
    <row r="666" spans="1:50" x14ac:dyDescent="0.2">
      <c r="A666" s="29" t="str">
        <f t="shared" si="461"/>
        <v/>
      </c>
      <c r="B666" s="32" t="str">
        <f t="shared" si="462"/>
        <v/>
      </c>
      <c r="C666" s="35"/>
      <c r="D666" s="33" t="str">
        <f t="shared" si="463"/>
        <v/>
      </c>
      <c r="E666" s="22" t="str">
        <f t="shared" si="464"/>
        <v/>
      </c>
      <c r="F666" s="23" t="str">
        <f t="shared" si="465"/>
        <v/>
      </c>
      <c r="G666" s="23"/>
      <c r="H666" s="22"/>
      <c r="I666" s="23"/>
      <c r="J666" s="18"/>
      <c r="K666" s="13" t="str">
        <f t="shared" si="466"/>
        <v/>
      </c>
      <c r="L666" s="28" t="str">
        <f t="shared" si="467"/>
        <v/>
      </c>
      <c r="M666" s="10" t="str">
        <f t="shared" si="468"/>
        <v/>
      </c>
      <c r="N666" s="17" t="str">
        <f t="shared" si="469"/>
        <v/>
      </c>
      <c r="O666" s="39" t="str">
        <f t="shared" si="470"/>
        <v/>
      </c>
      <c r="P666" s="41" t="str">
        <f t="shared" si="471"/>
        <v/>
      </c>
      <c r="Q666" s="9" t="str">
        <f t="shared" si="472"/>
        <v/>
      </c>
      <c r="R666" s="14">
        <f t="shared" si="473"/>
        <v>0</v>
      </c>
      <c r="S666" s="61" t="str">
        <f t="shared" si="474"/>
        <v/>
      </c>
      <c r="T666" s="14">
        <f t="shared" si="475"/>
        <v>0</v>
      </c>
      <c r="U666" s="58" t="str">
        <f t="shared" si="476"/>
        <v/>
      </c>
      <c r="V666" s="14">
        <f t="shared" si="477"/>
        <v>0</v>
      </c>
      <c r="W666" s="58" t="str">
        <f t="shared" si="478"/>
        <v/>
      </c>
      <c r="X666" s="14">
        <f t="shared" si="479"/>
        <v>0</v>
      </c>
      <c r="Y666" s="58" t="str">
        <f t="shared" si="480"/>
        <v/>
      </c>
      <c r="Z666" s="31">
        <f t="shared" si="481"/>
        <v>0</v>
      </c>
      <c r="AA666" s="21">
        <f t="shared" si="482"/>
        <v>0</v>
      </c>
      <c r="AB666" s="58" t="str">
        <f t="shared" si="483"/>
        <v/>
      </c>
      <c r="AC666" s="630">
        <f t="shared" si="504"/>
        <v>0</v>
      </c>
      <c r="AD666" s="627"/>
      <c r="AE666" s="21">
        <f t="shared" si="484"/>
        <v>0</v>
      </c>
      <c r="AF666" s="58" t="str">
        <f t="shared" si="485"/>
        <v/>
      </c>
      <c r="AG666" s="21">
        <f t="shared" si="486"/>
        <v>0</v>
      </c>
      <c r="AH666" s="58" t="str">
        <f t="shared" si="487"/>
        <v/>
      </c>
      <c r="AI666" s="21">
        <f t="shared" si="488"/>
        <v>0</v>
      </c>
      <c r="AJ666" s="58" t="str">
        <f t="shared" si="489"/>
        <v/>
      </c>
      <c r="AK666" s="31">
        <f t="shared" si="490"/>
        <v>0</v>
      </c>
      <c r="AL666" s="21">
        <f t="shared" si="491"/>
        <v>0</v>
      </c>
      <c r="AM666" s="62" t="str">
        <f t="shared" si="492"/>
        <v/>
      </c>
      <c r="AN666" s="21">
        <f t="shared" si="493"/>
        <v>0</v>
      </c>
      <c r="AO666" s="62" t="str">
        <f t="shared" si="494"/>
        <v/>
      </c>
      <c r="AP666" s="21">
        <f t="shared" si="495"/>
        <v>0</v>
      </c>
      <c r="AQ666" s="62" t="str">
        <f t="shared" si="496"/>
        <v/>
      </c>
      <c r="AR666" s="31">
        <f t="shared" si="497"/>
        <v>0</v>
      </c>
      <c r="AS666" s="21">
        <f t="shared" si="498"/>
        <v>0</v>
      </c>
      <c r="AT666" s="62" t="str">
        <f t="shared" si="499"/>
        <v/>
      </c>
      <c r="AU666" s="84">
        <f t="shared" si="500"/>
        <v>0</v>
      </c>
      <c r="AV666" s="32">
        <f t="shared" si="501"/>
        <v>0</v>
      </c>
      <c r="AW666" s="85" t="str">
        <f t="shared" si="502"/>
        <v/>
      </c>
      <c r="AX666" s="86" t="str">
        <f t="shared" si="503"/>
        <v/>
      </c>
    </row>
    <row r="667" spans="1:50" x14ac:dyDescent="0.2">
      <c r="A667" s="29" t="str">
        <f t="shared" si="461"/>
        <v/>
      </c>
      <c r="B667" s="32" t="str">
        <f t="shared" si="462"/>
        <v/>
      </c>
      <c r="C667" s="35"/>
      <c r="D667" s="33" t="str">
        <f t="shared" si="463"/>
        <v/>
      </c>
      <c r="E667" s="22" t="str">
        <f t="shared" si="464"/>
        <v/>
      </c>
      <c r="F667" s="23" t="str">
        <f t="shared" si="465"/>
        <v/>
      </c>
      <c r="G667" s="23"/>
      <c r="H667" s="22"/>
      <c r="I667" s="23"/>
      <c r="J667" s="18"/>
      <c r="K667" s="13" t="str">
        <f t="shared" si="466"/>
        <v/>
      </c>
      <c r="L667" s="28" t="str">
        <f t="shared" si="467"/>
        <v/>
      </c>
      <c r="M667" s="10" t="str">
        <f t="shared" si="468"/>
        <v/>
      </c>
      <c r="N667" s="17" t="str">
        <f t="shared" si="469"/>
        <v/>
      </c>
      <c r="O667" s="39" t="str">
        <f t="shared" si="470"/>
        <v/>
      </c>
      <c r="P667" s="41" t="str">
        <f t="shared" si="471"/>
        <v/>
      </c>
      <c r="Q667" s="9" t="str">
        <f t="shared" si="472"/>
        <v/>
      </c>
      <c r="R667" s="14">
        <f t="shared" si="473"/>
        <v>0</v>
      </c>
      <c r="S667" s="61" t="str">
        <f t="shared" si="474"/>
        <v/>
      </c>
      <c r="T667" s="14">
        <f t="shared" si="475"/>
        <v>0</v>
      </c>
      <c r="U667" s="58" t="str">
        <f t="shared" si="476"/>
        <v/>
      </c>
      <c r="V667" s="14">
        <f t="shared" si="477"/>
        <v>0</v>
      </c>
      <c r="W667" s="58" t="str">
        <f t="shared" si="478"/>
        <v/>
      </c>
      <c r="X667" s="14">
        <f t="shared" si="479"/>
        <v>0</v>
      </c>
      <c r="Y667" s="58" t="str">
        <f t="shared" si="480"/>
        <v/>
      </c>
      <c r="Z667" s="31">
        <f t="shared" si="481"/>
        <v>0</v>
      </c>
      <c r="AA667" s="21">
        <f t="shared" si="482"/>
        <v>0</v>
      </c>
      <c r="AB667" s="58" t="str">
        <f t="shared" si="483"/>
        <v/>
      </c>
      <c r="AC667" s="630">
        <f t="shared" si="504"/>
        <v>0</v>
      </c>
      <c r="AD667" s="627"/>
      <c r="AE667" s="21">
        <f t="shared" si="484"/>
        <v>0</v>
      </c>
      <c r="AF667" s="58" t="str">
        <f t="shared" si="485"/>
        <v/>
      </c>
      <c r="AG667" s="21">
        <f t="shared" si="486"/>
        <v>0</v>
      </c>
      <c r="AH667" s="58" t="str">
        <f t="shared" si="487"/>
        <v/>
      </c>
      <c r="AI667" s="21">
        <f t="shared" si="488"/>
        <v>0</v>
      </c>
      <c r="AJ667" s="58" t="str">
        <f t="shared" si="489"/>
        <v/>
      </c>
      <c r="AK667" s="31">
        <f t="shared" si="490"/>
        <v>0</v>
      </c>
      <c r="AL667" s="21">
        <f t="shared" si="491"/>
        <v>0</v>
      </c>
      <c r="AM667" s="62" t="str">
        <f t="shared" si="492"/>
        <v/>
      </c>
      <c r="AN667" s="21">
        <f t="shared" si="493"/>
        <v>0</v>
      </c>
      <c r="AO667" s="62" t="str">
        <f t="shared" si="494"/>
        <v/>
      </c>
      <c r="AP667" s="21">
        <f t="shared" si="495"/>
        <v>0</v>
      </c>
      <c r="AQ667" s="62" t="str">
        <f t="shared" si="496"/>
        <v/>
      </c>
      <c r="AR667" s="31">
        <f t="shared" si="497"/>
        <v>0</v>
      </c>
      <c r="AS667" s="21">
        <f t="shared" si="498"/>
        <v>0</v>
      </c>
      <c r="AT667" s="62" t="str">
        <f t="shared" si="499"/>
        <v/>
      </c>
      <c r="AU667" s="84">
        <f t="shared" si="500"/>
        <v>0</v>
      </c>
      <c r="AV667" s="32">
        <f t="shared" si="501"/>
        <v>0</v>
      </c>
      <c r="AW667" s="85" t="str">
        <f t="shared" si="502"/>
        <v/>
      </c>
      <c r="AX667" s="86" t="str">
        <f t="shared" si="503"/>
        <v/>
      </c>
    </row>
    <row r="668" spans="1:50" x14ac:dyDescent="0.2">
      <c r="A668" s="29" t="str">
        <f t="shared" si="461"/>
        <v/>
      </c>
      <c r="B668" s="32" t="str">
        <f t="shared" si="462"/>
        <v/>
      </c>
      <c r="C668" s="35"/>
      <c r="D668" s="33" t="str">
        <f t="shared" si="463"/>
        <v/>
      </c>
      <c r="E668" s="22" t="str">
        <f t="shared" si="464"/>
        <v/>
      </c>
      <c r="F668" s="23" t="str">
        <f t="shared" si="465"/>
        <v/>
      </c>
      <c r="G668" s="23"/>
      <c r="H668" s="22"/>
      <c r="I668" s="23"/>
      <c r="J668" s="18"/>
      <c r="K668" s="13" t="str">
        <f t="shared" si="466"/>
        <v/>
      </c>
      <c r="L668" s="28" t="str">
        <f t="shared" si="467"/>
        <v/>
      </c>
      <c r="M668" s="10" t="str">
        <f t="shared" si="468"/>
        <v/>
      </c>
      <c r="N668" s="17" t="str">
        <f t="shared" si="469"/>
        <v/>
      </c>
      <c r="O668" s="39" t="str">
        <f t="shared" si="470"/>
        <v/>
      </c>
      <c r="P668" s="41" t="str">
        <f t="shared" si="471"/>
        <v/>
      </c>
      <c r="Q668" s="9" t="str">
        <f t="shared" si="472"/>
        <v/>
      </c>
      <c r="R668" s="14">
        <f t="shared" si="473"/>
        <v>0</v>
      </c>
      <c r="S668" s="61" t="str">
        <f t="shared" si="474"/>
        <v/>
      </c>
      <c r="T668" s="14">
        <f t="shared" si="475"/>
        <v>0</v>
      </c>
      <c r="U668" s="58" t="str">
        <f t="shared" si="476"/>
        <v/>
      </c>
      <c r="V668" s="14">
        <f t="shared" si="477"/>
        <v>0</v>
      </c>
      <c r="W668" s="58" t="str">
        <f t="shared" si="478"/>
        <v/>
      </c>
      <c r="X668" s="14">
        <f t="shared" si="479"/>
        <v>0</v>
      </c>
      <c r="Y668" s="58" t="str">
        <f t="shared" si="480"/>
        <v/>
      </c>
      <c r="Z668" s="31">
        <f t="shared" si="481"/>
        <v>0</v>
      </c>
      <c r="AA668" s="21">
        <f t="shared" si="482"/>
        <v>0</v>
      </c>
      <c r="AB668" s="58" t="str">
        <f t="shared" si="483"/>
        <v/>
      </c>
      <c r="AC668" s="630">
        <f t="shared" si="504"/>
        <v>0</v>
      </c>
      <c r="AD668" s="627"/>
      <c r="AE668" s="21">
        <f t="shared" si="484"/>
        <v>0</v>
      </c>
      <c r="AF668" s="58" t="str">
        <f t="shared" si="485"/>
        <v/>
      </c>
      <c r="AG668" s="21">
        <f t="shared" si="486"/>
        <v>0</v>
      </c>
      <c r="AH668" s="58" t="str">
        <f t="shared" si="487"/>
        <v/>
      </c>
      <c r="AI668" s="21">
        <f t="shared" si="488"/>
        <v>0</v>
      </c>
      <c r="AJ668" s="58" t="str">
        <f t="shared" si="489"/>
        <v/>
      </c>
      <c r="AK668" s="31">
        <f t="shared" si="490"/>
        <v>0</v>
      </c>
      <c r="AL668" s="21">
        <f t="shared" si="491"/>
        <v>0</v>
      </c>
      <c r="AM668" s="62" t="str">
        <f t="shared" si="492"/>
        <v/>
      </c>
      <c r="AN668" s="21">
        <f t="shared" si="493"/>
        <v>0</v>
      </c>
      <c r="AO668" s="62" t="str">
        <f t="shared" si="494"/>
        <v/>
      </c>
      <c r="AP668" s="21">
        <f t="shared" si="495"/>
        <v>0</v>
      </c>
      <c r="AQ668" s="62" t="str">
        <f t="shared" si="496"/>
        <v/>
      </c>
      <c r="AR668" s="31">
        <f t="shared" si="497"/>
        <v>0</v>
      </c>
      <c r="AS668" s="21">
        <f t="shared" si="498"/>
        <v>0</v>
      </c>
      <c r="AT668" s="62" t="str">
        <f t="shared" si="499"/>
        <v/>
      </c>
      <c r="AU668" s="84">
        <f t="shared" si="500"/>
        <v>0</v>
      </c>
      <c r="AV668" s="32">
        <f t="shared" si="501"/>
        <v>0</v>
      </c>
      <c r="AW668" s="85" t="str">
        <f t="shared" si="502"/>
        <v/>
      </c>
      <c r="AX668" s="86" t="str">
        <f t="shared" si="503"/>
        <v/>
      </c>
    </row>
    <row r="669" spans="1:50" x14ac:dyDescent="0.2">
      <c r="A669" s="29" t="str">
        <f t="shared" si="461"/>
        <v/>
      </c>
      <c r="B669" s="32" t="str">
        <f t="shared" si="462"/>
        <v/>
      </c>
      <c r="C669" s="35"/>
      <c r="D669" s="33" t="str">
        <f t="shared" si="463"/>
        <v/>
      </c>
      <c r="E669" s="22" t="str">
        <f t="shared" si="464"/>
        <v/>
      </c>
      <c r="F669" s="23" t="str">
        <f t="shared" si="465"/>
        <v/>
      </c>
      <c r="G669" s="23"/>
      <c r="H669" s="22"/>
      <c r="I669" s="23"/>
      <c r="J669" s="18"/>
      <c r="K669" s="13" t="str">
        <f t="shared" si="466"/>
        <v/>
      </c>
      <c r="L669" s="28" t="str">
        <f t="shared" si="467"/>
        <v/>
      </c>
      <c r="M669" s="10" t="str">
        <f t="shared" si="468"/>
        <v/>
      </c>
      <c r="N669" s="17" t="str">
        <f t="shared" si="469"/>
        <v/>
      </c>
      <c r="O669" s="39" t="str">
        <f t="shared" si="470"/>
        <v/>
      </c>
      <c r="P669" s="41" t="str">
        <f t="shared" si="471"/>
        <v/>
      </c>
      <c r="Q669" s="9" t="str">
        <f t="shared" si="472"/>
        <v/>
      </c>
      <c r="R669" s="14">
        <f t="shared" si="473"/>
        <v>0</v>
      </c>
      <c r="S669" s="61" t="str">
        <f t="shared" si="474"/>
        <v/>
      </c>
      <c r="T669" s="14">
        <f t="shared" si="475"/>
        <v>0</v>
      </c>
      <c r="U669" s="58" t="str">
        <f t="shared" si="476"/>
        <v/>
      </c>
      <c r="V669" s="14">
        <f t="shared" si="477"/>
        <v>0</v>
      </c>
      <c r="W669" s="58" t="str">
        <f t="shared" si="478"/>
        <v/>
      </c>
      <c r="X669" s="14">
        <f t="shared" si="479"/>
        <v>0</v>
      </c>
      <c r="Y669" s="58" t="str">
        <f t="shared" si="480"/>
        <v/>
      </c>
      <c r="Z669" s="31">
        <f t="shared" si="481"/>
        <v>0</v>
      </c>
      <c r="AA669" s="21">
        <f t="shared" si="482"/>
        <v>0</v>
      </c>
      <c r="AB669" s="58" t="str">
        <f t="shared" si="483"/>
        <v/>
      </c>
      <c r="AC669" s="630">
        <f t="shared" si="504"/>
        <v>0</v>
      </c>
      <c r="AD669" s="627"/>
      <c r="AE669" s="21">
        <f t="shared" si="484"/>
        <v>0</v>
      </c>
      <c r="AF669" s="58" t="str">
        <f t="shared" si="485"/>
        <v/>
      </c>
      <c r="AG669" s="21">
        <f t="shared" si="486"/>
        <v>0</v>
      </c>
      <c r="AH669" s="58" t="str">
        <f t="shared" si="487"/>
        <v/>
      </c>
      <c r="AI669" s="21">
        <f t="shared" si="488"/>
        <v>0</v>
      </c>
      <c r="AJ669" s="58" t="str">
        <f t="shared" si="489"/>
        <v/>
      </c>
      <c r="AK669" s="31">
        <f t="shared" si="490"/>
        <v>0</v>
      </c>
      <c r="AL669" s="21">
        <f t="shared" si="491"/>
        <v>0</v>
      </c>
      <c r="AM669" s="62" t="str">
        <f t="shared" si="492"/>
        <v/>
      </c>
      <c r="AN669" s="21">
        <f t="shared" si="493"/>
        <v>0</v>
      </c>
      <c r="AO669" s="62" t="str">
        <f t="shared" si="494"/>
        <v/>
      </c>
      <c r="AP669" s="21">
        <f t="shared" si="495"/>
        <v>0</v>
      </c>
      <c r="AQ669" s="62" t="str">
        <f t="shared" si="496"/>
        <v/>
      </c>
      <c r="AR669" s="31">
        <f t="shared" si="497"/>
        <v>0</v>
      </c>
      <c r="AS669" s="21">
        <f t="shared" si="498"/>
        <v>0</v>
      </c>
      <c r="AT669" s="62" t="str">
        <f t="shared" si="499"/>
        <v/>
      </c>
      <c r="AU669" s="84">
        <f t="shared" si="500"/>
        <v>0</v>
      </c>
      <c r="AV669" s="32">
        <f t="shared" si="501"/>
        <v>0</v>
      </c>
      <c r="AW669" s="85" t="str">
        <f t="shared" si="502"/>
        <v/>
      </c>
      <c r="AX669" s="86" t="str">
        <f t="shared" si="503"/>
        <v/>
      </c>
    </row>
    <row r="670" spans="1:50" x14ac:dyDescent="0.2">
      <c r="A670" s="29" t="str">
        <f t="shared" si="461"/>
        <v/>
      </c>
      <c r="B670" s="32" t="str">
        <f t="shared" si="462"/>
        <v/>
      </c>
      <c r="C670" s="35"/>
      <c r="D670" s="33" t="str">
        <f t="shared" si="463"/>
        <v/>
      </c>
      <c r="E670" s="22" t="str">
        <f t="shared" si="464"/>
        <v/>
      </c>
      <c r="F670" s="23" t="str">
        <f t="shared" si="465"/>
        <v/>
      </c>
      <c r="G670" s="23"/>
      <c r="H670" s="22"/>
      <c r="I670" s="23"/>
      <c r="J670" s="18"/>
      <c r="K670" s="13" t="str">
        <f t="shared" si="466"/>
        <v/>
      </c>
      <c r="L670" s="28" t="str">
        <f t="shared" si="467"/>
        <v/>
      </c>
      <c r="M670" s="10" t="str">
        <f t="shared" si="468"/>
        <v/>
      </c>
      <c r="N670" s="17" t="str">
        <f t="shared" si="469"/>
        <v/>
      </c>
      <c r="O670" s="39" t="str">
        <f t="shared" si="470"/>
        <v/>
      </c>
      <c r="P670" s="41" t="str">
        <f t="shared" si="471"/>
        <v/>
      </c>
      <c r="Q670" s="9" t="str">
        <f t="shared" si="472"/>
        <v/>
      </c>
      <c r="R670" s="14">
        <f t="shared" si="473"/>
        <v>0</v>
      </c>
      <c r="S670" s="61" t="str">
        <f t="shared" si="474"/>
        <v/>
      </c>
      <c r="T670" s="14">
        <f t="shared" si="475"/>
        <v>0</v>
      </c>
      <c r="U670" s="58" t="str">
        <f t="shared" si="476"/>
        <v/>
      </c>
      <c r="V670" s="14">
        <f t="shared" si="477"/>
        <v>0</v>
      </c>
      <c r="W670" s="58" t="str">
        <f t="shared" si="478"/>
        <v/>
      </c>
      <c r="X670" s="14">
        <f t="shared" si="479"/>
        <v>0</v>
      </c>
      <c r="Y670" s="58" t="str">
        <f t="shared" si="480"/>
        <v/>
      </c>
      <c r="Z670" s="31">
        <f t="shared" si="481"/>
        <v>0</v>
      </c>
      <c r="AA670" s="21">
        <f t="shared" si="482"/>
        <v>0</v>
      </c>
      <c r="AB670" s="58" t="str">
        <f t="shared" si="483"/>
        <v/>
      </c>
      <c r="AC670" s="630">
        <f t="shared" si="504"/>
        <v>0</v>
      </c>
      <c r="AD670" s="627"/>
      <c r="AE670" s="21">
        <f t="shared" si="484"/>
        <v>0</v>
      </c>
      <c r="AF670" s="58" t="str">
        <f t="shared" si="485"/>
        <v/>
      </c>
      <c r="AG670" s="21">
        <f t="shared" si="486"/>
        <v>0</v>
      </c>
      <c r="AH670" s="58" t="str">
        <f t="shared" si="487"/>
        <v/>
      </c>
      <c r="AI670" s="21">
        <f t="shared" si="488"/>
        <v>0</v>
      </c>
      <c r="AJ670" s="58" t="str">
        <f t="shared" si="489"/>
        <v/>
      </c>
      <c r="AK670" s="31">
        <f t="shared" si="490"/>
        <v>0</v>
      </c>
      <c r="AL670" s="21">
        <f t="shared" si="491"/>
        <v>0</v>
      </c>
      <c r="AM670" s="62" t="str">
        <f t="shared" si="492"/>
        <v/>
      </c>
      <c r="AN670" s="21">
        <f t="shared" si="493"/>
        <v>0</v>
      </c>
      <c r="AO670" s="62" t="str">
        <f t="shared" si="494"/>
        <v/>
      </c>
      <c r="AP670" s="21">
        <f t="shared" si="495"/>
        <v>0</v>
      </c>
      <c r="AQ670" s="62" t="str">
        <f t="shared" si="496"/>
        <v/>
      </c>
      <c r="AR670" s="31">
        <f t="shared" si="497"/>
        <v>0</v>
      </c>
      <c r="AS670" s="21">
        <f t="shared" si="498"/>
        <v>0</v>
      </c>
      <c r="AT670" s="62" t="str">
        <f t="shared" si="499"/>
        <v/>
      </c>
      <c r="AU670" s="84">
        <f t="shared" si="500"/>
        <v>0</v>
      </c>
      <c r="AV670" s="32">
        <f t="shared" si="501"/>
        <v>0</v>
      </c>
      <c r="AW670" s="85" t="str">
        <f t="shared" si="502"/>
        <v/>
      </c>
      <c r="AX670" s="86" t="str">
        <f t="shared" si="503"/>
        <v/>
      </c>
    </row>
    <row r="671" spans="1:50" x14ac:dyDescent="0.2">
      <c r="A671" s="29" t="str">
        <f t="shared" si="461"/>
        <v/>
      </c>
      <c r="B671" s="32" t="str">
        <f t="shared" si="462"/>
        <v/>
      </c>
      <c r="C671" s="35"/>
      <c r="D671" s="33" t="str">
        <f t="shared" si="463"/>
        <v/>
      </c>
      <c r="E671" s="22" t="str">
        <f t="shared" si="464"/>
        <v/>
      </c>
      <c r="F671" s="23" t="str">
        <f t="shared" si="465"/>
        <v/>
      </c>
      <c r="G671" s="23"/>
      <c r="H671" s="22"/>
      <c r="I671" s="23"/>
      <c r="J671" s="18"/>
      <c r="K671" s="13" t="str">
        <f t="shared" si="466"/>
        <v/>
      </c>
      <c r="L671" s="28" t="str">
        <f t="shared" si="467"/>
        <v/>
      </c>
      <c r="M671" s="10" t="str">
        <f t="shared" si="468"/>
        <v/>
      </c>
      <c r="N671" s="17" t="str">
        <f t="shared" si="469"/>
        <v/>
      </c>
      <c r="O671" s="39" t="str">
        <f t="shared" si="470"/>
        <v/>
      </c>
      <c r="P671" s="41" t="str">
        <f t="shared" si="471"/>
        <v/>
      </c>
      <c r="Q671" s="9" t="str">
        <f t="shared" si="472"/>
        <v/>
      </c>
      <c r="R671" s="14">
        <f t="shared" si="473"/>
        <v>0</v>
      </c>
      <c r="S671" s="61" t="str">
        <f t="shared" si="474"/>
        <v/>
      </c>
      <c r="T671" s="14">
        <f t="shared" si="475"/>
        <v>0</v>
      </c>
      <c r="U671" s="58" t="str">
        <f t="shared" si="476"/>
        <v/>
      </c>
      <c r="V671" s="14">
        <f t="shared" si="477"/>
        <v>0</v>
      </c>
      <c r="W671" s="58" t="str">
        <f t="shared" si="478"/>
        <v/>
      </c>
      <c r="X671" s="14">
        <f t="shared" si="479"/>
        <v>0</v>
      </c>
      <c r="Y671" s="58" t="str">
        <f t="shared" si="480"/>
        <v/>
      </c>
      <c r="Z671" s="31">
        <f t="shared" si="481"/>
        <v>0</v>
      </c>
      <c r="AA671" s="21">
        <f t="shared" si="482"/>
        <v>0</v>
      </c>
      <c r="AB671" s="58" t="str">
        <f t="shared" si="483"/>
        <v/>
      </c>
      <c r="AC671" s="630">
        <f t="shared" si="504"/>
        <v>0</v>
      </c>
      <c r="AD671" s="627"/>
      <c r="AE671" s="21">
        <f t="shared" si="484"/>
        <v>0</v>
      </c>
      <c r="AF671" s="58" t="str">
        <f t="shared" si="485"/>
        <v/>
      </c>
      <c r="AG671" s="21">
        <f t="shared" si="486"/>
        <v>0</v>
      </c>
      <c r="AH671" s="58" t="str">
        <f t="shared" si="487"/>
        <v/>
      </c>
      <c r="AI671" s="21">
        <f t="shared" si="488"/>
        <v>0</v>
      </c>
      <c r="AJ671" s="58" t="str">
        <f t="shared" si="489"/>
        <v/>
      </c>
      <c r="AK671" s="31">
        <f t="shared" si="490"/>
        <v>0</v>
      </c>
      <c r="AL671" s="21">
        <f t="shared" si="491"/>
        <v>0</v>
      </c>
      <c r="AM671" s="62" t="str">
        <f t="shared" si="492"/>
        <v/>
      </c>
      <c r="AN671" s="21">
        <f t="shared" si="493"/>
        <v>0</v>
      </c>
      <c r="AO671" s="62" t="str">
        <f t="shared" si="494"/>
        <v/>
      </c>
      <c r="AP671" s="21">
        <f t="shared" si="495"/>
        <v>0</v>
      </c>
      <c r="AQ671" s="62" t="str">
        <f t="shared" si="496"/>
        <v/>
      </c>
      <c r="AR671" s="31">
        <f t="shared" si="497"/>
        <v>0</v>
      </c>
      <c r="AS671" s="21">
        <f t="shared" si="498"/>
        <v>0</v>
      </c>
      <c r="AT671" s="62" t="str">
        <f t="shared" si="499"/>
        <v/>
      </c>
      <c r="AU671" s="84">
        <f t="shared" si="500"/>
        <v>0</v>
      </c>
      <c r="AV671" s="32">
        <f t="shared" si="501"/>
        <v>0</v>
      </c>
      <c r="AW671" s="85" t="str">
        <f t="shared" si="502"/>
        <v/>
      </c>
      <c r="AX671" s="86" t="str">
        <f t="shared" si="503"/>
        <v/>
      </c>
    </row>
    <row r="672" spans="1:50" x14ac:dyDescent="0.2">
      <c r="A672" s="29" t="str">
        <f t="shared" si="461"/>
        <v/>
      </c>
      <c r="B672" s="32" t="str">
        <f t="shared" si="462"/>
        <v/>
      </c>
      <c r="C672" s="35"/>
      <c r="D672" s="33" t="str">
        <f t="shared" si="463"/>
        <v/>
      </c>
      <c r="E672" s="22" t="str">
        <f t="shared" si="464"/>
        <v/>
      </c>
      <c r="F672" s="23" t="str">
        <f t="shared" si="465"/>
        <v/>
      </c>
      <c r="G672" s="23"/>
      <c r="H672" s="22"/>
      <c r="I672" s="23"/>
      <c r="J672" s="18"/>
      <c r="K672" s="13" t="str">
        <f t="shared" si="466"/>
        <v/>
      </c>
      <c r="L672" s="28" t="str">
        <f t="shared" si="467"/>
        <v/>
      </c>
      <c r="M672" s="10" t="str">
        <f t="shared" si="468"/>
        <v/>
      </c>
      <c r="N672" s="17" t="str">
        <f t="shared" si="469"/>
        <v/>
      </c>
      <c r="O672" s="39" t="str">
        <f t="shared" si="470"/>
        <v/>
      </c>
      <c r="P672" s="41" t="str">
        <f t="shared" si="471"/>
        <v/>
      </c>
      <c r="Q672" s="9" t="str">
        <f t="shared" si="472"/>
        <v/>
      </c>
      <c r="R672" s="14">
        <f t="shared" si="473"/>
        <v>0</v>
      </c>
      <c r="S672" s="61" t="str">
        <f t="shared" si="474"/>
        <v/>
      </c>
      <c r="T672" s="14">
        <f t="shared" si="475"/>
        <v>0</v>
      </c>
      <c r="U672" s="58" t="str">
        <f t="shared" si="476"/>
        <v/>
      </c>
      <c r="V672" s="14">
        <f t="shared" si="477"/>
        <v>0</v>
      </c>
      <c r="W672" s="58" t="str">
        <f t="shared" si="478"/>
        <v/>
      </c>
      <c r="X672" s="14">
        <f t="shared" si="479"/>
        <v>0</v>
      </c>
      <c r="Y672" s="58" t="str">
        <f t="shared" si="480"/>
        <v/>
      </c>
      <c r="Z672" s="31">
        <f t="shared" si="481"/>
        <v>0</v>
      </c>
      <c r="AA672" s="21">
        <f t="shared" si="482"/>
        <v>0</v>
      </c>
      <c r="AB672" s="58" t="str">
        <f t="shared" si="483"/>
        <v/>
      </c>
      <c r="AC672" s="630">
        <f t="shared" si="504"/>
        <v>0</v>
      </c>
      <c r="AD672" s="627"/>
      <c r="AE672" s="21">
        <f t="shared" si="484"/>
        <v>0</v>
      </c>
      <c r="AF672" s="58" t="str">
        <f t="shared" si="485"/>
        <v/>
      </c>
      <c r="AG672" s="21">
        <f t="shared" si="486"/>
        <v>0</v>
      </c>
      <c r="AH672" s="58" t="str">
        <f t="shared" si="487"/>
        <v/>
      </c>
      <c r="AI672" s="21">
        <f t="shared" si="488"/>
        <v>0</v>
      </c>
      <c r="AJ672" s="58" t="str">
        <f t="shared" si="489"/>
        <v/>
      </c>
      <c r="AK672" s="31">
        <f t="shared" si="490"/>
        <v>0</v>
      </c>
      <c r="AL672" s="21">
        <f t="shared" si="491"/>
        <v>0</v>
      </c>
      <c r="AM672" s="62" t="str">
        <f t="shared" si="492"/>
        <v/>
      </c>
      <c r="AN672" s="21">
        <f t="shared" si="493"/>
        <v>0</v>
      </c>
      <c r="AO672" s="62" t="str">
        <f t="shared" si="494"/>
        <v/>
      </c>
      <c r="AP672" s="21">
        <f t="shared" si="495"/>
        <v>0</v>
      </c>
      <c r="AQ672" s="62" t="str">
        <f t="shared" si="496"/>
        <v/>
      </c>
      <c r="AR672" s="31">
        <f t="shared" si="497"/>
        <v>0</v>
      </c>
      <c r="AS672" s="21">
        <f t="shared" si="498"/>
        <v>0</v>
      </c>
      <c r="AT672" s="62" t="str">
        <f t="shared" si="499"/>
        <v/>
      </c>
      <c r="AU672" s="84">
        <f t="shared" si="500"/>
        <v>0</v>
      </c>
      <c r="AV672" s="32">
        <f t="shared" si="501"/>
        <v>0</v>
      </c>
      <c r="AW672" s="85" t="str">
        <f t="shared" si="502"/>
        <v/>
      </c>
      <c r="AX672" s="86" t="str">
        <f t="shared" si="503"/>
        <v/>
      </c>
    </row>
    <row r="673" spans="1:50" x14ac:dyDescent="0.2">
      <c r="A673" s="29" t="str">
        <f t="shared" si="461"/>
        <v/>
      </c>
      <c r="B673" s="32" t="str">
        <f t="shared" si="462"/>
        <v/>
      </c>
      <c r="C673" s="35"/>
      <c r="D673" s="33" t="str">
        <f t="shared" si="463"/>
        <v/>
      </c>
      <c r="E673" s="22" t="str">
        <f t="shared" si="464"/>
        <v/>
      </c>
      <c r="F673" s="23" t="str">
        <f t="shared" si="465"/>
        <v/>
      </c>
      <c r="G673" s="23"/>
      <c r="H673" s="22"/>
      <c r="I673" s="23"/>
      <c r="J673" s="18"/>
      <c r="K673" s="13" t="str">
        <f t="shared" si="466"/>
        <v/>
      </c>
      <c r="L673" s="28" t="str">
        <f t="shared" si="467"/>
        <v/>
      </c>
      <c r="M673" s="10" t="str">
        <f t="shared" si="468"/>
        <v/>
      </c>
      <c r="N673" s="17" t="str">
        <f t="shared" si="469"/>
        <v/>
      </c>
      <c r="O673" s="39" t="str">
        <f t="shared" si="470"/>
        <v/>
      </c>
      <c r="P673" s="41" t="str">
        <f t="shared" si="471"/>
        <v/>
      </c>
      <c r="Q673" s="9" t="str">
        <f t="shared" si="472"/>
        <v/>
      </c>
      <c r="R673" s="14">
        <f t="shared" si="473"/>
        <v>0</v>
      </c>
      <c r="S673" s="61" t="str">
        <f t="shared" si="474"/>
        <v/>
      </c>
      <c r="T673" s="14">
        <f t="shared" si="475"/>
        <v>0</v>
      </c>
      <c r="U673" s="58" t="str">
        <f t="shared" si="476"/>
        <v/>
      </c>
      <c r="V673" s="14">
        <f t="shared" si="477"/>
        <v>0</v>
      </c>
      <c r="W673" s="58" t="str">
        <f t="shared" si="478"/>
        <v/>
      </c>
      <c r="X673" s="14">
        <f t="shared" si="479"/>
        <v>0</v>
      </c>
      <c r="Y673" s="58" t="str">
        <f t="shared" si="480"/>
        <v/>
      </c>
      <c r="Z673" s="31">
        <f t="shared" si="481"/>
        <v>0</v>
      </c>
      <c r="AA673" s="21">
        <f t="shared" si="482"/>
        <v>0</v>
      </c>
      <c r="AB673" s="58" t="str">
        <f t="shared" si="483"/>
        <v/>
      </c>
      <c r="AC673" s="630">
        <f t="shared" si="504"/>
        <v>0</v>
      </c>
      <c r="AD673" s="627"/>
      <c r="AE673" s="21">
        <f t="shared" si="484"/>
        <v>0</v>
      </c>
      <c r="AF673" s="58" t="str">
        <f t="shared" si="485"/>
        <v/>
      </c>
      <c r="AG673" s="21">
        <f t="shared" si="486"/>
        <v>0</v>
      </c>
      <c r="AH673" s="58" t="str">
        <f t="shared" si="487"/>
        <v/>
      </c>
      <c r="AI673" s="21">
        <f t="shared" si="488"/>
        <v>0</v>
      </c>
      <c r="AJ673" s="58" t="str">
        <f t="shared" si="489"/>
        <v/>
      </c>
      <c r="AK673" s="31">
        <f t="shared" si="490"/>
        <v>0</v>
      </c>
      <c r="AL673" s="21">
        <f t="shared" si="491"/>
        <v>0</v>
      </c>
      <c r="AM673" s="62" t="str">
        <f t="shared" si="492"/>
        <v/>
      </c>
      <c r="AN673" s="21">
        <f t="shared" si="493"/>
        <v>0</v>
      </c>
      <c r="AO673" s="62" t="str">
        <f t="shared" si="494"/>
        <v/>
      </c>
      <c r="AP673" s="21">
        <f t="shared" si="495"/>
        <v>0</v>
      </c>
      <c r="AQ673" s="62" t="str">
        <f t="shared" si="496"/>
        <v/>
      </c>
      <c r="AR673" s="31">
        <f t="shared" si="497"/>
        <v>0</v>
      </c>
      <c r="AS673" s="21">
        <f t="shared" si="498"/>
        <v>0</v>
      </c>
      <c r="AT673" s="62" t="str">
        <f t="shared" si="499"/>
        <v/>
      </c>
      <c r="AU673" s="84">
        <f t="shared" si="500"/>
        <v>0</v>
      </c>
      <c r="AV673" s="32">
        <f t="shared" si="501"/>
        <v>0</v>
      </c>
      <c r="AW673" s="85" t="str">
        <f t="shared" si="502"/>
        <v/>
      </c>
      <c r="AX673" s="86" t="str">
        <f t="shared" si="503"/>
        <v/>
      </c>
    </row>
    <row r="674" spans="1:50" x14ac:dyDescent="0.2">
      <c r="A674" s="29" t="str">
        <f t="shared" ref="A674:A737" si="505">IF(A673="","",IF(C674="","",A673))</f>
        <v/>
      </c>
      <c r="B674" s="32" t="str">
        <f t="shared" ref="B674:B737" si="506">IF(B673="","",IF(C674="","",B673))</f>
        <v/>
      </c>
      <c r="C674" s="35"/>
      <c r="D674" s="33" t="str">
        <f t="shared" ref="D674:D737" si="507">IF(A674="","",IF(D673="","",D673))</f>
        <v/>
      </c>
      <c r="E674" s="22" t="str">
        <f t="shared" ref="E674:E737" si="508">IF(A674="","",IF(E673="","",E673))</f>
        <v/>
      </c>
      <c r="F674" s="23" t="str">
        <f t="shared" ref="F674:F737" si="509">IF(A674="","",IF(F673="","",F673))</f>
        <v/>
      </c>
      <c r="G674" s="23"/>
      <c r="H674" s="22"/>
      <c r="I674" s="23"/>
      <c r="J674" s="18"/>
      <c r="K674" s="13" t="str">
        <f t="shared" ref="K674:K737" si="510">IF($N$4="M",IF(A674="","",IF(D674=6,16,IF(A674&lt;=$M$5,26,IF(A674&lt;=$M$6,24,IF(A674&lt;=$M$7,22,IF(A674&lt;=$M$8,20,18)))))),IF(A674="","",IF(D674=6,16,IF(A674&lt;=$P$5,26,IF(A674&lt;=$P$6,24,IF(A674&lt;=$P$7,22,IF(A674&lt;=$P$8,20,18)))))))</f>
        <v/>
      </c>
      <c r="L674" s="28" t="str">
        <f t="shared" ref="L674:L737" si="511">IF($N$4="M",IF(A674="","",IF(K674=26,(A674+B674+Q674)*C674*0.02739,IF(K674=24,(A674+B674+Q674)*C674*0.02739,IF(K674=22,(A674+B674+Q674)*C674*0.0333,IF(K674=20,(A674+B674+Q674)*C674*0.0393,IF(K674=18,(A674+B674+Q674)*C674*0.0511,IF(K674=16,(A674+B674+Q674)*C674*0.0628))))))),IF(A674="","",IF(K674=26,(A674+B674+Q674)*C674*0.211,IF(K674=24,(A674+B674+Q674)*C674*0.211,IF(K674=22,(A674+B674+Q674)*C674*0.258,IF(K674=20,(A674+B674+Q674)*C674*0.304,IF(K674=18,(A674+B674+Q674)*C674*0.395,IF(K674=16,(A674+B674+Q674)*C674*0.487))))))))</f>
        <v/>
      </c>
      <c r="M674" s="10" t="str">
        <f t="shared" ref="M674:M737" si="512">IF(D674=1,0.5,IF(D674=2,"1 F",IF(D674=21,"1 R",IF(D674=3,2,""))))</f>
        <v/>
      </c>
      <c r="N674" s="17" t="str">
        <f t="shared" ref="N674:N737" si="513">IF(M674="","",IF($N$4="M",(A674+B674+Q674)*C674*0.022,(A674+B674+Q674)*C674*0.17))</f>
        <v/>
      </c>
      <c r="O674" s="39" t="str">
        <f t="shared" ref="O674:O737" si="514">IF(D674=4,1,IF(D674=5,2,""))</f>
        <v/>
      </c>
      <c r="P674" s="41" t="str">
        <f t="shared" ref="P674:P737" si="515">IF(O674="","",IF($N$4="M",IF(O674=1,(A674+B674+Q674)*C674*0.022*1.1,(A674+B674+Q674)*C674*0.022*1.15),IF(O674=1,(A674+B674+Q674)*C674*0.17*1.1,(A674+B674+Q674)*C674*0.17*1.15)))</f>
        <v/>
      </c>
      <c r="Q674" s="9" t="str">
        <f t="shared" ref="Q674:Q737" si="516">IF($N$4="M",IF(A674="","",IF(D674=1,50,IF(D674=2,100,IF(D674=21,100,IF(D674=3,200,0))))),IF(A674="","",IF(D674=1,2,IF(D674=2,4,IF(D674=21,4,IF(D674=3,8,0))))))</f>
        <v/>
      </c>
      <c r="R674" s="14">
        <f t="shared" ref="R674:R737" si="517">COUNTIF(G674:J674,7)</f>
        <v>0</v>
      </c>
      <c r="S674" s="61" t="str">
        <f t="shared" ref="S674:S737" si="518">IF(A674="","",IF($N$4="M",A674*B674*0.000011111*R674*1.5,A674*B674/144*R674*1.5))</f>
        <v/>
      </c>
      <c r="T674" s="14">
        <f t="shared" ref="T674:T737" si="519">COUNTIF(G674:J674,71)</f>
        <v>0</v>
      </c>
      <c r="U674" s="58" t="str">
        <f t="shared" ref="U674:U737" si="520">IF(A674="","",IF($N$4="M",A674*B674*0.000011111*T674*1.5,A674*B674/144*T674*1.5))</f>
        <v/>
      </c>
      <c r="V674" s="14">
        <f t="shared" ref="V674:V737" si="521">COUNTIF(G674:J674,8)</f>
        <v>0</v>
      </c>
      <c r="W674" s="58" t="str">
        <f t="shared" ref="W674:W737" si="522">IF(A674="","",IF($N$4="M",(A674+B674)*2*0.0032808*V674,(A674+B674)*2*V674/12))</f>
        <v/>
      </c>
      <c r="X674" s="14">
        <f t="shared" ref="X674:X737" si="523">COUNTIF(G674:J674,81)</f>
        <v>0</v>
      </c>
      <c r="Y674" s="58" t="str">
        <f t="shared" ref="Y674:Y737" si="524">IF(A674="","",IF($N$4="M",(A674+B674)*2*0.0032808*X674,(A674+B674)*2*X674/12))</f>
        <v/>
      </c>
      <c r="Z674" s="31">
        <f t="shared" ref="Z674:Z737" si="525">COUNTIF(G674:J674,9)</f>
        <v>0</v>
      </c>
      <c r="AA674" s="21">
        <f t="shared" ref="AA674:AA737" si="526">COUNTIF(G674:J674,10)</f>
        <v>0</v>
      </c>
      <c r="AB674" s="58" t="str">
        <f t="shared" ref="AB674:AB737" si="527">IF(A674="","",IF($N$4="M",(A674+B674)*2*0.0032808*AA674,(A674+B674)*2*AA674/12))</f>
        <v/>
      </c>
      <c r="AC674" s="630">
        <f t="shared" si="504"/>
        <v>0</v>
      </c>
      <c r="AD674" s="627"/>
      <c r="AE674" s="21">
        <f t="shared" ref="AE674:AE737" si="528">COUNTIF(G674:J674,11)</f>
        <v>0</v>
      </c>
      <c r="AF674" s="58" t="str">
        <f t="shared" ref="AF674:AF737" si="529">IF(A674="","",IF($N$4="M",A674*B674*0.000011111*AE674,A674*B674/144*AE674))</f>
        <v/>
      </c>
      <c r="AG674" s="21">
        <f t="shared" ref="AG674:AG737" si="530">COUNTIF(G674:J674,111)</f>
        <v>0</v>
      </c>
      <c r="AH674" s="58" t="str">
        <f t="shared" ref="AH674:AH737" si="531">IF(A674="","",IF($N$4="M",A674*B674*0.000011111*AG674,A674*B674/144*AG674))</f>
        <v/>
      </c>
      <c r="AI674" s="21">
        <f t="shared" ref="AI674:AI737" si="532">COUNTIF(G674:J674,12)</f>
        <v>0</v>
      </c>
      <c r="AJ674" s="58" t="str">
        <f t="shared" ref="AJ674:AJ737" si="533">IF(A674="","",IF($N$4="M",A674*B674*0.000011111*AI674,A674*B674/144*AI674))</f>
        <v/>
      </c>
      <c r="AK674" s="31">
        <f t="shared" ref="AK674:AK737" si="534">COUNTIF(G674:J674,13)</f>
        <v>0</v>
      </c>
      <c r="AL674" s="21">
        <f t="shared" ref="AL674:AL737" si="535">COUNTIF(G674:J674,131)</f>
        <v>0</v>
      </c>
      <c r="AM674" s="62" t="str">
        <f t="shared" ref="AM674:AM737" si="536">IF(A674="","",IF($N$4="M",A674*B674*0.000011111*AL674,A674*B674/144*AL674))</f>
        <v/>
      </c>
      <c r="AN674" s="21">
        <f t="shared" ref="AN674:AN737" si="537">COUNTIF(G674:J674,14)</f>
        <v>0</v>
      </c>
      <c r="AO674" s="62" t="str">
        <f t="shared" ref="AO674:AO737" si="538">IF(A674="","",IF($N$4="M",A674*B674*0.000011111*AN674,A674*B674/144*AN674))</f>
        <v/>
      </c>
      <c r="AP674" s="21">
        <f t="shared" ref="AP674:AP737" si="539">COUNTIF(G674:J674,141)</f>
        <v>0</v>
      </c>
      <c r="AQ674" s="62" t="str">
        <f t="shared" ref="AQ674:AQ737" si="540">IF(A674="","",IF($N$4="M",A674*B674*0.000011111*AP674,A674*B674/144*AP674))</f>
        <v/>
      </c>
      <c r="AR674" s="31">
        <f t="shared" ref="AR674:AR737" si="541">COUNTIF(G674:J674,15)</f>
        <v>0</v>
      </c>
      <c r="AS674" s="21">
        <f t="shared" ref="AS674:AS737" si="542">COUNTIF(G674:J674,16)</f>
        <v>0</v>
      </c>
      <c r="AT674" s="62" t="str">
        <f t="shared" ref="AT674:AT737" si="543">IF(A674="","",IF($N$4="M",A674*B674*0.000011111*AS674,A674*B674/144*AS674))</f>
        <v/>
      </c>
      <c r="AU674" s="84">
        <f t="shared" ref="AU674:AU737" si="544">IF(D674=61,C674,0)</f>
        <v>0</v>
      </c>
      <c r="AV674" s="32">
        <f t="shared" ref="AV674:AV737" si="545">IF(D674=61,L674,0)</f>
        <v>0</v>
      </c>
      <c r="AW674" s="85" t="str">
        <f t="shared" ref="AW674:AW737" si="546">IF(A674="","",(C674-AU674))</f>
        <v/>
      </c>
      <c r="AX674" s="86" t="str">
        <f t="shared" ref="AX674:AX737" si="547">IF(A674="","",(L674-AV674))</f>
        <v/>
      </c>
    </row>
    <row r="675" spans="1:50" x14ac:dyDescent="0.2">
      <c r="A675" s="29" t="str">
        <f t="shared" si="505"/>
        <v/>
      </c>
      <c r="B675" s="32" t="str">
        <f t="shared" si="506"/>
        <v/>
      </c>
      <c r="C675" s="35"/>
      <c r="D675" s="33" t="str">
        <f t="shared" si="507"/>
        <v/>
      </c>
      <c r="E675" s="22" t="str">
        <f t="shared" si="508"/>
        <v/>
      </c>
      <c r="F675" s="23" t="str">
        <f t="shared" si="509"/>
        <v/>
      </c>
      <c r="G675" s="23"/>
      <c r="H675" s="22"/>
      <c r="I675" s="23"/>
      <c r="J675" s="18"/>
      <c r="K675" s="13" t="str">
        <f t="shared" si="510"/>
        <v/>
      </c>
      <c r="L675" s="28" t="str">
        <f t="shared" si="511"/>
        <v/>
      </c>
      <c r="M675" s="10" t="str">
        <f t="shared" si="512"/>
        <v/>
      </c>
      <c r="N675" s="17" t="str">
        <f t="shared" si="513"/>
        <v/>
      </c>
      <c r="O675" s="39" t="str">
        <f t="shared" si="514"/>
        <v/>
      </c>
      <c r="P675" s="41" t="str">
        <f t="shared" si="515"/>
        <v/>
      </c>
      <c r="Q675" s="9" t="str">
        <f t="shared" si="516"/>
        <v/>
      </c>
      <c r="R675" s="14">
        <f t="shared" si="517"/>
        <v>0</v>
      </c>
      <c r="S675" s="61" t="str">
        <f t="shared" si="518"/>
        <v/>
      </c>
      <c r="T675" s="14">
        <f t="shared" si="519"/>
        <v>0</v>
      </c>
      <c r="U675" s="58" t="str">
        <f t="shared" si="520"/>
        <v/>
      </c>
      <c r="V675" s="14">
        <f t="shared" si="521"/>
        <v>0</v>
      </c>
      <c r="W675" s="58" t="str">
        <f t="shared" si="522"/>
        <v/>
      </c>
      <c r="X675" s="14">
        <f t="shared" si="523"/>
        <v>0</v>
      </c>
      <c r="Y675" s="58" t="str">
        <f t="shared" si="524"/>
        <v/>
      </c>
      <c r="Z675" s="31">
        <f t="shared" si="525"/>
        <v>0</v>
      </c>
      <c r="AA675" s="21">
        <f t="shared" si="526"/>
        <v>0</v>
      </c>
      <c r="AB675" s="58" t="str">
        <f t="shared" si="527"/>
        <v/>
      </c>
      <c r="AC675" s="630">
        <f t="shared" si="504"/>
        <v>0</v>
      </c>
      <c r="AD675" s="627"/>
      <c r="AE675" s="21">
        <f t="shared" si="528"/>
        <v>0</v>
      </c>
      <c r="AF675" s="58" t="str">
        <f t="shared" si="529"/>
        <v/>
      </c>
      <c r="AG675" s="21">
        <f t="shared" si="530"/>
        <v>0</v>
      </c>
      <c r="AH675" s="58" t="str">
        <f t="shared" si="531"/>
        <v/>
      </c>
      <c r="AI675" s="21">
        <f t="shared" si="532"/>
        <v>0</v>
      </c>
      <c r="AJ675" s="58" t="str">
        <f t="shared" si="533"/>
        <v/>
      </c>
      <c r="AK675" s="31">
        <f t="shared" si="534"/>
        <v>0</v>
      </c>
      <c r="AL675" s="21">
        <f t="shared" si="535"/>
        <v>0</v>
      </c>
      <c r="AM675" s="62" t="str">
        <f t="shared" si="536"/>
        <v/>
      </c>
      <c r="AN675" s="21">
        <f t="shared" si="537"/>
        <v>0</v>
      </c>
      <c r="AO675" s="62" t="str">
        <f t="shared" si="538"/>
        <v/>
      </c>
      <c r="AP675" s="21">
        <f t="shared" si="539"/>
        <v>0</v>
      </c>
      <c r="AQ675" s="62" t="str">
        <f t="shared" si="540"/>
        <v/>
      </c>
      <c r="AR675" s="31">
        <f t="shared" si="541"/>
        <v>0</v>
      </c>
      <c r="AS675" s="21">
        <f t="shared" si="542"/>
        <v>0</v>
      </c>
      <c r="AT675" s="62" t="str">
        <f t="shared" si="543"/>
        <v/>
      </c>
      <c r="AU675" s="84">
        <f t="shared" si="544"/>
        <v>0</v>
      </c>
      <c r="AV675" s="32">
        <f t="shared" si="545"/>
        <v>0</v>
      </c>
      <c r="AW675" s="85" t="str">
        <f t="shared" si="546"/>
        <v/>
      </c>
      <c r="AX675" s="86" t="str">
        <f t="shared" si="547"/>
        <v/>
      </c>
    </row>
    <row r="676" spans="1:50" x14ac:dyDescent="0.2">
      <c r="A676" s="29" t="str">
        <f t="shared" si="505"/>
        <v/>
      </c>
      <c r="B676" s="32" t="str">
        <f t="shared" si="506"/>
        <v/>
      </c>
      <c r="C676" s="35"/>
      <c r="D676" s="33" t="str">
        <f t="shared" si="507"/>
        <v/>
      </c>
      <c r="E676" s="22" t="str">
        <f t="shared" si="508"/>
        <v/>
      </c>
      <c r="F676" s="23" t="str">
        <f t="shared" si="509"/>
        <v/>
      </c>
      <c r="G676" s="23"/>
      <c r="H676" s="22"/>
      <c r="I676" s="23"/>
      <c r="J676" s="18"/>
      <c r="K676" s="13" t="str">
        <f t="shared" si="510"/>
        <v/>
      </c>
      <c r="L676" s="28" t="str">
        <f t="shared" si="511"/>
        <v/>
      </c>
      <c r="M676" s="10" t="str">
        <f t="shared" si="512"/>
        <v/>
      </c>
      <c r="N676" s="17" t="str">
        <f t="shared" si="513"/>
        <v/>
      </c>
      <c r="O676" s="39" t="str">
        <f t="shared" si="514"/>
        <v/>
      </c>
      <c r="P676" s="41" t="str">
        <f t="shared" si="515"/>
        <v/>
      </c>
      <c r="Q676" s="9" t="str">
        <f t="shared" si="516"/>
        <v/>
      </c>
      <c r="R676" s="14">
        <f t="shared" si="517"/>
        <v>0</v>
      </c>
      <c r="S676" s="61" t="str">
        <f t="shared" si="518"/>
        <v/>
      </c>
      <c r="T676" s="14">
        <f t="shared" si="519"/>
        <v>0</v>
      </c>
      <c r="U676" s="58" t="str">
        <f t="shared" si="520"/>
        <v/>
      </c>
      <c r="V676" s="14">
        <f t="shared" si="521"/>
        <v>0</v>
      </c>
      <c r="W676" s="58" t="str">
        <f t="shared" si="522"/>
        <v/>
      </c>
      <c r="X676" s="14">
        <f t="shared" si="523"/>
        <v>0</v>
      </c>
      <c r="Y676" s="58" t="str">
        <f t="shared" si="524"/>
        <v/>
      </c>
      <c r="Z676" s="31">
        <f t="shared" si="525"/>
        <v>0</v>
      </c>
      <c r="AA676" s="21">
        <f t="shared" si="526"/>
        <v>0</v>
      </c>
      <c r="AB676" s="58" t="str">
        <f t="shared" si="527"/>
        <v/>
      </c>
      <c r="AC676" s="630">
        <f t="shared" si="504"/>
        <v>0</v>
      </c>
      <c r="AD676" s="627"/>
      <c r="AE676" s="21">
        <f t="shared" si="528"/>
        <v>0</v>
      </c>
      <c r="AF676" s="58" t="str">
        <f t="shared" si="529"/>
        <v/>
      </c>
      <c r="AG676" s="21">
        <f t="shared" si="530"/>
        <v>0</v>
      </c>
      <c r="AH676" s="58" t="str">
        <f t="shared" si="531"/>
        <v/>
      </c>
      <c r="AI676" s="21">
        <f t="shared" si="532"/>
        <v>0</v>
      </c>
      <c r="AJ676" s="58" t="str">
        <f t="shared" si="533"/>
        <v/>
      </c>
      <c r="AK676" s="31">
        <f t="shared" si="534"/>
        <v>0</v>
      </c>
      <c r="AL676" s="21">
        <f t="shared" si="535"/>
        <v>0</v>
      </c>
      <c r="AM676" s="62" t="str">
        <f t="shared" si="536"/>
        <v/>
      </c>
      <c r="AN676" s="21">
        <f t="shared" si="537"/>
        <v>0</v>
      </c>
      <c r="AO676" s="62" t="str">
        <f t="shared" si="538"/>
        <v/>
      </c>
      <c r="AP676" s="21">
        <f t="shared" si="539"/>
        <v>0</v>
      </c>
      <c r="AQ676" s="62" t="str">
        <f t="shared" si="540"/>
        <v/>
      </c>
      <c r="AR676" s="31">
        <f t="shared" si="541"/>
        <v>0</v>
      </c>
      <c r="AS676" s="21">
        <f t="shared" si="542"/>
        <v>0</v>
      </c>
      <c r="AT676" s="62" t="str">
        <f t="shared" si="543"/>
        <v/>
      </c>
      <c r="AU676" s="84">
        <f t="shared" si="544"/>
        <v>0</v>
      </c>
      <c r="AV676" s="32">
        <f t="shared" si="545"/>
        <v>0</v>
      </c>
      <c r="AW676" s="85" t="str">
        <f t="shared" si="546"/>
        <v/>
      </c>
      <c r="AX676" s="86" t="str">
        <f t="shared" si="547"/>
        <v/>
      </c>
    </row>
    <row r="677" spans="1:50" x14ac:dyDescent="0.2">
      <c r="A677" s="29" t="str">
        <f t="shared" si="505"/>
        <v/>
      </c>
      <c r="B677" s="32" t="str">
        <f t="shared" si="506"/>
        <v/>
      </c>
      <c r="C677" s="35"/>
      <c r="D677" s="33" t="str">
        <f t="shared" si="507"/>
        <v/>
      </c>
      <c r="E677" s="22" t="str">
        <f t="shared" si="508"/>
        <v/>
      </c>
      <c r="F677" s="23" t="str">
        <f t="shared" si="509"/>
        <v/>
      </c>
      <c r="G677" s="23"/>
      <c r="H677" s="22"/>
      <c r="I677" s="23"/>
      <c r="J677" s="18"/>
      <c r="K677" s="13" t="str">
        <f t="shared" si="510"/>
        <v/>
      </c>
      <c r="L677" s="28" t="str">
        <f t="shared" si="511"/>
        <v/>
      </c>
      <c r="M677" s="10" t="str">
        <f t="shared" si="512"/>
        <v/>
      </c>
      <c r="N677" s="17" t="str">
        <f t="shared" si="513"/>
        <v/>
      </c>
      <c r="O677" s="39" t="str">
        <f t="shared" si="514"/>
        <v/>
      </c>
      <c r="P677" s="41" t="str">
        <f t="shared" si="515"/>
        <v/>
      </c>
      <c r="Q677" s="9" t="str">
        <f t="shared" si="516"/>
        <v/>
      </c>
      <c r="R677" s="14">
        <f t="shared" si="517"/>
        <v>0</v>
      </c>
      <c r="S677" s="61" t="str">
        <f t="shared" si="518"/>
        <v/>
      </c>
      <c r="T677" s="14">
        <f t="shared" si="519"/>
        <v>0</v>
      </c>
      <c r="U677" s="58" t="str">
        <f t="shared" si="520"/>
        <v/>
      </c>
      <c r="V677" s="14">
        <f t="shared" si="521"/>
        <v>0</v>
      </c>
      <c r="W677" s="58" t="str">
        <f t="shared" si="522"/>
        <v/>
      </c>
      <c r="X677" s="14">
        <f t="shared" si="523"/>
        <v>0</v>
      </c>
      <c r="Y677" s="58" t="str">
        <f t="shared" si="524"/>
        <v/>
      </c>
      <c r="Z677" s="31">
        <f t="shared" si="525"/>
        <v>0</v>
      </c>
      <c r="AA677" s="21">
        <f t="shared" si="526"/>
        <v>0</v>
      </c>
      <c r="AB677" s="58" t="str">
        <f t="shared" si="527"/>
        <v/>
      </c>
      <c r="AC677" s="630">
        <f t="shared" si="504"/>
        <v>0</v>
      </c>
      <c r="AD677" s="627"/>
      <c r="AE677" s="21">
        <f t="shared" si="528"/>
        <v>0</v>
      </c>
      <c r="AF677" s="58" t="str">
        <f t="shared" si="529"/>
        <v/>
      </c>
      <c r="AG677" s="21">
        <f t="shared" si="530"/>
        <v>0</v>
      </c>
      <c r="AH677" s="58" t="str">
        <f t="shared" si="531"/>
        <v/>
      </c>
      <c r="AI677" s="21">
        <f t="shared" si="532"/>
        <v>0</v>
      </c>
      <c r="AJ677" s="58" t="str">
        <f t="shared" si="533"/>
        <v/>
      </c>
      <c r="AK677" s="31">
        <f t="shared" si="534"/>
        <v>0</v>
      </c>
      <c r="AL677" s="21">
        <f t="shared" si="535"/>
        <v>0</v>
      </c>
      <c r="AM677" s="62" t="str">
        <f t="shared" si="536"/>
        <v/>
      </c>
      <c r="AN677" s="21">
        <f t="shared" si="537"/>
        <v>0</v>
      </c>
      <c r="AO677" s="62" t="str">
        <f t="shared" si="538"/>
        <v/>
      </c>
      <c r="AP677" s="21">
        <f t="shared" si="539"/>
        <v>0</v>
      </c>
      <c r="AQ677" s="62" t="str">
        <f t="shared" si="540"/>
        <v/>
      </c>
      <c r="AR677" s="31">
        <f t="shared" si="541"/>
        <v>0</v>
      </c>
      <c r="AS677" s="21">
        <f t="shared" si="542"/>
        <v>0</v>
      </c>
      <c r="AT677" s="62" t="str">
        <f t="shared" si="543"/>
        <v/>
      </c>
      <c r="AU677" s="84">
        <f t="shared" si="544"/>
        <v>0</v>
      </c>
      <c r="AV677" s="32">
        <f t="shared" si="545"/>
        <v>0</v>
      </c>
      <c r="AW677" s="85" t="str">
        <f t="shared" si="546"/>
        <v/>
      </c>
      <c r="AX677" s="86" t="str">
        <f t="shared" si="547"/>
        <v/>
      </c>
    </row>
    <row r="678" spans="1:50" x14ac:dyDescent="0.2">
      <c r="A678" s="29" t="str">
        <f t="shared" si="505"/>
        <v/>
      </c>
      <c r="B678" s="32" t="str">
        <f t="shared" si="506"/>
        <v/>
      </c>
      <c r="C678" s="35"/>
      <c r="D678" s="33" t="str">
        <f t="shared" si="507"/>
        <v/>
      </c>
      <c r="E678" s="22" t="str">
        <f t="shared" si="508"/>
        <v/>
      </c>
      <c r="F678" s="23" t="str">
        <f t="shared" si="509"/>
        <v/>
      </c>
      <c r="G678" s="23"/>
      <c r="H678" s="22"/>
      <c r="I678" s="23"/>
      <c r="J678" s="18"/>
      <c r="K678" s="13" t="str">
        <f t="shared" si="510"/>
        <v/>
      </c>
      <c r="L678" s="28" t="str">
        <f t="shared" si="511"/>
        <v/>
      </c>
      <c r="M678" s="10" t="str">
        <f t="shared" si="512"/>
        <v/>
      </c>
      <c r="N678" s="17" t="str">
        <f t="shared" si="513"/>
        <v/>
      </c>
      <c r="O678" s="39" t="str">
        <f t="shared" si="514"/>
        <v/>
      </c>
      <c r="P678" s="41" t="str">
        <f t="shared" si="515"/>
        <v/>
      </c>
      <c r="Q678" s="9" t="str">
        <f t="shared" si="516"/>
        <v/>
      </c>
      <c r="R678" s="14">
        <f t="shared" si="517"/>
        <v>0</v>
      </c>
      <c r="S678" s="61" t="str">
        <f t="shared" si="518"/>
        <v/>
      </c>
      <c r="T678" s="14">
        <f t="shared" si="519"/>
        <v>0</v>
      </c>
      <c r="U678" s="58" t="str">
        <f t="shared" si="520"/>
        <v/>
      </c>
      <c r="V678" s="14">
        <f t="shared" si="521"/>
        <v>0</v>
      </c>
      <c r="W678" s="58" t="str">
        <f t="shared" si="522"/>
        <v/>
      </c>
      <c r="X678" s="14">
        <f t="shared" si="523"/>
        <v>0</v>
      </c>
      <c r="Y678" s="58" t="str">
        <f t="shared" si="524"/>
        <v/>
      </c>
      <c r="Z678" s="31">
        <f t="shared" si="525"/>
        <v>0</v>
      </c>
      <c r="AA678" s="21">
        <f t="shared" si="526"/>
        <v>0</v>
      </c>
      <c r="AB678" s="58" t="str">
        <f t="shared" si="527"/>
        <v/>
      </c>
      <c r="AC678" s="630">
        <f t="shared" si="504"/>
        <v>0</v>
      </c>
      <c r="AD678" s="627"/>
      <c r="AE678" s="21">
        <f t="shared" si="528"/>
        <v>0</v>
      </c>
      <c r="AF678" s="58" t="str">
        <f t="shared" si="529"/>
        <v/>
      </c>
      <c r="AG678" s="21">
        <f t="shared" si="530"/>
        <v>0</v>
      </c>
      <c r="AH678" s="58" t="str">
        <f t="shared" si="531"/>
        <v/>
      </c>
      <c r="AI678" s="21">
        <f t="shared" si="532"/>
        <v>0</v>
      </c>
      <c r="AJ678" s="58" t="str">
        <f t="shared" si="533"/>
        <v/>
      </c>
      <c r="AK678" s="31">
        <f t="shared" si="534"/>
        <v>0</v>
      </c>
      <c r="AL678" s="21">
        <f t="shared" si="535"/>
        <v>0</v>
      </c>
      <c r="AM678" s="62" t="str">
        <f t="shared" si="536"/>
        <v/>
      </c>
      <c r="AN678" s="21">
        <f t="shared" si="537"/>
        <v>0</v>
      </c>
      <c r="AO678" s="62" t="str">
        <f t="shared" si="538"/>
        <v/>
      </c>
      <c r="AP678" s="21">
        <f t="shared" si="539"/>
        <v>0</v>
      </c>
      <c r="AQ678" s="62" t="str">
        <f t="shared" si="540"/>
        <v/>
      </c>
      <c r="AR678" s="31">
        <f t="shared" si="541"/>
        <v>0</v>
      </c>
      <c r="AS678" s="21">
        <f t="shared" si="542"/>
        <v>0</v>
      </c>
      <c r="AT678" s="62" t="str">
        <f t="shared" si="543"/>
        <v/>
      </c>
      <c r="AU678" s="84">
        <f t="shared" si="544"/>
        <v>0</v>
      </c>
      <c r="AV678" s="32">
        <f t="shared" si="545"/>
        <v>0</v>
      </c>
      <c r="AW678" s="85" t="str">
        <f t="shared" si="546"/>
        <v/>
      </c>
      <c r="AX678" s="86" t="str">
        <f t="shared" si="547"/>
        <v/>
      </c>
    </row>
    <row r="679" spans="1:50" x14ac:dyDescent="0.2">
      <c r="A679" s="29" t="str">
        <f t="shared" si="505"/>
        <v/>
      </c>
      <c r="B679" s="32" t="str">
        <f t="shared" si="506"/>
        <v/>
      </c>
      <c r="C679" s="35"/>
      <c r="D679" s="33" t="str">
        <f t="shared" si="507"/>
        <v/>
      </c>
      <c r="E679" s="22" t="str">
        <f t="shared" si="508"/>
        <v/>
      </c>
      <c r="F679" s="23" t="str">
        <f t="shared" si="509"/>
        <v/>
      </c>
      <c r="G679" s="23"/>
      <c r="H679" s="22"/>
      <c r="I679" s="23"/>
      <c r="J679" s="18"/>
      <c r="K679" s="13" t="str">
        <f t="shared" si="510"/>
        <v/>
      </c>
      <c r="L679" s="28" t="str">
        <f t="shared" si="511"/>
        <v/>
      </c>
      <c r="M679" s="10" t="str">
        <f t="shared" si="512"/>
        <v/>
      </c>
      <c r="N679" s="17" t="str">
        <f t="shared" si="513"/>
        <v/>
      </c>
      <c r="O679" s="39" t="str">
        <f t="shared" si="514"/>
        <v/>
      </c>
      <c r="P679" s="41" t="str">
        <f t="shared" si="515"/>
        <v/>
      </c>
      <c r="Q679" s="9" t="str">
        <f t="shared" si="516"/>
        <v/>
      </c>
      <c r="R679" s="14">
        <f t="shared" si="517"/>
        <v>0</v>
      </c>
      <c r="S679" s="61" t="str">
        <f t="shared" si="518"/>
        <v/>
      </c>
      <c r="T679" s="14">
        <f t="shared" si="519"/>
        <v>0</v>
      </c>
      <c r="U679" s="58" t="str">
        <f t="shared" si="520"/>
        <v/>
      </c>
      <c r="V679" s="14">
        <f t="shared" si="521"/>
        <v>0</v>
      </c>
      <c r="W679" s="58" t="str">
        <f t="shared" si="522"/>
        <v/>
      </c>
      <c r="X679" s="14">
        <f t="shared" si="523"/>
        <v>0</v>
      </c>
      <c r="Y679" s="58" t="str">
        <f t="shared" si="524"/>
        <v/>
      </c>
      <c r="Z679" s="31">
        <f t="shared" si="525"/>
        <v>0</v>
      </c>
      <c r="AA679" s="21">
        <f t="shared" si="526"/>
        <v>0</v>
      </c>
      <c r="AB679" s="58" t="str">
        <f t="shared" si="527"/>
        <v/>
      </c>
      <c r="AC679" s="630">
        <f t="shared" si="504"/>
        <v>0</v>
      </c>
      <c r="AD679" s="627"/>
      <c r="AE679" s="21">
        <f t="shared" si="528"/>
        <v>0</v>
      </c>
      <c r="AF679" s="58" t="str">
        <f t="shared" si="529"/>
        <v/>
      </c>
      <c r="AG679" s="21">
        <f t="shared" si="530"/>
        <v>0</v>
      </c>
      <c r="AH679" s="58" t="str">
        <f t="shared" si="531"/>
        <v/>
      </c>
      <c r="AI679" s="21">
        <f t="shared" si="532"/>
        <v>0</v>
      </c>
      <c r="AJ679" s="58" t="str">
        <f t="shared" si="533"/>
        <v/>
      </c>
      <c r="AK679" s="31">
        <f t="shared" si="534"/>
        <v>0</v>
      </c>
      <c r="AL679" s="21">
        <f t="shared" si="535"/>
        <v>0</v>
      </c>
      <c r="AM679" s="62" t="str">
        <f t="shared" si="536"/>
        <v/>
      </c>
      <c r="AN679" s="21">
        <f t="shared" si="537"/>
        <v>0</v>
      </c>
      <c r="AO679" s="62" t="str">
        <f t="shared" si="538"/>
        <v/>
      </c>
      <c r="AP679" s="21">
        <f t="shared" si="539"/>
        <v>0</v>
      </c>
      <c r="AQ679" s="62" t="str">
        <f t="shared" si="540"/>
        <v/>
      </c>
      <c r="AR679" s="31">
        <f t="shared" si="541"/>
        <v>0</v>
      </c>
      <c r="AS679" s="21">
        <f t="shared" si="542"/>
        <v>0</v>
      </c>
      <c r="AT679" s="62" t="str">
        <f t="shared" si="543"/>
        <v/>
      </c>
      <c r="AU679" s="84">
        <f t="shared" si="544"/>
        <v>0</v>
      </c>
      <c r="AV679" s="32">
        <f t="shared" si="545"/>
        <v>0</v>
      </c>
      <c r="AW679" s="85" t="str">
        <f t="shared" si="546"/>
        <v/>
      </c>
      <c r="AX679" s="86" t="str">
        <f t="shared" si="547"/>
        <v/>
      </c>
    </row>
    <row r="680" spans="1:50" x14ac:dyDescent="0.2">
      <c r="A680" s="29" t="str">
        <f t="shared" si="505"/>
        <v/>
      </c>
      <c r="B680" s="32" t="str">
        <f t="shared" si="506"/>
        <v/>
      </c>
      <c r="C680" s="35"/>
      <c r="D680" s="33" t="str">
        <f t="shared" si="507"/>
        <v/>
      </c>
      <c r="E680" s="22" t="str">
        <f t="shared" si="508"/>
        <v/>
      </c>
      <c r="F680" s="23" t="str">
        <f t="shared" si="509"/>
        <v/>
      </c>
      <c r="G680" s="23"/>
      <c r="H680" s="22"/>
      <c r="I680" s="23"/>
      <c r="J680" s="18"/>
      <c r="K680" s="13" t="str">
        <f t="shared" si="510"/>
        <v/>
      </c>
      <c r="L680" s="28" t="str">
        <f t="shared" si="511"/>
        <v/>
      </c>
      <c r="M680" s="10" t="str">
        <f t="shared" si="512"/>
        <v/>
      </c>
      <c r="N680" s="17" t="str">
        <f t="shared" si="513"/>
        <v/>
      </c>
      <c r="O680" s="39" t="str">
        <f t="shared" si="514"/>
        <v/>
      </c>
      <c r="P680" s="41" t="str">
        <f t="shared" si="515"/>
        <v/>
      </c>
      <c r="Q680" s="9" t="str">
        <f t="shared" si="516"/>
        <v/>
      </c>
      <c r="R680" s="14">
        <f t="shared" si="517"/>
        <v>0</v>
      </c>
      <c r="S680" s="61" t="str">
        <f t="shared" si="518"/>
        <v/>
      </c>
      <c r="T680" s="14">
        <f t="shared" si="519"/>
        <v>0</v>
      </c>
      <c r="U680" s="58" t="str">
        <f t="shared" si="520"/>
        <v/>
      </c>
      <c r="V680" s="14">
        <f t="shared" si="521"/>
        <v>0</v>
      </c>
      <c r="W680" s="58" t="str">
        <f t="shared" si="522"/>
        <v/>
      </c>
      <c r="X680" s="14">
        <f t="shared" si="523"/>
        <v>0</v>
      </c>
      <c r="Y680" s="58" t="str">
        <f t="shared" si="524"/>
        <v/>
      </c>
      <c r="Z680" s="31">
        <f t="shared" si="525"/>
        <v>0</v>
      </c>
      <c r="AA680" s="21">
        <f t="shared" si="526"/>
        <v>0</v>
      </c>
      <c r="AB680" s="58" t="str">
        <f t="shared" si="527"/>
        <v/>
      </c>
      <c r="AC680" s="630">
        <f t="shared" si="504"/>
        <v>0</v>
      </c>
      <c r="AD680" s="627"/>
      <c r="AE680" s="21">
        <f t="shared" si="528"/>
        <v>0</v>
      </c>
      <c r="AF680" s="58" t="str">
        <f t="shared" si="529"/>
        <v/>
      </c>
      <c r="AG680" s="21">
        <f t="shared" si="530"/>
        <v>0</v>
      </c>
      <c r="AH680" s="58" t="str">
        <f t="shared" si="531"/>
        <v/>
      </c>
      <c r="AI680" s="21">
        <f t="shared" si="532"/>
        <v>0</v>
      </c>
      <c r="AJ680" s="58" t="str">
        <f t="shared" si="533"/>
        <v/>
      </c>
      <c r="AK680" s="31">
        <f t="shared" si="534"/>
        <v>0</v>
      </c>
      <c r="AL680" s="21">
        <f t="shared" si="535"/>
        <v>0</v>
      </c>
      <c r="AM680" s="62" t="str">
        <f t="shared" si="536"/>
        <v/>
      </c>
      <c r="AN680" s="21">
        <f t="shared" si="537"/>
        <v>0</v>
      </c>
      <c r="AO680" s="62" t="str">
        <f t="shared" si="538"/>
        <v/>
      </c>
      <c r="AP680" s="21">
        <f t="shared" si="539"/>
        <v>0</v>
      </c>
      <c r="AQ680" s="62" t="str">
        <f t="shared" si="540"/>
        <v/>
      </c>
      <c r="AR680" s="31">
        <f t="shared" si="541"/>
        <v>0</v>
      </c>
      <c r="AS680" s="21">
        <f t="shared" si="542"/>
        <v>0</v>
      </c>
      <c r="AT680" s="62" t="str">
        <f t="shared" si="543"/>
        <v/>
      </c>
      <c r="AU680" s="84">
        <f t="shared" si="544"/>
        <v>0</v>
      </c>
      <c r="AV680" s="32">
        <f t="shared" si="545"/>
        <v>0</v>
      </c>
      <c r="AW680" s="85" t="str">
        <f t="shared" si="546"/>
        <v/>
      </c>
      <c r="AX680" s="86" t="str">
        <f t="shared" si="547"/>
        <v/>
      </c>
    </row>
    <row r="681" spans="1:50" x14ac:dyDescent="0.2">
      <c r="A681" s="29" t="str">
        <f t="shared" si="505"/>
        <v/>
      </c>
      <c r="B681" s="32" t="str">
        <f t="shared" si="506"/>
        <v/>
      </c>
      <c r="C681" s="35"/>
      <c r="D681" s="33" t="str">
        <f t="shared" si="507"/>
        <v/>
      </c>
      <c r="E681" s="22" t="str">
        <f t="shared" si="508"/>
        <v/>
      </c>
      <c r="F681" s="23" t="str">
        <f t="shared" si="509"/>
        <v/>
      </c>
      <c r="G681" s="23"/>
      <c r="H681" s="22"/>
      <c r="I681" s="23"/>
      <c r="J681" s="18"/>
      <c r="K681" s="13" t="str">
        <f t="shared" si="510"/>
        <v/>
      </c>
      <c r="L681" s="28" t="str">
        <f t="shared" si="511"/>
        <v/>
      </c>
      <c r="M681" s="10" t="str">
        <f t="shared" si="512"/>
        <v/>
      </c>
      <c r="N681" s="17" t="str">
        <f t="shared" si="513"/>
        <v/>
      </c>
      <c r="O681" s="39" t="str">
        <f t="shared" si="514"/>
        <v/>
      </c>
      <c r="P681" s="41" t="str">
        <f t="shared" si="515"/>
        <v/>
      </c>
      <c r="Q681" s="9" t="str">
        <f t="shared" si="516"/>
        <v/>
      </c>
      <c r="R681" s="14">
        <f t="shared" si="517"/>
        <v>0</v>
      </c>
      <c r="S681" s="61" t="str">
        <f t="shared" si="518"/>
        <v/>
      </c>
      <c r="T681" s="14">
        <f t="shared" si="519"/>
        <v>0</v>
      </c>
      <c r="U681" s="58" t="str">
        <f t="shared" si="520"/>
        <v/>
      </c>
      <c r="V681" s="14">
        <f t="shared" si="521"/>
        <v>0</v>
      </c>
      <c r="W681" s="58" t="str">
        <f t="shared" si="522"/>
        <v/>
      </c>
      <c r="X681" s="14">
        <f t="shared" si="523"/>
        <v>0</v>
      </c>
      <c r="Y681" s="58" t="str">
        <f t="shared" si="524"/>
        <v/>
      </c>
      <c r="Z681" s="31">
        <f t="shared" si="525"/>
        <v>0</v>
      </c>
      <c r="AA681" s="21">
        <f t="shared" si="526"/>
        <v>0</v>
      </c>
      <c r="AB681" s="58" t="str">
        <f t="shared" si="527"/>
        <v/>
      </c>
      <c r="AC681" s="630">
        <f t="shared" si="504"/>
        <v>0</v>
      </c>
      <c r="AD681" s="627"/>
      <c r="AE681" s="21">
        <f t="shared" si="528"/>
        <v>0</v>
      </c>
      <c r="AF681" s="58" t="str">
        <f t="shared" si="529"/>
        <v/>
      </c>
      <c r="AG681" s="21">
        <f t="shared" si="530"/>
        <v>0</v>
      </c>
      <c r="AH681" s="58" t="str">
        <f t="shared" si="531"/>
        <v/>
      </c>
      <c r="AI681" s="21">
        <f t="shared" si="532"/>
        <v>0</v>
      </c>
      <c r="AJ681" s="58" t="str">
        <f t="shared" si="533"/>
        <v/>
      </c>
      <c r="AK681" s="31">
        <f t="shared" si="534"/>
        <v>0</v>
      </c>
      <c r="AL681" s="21">
        <f t="shared" si="535"/>
        <v>0</v>
      </c>
      <c r="AM681" s="62" t="str">
        <f t="shared" si="536"/>
        <v/>
      </c>
      <c r="AN681" s="21">
        <f t="shared" si="537"/>
        <v>0</v>
      </c>
      <c r="AO681" s="62" t="str">
        <f t="shared" si="538"/>
        <v/>
      </c>
      <c r="AP681" s="21">
        <f t="shared" si="539"/>
        <v>0</v>
      </c>
      <c r="AQ681" s="62" t="str">
        <f t="shared" si="540"/>
        <v/>
      </c>
      <c r="AR681" s="31">
        <f t="shared" si="541"/>
        <v>0</v>
      </c>
      <c r="AS681" s="21">
        <f t="shared" si="542"/>
        <v>0</v>
      </c>
      <c r="AT681" s="62" t="str">
        <f t="shared" si="543"/>
        <v/>
      </c>
      <c r="AU681" s="84">
        <f t="shared" si="544"/>
        <v>0</v>
      </c>
      <c r="AV681" s="32">
        <f t="shared" si="545"/>
        <v>0</v>
      </c>
      <c r="AW681" s="85" t="str">
        <f t="shared" si="546"/>
        <v/>
      </c>
      <c r="AX681" s="86" t="str">
        <f t="shared" si="547"/>
        <v/>
      </c>
    </row>
    <row r="682" spans="1:50" x14ac:dyDescent="0.2">
      <c r="A682" s="29" t="str">
        <f t="shared" si="505"/>
        <v/>
      </c>
      <c r="B682" s="32" t="str">
        <f t="shared" si="506"/>
        <v/>
      </c>
      <c r="C682" s="35"/>
      <c r="D682" s="33" t="str">
        <f t="shared" si="507"/>
        <v/>
      </c>
      <c r="E682" s="22" t="str">
        <f t="shared" si="508"/>
        <v/>
      </c>
      <c r="F682" s="23" t="str">
        <f t="shared" si="509"/>
        <v/>
      </c>
      <c r="G682" s="23"/>
      <c r="H682" s="22"/>
      <c r="I682" s="23"/>
      <c r="J682" s="18"/>
      <c r="K682" s="13" t="str">
        <f t="shared" si="510"/>
        <v/>
      </c>
      <c r="L682" s="28" t="str">
        <f t="shared" si="511"/>
        <v/>
      </c>
      <c r="M682" s="10" t="str">
        <f t="shared" si="512"/>
        <v/>
      </c>
      <c r="N682" s="17" t="str">
        <f t="shared" si="513"/>
        <v/>
      </c>
      <c r="O682" s="39" t="str">
        <f t="shared" si="514"/>
        <v/>
      </c>
      <c r="P682" s="41" t="str">
        <f t="shared" si="515"/>
        <v/>
      </c>
      <c r="Q682" s="9" t="str">
        <f t="shared" si="516"/>
        <v/>
      </c>
      <c r="R682" s="14">
        <f t="shared" si="517"/>
        <v>0</v>
      </c>
      <c r="S682" s="61" t="str">
        <f t="shared" si="518"/>
        <v/>
      </c>
      <c r="T682" s="14">
        <f t="shared" si="519"/>
        <v>0</v>
      </c>
      <c r="U682" s="58" t="str">
        <f t="shared" si="520"/>
        <v/>
      </c>
      <c r="V682" s="14">
        <f t="shared" si="521"/>
        <v>0</v>
      </c>
      <c r="W682" s="58" t="str">
        <f t="shared" si="522"/>
        <v/>
      </c>
      <c r="X682" s="14">
        <f t="shared" si="523"/>
        <v>0</v>
      </c>
      <c r="Y682" s="58" t="str">
        <f t="shared" si="524"/>
        <v/>
      </c>
      <c r="Z682" s="31">
        <f t="shared" si="525"/>
        <v>0</v>
      </c>
      <c r="AA682" s="21">
        <f t="shared" si="526"/>
        <v>0</v>
      </c>
      <c r="AB682" s="58" t="str">
        <f t="shared" si="527"/>
        <v/>
      </c>
      <c r="AC682" s="630">
        <f t="shared" si="504"/>
        <v>0</v>
      </c>
      <c r="AD682" s="627"/>
      <c r="AE682" s="21">
        <f t="shared" si="528"/>
        <v>0</v>
      </c>
      <c r="AF682" s="58" t="str">
        <f t="shared" si="529"/>
        <v/>
      </c>
      <c r="AG682" s="21">
        <f t="shared" si="530"/>
        <v>0</v>
      </c>
      <c r="AH682" s="58" t="str">
        <f t="shared" si="531"/>
        <v/>
      </c>
      <c r="AI682" s="21">
        <f t="shared" si="532"/>
        <v>0</v>
      </c>
      <c r="AJ682" s="58" t="str">
        <f t="shared" si="533"/>
        <v/>
      </c>
      <c r="AK682" s="31">
        <f t="shared" si="534"/>
        <v>0</v>
      </c>
      <c r="AL682" s="21">
        <f t="shared" si="535"/>
        <v>0</v>
      </c>
      <c r="AM682" s="62" t="str">
        <f t="shared" si="536"/>
        <v/>
      </c>
      <c r="AN682" s="21">
        <f t="shared" si="537"/>
        <v>0</v>
      </c>
      <c r="AO682" s="62" t="str">
        <f t="shared" si="538"/>
        <v/>
      </c>
      <c r="AP682" s="21">
        <f t="shared" si="539"/>
        <v>0</v>
      </c>
      <c r="AQ682" s="62" t="str">
        <f t="shared" si="540"/>
        <v/>
      </c>
      <c r="AR682" s="31">
        <f t="shared" si="541"/>
        <v>0</v>
      </c>
      <c r="AS682" s="21">
        <f t="shared" si="542"/>
        <v>0</v>
      </c>
      <c r="AT682" s="62" t="str">
        <f t="shared" si="543"/>
        <v/>
      </c>
      <c r="AU682" s="84">
        <f t="shared" si="544"/>
        <v>0</v>
      </c>
      <c r="AV682" s="32">
        <f t="shared" si="545"/>
        <v>0</v>
      </c>
      <c r="AW682" s="85" t="str">
        <f t="shared" si="546"/>
        <v/>
      </c>
      <c r="AX682" s="86" t="str">
        <f t="shared" si="547"/>
        <v/>
      </c>
    </row>
    <row r="683" spans="1:50" x14ac:dyDescent="0.2">
      <c r="A683" s="29" t="str">
        <f t="shared" si="505"/>
        <v/>
      </c>
      <c r="B683" s="32" t="str">
        <f t="shared" si="506"/>
        <v/>
      </c>
      <c r="C683" s="35"/>
      <c r="D683" s="33" t="str">
        <f t="shared" si="507"/>
        <v/>
      </c>
      <c r="E683" s="22" t="str">
        <f t="shared" si="508"/>
        <v/>
      </c>
      <c r="F683" s="23" t="str">
        <f t="shared" si="509"/>
        <v/>
      </c>
      <c r="G683" s="23"/>
      <c r="H683" s="22"/>
      <c r="I683" s="23"/>
      <c r="J683" s="18"/>
      <c r="K683" s="13" t="str">
        <f t="shared" si="510"/>
        <v/>
      </c>
      <c r="L683" s="28" t="str">
        <f t="shared" si="511"/>
        <v/>
      </c>
      <c r="M683" s="10" t="str">
        <f t="shared" si="512"/>
        <v/>
      </c>
      <c r="N683" s="17" t="str">
        <f t="shared" si="513"/>
        <v/>
      </c>
      <c r="O683" s="39" t="str">
        <f t="shared" si="514"/>
        <v/>
      </c>
      <c r="P683" s="41" t="str">
        <f t="shared" si="515"/>
        <v/>
      </c>
      <c r="Q683" s="9" t="str">
        <f t="shared" si="516"/>
        <v/>
      </c>
      <c r="R683" s="14">
        <f t="shared" si="517"/>
        <v>0</v>
      </c>
      <c r="S683" s="61" t="str">
        <f t="shared" si="518"/>
        <v/>
      </c>
      <c r="T683" s="14">
        <f t="shared" si="519"/>
        <v>0</v>
      </c>
      <c r="U683" s="58" t="str">
        <f t="shared" si="520"/>
        <v/>
      </c>
      <c r="V683" s="14">
        <f t="shared" si="521"/>
        <v>0</v>
      </c>
      <c r="W683" s="58" t="str">
        <f t="shared" si="522"/>
        <v/>
      </c>
      <c r="X683" s="14">
        <f t="shared" si="523"/>
        <v>0</v>
      </c>
      <c r="Y683" s="58" t="str">
        <f t="shared" si="524"/>
        <v/>
      </c>
      <c r="Z683" s="31">
        <f t="shared" si="525"/>
        <v>0</v>
      </c>
      <c r="AA683" s="21">
        <f t="shared" si="526"/>
        <v>0</v>
      </c>
      <c r="AB683" s="58" t="str">
        <f t="shared" si="527"/>
        <v/>
      </c>
      <c r="AC683" s="630">
        <f t="shared" si="504"/>
        <v>0</v>
      </c>
      <c r="AD683" s="627"/>
      <c r="AE683" s="21">
        <f t="shared" si="528"/>
        <v>0</v>
      </c>
      <c r="AF683" s="58" t="str">
        <f t="shared" si="529"/>
        <v/>
      </c>
      <c r="AG683" s="21">
        <f t="shared" si="530"/>
        <v>0</v>
      </c>
      <c r="AH683" s="58" t="str">
        <f t="shared" si="531"/>
        <v/>
      </c>
      <c r="AI683" s="21">
        <f t="shared" si="532"/>
        <v>0</v>
      </c>
      <c r="AJ683" s="58" t="str">
        <f t="shared" si="533"/>
        <v/>
      </c>
      <c r="AK683" s="31">
        <f t="shared" si="534"/>
        <v>0</v>
      </c>
      <c r="AL683" s="21">
        <f t="shared" si="535"/>
        <v>0</v>
      </c>
      <c r="AM683" s="62" t="str">
        <f t="shared" si="536"/>
        <v/>
      </c>
      <c r="AN683" s="21">
        <f t="shared" si="537"/>
        <v>0</v>
      </c>
      <c r="AO683" s="62" t="str">
        <f t="shared" si="538"/>
        <v/>
      </c>
      <c r="AP683" s="21">
        <f t="shared" si="539"/>
        <v>0</v>
      </c>
      <c r="AQ683" s="62" t="str">
        <f t="shared" si="540"/>
        <v/>
      </c>
      <c r="AR683" s="31">
        <f t="shared" si="541"/>
        <v>0</v>
      </c>
      <c r="AS683" s="21">
        <f t="shared" si="542"/>
        <v>0</v>
      </c>
      <c r="AT683" s="62" t="str">
        <f t="shared" si="543"/>
        <v/>
      </c>
      <c r="AU683" s="84">
        <f t="shared" si="544"/>
        <v>0</v>
      </c>
      <c r="AV683" s="32">
        <f t="shared" si="545"/>
        <v>0</v>
      </c>
      <c r="AW683" s="85" t="str">
        <f t="shared" si="546"/>
        <v/>
      </c>
      <c r="AX683" s="86" t="str">
        <f t="shared" si="547"/>
        <v/>
      </c>
    </row>
    <row r="684" spans="1:50" x14ac:dyDescent="0.2">
      <c r="A684" s="29" t="str">
        <f t="shared" si="505"/>
        <v/>
      </c>
      <c r="B684" s="32" t="str">
        <f t="shared" si="506"/>
        <v/>
      </c>
      <c r="C684" s="35"/>
      <c r="D684" s="33" t="str">
        <f t="shared" si="507"/>
        <v/>
      </c>
      <c r="E684" s="22" t="str">
        <f t="shared" si="508"/>
        <v/>
      </c>
      <c r="F684" s="23" t="str">
        <f t="shared" si="509"/>
        <v/>
      </c>
      <c r="G684" s="23"/>
      <c r="H684" s="22"/>
      <c r="I684" s="23"/>
      <c r="J684" s="18"/>
      <c r="K684" s="13" t="str">
        <f t="shared" si="510"/>
        <v/>
      </c>
      <c r="L684" s="28" t="str">
        <f t="shared" si="511"/>
        <v/>
      </c>
      <c r="M684" s="10" t="str">
        <f t="shared" si="512"/>
        <v/>
      </c>
      <c r="N684" s="17" t="str">
        <f t="shared" si="513"/>
        <v/>
      </c>
      <c r="O684" s="39" t="str">
        <f t="shared" si="514"/>
        <v/>
      </c>
      <c r="P684" s="41" t="str">
        <f t="shared" si="515"/>
        <v/>
      </c>
      <c r="Q684" s="9" t="str">
        <f t="shared" si="516"/>
        <v/>
      </c>
      <c r="R684" s="14">
        <f t="shared" si="517"/>
        <v>0</v>
      </c>
      <c r="S684" s="61" t="str">
        <f t="shared" si="518"/>
        <v/>
      </c>
      <c r="T684" s="14">
        <f t="shared" si="519"/>
        <v>0</v>
      </c>
      <c r="U684" s="58" t="str">
        <f t="shared" si="520"/>
        <v/>
      </c>
      <c r="V684" s="14">
        <f t="shared" si="521"/>
        <v>0</v>
      </c>
      <c r="W684" s="58" t="str">
        <f t="shared" si="522"/>
        <v/>
      </c>
      <c r="X684" s="14">
        <f t="shared" si="523"/>
        <v>0</v>
      </c>
      <c r="Y684" s="58" t="str">
        <f t="shared" si="524"/>
        <v/>
      </c>
      <c r="Z684" s="31">
        <f t="shared" si="525"/>
        <v>0</v>
      </c>
      <c r="AA684" s="21">
        <f t="shared" si="526"/>
        <v>0</v>
      </c>
      <c r="AB684" s="58" t="str">
        <f t="shared" si="527"/>
        <v/>
      </c>
      <c r="AC684" s="630">
        <f t="shared" si="504"/>
        <v>0</v>
      </c>
      <c r="AD684" s="627"/>
      <c r="AE684" s="21">
        <f t="shared" si="528"/>
        <v>0</v>
      </c>
      <c r="AF684" s="58" t="str">
        <f t="shared" si="529"/>
        <v/>
      </c>
      <c r="AG684" s="21">
        <f t="shared" si="530"/>
        <v>0</v>
      </c>
      <c r="AH684" s="58" t="str">
        <f t="shared" si="531"/>
        <v/>
      </c>
      <c r="AI684" s="21">
        <f t="shared" si="532"/>
        <v>0</v>
      </c>
      <c r="AJ684" s="58" t="str">
        <f t="shared" si="533"/>
        <v/>
      </c>
      <c r="AK684" s="31">
        <f t="shared" si="534"/>
        <v>0</v>
      </c>
      <c r="AL684" s="21">
        <f t="shared" si="535"/>
        <v>0</v>
      </c>
      <c r="AM684" s="62" t="str">
        <f t="shared" si="536"/>
        <v/>
      </c>
      <c r="AN684" s="21">
        <f t="shared" si="537"/>
        <v>0</v>
      </c>
      <c r="AO684" s="62" t="str">
        <f t="shared" si="538"/>
        <v/>
      </c>
      <c r="AP684" s="21">
        <f t="shared" si="539"/>
        <v>0</v>
      </c>
      <c r="AQ684" s="62" t="str">
        <f t="shared" si="540"/>
        <v/>
      </c>
      <c r="AR684" s="31">
        <f t="shared" si="541"/>
        <v>0</v>
      </c>
      <c r="AS684" s="21">
        <f t="shared" si="542"/>
        <v>0</v>
      </c>
      <c r="AT684" s="62" t="str">
        <f t="shared" si="543"/>
        <v/>
      </c>
      <c r="AU684" s="84">
        <f t="shared" si="544"/>
        <v>0</v>
      </c>
      <c r="AV684" s="32">
        <f t="shared" si="545"/>
        <v>0</v>
      </c>
      <c r="AW684" s="85" t="str">
        <f t="shared" si="546"/>
        <v/>
      </c>
      <c r="AX684" s="86" t="str">
        <f t="shared" si="547"/>
        <v/>
      </c>
    </row>
    <row r="685" spans="1:50" x14ac:dyDescent="0.2">
      <c r="A685" s="29" t="str">
        <f t="shared" si="505"/>
        <v/>
      </c>
      <c r="B685" s="32" t="str">
        <f t="shared" si="506"/>
        <v/>
      </c>
      <c r="C685" s="35"/>
      <c r="D685" s="33" t="str">
        <f t="shared" si="507"/>
        <v/>
      </c>
      <c r="E685" s="22" t="str">
        <f t="shared" si="508"/>
        <v/>
      </c>
      <c r="F685" s="23" t="str">
        <f t="shared" si="509"/>
        <v/>
      </c>
      <c r="G685" s="23"/>
      <c r="H685" s="22"/>
      <c r="I685" s="23"/>
      <c r="J685" s="18"/>
      <c r="K685" s="13" t="str">
        <f t="shared" si="510"/>
        <v/>
      </c>
      <c r="L685" s="28" t="str">
        <f t="shared" si="511"/>
        <v/>
      </c>
      <c r="M685" s="10" t="str">
        <f t="shared" si="512"/>
        <v/>
      </c>
      <c r="N685" s="17" t="str">
        <f t="shared" si="513"/>
        <v/>
      </c>
      <c r="O685" s="39" t="str">
        <f t="shared" si="514"/>
        <v/>
      </c>
      <c r="P685" s="41" t="str">
        <f t="shared" si="515"/>
        <v/>
      </c>
      <c r="Q685" s="9" t="str">
        <f t="shared" si="516"/>
        <v/>
      </c>
      <c r="R685" s="14">
        <f t="shared" si="517"/>
        <v>0</v>
      </c>
      <c r="S685" s="61" t="str">
        <f t="shared" si="518"/>
        <v/>
      </c>
      <c r="T685" s="14">
        <f t="shared" si="519"/>
        <v>0</v>
      </c>
      <c r="U685" s="58" t="str">
        <f t="shared" si="520"/>
        <v/>
      </c>
      <c r="V685" s="14">
        <f t="shared" si="521"/>
        <v>0</v>
      </c>
      <c r="W685" s="58" t="str">
        <f t="shared" si="522"/>
        <v/>
      </c>
      <c r="X685" s="14">
        <f t="shared" si="523"/>
        <v>0</v>
      </c>
      <c r="Y685" s="58" t="str">
        <f t="shared" si="524"/>
        <v/>
      </c>
      <c r="Z685" s="31">
        <f t="shared" si="525"/>
        <v>0</v>
      </c>
      <c r="AA685" s="21">
        <f t="shared" si="526"/>
        <v>0</v>
      </c>
      <c r="AB685" s="58" t="str">
        <f t="shared" si="527"/>
        <v/>
      </c>
      <c r="AC685" s="630">
        <f t="shared" si="504"/>
        <v>0</v>
      </c>
      <c r="AD685" s="627"/>
      <c r="AE685" s="21">
        <f t="shared" si="528"/>
        <v>0</v>
      </c>
      <c r="AF685" s="58" t="str">
        <f t="shared" si="529"/>
        <v/>
      </c>
      <c r="AG685" s="21">
        <f t="shared" si="530"/>
        <v>0</v>
      </c>
      <c r="AH685" s="58" t="str">
        <f t="shared" si="531"/>
        <v/>
      </c>
      <c r="AI685" s="21">
        <f t="shared" si="532"/>
        <v>0</v>
      </c>
      <c r="AJ685" s="58" t="str">
        <f t="shared" si="533"/>
        <v/>
      </c>
      <c r="AK685" s="31">
        <f t="shared" si="534"/>
        <v>0</v>
      </c>
      <c r="AL685" s="21">
        <f t="shared" si="535"/>
        <v>0</v>
      </c>
      <c r="AM685" s="62" t="str">
        <f t="shared" si="536"/>
        <v/>
      </c>
      <c r="AN685" s="21">
        <f t="shared" si="537"/>
        <v>0</v>
      </c>
      <c r="AO685" s="62" t="str">
        <f t="shared" si="538"/>
        <v/>
      </c>
      <c r="AP685" s="21">
        <f t="shared" si="539"/>
        <v>0</v>
      </c>
      <c r="AQ685" s="62" t="str">
        <f t="shared" si="540"/>
        <v/>
      </c>
      <c r="AR685" s="31">
        <f t="shared" si="541"/>
        <v>0</v>
      </c>
      <c r="AS685" s="21">
        <f t="shared" si="542"/>
        <v>0</v>
      </c>
      <c r="AT685" s="62" t="str">
        <f t="shared" si="543"/>
        <v/>
      </c>
      <c r="AU685" s="84">
        <f t="shared" si="544"/>
        <v>0</v>
      </c>
      <c r="AV685" s="32">
        <f t="shared" si="545"/>
        <v>0</v>
      </c>
      <c r="AW685" s="85" t="str">
        <f t="shared" si="546"/>
        <v/>
      </c>
      <c r="AX685" s="86" t="str">
        <f t="shared" si="547"/>
        <v/>
      </c>
    </row>
    <row r="686" spans="1:50" x14ac:dyDescent="0.2">
      <c r="A686" s="29" t="str">
        <f t="shared" si="505"/>
        <v/>
      </c>
      <c r="B686" s="32" t="str">
        <f t="shared" si="506"/>
        <v/>
      </c>
      <c r="C686" s="35"/>
      <c r="D686" s="33" t="str">
        <f t="shared" si="507"/>
        <v/>
      </c>
      <c r="E686" s="22" t="str">
        <f t="shared" si="508"/>
        <v/>
      </c>
      <c r="F686" s="23" t="str">
        <f t="shared" si="509"/>
        <v/>
      </c>
      <c r="G686" s="23"/>
      <c r="H686" s="22"/>
      <c r="I686" s="23"/>
      <c r="J686" s="18"/>
      <c r="K686" s="13" t="str">
        <f t="shared" si="510"/>
        <v/>
      </c>
      <c r="L686" s="28" t="str">
        <f t="shared" si="511"/>
        <v/>
      </c>
      <c r="M686" s="10" t="str">
        <f t="shared" si="512"/>
        <v/>
      </c>
      <c r="N686" s="17" t="str">
        <f t="shared" si="513"/>
        <v/>
      </c>
      <c r="O686" s="39" t="str">
        <f t="shared" si="514"/>
        <v/>
      </c>
      <c r="P686" s="41" t="str">
        <f t="shared" si="515"/>
        <v/>
      </c>
      <c r="Q686" s="9" t="str">
        <f t="shared" si="516"/>
        <v/>
      </c>
      <c r="R686" s="14">
        <f t="shared" si="517"/>
        <v>0</v>
      </c>
      <c r="S686" s="61" t="str">
        <f t="shared" si="518"/>
        <v/>
      </c>
      <c r="T686" s="14">
        <f t="shared" si="519"/>
        <v>0</v>
      </c>
      <c r="U686" s="58" t="str">
        <f t="shared" si="520"/>
        <v/>
      </c>
      <c r="V686" s="14">
        <f t="shared" si="521"/>
        <v>0</v>
      </c>
      <c r="W686" s="58" t="str">
        <f t="shared" si="522"/>
        <v/>
      </c>
      <c r="X686" s="14">
        <f t="shared" si="523"/>
        <v>0</v>
      </c>
      <c r="Y686" s="58" t="str">
        <f t="shared" si="524"/>
        <v/>
      </c>
      <c r="Z686" s="31">
        <f t="shared" si="525"/>
        <v>0</v>
      </c>
      <c r="AA686" s="21">
        <f t="shared" si="526"/>
        <v>0</v>
      </c>
      <c r="AB686" s="58" t="str">
        <f t="shared" si="527"/>
        <v/>
      </c>
      <c r="AC686" s="630">
        <f t="shared" si="504"/>
        <v>0</v>
      </c>
      <c r="AD686" s="627"/>
      <c r="AE686" s="21">
        <f t="shared" si="528"/>
        <v>0</v>
      </c>
      <c r="AF686" s="58" t="str">
        <f t="shared" si="529"/>
        <v/>
      </c>
      <c r="AG686" s="21">
        <f t="shared" si="530"/>
        <v>0</v>
      </c>
      <c r="AH686" s="58" t="str">
        <f t="shared" si="531"/>
        <v/>
      </c>
      <c r="AI686" s="21">
        <f t="shared" si="532"/>
        <v>0</v>
      </c>
      <c r="AJ686" s="58" t="str">
        <f t="shared" si="533"/>
        <v/>
      </c>
      <c r="AK686" s="31">
        <f t="shared" si="534"/>
        <v>0</v>
      </c>
      <c r="AL686" s="21">
        <f t="shared" si="535"/>
        <v>0</v>
      </c>
      <c r="AM686" s="62" t="str">
        <f t="shared" si="536"/>
        <v/>
      </c>
      <c r="AN686" s="21">
        <f t="shared" si="537"/>
        <v>0</v>
      </c>
      <c r="AO686" s="62" t="str">
        <f t="shared" si="538"/>
        <v/>
      </c>
      <c r="AP686" s="21">
        <f t="shared" si="539"/>
        <v>0</v>
      </c>
      <c r="AQ686" s="62" t="str">
        <f t="shared" si="540"/>
        <v/>
      </c>
      <c r="AR686" s="31">
        <f t="shared" si="541"/>
        <v>0</v>
      </c>
      <c r="AS686" s="21">
        <f t="shared" si="542"/>
        <v>0</v>
      </c>
      <c r="AT686" s="62" t="str">
        <f t="shared" si="543"/>
        <v/>
      </c>
      <c r="AU686" s="84">
        <f t="shared" si="544"/>
        <v>0</v>
      </c>
      <c r="AV686" s="32">
        <f t="shared" si="545"/>
        <v>0</v>
      </c>
      <c r="AW686" s="85" t="str">
        <f t="shared" si="546"/>
        <v/>
      </c>
      <c r="AX686" s="86" t="str">
        <f t="shared" si="547"/>
        <v/>
      </c>
    </row>
    <row r="687" spans="1:50" x14ac:dyDescent="0.2">
      <c r="A687" s="29" t="str">
        <f t="shared" si="505"/>
        <v/>
      </c>
      <c r="B687" s="32" t="str">
        <f t="shared" si="506"/>
        <v/>
      </c>
      <c r="C687" s="35"/>
      <c r="D687" s="33" t="str">
        <f t="shared" si="507"/>
        <v/>
      </c>
      <c r="E687" s="22" t="str">
        <f t="shared" si="508"/>
        <v/>
      </c>
      <c r="F687" s="23" t="str">
        <f t="shared" si="509"/>
        <v/>
      </c>
      <c r="G687" s="23"/>
      <c r="H687" s="22"/>
      <c r="I687" s="23"/>
      <c r="J687" s="18"/>
      <c r="K687" s="13" t="str">
        <f t="shared" si="510"/>
        <v/>
      </c>
      <c r="L687" s="28" t="str">
        <f t="shared" si="511"/>
        <v/>
      </c>
      <c r="M687" s="10" t="str">
        <f t="shared" si="512"/>
        <v/>
      </c>
      <c r="N687" s="17" t="str">
        <f t="shared" si="513"/>
        <v/>
      </c>
      <c r="O687" s="39" t="str">
        <f t="shared" si="514"/>
        <v/>
      </c>
      <c r="P687" s="41" t="str">
        <f t="shared" si="515"/>
        <v/>
      </c>
      <c r="Q687" s="9" t="str">
        <f t="shared" si="516"/>
        <v/>
      </c>
      <c r="R687" s="14">
        <f t="shared" si="517"/>
        <v>0</v>
      </c>
      <c r="S687" s="61" t="str">
        <f t="shared" si="518"/>
        <v/>
      </c>
      <c r="T687" s="14">
        <f t="shared" si="519"/>
        <v>0</v>
      </c>
      <c r="U687" s="58" t="str">
        <f t="shared" si="520"/>
        <v/>
      </c>
      <c r="V687" s="14">
        <f t="shared" si="521"/>
        <v>0</v>
      </c>
      <c r="W687" s="58" t="str">
        <f t="shared" si="522"/>
        <v/>
      </c>
      <c r="X687" s="14">
        <f t="shared" si="523"/>
        <v>0</v>
      </c>
      <c r="Y687" s="58" t="str">
        <f t="shared" si="524"/>
        <v/>
      </c>
      <c r="Z687" s="31">
        <f t="shared" si="525"/>
        <v>0</v>
      </c>
      <c r="AA687" s="21">
        <f t="shared" si="526"/>
        <v>0</v>
      </c>
      <c r="AB687" s="58" t="str">
        <f t="shared" si="527"/>
        <v/>
      </c>
      <c r="AC687" s="630">
        <f t="shared" si="504"/>
        <v>0</v>
      </c>
      <c r="AD687" s="627"/>
      <c r="AE687" s="21">
        <f t="shared" si="528"/>
        <v>0</v>
      </c>
      <c r="AF687" s="58" t="str">
        <f t="shared" si="529"/>
        <v/>
      </c>
      <c r="AG687" s="21">
        <f t="shared" si="530"/>
        <v>0</v>
      </c>
      <c r="AH687" s="58" t="str">
        <f t="shared" si="531"/>
        <v/>
      </c>
      <c r="AI687" s="21">
        <f t="shared" si="532"/>
        <v>0</v>
      </c>
      <c r="AJ687" s="58" t="str">
        <f t="shared" si="533"/>
        <v/>
      </c>
      <c r="AK687" s="31">
        <f t="shared" si="534"/>
        <v>0</v>
      </c>
      <c r="AL687" s="21">
        <f t="shared" si="535"/>
        <v>0</v>
      </c>
      <c r="AM687" s="62" t="str">
        <f t="shared" si="536"/>
        <v/>
      </c>
      <c r="AN687" s="21">
        <f t="shared" si="537"/>
        <v>0</v>
      </c>
      <c r="AO687" s="62" t="str">
        <f t="shared" si="538"/>
        <v/>
      </c>
      <c r="AP687" s="21">
        <f t="shared" si="539"/>
        <v>0</v>
      </c>
      <c r="AQ687" s="62" t="str">
        <f t="shared" si="540"/>
        <v/>
      </c>
      <c r="AR687" s="31">
        <f t="shared" si="541"/>
        <v>0</v>
      </c>
      <c r="AS687" s="21">
        <f t="shared" si="542"/>
        <v>0</v>
      </c>
      <c r="AT687" s="62" t="str">
        <f t="shared" si="543"/>
        <v/>
      </c>
      <c r="AU687" s="84">
        <f t="shared" si="544"/>
        <v>0</v>
      </c>
      <c r="AV687" s="32">
        <f t="shared" si="545"/>
        <v>0</v>
      </c>
      <c r="AW687" s="85" t="str">
        <f t="shared" si="546"/>
        <v/>
      </c>
      <c r="AX687" s="86" t="str">
        <f t="shared" si="547"/>
        <v/>
      </c>
    </row>
    <row r="688" spans="1:50" x14ac:dyDescent="0.2">
      <c r="A688" s="29" t="str">
        <f t="shared" si="505"/>
        <v/>
      </c>
      <c r="B688" s="32" t="str">
        <f t="shared" si="506"/>
        <v/>
      </c>
      <c r="C688" s="35"/>
      <c r="D688" s="33" t="str">
        <f t="shared" si="507"/>
        <v/>
      </c>
      <c r="E688" s="22" t="str">
        <f t="shared" si="508"/>
        <v/>
      </c>
      <c r="F688" s="23" t="str">
        <f t="shared" si="509"/>
        <v/>
      </c>
      <c r="G688" s="23"/>
      <c r="H688" s="22"/>
      <c r="I688" s="23"/>
      <c r="J688" s="18"/>
      <c r="K688" s="13" t="str">
        <f t="shared" si="510"/>
        <v/>
      </c>
      <c r="L688" s="28" t="str">
        <f t="shared" si="511"/>
        <v/>
      </c>
      <c r="M688" s="10" t="str">
        <f t="shared" si="512"/>
        <v/>
      </c>
      <c r="N688" s="17" t="str">
        <f t="shared" si="513"/>
        <v/>
      </c>
      <c r="O688" s="39" t="str">
        <f t="shared" si="514"/>
        <v/>
      </c>
      <c r="P688" s="41" t="str">
        <f t="shared" si="515"/>
        <v/>
      </c>
      <c r="Q688" s="9" t="str">
        <f t="shared" si="516"/>
        <v/>
      </c>
      <c r="R688" s="14">
        <f t="shared" si="517"/>
        <v>0</v>
      </c>
      <c r="S688" s="61" t="str">
        <f t="shared" si="518"/>
        <v/>
      </c>
      <c r="T688" s="14">
        <f t="shared" si="519"/>
        <v>0</v>
      </c>
      <c r="U688" s="58" t="str">
        <f t="shared" si="520"/>
        <v/>
      </c>
      <c r="V688" s="14">
        <f t="shared" si="521"/>
        <v>0</v>
      </c>
      <c r="W688" s="58" t="str">
        <f t="shared" si="522"/>
        <v/>
      </c>
      <c r="X688" s="14">
        <f t="shared" si="523"/>
        <v>0</v>
      </c>
      <c r="Y688" s="58" t="str">
        <f t="shared" si="524"/>
        <v/>
      </c>
      <c r="Z688" s="31">
        <f t="shared" si="525"/>
        <v>0</v>
      </c>
      <c r="AA688" s="21">
        <f t="shared" si="526"/>
        <v>0</v>
      </c>
      <c r="AB688" s="58" t="str">
        <f t="shared" si="527"/>
        <v/>
      </c>
      <c r="AC688" s="630">
        <f t="shared" si="504"/>
        <v>0</v>
      </c>
      <c r="AD688" s="627"/>
      <c r="AE688" s="21">
        <f t="shared" si="528"/>
        <v>0</v>
      </c>
      <c r="AF688" s="58" t="str">
        <f t="shared" si="529"/>
        <v/>
      </c>
      <c r="AG688" s="21">
        <f t="shared" si="530"/>
        <v>0</v>
      </c>
      <c r="AH688" s="58" t="str">
        <f t="shared" si="531"/>
        <v/>
      </c>
      <c r="AI688" s="21">
        <f t="shared" si="532"/>
        <v>0</v>
      </c>
      <c r="AJ688" s="58" t="str">
        <f t="shared" si="533"/>
        <v/>
      </c>
      <c r="AK688" s="31">
        <f t="shared" si="534"/>
        <v>0</v>
      </c>
      <c r="AL688" s="21">
        <f t="shared" si="535"/>
        <v>0</v>
      </c>
      <c r="AM688" s="62" t="str">
        <f t="shared" si="536"/>
        <v/>
      </c>
      <c r="AN688" s="21">
        <f t="shared" si="537"/>
        <v>0</v>
      </c>
      <c r="AO688" s="62" t="str">
        <f t="shared" si="538"/>
        <v/>
      </c>
      <c r="AP688" s="21">
        <f t="shared" si="539"/>
        <v>0</v>
      </c>
      <c r="AQ688" s="62" t="str">
        <f t="shared" si="540"/>
        <v/>
      </c>
      <c r="AR688" s="31">
        <f t="shared" si="541"/>
        <v>0</v>
      </c>
      <c r="AS688" s="21">
        <f t="shared" si="542"/>
        <v>0</v>
      </c>
      <c r="AT688" s="62" t="str">
        <f t="shared" si="543"/>
        <v/>
      </c>
      <c r="AU688" s="84">
        <f t="shared" si="544"/>
        <v>0</v>
      </c>
      <c r="AV688" s="32">
        <f t="shared" si="545"/>
        <v>0</v>
      </c>
      <c r="AW688" s="85" t="str">
        <f t="shared" si="546"/>
        <v/>
      </c>
      <c r="AX688" s="86" t="str">
        <f t="shared" si="547"/>
        <v/>
      </c>
    </row>
    <row r="689" spans="1:50" x14ac:dyDescent="0.2">
      <c r="A689" s="29" t="str">
        <f t="shared" si="505"/>
        <v/>
      </c>
      <c r="B689" s="32" t="str">
        <f t="shared" si="506"/>
        <v/>
      </c>
      <c r="C689" s="35"/>
      <c r="D689" s="33" t="str">
        <f t="shared" si="507"/>
        <v/>
      </c>
      <c r="E689" s="22" t="str">
        <f t="shared" si="508"/>
        <v/>
      </c>
      <c r="F689" s="23" t="str">
        <f t="shared" si="509"/>
        <v/>
      </c>
      <c r="G689" s="23"/>
      <c r="H689" s="22"/>
      <c r="I689" s="23"/>
      <c r="J689" s="18"/>
      <c r="K689" s="13" t="str">
        <f t="shared" si="510"/>
        <v/>
      </c>
      <c r="L689" s="28" t="str">
        <f t="shared" si="511"/>
        <v/>
      </c>
      <c r="M689" s="10" t="str">
        <f t="shared" si="512"/>
        <v/>
      </c>
      <c r="N689" s="17" t="str">
        <f t="shared" si="513"/>
        <v/>
      </c>
      <c r="O689" s="39" t="str">
        <f t="shared" si="514"/>
        <v/>
      </c>
      <c r="P689" s="41" t="str">
        <f t="shared" si="515"/>
        <v/>
      </c>
      <c r="Q689" s="9" t="str">
        <f t="shared" si="516"/>
        <v/>
      </c>
      <c r="R689" s="14">
        <f t="shared" si="517"/>
        <v>0</v>
      </c>
      <c r="S689" s="61" t="str">
        <f t="shared" si="518"/>
        <v/>
      </c>
      <c r="T689" s="14">
        <f t="shared" si="519"/>
        <v>0</v>
      </c>
      <c r="U689" s="58" t="str">
        <f t="shared" si="520"/>
        <v/>
      </c>
      <c r="V689" s="14">
        <f t="shared" si="521"/>
        <v>0</v>
      </c>
      <c r="W689" s="58" t="str">
        <f t="shared" si="522"/>
        <v/>
      </c>
      <c r="X689" s="14">
        <f t="shared" si="523"/>
        <v>0</v>
      </c>
      <c r="Y689" s="58" t="str">
        <f t="shared" si="524"/>
        <v/>
      </c>
      <c r="Z689" s="31">
        <f t="shared" si="525"/>
        <v>0</v>
      </c>
      <c r="AA689" s="21">
        <f t="shared" si="526"/>
        <v>0</v>
      </c>
      <c r="AB689" s="58" t="str">
        <f t="shared" si="527"/>
        <v/>
      </c>
      <c r="AC689" s="630">
        <f t="shared" si="504"/>
        <v>0</v>
      </c>
      <c r="AD689" s="627"/>
      <c r="AE689" s="21">
        <f t="shared" si="528"/>
        <v>0</v>
      </c>
      <c r="AF689" s="58" t="str">
        <f t="shared" si="529"/>
        <v/>
      </c>
      <c r="AG689" s="21">
        <f t="shared" si="530"/>
        <v>0</v>
      </c>
      <c r="AH689" s="58" t="str">
        <f t="shared" si="531"/>
        <v/>
      </c>
      <c r="AI689" s="21">
        <f t="shared" si="532"/>
        <v>0</v>
      </c>
      <c r="AJ689" s="58" t="str">
        <f t="shared" si="533"/>
        <v/>
      </c>
      <c r="AK689" s="31">
        <f t="shared" si="534"/>
        <v>0</v>
      </c>
      <c r="AL689" s="21">
        <f t="shared" si="535"/>
        <v>0</v>
      </c>
      <c r="AM689" s="62" t="str">
        <f t="shared" si="536"/>
        <v/>
      </c>
      <c r="AN689" s="21">
        <f t="shared" si="537"/>
        <v>0</v>
      </c>
      <c r="AO689" s="62" t="str">
        <f t="shared" si="538"/>
        <v/>
      </c>
      <c r="AP689" s="21">
        <f t="shared" si="539"/>
        <v>0</v>
      </c>
      <c r="AQ689" s="62" t="str">
        <f t="shared" si="540"/>
        <v/>
      </c>
      <c r="AR689" s="31">
        <f t="shared" si="541"/>
        <v>0</v>
      </c>
      <c r="AS689" s="21">
        <f t="shared" si="542"/>
        <v>0</v>
      </c>
      <c r="AT689" s="62" t="str">
        <f t="shared" si="543"/>
        <v/>
      </c>
      <c r="AU689" s="84">
        <f t="shared" si="544"/>
        <v>0</v>
      </c>
      <c r="AV689" s="32">
        <f t="shared" si="545"/>
        <v>0</v>
      </c>
      <c r="AW689" s="85" t="str">
        <f t="shared" si="546"/>
        <v/>
      </c>
      <c r="AX689" s="86" t="str">
        <f t="shared" si="547"/>
        <v/>
      </c>
    </row>
    <row r="690" spans="1:50" x14ac:dyDescent="0.2">
      <c r="A690" s="29" t="str">
        <f t="shared" si="505"/>
        <v/>
      </c>
      <c r="B690" s="32" t="str">
        <f t="shared" si="506"/>
        <v/>
      </c>
      <c r="C690" s="35"/>
      <c r="D690" s="33" t="str">
        <f t="shared" si="507"/>
        <v/>
      </c>
      <c r="E690" s="22" t="str">
        <f t="shared" si="508"/>
        <v/>
      </c>
      <c r="F690" s="23" t="str">
        <f t="shared" si="509"/>
        <v/>
      </c>
      <c r="G690" s="23"/>
      <c r="H690" s="22"/>
      <c r="I690" s="23"/>
      <c r="J690" s="18"/>
      <c r="K690" s="13" t="str">
        <f t="shared" si="510"/>
        <v/>
      </c>
      <c r="L690" s="28" t="str">
        <f t="shared" si="511"/>
        <v/>
      </c>
      <c r="M690" s="10" t="str">
        <f t="shared" si="512"/>
        <v/>
      </c>
      <c r="N690" s="17" t="str">
        <f t="shared" si="513"/>
        <v/>
      </c>
      <c r="O690" s="39" t="str">
        <f t="shared" si="514"/>
        <v/>
      </c>
      <c r="P690" s="41" t="str">
        <f t="shared" si="515"/>
        <v/>
      </c>
      <c r="Q690" s="9" t="str">
        <f t="shared" si="516"/>
        <v/>
      </c>
      <c r="R690" s="14">
        <f t="shared" si="517"/>
        <v>0</v>
      </c>
      <c r="S690" s="61" t="str">
        <f t="shared" si="518"/>
        <v/>
      </c>
      <c r="T690" s="14">
        <f t="shared" si="519"/>
        <v>0</v>
      </c>
      <c r="U690" s="58" t="str">
        <f t="shared" si="520"/>
        <v/>
      </c>
      <c r="V690" s="14">
        <f t="shared" si="521"/>
        <v>0</v>
      </c>
      <c r="W690" s="58" t="str">
        <f t="shared" si="522"/>
        <v/>
      </c>
      <c r="X690" s="14">
        <f t="shared" si="523"/>
        <v>0</v>
      </c>
      <c r="Y690" s="58" t="str">
        <f t="shared" si="524"/>
        <v/>
      </c>
      <c r="Z690" s="31">
        <f t="shared" si="525"/>
        <v>0</v>
      </c>
      <c r="AA690" s="21">
        <f t="shared" si="526"/>
        <v>0</v>
      </c>
      <c r="AB690" s="58" t="str">
        <f t="shared" si="527"/>
        <v/>
      </c>
      <c r="AC690" s="630">
        <f t="shared" si="504"/>
        <v>0</v>
      </c>
      <c r="AD690" s="627"/>
      <c r="AE690" s="21">
        <f t="shared" si="528"/>
        <v>0</v>
      </c>
      <c r="AF690" s="58" t="str">
        <f t="shared" si="529"/>
        <v/>
      </c>
      <c r="AG690" s="21">
        <f t="shared" si="530"/>
        <v>0</v>
      </c>
      <c r="AH690" s="58" t="str">
        <f t="shared" si="531"/>
        <v/>
      </c>
      <c r="AI690" s="21">
        <f t="shared" si="532"/>
        <v>0</v>
      </c>
      <c r="AJ690" s="58" t="str">
        <f t="shared" si="533"/>
        <v/>
      </c>
      <c r="AK690" s="31">
        <f t="shared" si="534"/>
        <v>0</v>
      </c>
      <c r="AL690" s="21">
        <f t="shared" si="535"/>
        <v>0</v>
      </c>
      <c r="AM690" s="62" t="str">
        <f t="shared" si="536"/>
        <v/>
      </c>
      <c r="AN690" s="21">
        <f t="shared" si="537"/>
        <v>0</v>
      </c>
      <c r="AO690" s="62" t="str">
        <f t="shared" si="538"/>
        <v/>
      </c>
      <c r="AP690" s="21">
        <f t="shared" si="539"/>
        <v>0</v>
      </c>
      <c r="AQ690" s="62" t="str">
        <f t="shared" si="540"/>
        <v/>
      </c>
      <c r="AR690" s="31">
        <f t="shared" si="541"/>
        <v>0</v>
      </c>
      <c r="AS690" s="21">
        <f t="shared" si="542"/>
        <v>0</v>
      </c>
      <c r="AT690" s="62" t="str">
        <f t="shared" si="543"/>
        <v/>
      </c>
      <c r="AU690" s="84">
        <f t="shared" si="544"/>
        <v>0</v>
      </c>
      <c r="AV690" s="32">
        <f t="shared" si="545"/>
        <v>0</v>
      </c>
      <c r="AW690" s="85" t="str">
        <f t="shared" si="546"/>
        <v/>
      </c>
      <c r="AX690" s="86" t="str">
        <f t="shared" si="547"/>
        <v/>
      </c>
    </row>
    <row r="691" spans="1:50" x14ac:dyDescent="0.2">
      <c r="A691" s="29" t="str">
        <f t="shared" si="505"/>
        <v/>
      </c>
      <c r="B691" s="32" t="str">
        <f t="shared" si="506"/>
        <v/>
      </c>
      <c r="C691" s="35"/>
      <c r="D691" s="33" t="str">
        <f t="shared" si="507"/>
        <v/>
      </c>
      <c r="E691" s="22" t="str">
        <f t="shared" si="508"/>
        <v/>
      </c>
      <c r="F691" s="23" t="str">
        <f t="shared" si="509"/>
        <v/>
      </c>
      <c r="G691" s="23"/>
      <c r="H691" s="22"/>
      <c r="I691" s="23"/>
      <c r="J691" s="18"/>
      <c r="K691" s="13" t="str">
        <f t="shared" si="510"/>
        <v/>
      </c>
      <c r="L691" s="28" t="str">
        <f t="shared" si="511"/>
        <v/>
      </c>
      <c r="M691" s="10" t="str">
        <f t="shared" si="512"/>
        <v/>
      </c>
      <c r="N691" s="17" t="str">
        <f t="shared" si="513"/>
        <v/>
      </c>
      <c r="O691" s="39" t="str">
        <f t="shared" si="514"/>
        <v/>
      </c>
      <c r="P691" s="41" t="str">
        <f t="shared" si="515"/>
        <v/>
      </c>
      <c r="Q691" s="9" t="str">
        <f t="shared" si="516"/>
        <v/>
      </c>
      <c r="R691" s="14">
        <f t="shared" si="517"/>
        <v>0</v>
      </c>
      <c r="S691" s="61" t="str">
        <f t="shared" si="518"/>
        <v/>
      </c>
      <c r="T691" s="14">
        <f t="shared" si="519"/>
        <v>0</v>
      </c>
      <c r="U691" s="58" t="str">
        <f t="shared" si="520"/>
        <v/>
      </c>
      <c r="V691" s="14">
        <f t="shared" si="521"/>
        <v>0</v>
      </c>
      <c r="W691" s="58" t="str">
        <f t="shared" si="522"/>
        <v/>
      </c>
      <c r="X691" s="14">
        <f t="shared" si="523"/>
        <v>0</v>
      </c>
      <c r="Y691" s="58" t="str">
        <f t="shared" si="524"/>
        <v/>
      </c>
      <c r="Z691" s="31">
        <f t="shared" si="525"/>
        <v>0</v>
      </c>
      <c r="AA691" s="21">
        <f t="shared" si="526"/>
        <v>0</v>
      </c>
      <c r="AB691" s="58" t="str">
        <f t="shared" si="527"/>
        <v/>
      </c>
      <c r="AC691" s="630">
        <f t="shared" si="504"/>
        <v>0</v>
      </c>
      <c r="AD691" s="627"/>
      <c r="AE691" s="21">
        <f t="shared" si="528"/>
        <v>0</v>
      </c>
      <c r="AF691" s="58" t="str">
        <f t="shared" si="529"/>
        <v/>
      </c>
      <c r="AG691" s="21">
        <f t="shared" si="530"/>
        <v>0</v>
      </c>
      <c r="AH691" s="58" t="str">
        <f t="shared" si="531"/>
        <v/>
      </c>
      <c r="AI691" s="21">
        <f t="shared" si="532"/>
        <v>0</v>
      </c>
      <c r="AJ691" s="58" t="str">
        <f t="shared" si="533"/>
        <v/>
      </c>
      <c r="AK691" s="31">
        <f t="shared" si="534"/>
        <v>0</v>
      </c>
      <c r="AL691" s="21">
        <f t="shared" si="535"/>
        <v>0</v>
      </c>
      <c r="AM691" s="62" t="str">
        <f t="shared" si="536"/>
        <v/>
      </c>
      <c r="AN691" s="21">
        <f t="shared" si="537"/>
        <v>0</v>
      </c>
      <c r="AO691" s="62" t="str">
        <f t="shared" si="538"/>
        <v/>
      </c>
      <c r="AP691" s="21">
        <f t="shared" si="539"/>
        <v>0</v>
      </c>
      <c r="AQ691" s="62" t="str">
        <f t="shared" si="540"/>
        <v/>
      </c>
      <c r="AR691" s="31">
        <f t="shared" si="541"/>
        <v>0</v>
      </c>
      <c r="AS691" s="21">
        <f t="shared" si="542"/>
        <v>0</v>
      </c>
      <c r="AT691" s="62" t="str">
        <f t="shared" si="543"/>
        <v/>
      </c>
      <c r="AU691" s="84">
        <f t="shared" si="544"/>
        <v>0</v>
      </c>
      <c r="AV691" s="32">
        <f t="shared" si="545"/>
        <v>0</v>
      </c>
      <c r="AW691" s="85" t="str">
        <f t="shared" si="546"/>
        <v/>
      </c>
      <c r="AX691" s="86" t="str">
        <f t="shared" si="547"/>
        <v/>
      </c>
    </row>
    <row r="692" spans="1:50" x14ac:dyDescent="0.2">
      <c r="A692" s="29" t="str">
        <f t="shared" si="505"/>
        <v/>
      </c>
      <c r="B692" s="32" t="str">
        <f t="shared" si="506"/>
        <v/>
      </c>
      <c r="C692" s="35"/>
      <c r="D692" s="33" t="str">
        <f t="shared" si="507"/>
        <v/>
      </c>
      <c r="E692" s="22" t="str">
        <f t="shared" si="508"/>
        <v/>
      </c>
      <c r="F692" s="23" t="str">
        <f t="shared" si="509"/>
        <v/>
      </c>
      <c r="G692" s="23"/>
      <c r="H692" s="22"/>
      <c r="I692" s="23"/>
      <c r="J692" s="18"/>
      <c r="K692" s="13" t="str">
        <f t="shared" si="510"/>
        <v/>
      </c>
      <c r="L692" s="28" t="str">
        <f t="shared" si="511"/>
        <v/>
      </c>
      <c r="M692" s="10" t="str">
        <f t="shared" si="512"/>
        <v/>
      </c>
      <c r="N692" s="17" t="str">
        <f t="shared" si="513"/>
        <v/>
      </c>
      <c r="O692" s="39" t="str">
        <f t="shared" si="514"/>
        <v/>
      </c>
      <c r="P692" s="41" t="str">
        <f t="shared" si="515"/>
        <v/>
      </c>
      <c r="Q692" s="9" t="str">
        <f t="shared" si="516"/>
        <v/>
      </c>
      <c r="R692" s="14">
        <f t="shared" si="517"/>
        <v>0</v>
      </c>
      <c r="S692" s="61" t="str">
        <f t="shared" si="518"/>
        <v/>
      </c>
      <c r="T692" s="14">
        <f t="shared" si="519"/>
        <v>0</v>
      </c>
      <c r="U692" s="58" t="str">
        <f t="shared" si="520"/>
        <v/>
      </c>
      <c r="V692" s="14">
        <f t="shared" si="521"/>
        <v>0</v>
      </c>
      <c r="W692" s="58" t="str">
        <f t="shared" si="522"/>
        <v/>
      </c>
      <c r="X692" s="14">
        <f t="shared" si="523"/>
        <v>0</v>
      </c>
      <c r="Y692" s="58" t="str">
        <f t="shared" si="524"/>
        <v/>
      </c>
      <c r="Z692" s="31">
        <f t="shared" si="525"/>
        <v>0</v>
      </c>
      <c r="AA692" s="21">
        <f t="shared" si="526"/>
        <v>0</v>
      </c>
      <c r="AB692" s="58" t="str">
        <f t="shared" si="527"/>
        <v/>
      </c>
      <c r="AC692" s="630">
        <f t="shared" si="504"/>
        <v>0</v>
      </c>
      <c r="AD692" s="627"/>
      <c r="AE692" s="21">
        <f t="shared" si="528"/>
        <v>0</v>
      </c>
      <c r="AF692" s="58" t="str">
        <f t="shared" si="529"/>
        <v/>
      </c>
      <c r="AG692" s="21">
        <f t="shared" si="530"/>
        <v>0</v>
      </c>
      <c r="AH692" s="58" t="str">
        <f t="shared" si="531"/>
        <v/>
      </c>
      <c r="AI692" s="21">
        <f t="shared" si="532"/>
        <v>0</v>
      </c>
      <c r="AJ692" s="58" t="str">
        <f t="shared" si="533"/>
        <v/>
      </c>
      <c r="AK692" s="31">
        <f t="shared" si="534"/>
        <v>0</v>
      </c>
      <c r="AL692" s="21">
        <f t="shared" si="535"/>
        <v>0</v>
      </c>
      <c r="AM692" s="62" t="str">
        <f t="shared" si="536"/>
        <v/>
      </c>
      <c r="AN692" s="21">
        <f t="shared" si="537"/>
        <v>0</v>
      </c>
      <c r="AO692" s="62" t="str">
        <f t="shared" si="538"/>
        <v/>
      </c>
      <c r="AP692" s="21">
        <f t="shared" si="539"/>
        <v>0</v>
      </c>
      <c r="AQ692" s="62" t="str">
        <f t="shared" si="540"/>
        <v/>
      </c>
      <c r="AR692" s="31">
        <f t="shared" si="541"/>
        <v>0</v>
      </c>
      <c r="AS692" s="21">
        <f t="shared" si="542"/>
        <v>0</v>
      </c>
      <c r="AT692" s="62" t="str">
        <f t="shared" si="543"/>
        <v/>
      </c>
      <c r="AU692" s="84">
        <f t="shared" si="544"/>
        <v>0</v>
      </c>
      <c r="AV692" s="32">
        <f t="shared" si="545"/>
        <v>0</v>
      </c>
      <c r="AW692" s="85" t="str">
        <f t="shared" si="546"/>
        <v/>
      </c>
      <c r="AX692" s="86" t="str">
        <f t="shared" si="547"/>
        <v/>
      </c>
    </row>
    <row r="693" spans="1:50" x14ac:dyDescent="0.2">
      <c r="A693" s="29" t="str">
        <f t="shared" si="505"/>
        <v/>
      </c>
      <c r="B693" s="32" t="str">
        <f t="shared" si="506"/>
        <v/>
      </c>
      <c r="C693" s="35"/>
      <c r="D693" s="33" t="str">
        <f t="shared" si="507"/>
        <v/>
      </c>
      <c r="E693" s="22" t="str">
        <f t="shared" si="508"/>
        <v/>
      </c>
      <c r="F693" s="23" t="str">
        <f t="shared" si="509"/>
        <v/>
      </c>
      <c r="G693" s="23"/>
      <c r="H693" s="22"/>
      <c r="I693" s="23"/>
      <c r="J693" s="18"/>
      <c r="K693" s="13" t="str">
        <f t="shared" si="510"/>
        <v/>
      </c>
      <c r="L693" s="28" t="str">
        <f t="shared" si="511"/>
        <v/>
      </c>
      <c r="M693" s="10" t="str">
        <f t="shared" si="512"/>
        <v/>
      </c>
      <c r="N693" s="17" t="str">
        <f t="shared" si="513"/>
        <v/>
      </c>
      <c r="O693" s="39" t="str">
        <f t="shared" si="514"/>
        <v/>
      </c>
      <c r="P693" s="41" t="str">
        <f t="shared" si="515"/>
        <v/>
      </c>
      <c r="Q693" s="9" t="str">
        <f t="shared" si="516"/>
        <v/>
      </c>
      <c r="R693" s="14">
        <f t="shared" si="517"/>
        <v>0</v>
      </c>
      <c r="S693" s="61" t="str">
        <f t="shared" si="518"/>
        <v/>
      </c>
      <c r="T693" s="14">
        <f t="shared" si="519"/>
        <v>0</v>
      </c>
      <c r="U693" s="58" t="str">
        <f t="shared" si="520"/>
        <v/>
      </c>
      <c r="V693" s="14">
        <f t="shared" si="521"/>
        <v>0</v>
      </c>
      <c r="W693" s="58" t="str">
        <f t="shared" si="522"/>
        <v/>
      </c>
      <c r="X693" s="14">
        <f t="shared" si="523"/>
        <v>0</v>
      </c>
      <c r="Y693" s="58" t="str">
        <f t="shared" si="524"/>
        <v/>
      </c>
      <c r="Z693" s="31">
        <f t="shared" si="525"/>
        <v>0</v>
      </c>
      <c r="AA693" s="21">
        <f t="shared" si="526"/>
        <v>0</v>
      </c>
      <c r="AB693" s="58" t="str">
        <f t="shared" si="527"/>
        <v/>
      </c>
      <c r="AC693" s="630">
        <f t="shared" si="504"/>
        <v>0</v>
      </c>
      <c r="AD693" s="627"/>
      <c r="AE693" s="21">
        <f t="shared" si="528"/>
        <v>0</v>
      </c>
      <c r="AF693" s="58" t="str">
        <f t="shared" si="529"/>
        <v/>
      </c>
      <c r="AG693" s="21">
        <f t="shared" si="530"/>
        <v>0</v>
      </c>
      <c r="AH693" s="58" t="str">
        <f t="shared" si="531"/>
        <v/>
      </c>
      <c r="AI693" s="21">
        <f t="shared" si="532"/>
        <v>0</v>
      </c>
      <c r="AJ693" s="58" t="str">
        <f t="shared" si="533"/>
        <v/>
      </c>
      <c r="AK693" s="31">
        <f t="shared" si="534"/>
        <v>0</v>
      </c>
      <c r="AL693" s="21">
        <f t="shared" si="535"/>
        <v>0</v>
      </c>
      <c r="AM693" s="62" t="str">
        <f t="shared" si="536"/>
        <v/>
      </c>
      <c r="AN693" s="21">
        <f t="shared" si="537"/>
        <v>0</v>
      </c>
      <c r="AO693" s="62" t="str">
        <f t="shared" si="538"/>
        <v/>
      </c>
      <c r="AP693" s="21">
        <f t="shared" si="539"/>
        <v>0</v>
      </c>
      <c r="AQ693" s="62" t="str">
        <f t="shared" si="540"/>
        <v/>
      </c>
      <c r="AR693" s="31">
        <f t="shared" si="541"/>
        <v>0</v>
      </c>
      <c r="AS693" s="21">
        <f t="shared" si="542"/>
        <v>0</v>
      </c>
      <c r="AT693" s="62" t="str">
        <f t="shared" si="543"/>
        <v/>
      </c>
      <c r="AU693" s="84">
        <f t="shared" si="544"/>
        <v>0</v>
      </c>
      <c r="AV693" s="32">
        <f t="shared" si="545"/>
        <v>0</v>
      </c>
      <c r="AW693" s="85" t="str">
        <f t="shared" si="546"/>
        <v/>
      </c>
      <c r="AX693" s="86" t="str">
        <f t="shared" si="547"/>
        <v/>
      </c>
    </row>
    <row r="694" spans="1:50" x14ac:dyDescent="0.2">
      <c r="A694" s="29" t="str">
        <f t="shared" si="505"/>
        <v/>
      </c>
      <c r="B694" s="32" t="str">
        <f t="shared" si="506"/>
        <v/>
      </c>
      <c r="C694" s="35"/>
      <c r="D694" s="33" t="str">
        <f t="shared" si="507"/>
        <v/>
      </c>
      <c r="E694" s="22" t="str">
        <f t="shared" si="508"/>
        <v/>
      </c>
      <c r="F694" s="23" t="str">
        <f t="shared" si="509"/>
        <v/>
      </c>
      <c r="G694" s="23"/>
      <c r="H694" s="22"/>
      <c r="I694" s="23"/>
      <c r="J694" s="18"/>
      <c r="K694" s="13" t="str">
        <f t="shared" si="510"/>
        <v/>
      </c>
      <c r="L694" s="28" t="str">
        <f t="shared" si="511"/>
        <v/>
      </c>
      <c r="M694" s="10" t="str">
        <f t="shared" si="512"/>
        <v/>
      </c>
      <c r="N694" s="17" t="str">
        <f t="shared" si="513"/>
        <v/>
      </c>
      <c r="O694" s="39" t="str">
        <f t="shared" si="514"/>
        <v/>
      </c>
      <c r="P694" s="41" t="str">
        <f t="shared" si="515"/>
        <v/>
      </c>
      <c r="Q694" s="9" t="str">
        <f t="shared" si="516"/>
        <v/>
      </c>
      <c r="R694" s="14">
        <f t="shared" si="517"/>
        <v>0</v>
      </c>
      <c r="S694" s="61" t="str">
        <f t="shared" si="518"/>
        <v/>
      </c>
      <c r="T694" s="14">
        <f t="shared" si="519"/>
        <v>0</v>
      </c>
      <c r="U694" s="58" t="str">
        <f t="shared" si="520"/>
        <v/>
      </c>
      <c r="V694" s="14">
        <f t="shared" si="521"/>
        <v>0</v>
      </c>
      <c r="W694" s="58" t="str">
        <f t="shared" si="522"/>
        <v/>
      </c>
      <c r="X694" s="14">
        <f t="shared" si="523"/>
        <v>0</v>
      </c>
      <c r="Y694" s="58" t="str">
        <f t="shared" si="524"/>
        <v/>
      </c>
      <c r="Z694" s="31">
        <f t="shared" si="525"/>
        <v>0</v>
      </c>
      <c r="AA694" s="21">
        <f t="shared" si="526"/>
        <v>0</v>
      </c>
      <c r="AB694" s="58" t="str">
        <f t="shared" si="527"/>
        <v/>
      </c>
      <c r="AC694" s="630">
        <f t="shared" si="504"/>
        <v>0</v>
      </c>
      <c r="AD694" s="627"/>
      <c r="AE694" s="21">
        <f t="shared" si="528"/>
        <v>0</v>
      </c>
      <c r="AF694" s="58" t="str">
        <f t="shared" si="529"/>
        <v/>
      </c>
      <c r="AG694" s="21">
        <f t="shared" si="530"/>
        <v>0</v>
      </c>
      <c r="AH694" s="58" t="str">
        <f t="shared" si="531"/>
        <v/>
      </c>
      <c r="AI694" s="21">
        <f t="shared" si="532"/>
        <v>0</v>
      </c>
      <c r="AJ694" s="58" t="str">
        <f t="shared" si="533"/>
        <v/>
      </c>
      <c r="AK694" s="31">
        <f t="shared" si="534"/>
        <v>0</v>
      </c>
      <c r="AL694" s="21">
        <f t="shared" si="535"/>
        <v>0</v>
      </c>
      <c r="AM694" s="62" t="str">
        <f t="shared" si="536"/>
        <v/>
      </c>
      <c r="AN694" s="21">
        <f t="shared" si="537"/>
        <v>0</v>
      </c>
      <c r="AO694" s="62" t="str">
        <f t="shared" si="538"/>
        <v/>
      </c>
      <c r="AP694" s="21">
        <f t="shared" si="539"/>
        <v>0</v>
      </c>
      <c r="AQ694" s="62" t="str">
        <f t="shared" si="540"/>
        <v/>
      </c>
      <c r="AR694" s="31">
        <f t="shared" si="541"/>
        <v>0</v>
      </c>
      <c r="AS694" s="21">
        <f t="shared" si="542"/>
        <v>0</v>
      </c>
      <c r="AT694" s="62" t="str">
        <f t="shared" si="543"/>
        <v/>
      </c>
      <c r="AU694" s="84">
        <f t="shared" si="544"/>
        <v>0</v>
      </c>
      <c r="AV694" s="32">
        <f t="shared" si="545"/>
        <v>0</v>
      </c>
      <c r="AW694" s="85" t="str">
        <f t="shared" si="546"/>
        <v/>
      </c>
      <c r="AX694" s="86" t="str">
        <f t="shared" si="547"/>
        <v/>
      </c>
    </row>
    <row r="695" spans="1:50" x14ac:dyDescent="0.2">
      <c r="A695" s="29" t="str">
        <f t="shared" si="505"/>
        <v/>
      </c>
      <c r="B695" s="32" t="str">
        <f t="shared" si="506"/>
        <v/>
      </c>
      <c r="C695" s="35"/>
      <c r="D695" s="33" t="str">
        <f t="shared" si="507"/>
        <v/>
      </c>
      <c r="E695" s="22" t="str">
        <f t="shared" si="508"/>
        <v/>
      </c>
      <c r="F695" s="23" t="str">
        <f t="shared" si="509"/>
        <v/>
      </c>
      <c r="G695" s="23"/>
      <c r="H695" s="22"/>
      <c r="I695" s="23"/>
      <c r="J695" s="18"/>
      <c r="K695" s="13" t="str">
        <f t="shared" si="510"/>
        <v/>
      </c>
      <c r="L695" s="28" t="str">
        <f t="shared" si="511"/>
        <v/>
      </c>
      <c r="M695" s="10" t="str">
        <f t="shared" si="512"/>
        <v/>
      </c>
      <c r="N695" s="17" t="str">
        <f t="shared" si="513"/>
        <v/>
      </c>
      <c r="O695" s="39" t="str">
        <f t="shared" si="514"/>
        <v/>
      </c>
      <c r="P695" s="41" t="str">
        <f t="shared" si="515"/>
        <v/>
      </c>
      <c r="Q695" s="9" t="str">
        <f t="shared" si="516"/>
        <v/>
      </c>
      <c r="R695" s="14">
        <f t="shared" si="517"/>
        <v>0</v>
      </c>
      <c r="S695" s="61" t="str">
        <f t="shared" si="518"/>
        <v/>
      </c>
      <c r="T695" s="14">
        <f t="shared" si="519"/>
        <v>0</v>
      </c>
      <c r="U695" s="58" t="str">
        <f t="shared" si="520"/>
        <v/>
      </c>
      <c r="V695" s="14">
        <f t="shared" si="521"/>
        <v>0</v>
      </c>
      <c r="W695" s="58" t="str">
        <f t="shared" si="522"/>
        <v/>
      </c>
      <c r="X695" s="14">
        <f t="shared" si="523"/>
        <v>0</v>
      </c>
      <c r="Y695" s="58" t="str">
        <f t="shared" si="524"/>
        <v/>
      </c>
      <c r="Z695" s="31">
        <f t="shared" si="525"/>
        <v>0</v>
      </c>
      <c r="AA695" s="21">
        <f t="shared" si="526"/>
        <v>0</v>
      </c>
      <c r="AB695" s="58" t="str">
        <f t="shared" si="527"/>
        <v/>
      </c>
      <c r="AC695" s="630">
        <f t="shared" si="504"/>
        <v>0</v>
      </c>
      <c r="AD695" s="627"/>
      <c r="AE695" s="21">
        <f t="shared" si="528"/>
        <v>0</v>
      </c>
      <c r="AF695" s="58" t="str">
        <f t="shared" si="529"/>
        <v/>
      </c>
      <c r="AG695" s="21">
        <f t="shared" si="530"/>
        <v>0</v>
      </c>
      <c r="AH695" s="58" t="str">
        <f t="shared" si="531"/>
        <v/>
      </c>
      <c r="AI695" s="21">
        <f t="shared" si="532"/>
        <v>0</v>
      </c>
      <c r="AJ695" s="58" t="str">
        <f t="shared" si="533"/>
        <v/>
      </c>
      <c r="AK695" s="31">
        <f t="shared" si="534"/>
        <v>0</v>
      </c>
      <c r="AL695" s="21">
        <f t="shared" si="535"/>
        <v>0</v>
      </c>
      <c r="AM695" s="62" t="str">
        <f t="shared" si="536"/>
        <v/>
      </c>
      <c r="AN695" s="21">
        <f t="shared" si="537"/>
        <v>0</v>
      </c>
      <c r="AO695" s="62" t="str">
        <f t="shared" si="538"/>
        <v/>
      </c>
      <c r="AP695" s="21">
        <f t="shared" si="539"/>
        <v>0</v>
      </c>
      <c r="AQ695" s="62" t="str">
        <f t="shared" si="540"/>
        <v/>
      </c>
      <c r="AR695" s="31">
        <f t="shared" si="541"/>
        <v>0</v>
      </c>
      <c r="AS695" s="21">
        <f t="shared" si="542"/>
        <v>0</v>
      </c>
      <c r="AT695" s="62" t="str">
        <f t="shared" si="543"/>
        <v/>
      </c>
      <c r="AU695" s="84">
        <f t="shared" si="544"/>
        <v>0</v>
      </c>
      <c r="AV695" s="32">
        <f t="shared" si="545"/>
        <v>0</v>
      </c>
      <c r="AW695" s="85" t="str">
        <f t="shared" si="546"/>
        <v/>
      </c>
      <c r="AX695" s="86" t="str">
        <f t="shared" si="547"/>
        <v/>
      </c>
    </row>
    <row r="696" spans="1:50" x14ac:dyDescent="0.2">
      <c r="A696" s="29" t="str">
        <f t="shared" si="505"/>
        <v/>
      </c>
      <c r="B696" s="32" t="str">
        <f t="shared" si="506"/>
        <v/>
      </c>
      <c r="C696" s="35"/>
      <c r="D696" s="33" t="str">
        <f t="shared" si="507"/>
        <v/>
      </c>
      <c r="E696" s="22" t="str">
        <f t="shared" si="508"/>
        <v/>
      </c>
      <c r="F696" s="23" t="str">
        <f t="shared" si="509"/>
        <v/>
      </c>
      <c r="G696" s="23"/>
      <c r="H696" s="22"/>
      <c r="I696" s="23"/>
      <c r="J696" s="18"/>
      <c r="K696" s="13" t="str">
        <f t="shared" si="510"/>
        <v/>
      </c>
      <c r="L696" s="28" t="str">
        <f t="shared" si="511"/>
        <v/>
      </c>
      <c r="M696" s="10" t="str">
        <f t="shared" si="512"/>
        <v/>
      </c>
      <c r="N696" s="17" t="str">
        <f t="shared" si="513"/>
        <v/>
      </c>
      <c r="O696" s="39" t="str">
        <f t="shared" si="514"/>
        <v/>
      </c>
      <c r="P696" s="41" t="str">
        <f t="shared" si="515"/>
        <v/>
      </c>
      <c r="Q696" s="9" t="str">
        <f t="shared" si="516"/>
        <v/>
      </c>
      <c r="R696" s="14">
        <f t="shared" si="517"/>
        <v>0</v>
      </c>
      <c r="S696" s="61" t="str">
        <f t="shared" si="518"/>
        <v/>
      </c>
      <c r="T696" s="14">
        <f t="shared" si="519"/>
        <v>0</v>
      </c>
      <c r="U696" s="58" t="str">
        <f t="shared" si="520"/>
        <v/>
      </c>
      <c r="V696" s="14">
        <f t="shared" si="521"/>
        <v>0</v>
      </c>
      <c r="W696" s="58" t="str">
        <f t="shared" si="522"/>
        <v/>
      </c>
      <c r="X696" s="14">
        <f t="shared" si="523"/>
        <v>0</v>
      </c>
      <c r="Y696" s="58" t="str">
        <f t="shared" si="524"/>
        <v/>
      </c>
      <c r="Z696" s="31">
        <f t="shared" si="525"/>
        <v>0</v>
      </c>
      <c r="AA696" s="21">
        <f t="shared" si="526"/>
        <v>0</v>
      </c>
      <c r="AB696" s="58" t="str">
        <f t="shared" si="527"/>
        <v/>
      </c>
      <c r="AC696" s="630">
        <f t="shared" si="504"/>
        <v>0</v>
      </c>
      <c r="AD696" s="627"/>
      <c r="AE696" s="21">
        <f t="shared" si="528"/>
        <v>0</v>
      </c>
      <c r="AF696" s="58" t="str">
        <f t="shared" si="529"/>
        <v/>
      </c>
      <c r="AG696" s="21">
        <f t="shared" si="530"/>
        <v>0</v>
      </c>
      <c r="AH696" s="58" t="str">
        <f t="shared" si="531"/>
        <v/>
      </c>
      <c r="AI696" s="21">
        <f t="shared" si="532"/>
        <v>0</v>
      </c>
      <c r="AJ696" s="58" t="str">
        <f t="shared" si="533"/>
        <v/>
      </c>
      <c r="AK696" s="31">
        <f t="shared" si="534"/>
        <v>0</v>
      </c>
      <c r="AL696" s="21">
        <f t="shared" si="535"/>
        <v>0</v>
      </c>
      <c r="AM696" s="62" t="str">
        <f t="shared" si="536"/>
        <v/>
      </c>
      <c r="AN696" s="21">
        <f t="shared" si="537"/>
        <v>0</v>
      </c>
      <c r="AO696" s="62" t="str">
        <f t="shared" si="538"/>
        <v/>
      </c>
      <c r="AP696" s="21">
        <f t="shared" si="539"/>
        <v>0</v>
      </c>
      <c r="AQ696" s="62" t="str">
        <f t="shared" si="540"/>
        <v/>
      </c>
      <c r="AR696" s="31">
        <f t="shared" si="541"/>
        <v>0</v>
      </c>
      <c r="AS696" s="21">
        <f t="shared" si="542"/>
        <v>0</v>
      </c>
      <c r="AT696" s="62" t="str">
        <f t="shared" si="543"/>
        <v/>
      </c>
      <c r="AU696" s="84">
        <f t="shared" si="544"/>
        <v>0</v>
      </c>
      <c r="AV696" s="32">
        <f t="shared" si="545"/>
        <v>0</v>
      </c>
      <c r="AW696" s="85" t="str">
        <f t="shared" si="546"/>
        <v/>
      </c>
      <c r="AX696" s="86" t="str">
        <f t="shared" si="547"/>
        <v/>
      </c>
    </row>
    <row r="697" spans="1:50" x14ac:dyDescent="0.2">
      <c r="A697" s="29" t="str">
        <f t="shared" si="505"/>
        <v/>
      </c>
      <c r="B697" s="32" t="str">
        <f t="shared" si="506"/>
        <v/>
      </c>
      <c r="C697" s="35"/>
      <c r="D697" s="33" t="str">
        <f t="shared" si="507"/>
        <v/>
      </c>
      <c r="E697" s="22" t="str">
        <f t="shared" si="508"/>
        <v/>
      </c>
      <c r="F697" s="23" t="str">
        <f t="shared" si="509"/>
        <v/>
      </c>
      <c r="G697" s="23"/>
      <c r="H697" s="22"/>
      <c r="I697" s="23"/>
      <c r="J697" s="18"/>
      <c r="K697" s="13" t="str">
        <f t="shared" si="510"/>
        <v/>
      </c>
      <c r="L697" s="28" t="str">
        <f t="shared" si="511"/>
        <v/>
      </c>
      <c r="M697" s="10" t="str">
        <f t="shared" si="512"/>
        <v/>
      </c>
      <c r="N697" s="17" t="str">
        <f t="shared" si="513"/>
        <v/>
      </c>
      <c r="O697" s="39" t="str">
        <f t="shared" si="514"/>
        <v/>
      </c>
      <c r="P697" s="41" t="str">
        <f t="shared" si="515"/>
        <v/>
      </c>
      <c r="Q697" s="9" t="str">
        <f t="shared" si="516"/>
        <v/>
      </c>
      <c r="R697" s="14">
        <f t="shared" si="517"/>
        <v>0</v>
      </c>
      <c r="S697" s="61" t="str">
        <f t="shared" si="518"/>
        <v/>
      </c>
      <c r="T697" s="14">
        <f t="shared" si="519"/>
        <v>0</v>
      </c>
      <c r="U697" s="58" t="str">
        <f t="shared" si="520"/>
        <v/>
      </c>
      <c r="V697" s="14">
        <f t="shared" si="521"/>
        <v>0</v>
      </c>
      <c r="W697" s="58" t="str">
        <f t="shared" si="522"/>
        <v/>
      </c>
      <c r="X697" s="14">
        <f t="shared" si="523"/>
        <v>0</v>
      </c>
      <c r="Y697" s="58" t="str">
        <f t="shared" si="524"/>
        <v/>
      </c>
      <c r="Z697" s="31">
        <f t="shared" si="525"/>
        <v>0</v>
      </c>
      <c r="AA697" s="21">
        <f t="shared" si="526"/>
        <v>0</v>
      </c>
      <c r="AB697" s="58" t="str">
        <f t="shared" si="527"/>
        <v/>
      </c>
      <c r="AC697" s="630">
        <f t="shared" si="504"/>
        <v>0</v>
      </c>
      <c r="AD697" s="627"/>
      <c r="AE697" s="21">
        <f t="shared" si="528"/>
        <v>0</v>
      </c>
      <c r="AF697" s="58" t="str">
        <f t="shared" si="529"/>
        <v/>
      </c>
      <c r="AG697" s="21">
        <f t="shared" si="530"/>
        <v>0</v>
      </c>
      <c r="AH697" s="58" t="str">
        <f t="shared" si="531"/>
        <v/>
      </c>
      <c r="AI697" s="21">
        <f t="shared" si="532"/>
        <v>0</v>
      </c>
      <c r="AJ697" s="58" t="str">
        <f t="shared" si="533"/>
        <v/>
      </c>
      <c r="AK697" s="31">
        <f t="shared" si="534"/>
        <v>0</v>
      </c>
      <c r="AL697" s="21">
        <f t="shared" si="535"/>
        <v>0</v>
      </c>
      <c r="AM697" s="62" t="str">
        <f t="shared" si="536"/>
        <v/>
      </c>
      <c r="AN697" s="21">
        <f t="shared" si="537"/>
        <v>0</v>
      </c>
      <c r="AO697" s="62" t="str">
        <f t="shared" si="538"/>
        <v/>
      </c>
      <c r="AP697" s="21">
        <f t="shared" si="539"/>
        <v>0</v>
      </c>
      <c r="AQ697" s="62" t="str">
        <f t="shared" si="540"/>
        <v/>
      </c>
      <c r="AR697" s="31">
        <f t="shared" si="541"/>
        <v>0</v>
      </c>
      <c r="AS697" s="21">
        <f t="shared" si="542"/>
        <v>0</v>
      </c>
      <c r="AT697" s="62" t="str">
        <f t="shared" si="543"/>
        <v/>
      </c>
      <c r="AU697" s="84">
        <f t="shared" si="544"/>
        <v>0</v>
      </c>
      <c r="AV697" s="32">
        <f t="shared" si="545"/>
        <v>0</v>
      </c>
      <c r="AW697" s="85" t="str">
        <f t="shared" si="546"/>
        <v/>
      </c>
      <c r="AX697" s="86" t="str">
        <f t="shared" si="547"/>
        <v/>
      </c>
    </row>
    <row r="698" spans="1:50" x14ac:dyDescent="0.2">
      <c r="A698" s="29" t="str">
        <f t="shared" si="505"/>
        <v/>
      </c>
      <c r="B698" s="32" t="str">
        <f t="shared" si="506"/>
        <v/>
      </c>
      <c r="C698" s="35"/>
      <c r="D698" s="33" t="str">
        <f t="shared" si="507"/>
        <v/>
      </c>
      <c r="E698" s="22" t="str">
        <f t="shared" si="508"/>
        <v/>
      </c>
      <c r="F698" s="23" t="str">
        <f t="shared" si="509"/>
        <v/>
      </c>
      <c r="G698" s="23"/>
      <c r="H698" s="22"/>
      <c r="I698" s="23"/>
      <c r="J698" s="18"/>
      <c r="K698" s="13" t="str">
        <f t="shared" si="510"/>
        <v/>
      </c>
      <c r="L698" s="28" t="str">
        <f t="shared" si="511"/>
        <v/>
      </c>
      <c r="M698" s="10" t="str">
        <f t="shared" si="512"/>
        <v/>
      </c>
      <c r="N698" s="17" t="str">
        <f t="shared" si="513"/>
        <v/>
      </c>
      <c r="O698" s="39" t="str">
        <f t="shared" si="514"/>
        <v/>
      </c>
      <c r="P698" s="41" t="str">
        <f t="shared" si="515"/>
        <v/>
      </c>
      <c r="Q698" s="9" t="str">
        <f t="shared" si="516"/>
        <v/>
      </c>
      <c r="R698" s="14">
        <f t="shared" si="517"/>
        <v>0</v>
      </c>
      <c r="S698" s="61" t="str">
        <f t="shared" si="518"/>
        <v/>
      </c>
      <c r="T698" s="14">
        <f t="shared" si="519"/>
        <v>0</v>
      </c>
      <c r="U698" s="58" t="str">
        <f t="shared" si="520"/>
        <v/>
      </c>
      <c r="V698" s="14">
        <f t="shared" si="521"/>
        <v>0</v>
      </c>
      <c r="W698" s="58" t="str">
        <f t="shared" si="522"/>
        <v/>
      </c>
      <c r="X698" s="14">
        <f t="shared" si="523"/>
        <v>0</v>
      </c>
      <c r="Y698" s="58" t="str">
        <f t="shared" si="524"/>
        <v/>
      </c>
      <c r="Z698" s="31">
        <f t="shared" si="525"/>
        <v>0</v>
      </c>
      <c r="AA698" s="21">
        <f t="shared" si="526"/>
        <v>0</v>
      </c>
      <c r="AB698" s="58" t="str">
        <f t="shared" si="527"/>
        <v/>
      </c>
      <c r="AC698" s="630">
        <f t="shared" si="504"/>
        <v>0</v>
      </c>
      <c r="AD698" s="627"/>
      <c r="AE698" s="21">
        <f t="shared" si="528"/>
        <v>0</v>
      </c>
      <c r="AF698" s="58" t="str">
        <f t="shared" si="529"/>
        <v/>
      </c>
      <c r="AG698" s="21">
        <f t="shared" si="530"/>
        <v>0</v>
      </c>
      <c r="AH698" s="58" t="str">
        <f t="shared" si="531"/>
        <v/>
      </c>
      <c r="AI698" s="21">
        <f t="shared" si="532"/>
        <v>0</v>
      </c>
      <c r="AJ698" s="58" t="str">
        <f t="shared" si="533"/>
        <v/>
      </c>
      <c r="AK698" s="31">
        <f t="shared" si="534"/>
        <v>0</v>
      </c>
      <c r="AL698" s="21">
        <f t="shared" si="535"/>
        <v>0</v>
      </c>
      <c r="AM698" s="62" t="str">
        <f t="shared" si="536"/>
        <v/>
      </c>
      <c r="AN698" s="21">
        <f t="shared" si="537"/>
        <v>0</v>
      </c>
      <c r="AO698" s="62" t="str">
        <f t="shared" si="538"/>
        <v/>
      </c>
      <c r="AP698" s="21">
        <f t="shared" si="539"/>
        <v>0</v>
      </c>
      <c r="AQ698" s="62" t="str">
        <f t="shared" si="540"/>
        <v/>
      </c>
      <c r="AR698" s="31">
        <f t="shared" si="541"/>
        <v>0</v>
      </c>
      <c r="AS698" s="21">
        <f t="shared" si="542"/>
        <v>0</v>
      </c>
      <c r="AT698" s="62" t="str">
        <f t="shared" si="543"/>
        <v/>
      </c>
      <c r="AU698" s="84">
        <f t="shared" si="544"/>
        <v>0</v>
      </c>
      <c r="AV698" s="32">
        <f t="shared" si="545"/>
        <v>0</v>
      </c>
      <c r="AW698" s="85" t="str">
        <f t="shared" si="546"/>
        <v/>
      </c>
      <c r="AX698" s="86" t="str">
        <f t="shared" si="547"/>
        <v/>
      </c>
    </row>
    <row r="699" spans="1:50" x14ac:dyDescent="0.2">
      <c r="A699" s="29" t="str">
        <f t="shared" si="505"/>
        <v/>
      </c>
      <c r="B699" s="32" t="str">
        <f t="shared" si="506"/>
        <v/>
      </c>
      <c r="C699" s="35"/>
      <c r="D699" s="33" t="str">
        <f t="shared" si="507"/>
        <v/>
      </c>
      <c r="E699" s="22" t="str">
        <f t="shared" si="508"/>
        <v/>
      </c>
      <c r="F699" s="23" t="str">
        <f t="shared" si="509"/>
        <v/>
      </c>
      <c r="G699" s="23"/>
      <c r="H699" s="22"/>
      <c r="I699" s="23"/>
      <c r="J699" s="18"/>
      <c r="K699" s="13" t="str">
        <f t="shared" si="510"/>
        <v/>
      </c>
      <c r="L699" s="28" t="str">
        <f t="shared" si="511"/>
        <v/>
      </c>
      <c r="M699" s="10" t="str">
        <f t="shared" si="512"/>
        <v/>
      </c>
      <c r="N699" s="17" t="str">
        <f t="shared" si="513"/>
        <v/>
      </c>
      <c r="O699" s="39" t="str">
        <f t="shared" si="514"/>
        <v/>
      </c>
      <c r="P699" s="41" t="str">
        <f t="shared" si="515"/>
        <v/>
      </c>
      <c r="Q699" s="9" t="str">
        <f t="shared" si="516"/>
        <v/>
      </c>
      <c r="R699" s="14">
        <f t="shared" si="517"/>
        <v>0</v>
      </c>
      <c r="S699" s="61" t="str">
        <f t="shared" si="518"/>
        <v/>
      </c>
      <c r="T699" s="14">
        <f t="shared" si="519"/>
        <v>0</v>
      </c>
      <c r="U699" s="58" t="str">
        <f t="shared" si="520"/>
        <v/>
      </c>
      <c r="V699" s="14">
        <f t="shared" si="521"/>
        <v>0</v>
      </c>
      <c r="W699" s="58" t="str">
        <f t="shared" si="522"/>
        <v/>
      </c>
      <c r="X699" s="14">
        <f t="shared" si="523"/>
        <v>0</v>
      </c>
      <c r="Y699" s="58" t="str">
        <f t="shared" si="524"/>
        <v/>
      </c>
      <c r="Z699" s="31">
        <f t="shared" si="525"/>
        <v>0</v>
      </c>
      <c r="AA699" s="21">
        <f t="shared" si="526"/>
        <v>0</v>
      </c>
      <c r="AB699" s="58" t="str">
        <f t="shared" si="527"/>
        <v/>
      </c>
      <c r="AC699" s="630">
        <f t="shared" si="504"/>
        <v>0</v>
      </c>
      <c r="AD699" s="627"/>
      <c r="AE699" s="21">
        <f t="shared" si="528"/>
        <v>0</v>
      </c>
      <c r="AF699" s="58" t="str">
        <f t="shared" si="529"/>
        <v/>
      </c>
      <c r="AG699" s="21">
        <f t="shared" si="530"/>
        <v>0</v>
      </c>
      <c r="AH699" s="58" t="str">
        <f t="shared" si="531"/>
        <v/>
      </c>
      <c r="AI699" s="21">
        <f t="shared" si="532"/>
        <v>0</v>
      </c>
      <c r="AJ699" s="58" t="str">
        <f t="shared" si="533"/>
        <v/>
      </c>
      <c r="AK699" s="31">
        <f t="shared" si="534"/>
        <v>0</v>
      </c>
      <c r="AL699" s="21">
        <f t="shared" si="535"/>
        <v>0</v>
      </c>
      <c r="AM699" s="62" t="str">
        <f t="shared" si="536"/>
        <v/>
      </c>
      <c r="AN699" s="21">
        <f t="shared" si="537"/>
        <v>0</v>
      </c>
      <c r="AO699" s="62" t="str">
        <f t="shared" si="538"/>
        <v/>
      </c>
      <c r="AP699" s="21">
        <f t="shared" si="539"/>
        <v>0</v>
      </c>
      <c r="AQ699" s="62" t="str">
        <f t="shared" si="540"/>
        <v/>
      </c>
      <c r="AR699" s="31">
        <f t="shared" si="541"/>
        <v>0</v>
      </c>
      <c r="AS699" s="21">
        <f t="shared" si="542"/>
        <v>0</v>
      </c>
      <c r="AT699" s="62" t="str">
        <f t="shared" si="543"/>
        <v/>
      </c>
      <c r="AU699" s="84">
        <f t="shared" si="544"/>
        <v>0</v>
      </c>
      <c r="AV699" s="32">
        <f t="shared" si="545"/>
        <v>0</v>
      </c>
      <c r="AW699" s="85" t="str">
        <f t="shared" si="546"/>
        <v/>
      </c>
      <c r="AX699" s="86" t="str">
        <f t="shared" si="547"/>
        <v/>
      </c>
    </row>
    <row r="700" spans="1:50" x14ac:dyDescent="0.2">
      <c r="A700" s="29" t="str">
        <f t="shared" si="505"/>
        <v/>
      </c>
      <c r="B700" s="32" t="str">
        <f t="shared" si="506"/>
        <v/>
      </c>
      <c r="C700" s="35"/>
      <c r="D700" s="33" t="str">
        <f t="shared" si="507"/>
        <v/>
      </c>
      <c r="E700" s="22" t="str">
        <f t="shared" si="508"/>
        <v/>
      </c>
      <c r="F700" s="23" t="str">
        <f t="shared" si="509"/>
        <v/>
      </c>
      <c r="G700" s="23"/>
      <c r="H700" s="22"/>
      <c r="I700" s="23"/>
      <c r="J700" s="18"/>
      <c r="K700" s="13" t="str">
        <f t="shared" si="510"/>
        <v/>
      </c>
      <c r="L700" s="28" t="str">
        <f t="shared" si="511"/>
        <v/>
      </c>
      <c r="M700" s="10" t="str">
        <f t="shared" si="512"/>
        <v/>
      </c>
      <c r="N700" s="17" t="str">
        <f t="shared" si="513"/>
        <v/>
      </c>
      <c r="O700" s="39" t="str">
        <f t="shared" si="514"/>
        <v/>
      </c>
      <c r="P700" s="41" t="str">
        <f t="shared" si="515"/>
        <v/>
      </c>
      <c r="Q700" s="9" t="str">
        <f t="shared" si="516"/>
        <v/>
      </c>
      <c r="R700" s="14">
        <f t="shared" si="517"/>
        <v>0</v>
      </c>
      <c r="S700" s="61" t="str">
        <f t="shared" si="518"/>
        <v/>
      </c>
      <c r="T700" s="14">
        <f t="shared" si="519"/>
        <v>0</v>
      </c>
      <c r="U700" s="58" t="str">
        <f t="shared" si="520"/>
        <v/>
      </c>
      <c r="V700" s="14">
        <f t="shared" si="521"/>
        <v>0</v>
      </c>
      <c r="W700" s="58" t="str">
        <f t="shared" si="522"/>
        <v/>
      </c>
      <c r="X700" s="14">
        <f t="shared" si="523"/>
        <v>0</v>
      </c>
      <c r="Y700" s="58" t="str">
        <f t="shared" si="524"/>
        <v/>
      </c>
      <c r="Z700" s="31">
        <f t="shared" si="525"/>
        <v>0</v>
      </c>
      <c r="AA700" s="21">
        <f t="shared" si="526"/>
        <v>0</v>
      </c>
      <c r="AB700" s="58" t="str">
        <f t="shared" si="527"/>
        <v/>
      </c>
      <c r="AC700" s="630">
        <f t="shared" si="504"/>
        <v>0</v>
      </c>
      <c r="AD700" s="627"/>
      <c r="AE700" s="21">
        <f t="shared" si="528"/>
        <v>0</v>
      </c>
      <c r="AF700" s="58" t="str">
        <f t="shared" si="529"/>
        <v/>
      </c>
      <c r="AG700" s="21">
        <f t="shared" si="530"/>
        <v>0</v>
      </c>
      <c r="AH700" s="58" t="str">
        <f t="shared" si="531"/>
        <v/>
      </c>
      <c r="AI700" s="21">
        <f t="shared" si="532"/>
        <v>0</v>
      </c>
      <c r="AJ700" s="58" t="str">
        <f t="shared" si="533"/>
        <v/>
      </c>
      <c r="AK700" s="31">
        <f t="shared" si="534"/>
        <v>0</v>
      </c>
      <c r="AL700" s="21">
        <f t="shared" si="535"/>
        <v>0</v>
      </c>
      <c r="AM700" s="62" t="str">
        <f t="shared" si="536"/>
        <v/>
      </c>
      <c r="AN700" s="21">
        <f t="shared" si="537"/>
        <v>0</v>
      </c>
      <c r="AO700" s="62" t="str">
        <f t="shared" si="538"/>
        <v/>
      </c>
      <c r="AP700" s="21">
        <f t="shared" si="539"/>
        <v>0</v>
      </c>
      <c r="AQ700" s="62" t="str">
        <f t="shared" si="540"/>
        <v/>
      </c>
      <c r="AR700" s="31">
        <f t="shared" si="541"/>
        <v>0</v>
      </c>
      <c r="AS700" s="21">
        <f t="shared" si="542"/>
        <v>0</v>
      </c>
      <c r="AT700" s="62" t="str">
        <f t="shared" si="543"/>
        <v/>
      </c>
      <c r="AU700" s="84">
        <f t="shared" si="544"/>
        <v>0</v>
      </c>
      <c r="AV700" s="32">
        <f t="shared" si="545"/>
        <v>0</v>
      </c>
      <c r="AW700" s="85" t="str">
        <f t="shared" si="546"/>
        <v/>
      </c>
      <c r="AX700" s="86" t="str">
        <f t="shared" si="547"/>
        <v/>
      </c>
    </row>
    <row r="701" spans="1:50" x14ac:dyDescent="0.2">
      <c r="A701" s="29" t="str">
        <f t="shared" si="505"/>
        <v/>
      </c>
      <c r="B701" s="32" t="str">
        <f t="shared" si="506"/>
        <v/>
      </c>
      <c r="C701" s="35"/>
      <c r="D701" s="33" t="str">
        <f t="shared" si="507"/>
        <v/>
      </c>
      <c r="E701" s="22" t="str">
        <f t="shared" si="508"/>
        <v/>
      </c>
      <c r="F701" s="23" t="str">
        <f t="shared" si="509"/>
        <v/>
      </c>
      <c r="G701" s="23"/>
      <c r="H701" s="22"/>
      <c r="I701" s="23"/>
      <c r="J701" s="18"/>
      <c r="K701" s="13" t="str">
        <f t="shared" si="510"/>
        <v/>
      </c>
      <c r="L701" s="28" t="str">
        <f t="shared" si="511"/>
        <v/>
      </c>
      <c r="M701" s="10" t="str">
        <f t="shared" si="512"/>
        <v/>
      </c>
      <c r="N701" s="17" t="str">
        <f t="shared" si="513"/>
        <v/>
      </c>
      <c r="O701" s="39" t="str">
        <f t="shared" si="514"/>
        <v/>
      </c>
      <c r="P701" s="41" t="str">
        <f t="shared" si="515"/>
        <v/>
      </c>
      <c r="Q701" s="9" t="str">
        <f t="shared" si="516"/>
        <v/>
      </c>
      <c r="R701" s="14">
        <f t="shared" si="517"/>
        <v>0</v>
      </c>
      <c r="S701" s="61" t="str">
        <f t="shared" si="518"/>
        <v/>
      </c>
      <c r="T701" s="14">
        <f t="shared" si="519"/>
        <v>0</v>
      </c>
      <c r="U701" s="58" t="str">
        <f t="shared" si="520"/>
        <v/>
      </c>
      <c r="V701" s="14">
        <f t="shared" si="521"/>
        <v>0</v>
      </c>
      <c r="W701" s="58" t="str">
        <f t="shared" si="522"/>
        <v/>
      </c>
      <c r="X701" s="14">
        <f t="shared" si="523"/>
        <v>0</v>
      </c>
      <c r="Y701" s="58" t="str">
        <f t="shared" si="524"/>
        <v/>
      </c>
      <c r="Z701" s="31">
        <f t="shared" si="525"/>
        <v>0</v>
      </c>
      <c r="AA701" s="21">
        <f t="shared" si="526"/>
        <v>0</v>
      </c>
      <c r="AB701" s="58" t="str">
        <f t="shared" si="527"/>
        <v/>
      </c>
      <c r="AC701" s="630">
        <f t="shared" si="504"/>
        <v>0</v>
      </c>
      <c r="AD701" s="627"/>
      <c r="AE701" s="21">
        <f t="shared" si="528"/>
        <v>0</v>
      </c>
      <c r="AF701" s="58" t="str">
        <f t="shared" si="529"/>
        <v/>
      </c>
      <c r="AG701" s="21">
        <f t="shared" si="530"/>
        <v>0</v>
      </c>
      <c r="AH701" s="58" t="str">
        <f t="shared" si="531"/>
        <v/>
      </c>
      <c r="AI701" s="21">
        <f t="shared" si="532"/>
        <v>0</v>
      </c>
      <c r="AJ701" s="58" t="str">
        <f t="shared" si="533"/>
        <v/>
      </c>
      <c r="AK701" s="31">
        <f t="shared" si="534"/>
        <v>0</v>
      </c>
      <c r="AL701" s="21">
        <f t="shared" si="535"/>
        <v>0</v>
      </c>
      <c r="AM701" s="62" t="str">
        <f t="shared" si="536"/>
        <v/>
      </c>
      <c r="AN701" s="21">
        <f t="shared" si="537"/>
        <v>0</v>
      </c>
      <c r="AO701" s="62" t="str">
        <f t="shared" si="538"/>
        <v/>
      </c>
      <c r="AP701" s="21">
        <f t="shared" si="539"/>
        <v>0</v>
      </c>
      <c r="AQ701" s="62" t="str">
        <f t="shared" si="540"/>
        <v/>
      </c>
      <c r="AR701" s="31">
        <f t="shared" si="541"/>
        <v>0</v>
      </c>
      <c r="AS701" s="21">
        <f t="shared" si="542"/>
        <v>0</v>
      </c>
      <c r="AT701" s="62" t="str">
        <f t="shared" si="543"/>
        <v/>
      </c>
      <c r="AU701" s="84">
        <f t="shared" si="544"/>
        <v>0</v>
      </c>
      <c r="AV701" s="32">
        <f t="shared" si="545"/>
        <v>0</v>
      </c>
      <c r="AW701" s="85" t="str">
        <f t="shared" si="546"/>
        <v/>
      </c>
      <c r="AX701" s="86" t="str">
        <f t="shared" si="547"/>
        <v/>
      </c>
    </row>
    <row r="702" spans="1:50" x14ac:dyDescent="0.2">
      <c r="A702" s="29" t="str">
        <f t="shared" si="505"/>
        <v/>
      </c>
      <c r="B702" s="32" t="str">
        <f t="shared" si="506"/>
        <v/>
      </c>
      <c r="C702" s="35"/>
      <c r="D702" s="33" t="str">
        <f t="shared" si="507"/>
        <v/>
      </c>
      <c r="E702" s="22" t="str">
        <f t="shared" si="508"/>
        <v/>
      </c>
      <c r="F702" s="23" t="str">
        <f t="shared" si="509"/>
        <v/>
      </c>
      <c r="G702" s="23"/>
      <c r="H702" s="22"/>
      <c r="I702" s="23"/>
      <c r="J702" s="18"/>
      <c r="K702" s="13" t="str">
        <f t="shared" si="510"/>
        <v/>
      </c>
      <c r="L702" s="28" t="str">
        <f t="shared" si="511"/>
        <v/>
      </c>
      <c r="M702" s="10" t="str">
        <f t="shared" si="512"/>
        <v/>
      </c>
      <c r="N702" s="17" t="str">
        <f t="shared" si="513"/>
        <v/>
      </c>
      <c r="O702" s="39" t="str">
        <f t="shared" si="514"/>
        <v/>
      </c>
      <c r="P702" s="41" t="str">
        <f t="shared" si="515"/>
        <v/>
      </c>
      <c r="Q702" s="9" t="str">
        <f t="shared" si="516"/>
        <v/>
      </c>
      <c r="R702" s="14">
        <f t="shared" si="517"/>
        <v>0</v>
      </c>
      <c r="S702" s="61" t="str">
        <f t="shared" si="518"/>
        <v/>
      </c>
      <c r="T702" s="14">
        <f t="shared" si="519"/>
        <v>0</v>
      </c>
      <c r="U702" s="58" t="str">
        <f t="shared" si="520"/>
        <v/>
      </c>
      <c r="V702" s="14">
        <f t="shared" si="521"/>
        <v>0</v>
      </c>
      <c r="W702" s="58" t="str">
        <f t="shared" si="522"/>
        <v/>
      </c>
      <c r="X702" s="14">
        <f t="shared" si="523"/>
        <v>0</v>
      </c>
      <c r="Y702" s="58" t="str">
        <f t="shared" si="524"/>
        <v/>
      </c>
      <c r="Z702" s="31">
        <f t="shared" si="525"/>
        <v>0</v>
      </c>
      <c r="AA702" s="21">
        <f t="shared" si="526"/>
        <v>0</v>
      </c>
      <c r="AB702" s="58" t="str">
        <f t="shared" si="527"/>
        <v/>
      </c>
      <c r="AC702" s="630">
        <f t="shared" si="504"/>
        <v>0</v>
      </c>
      <c r="AD702" s="627"/>
      <c r="AE702" s="21">
        <f t="shared" si="528"/>
        <v>0</v>
      </c>
      <c r="AF702" s="58" t="str">
        <f t="shared" si="529"/>
        <v/>
      </c>
      <c r="AG702" s="21">
        <f t="shared" si="530"/>
        <v>0</v>
      </c>
      <c r="AH702" s="58" t="str">
        <f t="shared" si="531"/>
        <v/>
      </c>
      <c r="AI702" s="21">
        <f t="shared" si="532"/>
        <v>0</v>
      </c>
      <c r="AJ702" s="58" t="str">
        <f t="shared" si="533"/>
        <v/>
      </c>
      <c r="AK702" s="31">
        <f t="shared" si="534"/>
        <v>0</v>
      </c>
      <c r="AL702" s="21">
        <f t="shared" si="535"/>
        <v>0</v>
      </c>
      <c r="AM702" s="62" t="str">
        <f t="shared" si="536"/>
        <v/>
      </c>
      <c r="AN702" s="21">
        <f t="shared" si="537"/>
        <v>0</v>
      </c>
      <c r="AO702" s="62" t="str">
        <f t="shared" si="538"/>
        <v/>
      </c>
      <c r="AP702" s="21">
        <f t="shared" si="539"/>
        <v>0</v>
      </c>
      <c r="AQ702" s="62" t="str">
        <f t="shared" si="540"/>
        <v/>
      </c>
      <c r="AR702" s="31">
        <f t="shared" si="541"/>
        <v>0</v>
      </c>
      <c r="AS702" s="21">
        <f t="shared" si="542"/>
        <v>0</v>
      </c>
      <c r="AT702" s="62" t="str">
        <f t="shared" si="543"/>
        <v/>
      </c>
      <c r="AU702" s="84">
        <f t="shared" si="544"/>
        <v>0</v>
      </c>
      <c r="AV702" s="32">
        <f t="shared" si="545"/>
        <v>0</v>
      </c>
      <c r="AW702" s="85" t="str">
        <f t="shared" si="546"/>
        <v/>
      </c>
      <c r="AX702" s="86" t="str">
        <f t="shared" si="547"/>
        <v/>
      </c>
    </row>
    <row r="703" spans="1:50" x14ac:dyDescent="0.2">
      <c r="A703" s="29" t="str">
        <f t="shared" si="505"/>
        <v/>
      </c>
      <c r="B703" s="32" t="str">
        <f t="shared" si="506"/>
        <v/>
      </c>
      <c r="C703" s="35"/>
      <c r="D703" s="33" t="str">
        <f t="shared" si="507"/>
        <v/>
      </c>
      <c r="E703" s="22" t="str">
        <f t="shared" si="508"/>
        <v/>
      </c>
      <c r="F703" s="23" t="str">
        <f t="shared" si="509"/>
        <v/>
      </c>
      <c r="G703" s="23"/>
      <c r="H703" s="22"/>
      <c r="I703" s="23"/>
      <c r="J703" s="18"/>
      <c r="K703" s="13" t="str">
        <f t="shared" si="510"/>
        <v/>
      </c>
      <c r="L703" s="28" t="str">
        <f t="shared" si="511"/>
        <v/>
      </c>
      <c r="M703" s="10" t="str">
        <f t="shared" si="512"/>
        <v/>
      </c>
      <c r="N703" s="17" t="str">
        <f t="shared" si="513"/>
        <v/>
      </c>
      <c r="O703" s="39" t="str">
        <f t="shared" si="514"/>
        <v/>
      </c>
      <c r="P703" s="41" t="str">
        <f t="shared" si="515"/>
        <v/>
      </c>
      <c r="Q703" s="9" t="str">
        <f t="shared" si="516"/>
        <v/>
      </c>
      <c r="R703" s="14">
        <f t="shared" si="517"/>
        <v>0</v>
      </c>
      <c r="S703" s="61" t="str">
        <f t="shared" si="518"/>
        <v/>
      </c>
      <c r="T703" s="14">
        <f t="shared" si="519"/>
        <v>0</v>
      </c>
      <c r="U703" s="58" t="str">
        <f t="shared" si="520"/>
        <v/>
      </c>
      <c r="V703" s="14">
        <f t="shared" si="521"/>
        <v>0</v>
      </c>
      <c r="W703" s="58" t="str">
        <f t="shared" si="522"/>
        <v/>
      </c>
      <c r="X703" s="14">
        <f t="shared" si="523"/>
        <v>0</v>
      </c>
      <c r="Y703" s="58" t="str">
        <f t="shared" si="524"/>
        <v/>
      </c>
      <c r="Z703" s="31">
        <f t="shared" si="525"/>
        <v>0</v>
      </c>
      <c r="AA703" s="21">
        <f t="shared" si="526"/>
        <v>0</v>
      </c>
      <c r="AB703" s="58" t="str">
        <f t="shared" si="527"/>
        <v/>
      </c>
      <c r="AC703" s="630">
        <f t="shared" si="504"/>
        <v>0</v>
      </c>
      <c r="AD703" s="627"/>
      <c r="AE703" s="21">
        <f t="shared" si="528"/>
        <v>0</v>
      </c>
      <c r="AF703" s="58" t="str">
        <f t="shared" si="529"/>
        <v/>
      </c>
      <c r="AG703" s="21">
        <f t="shared" si="530"/>
        <v>0</v>
      </c>
      <c r="AH703" s="58" t="str">
        <f t="shared" si="531"/>
        <v/>
      </c>
      <c r="AI703" s="21">
        <f t="shared" si="532"/>
        <v>0</v>
      </c>
      <c r="AJ703" s="58" t="str">
        <f t="shared" si="533"/>
        <v/>
      </c>
      <c r="AK703" s="31">
        <f t="shared" si="534"/>
        <v>0</v>
      </c>
      <c r="AL703" s="21">
        <f t="shared" si="535"/>
        <v>0</v>
      </c>
      <c r="AM703" s="62" t="str">
        <f t="shared" si="536"/>
        <v/>
      </c>
      <c r="AN703" s="21">
        <f t="shared" si="537"/>
        <v>0</v>
      </c>
      <c r="AO703" s="62" t="str">
        <f t="shared" si="538"/>
        <v/>
      </c>
      <c r="AP703" s="21">
        <f t="shared" si="539"/>
        <v>0</v>
      </c>
      <c r="AQ703" s="62" t="str">
        <f t="shared" si="540"/>
        <v/>
      </c>
      <c r="AR703" s="31">
        <f t="shared" si="541"/>
        <v>0</v>
      </c>
      <c r="AS703" s="21">
        <f t="shared" si="542"/>
        <v>0</v>
      </c>
      <c r="AT703" s="62" t="str">
        <f t="shared" si="543"/>
        <v/>
      </c>
      <c r="AU703" s="84">
        <f t="shared" si="544"/>
        <v>0</v>
      </c>
      <c r="AV703" s="32">
        <f t="shared" si="545"/>
        <v>0</v>
      </c>
      <c r="AW703" s="85" t="str">
        <f t="shared" si="546"/>
        <v/>
      </c>
      <c r="AX703" s="86" t="str">
        <f t="shared" si="547"/>
        <v/>
      </c>
    </row>
    <row r="704" spans="1:50" x14ac:dyDescent="0.2">
      <c r="A704" s="29" t="str">
        <f t="shared" si="505"/>
        <v/>
      </c>
      <c r="B704" s="32" t="str">
        <f t="shared" si="506"/>
        <v/>
      </c>
      <c r="C704" s="35"/>
      <c r="D704" s="33" t="str">
        <f t="shared" si="507"/>
        <v/>
      </c>
      <c r="E704" s="22" t="str">
        <f t="shared" si="508"/>
        <v/>
      </c>
      <c r="F704" s="23" t="str">
        <f t="shared" si="509"/>
        <v/>
      </c>
      <c r="G704" s="23"/>
      <c r="H704" s="22"/>
      <c r="I704" s="23"/>
      <c r="J704" s="18"/>
      <c r="K704" s="13" t="str">
        <f t="shared" si="510"/>
        <v/>
      </c>
      <c r="L704" s="28" t="str">
        <f t="shared" si="511"/>
        <v/>
      </c>
      <c r="M704" s="10" t="str">
        <f t="shared" si="512"/>
        <v/>
      </c>
      <c r="N704" s="17" t="str">
        <f t="shared" si="513"/>
        <v/>
      </c>
      <c r="O704" s="39" t="str">
        <f t="shared" si="514"/>
        <v/>
      </c>
      <c r="P704" s="41" t="str">
        <f t="shared" si="515"/>
        <v/>
      </c>
      <c r="Q704" s="9" t="str">
        <f t="shared" si="516"/>
        <v/>
      </c>
      <c r="R704" s="14">
        <f t="shared" si="517"/>
        <v>0</v>
      </c>
      <c r="S704" s="61" t="str">
        <f t="shared" si="518"/>
        <v/>
      </c>
      <c r="T704" s="14">
        <f t="shared" si="519"/>
        <v>0</v>
      </c>
      <c r="U704" s="58" t="str">
        <f t="shared" si="520"/>
        <v/>
      </c>
      <c r="V704" s="14">
        <f t="shared" si="521"/>
        <v>0</v>
      </c>
      <c r="W704" s="58" t="str">
        <f t="shared" si="522"/>
        <v/>
      </c>
      <c r="X704" s="14">
        <f t="shared" si="523"/>
        <v>0</v>
      </c>
      <c r="Y704" s="58" t="str">
        <f t="shared" si="524"/>
        <v/>
      </c>
      <c r="Z704" s="31">
        <f t="shared" si="525"/>
        <v>0</v>
      </c>
      <c r="AA704" s="21">
        <f t="shared" si="526"/>
        <v>0</v>
      </c>
      <c r="AB704" s="58" t="str">
        <f t="shared" si="527"/>
        <v/>
      </c>
      <c r="AC704" s="630">
        <f t="shared" si="504"/>
        <v>0</v>
      </c>
      <c r="AD704" s="627"/>
      <c r="AE704" s="21">
        <f t="shared" si="528"/>
        <v>0</v>
      </c>
      <c r="AF704" s="58" t="str">
        <f t="shared" si="529"/>
        <v/>
      </c>
      <c r="AG704" s="21">
        <f t="shared" si="530"/>
        <v>0</v>
      </c>
      <c r="AH704" s="58" t="str">
        <f t="shared" si="531"/>
        <v/>
      </c>
      <c r="AI704" s="21">
        <f t="shared" si="532"/>
        <v>0</v>
      </c>
      <c r="AJ704" s="58" t="str">
        <f t="shared" si="533"/>
        <v/>
      </c>
      <c r="AK704" s="31">
        <f t="shared" si="534"/>
        <v>0</v>
      </c>
      <c r="AL704" s="21">
        <f t="shared" si="535"/>
        <v>0</v>
      </c>
      <c r="AM704" s="62" t="str">
        <f t="shared" si="536"/>
        <v/>
      </c>
      <c r="AN704" s="21">
        <f t="shared" si="537"/>
        <v>0</v>
      </c>
      <c r="AO704" s="62" t="str">
        <f t="shared" si="538"/>
        <v/>
      </c>
      <c r="AP704" s="21">
        <f t="shared" si="539"/>
        <v>0</v>
      </c>
      <c r="AQ704" s="62" t="str">
        <f t="shared" si="540"/>
        <v/>
      </c>
      <c r="AR704" s="31">
        <f t="shared" si="541"/>
        <v>0</v>
      </c>
      <c r="AS704" s="21">
        <f t="shared" si="542"/>
        <v>0</v>
      </c>
      <c r="AT704" s="62" t="str">
        <f t="shared" si="543"/>
        <v/>
      </c>
      <c r="AU704" s="84">
        <f t="shared" si="544"/>
        <v>0</v>
      </c>
      <c r="AV704" s="32">
        <f t="shared" si="545"/>
        <v>0</v>
      </c>
      <c r="AW704" s="85" t="str">
        <f t="shared" si="546"/>
        <v/>
      </c>
      <c r="AX704" s="86" t="str">
        <f t="shared" si="547"/>
        <v/>
      </c>
    </row>
    <row r="705" spans="1:50" x14ac:dyDescent="0.2">
      <c r="A705" s="29" t="str">
        <f t="shared" si="505"/>
        <v/>
      </c>
      <c r="B705" s="32" t="str">
        <f t="shared" si="506"/>
        <v/>
      </c>
      <c r="C705" s="35"/>
      <c r="D705" s="33" t="str">
        <f t="shared" si="507"/>
        <v/>
      </c>
      <c r="E705" s="22" t="str">
        <f t="shared" si="508"/>
        <v/>
      </c>
      <c r="F705" s="23" t="str">
        <f t="shared" si="509"/>
        <v/>
      </c>
      <c r="G705" s="23"/>
      <c r="H705" s="22"/>
      <c r="I705" s="23"/>
      <c r="J705" s="18"/>
      <c r="K705" s="13" t="str">
        <f t="shared" si="510"/>
        <v/>
      </c>
      <c r="L705" s="28" t="str">
        <f t="shared" si="511"/>
        <v/>
      </c>
      <c r="M705" s="10" t="str">
        <f t="shared" si="512"/>
        <v/>
      </c>
      <c r="N705" s="17" t="str">
        <f t="shared" si="513"/>
        <v/>
      </c>
      <c r="O705" s="39" t="str">
        <f t="shared" si="514"/>
        <v/>
      </c>
      <c r="P705" s="41" t="str">
        <f t="shared" si="515"/>
        <v/>
      </c>
      <c r="Q705" s="9" t="str">
        <f t="shared" si="516"/>
        <v/>
      </c>
      <c r="R705" s="14">
        <f t="shared" si="517"/>
        <v>0</v>
      </c>
      <c r="S705" s="61" t="str">
        <f t="shared" si="518"/>
        <v/>
      </c>
      <c r="T705" s="14">
        <f t="shared" si="519"/>
        <v>0</v>
      </c>
      <c r="U705" s="58" t="str">
        <f t="shared" si="520"/>
        <v/>
      </c>
      <c r="V705" s="14">
        <f t="shared" si="521"/>
        <v>0</v>
      </c>
      <c r="W705" s="58" t="str">
        <f t="shared" si="522"/>
        <v/>
      </c>
      <c r="X705" s="14">
        <f t="shared" si="523"/>
        <v>0</v>
      </c>
      <c r="Y705" s="58" t="str">
        <f t="shared" si="524"/>
        <v/>
      </c>
      <c r="Z705" s="31">
        <f t="shared" si="525"/>
        <v>0</v>
      </c>
      <c r="AA705" s="21">
        <f t="shared" si="526"/>
        <v>0</v>
      </c>
      <c r="AB705" s="58" t="str">
        <f t="shared" si="527"/>
        <v/>
      </c>
      <c r="AC705" s="630">
        <f t="shared" si="504"/>
        <v>0</v>
      </c>
      <c r="AD705" s="627"/>
      <c r="AE705" s="21">
        <f t="shared" si="528"/>
        <v>0</v>
      </c>
      <c r="AF705" s="58" t="str">
        <f t="shared" si="529"/>
        <v/>
      </c>
      <c r="AG705" s="21">
        <f t="shared" si="530"/>
        <v>0</v>
      </c>
      <c r="AH705" s="58" t="str">
        <f t="shared" si="531"/>
        <v/>
      </c>
      <c r="AI705" s="21">
        <f t="shared" si="532"/>
        <v>0</v>
      </c>
      <c r="AJ705" s="58" t="str">
        <f t="shared" si="533"/>
        <v/>
      </c>
      <c r="AK705" s="31">
        <f t="shared" si="534"/>
        <v>0</v>
      </c>
      <c r="AL705" s="21">
        <f t="shared" si="535"/>
        <v>0</v>
      </c>
      <c r="AM705" s="62" t="str">
        <f t="shared" si="536"/>
        <v/>
      </c>
      <c r="AN705" s="21">
        <f t="shared" si="537"/>
        <v>0</v>
      </c>
      <c r="AO705" s="62" t="str">
        <f t="shared" si="538"/>
        <v/>
      </c>
      <c r="AP705" s="21">
        <f t="shared" si="539"/>
        <v>0</v>
      </c>
      <c r="AQ705" s="62" t="str">
        <f t="shared" si="540"/>
        <v/>
      </c>
      <c r="AR705" s="31">
        <f t="shared" si="541"/>
        <v>0</v>
      </c>
      <c r="AS705" s="21">
        <f t="shared" si="542"/>
        <v>0</v>
      </c>
      <c r="AT705" s="62" t="str">
        <f t="shared" si="543"/>
        <v/>
      </c>
      <c r="AU705" s="84">
        <f t="shared" si="544"/>
        <v>0</v>
      </c>
      <c r="AV705" s="32">
        <f t="shared" si="545"/>
        <v>0</v>
      </c>
      <c r="AW705" s="85" t="str">
        <f t="shared" si="546"/>
        <v/>
      </c>
      <c r="AX705" s="86" t="str">
        <f t="shared" si="547"/>
        <v/>
      </c>
    </row>
    <row r="706" spans="1:50" x14ac:dyDescent="0.2">
      <c r="A706" s="29" t="str">
        <f t="shared" si="505"/>
        <v/>
      </c>
      <c r="B706" s="32" t="str">
        <f t="shared" si="506"/>
        <v/>
      </c>
      <c r="C706" s="35"/>
      <c r="D706" s="33" t="str">
        <f t="shared" si="507"/>
        <v/>
      </c>
      <c r="E706" s="22" t="str">
        <f t="shared" si="508"/>
        <v/>
      </c>
      <c r="F706" s="23" t="str">
        <f t="shared" si="509"/>
        <v/>
      </c>
      <c r="G706" s="23"/>
      <c r="H706" s="22"/>
      <c r="I706" s="23"/>
      <c r="J706" s="18"/>
      <c r="K706" s="13" t="str">
        <f t="shared" si="510"/>
        <v/>
      </c>
      <c r="L706" s="28" t="str">
        <f t="shared" si="511"/>
        <v/>
      </c>
      <c r="M706" s="10" t="str">
        <f t="shared" si="512"/>
        <v/>
      </c>
      <c r="N706" s="17" t="str">
        <f t="shared" si="513"/>
        <v/>
      </c>
      <c r="O706" s="39" t="str">
        <f t="shared" si="514"/>
        <v/>
      </c>
      <c r="P706" s="41" t="str">
        <f t="shared" si="515"/>
        <v/>
      </c>
      <c r="Q706" s="9" t="str">
        <f t="shared" si="516"/>
        <v/>
      </c>
      <c r="R706" s="14">
        <f t="shared" si="517"/>
        <v>0</v>
      </c>
      <c r="S706" s="61" t="str">
        <f t="shared" si="518"/>
        <v/>
      </c>
      <c r="T706" s="14">
        <f t="shared" si="519"/>
        <v>0</v>
      </c>
      <c r="U706" s="58" t="str">
        <f t="shared" si="520"/>
        <v/>
      </c>
      <c r="V706" s="14">
        <f t="shared" si="521"/>
        <v>0</v>
      </c>
      <c r="W706" s="58" t="str">
        <f t="shared" si="522"/>
        <v/>
      </c>
      <c r="X706" s="14">
        <f t="shared" si="523"/>
        <v>0</v>
      </c>
      <c r="Y706" s="58" t="str">
        <f t="shared" si="524"/>
        <v/>
      </c>
      <c r="Z706" s="31">
        <f t="shared" si="525"/>
        <v>0</v>
      </c>
      <c r="AA706" s="21">
        <f t="shared" si="526"/>
        <v>0</v>
      </c>
      <c r="AB706" s="58" t="str">
        <f t="shared" si="527"/>
        <v/>
      </c>
      <c r="AC706" s="630">
        <f t="shared" si="504"/>
        <v>0</v>
      </c>
      <c r="AD706" s="627"/>
      <c r="AE706" s="21">
        <f t="shared" si="528"/>
        <v>0</v>
      </c>
      <c r="AF706" s="58" t="str">
        <f t="shared" si="529"/>
        <v/>
      </c>
      <c r="AG706" s="21">
        <f t="shared" si="530"/>
        <v>0</v>
      </c>
      <c r="AH706" s="58" t="str">
        <f t="shared" si="531"/>
        <v/>
      </c>
      <c r="AI706" s="21">
        <f t="shared" si="532"/>
        <v>0</v>
      </c>
      <c r="AJ706" s="58" t="str">
        <f t="shared" si="533"/>
        <v/>
      </c>
      <c r="AK706" s="31">
        <f t="shared" si="534"/>
        <v>0</v>
      </c>
      <c r="AL706" s="21">
        <f t="shared" si="535"/>
        <v>0</v>
      </c>
      <c r="AM706" s="62" t="str">
        <f t="shared" si="536"/>
        <v/>
      </c>
      <c r="AN706" s="21">
        <f t="shared" si="537"/>
        <v>0</v>
      </c>
      <c r="AO706" s="62" t="str">
        <f t="shared" si="538"/>
        <v/>
      </c>
      <c r="AP706" s="21">
        <f t="shared" si="539"/>
        <v>0</v>
      </c>
      <c r="AQ706" s="62" t="str">
        <f t="shared" si="540"/>
        <v/>
      </c>
      <c r="AR706" s="31">
        <f t="shared" si="541"/>
        <v>0</v>
      </c>
      <c r="AS706" s="21">
        <f t="shared" si="542"/>
        <v>0</v>
      </c>
      <c r="AT706" s="62" t="str">
        <f t="shared" si="543"/>
        <v/>
      </c>
      <c r="AU706" s="84">
        <f t="shared" si="544"/>
        <v>0</v>
      </c>
      <c r="AV706" s="32">
        <f t="shared" si="545"/>
        <v>0</v>
      </c>
      <c r="AW706" s="85" t="str">
        <f t="shared" si="546"/>
        <v/>
      </c>
      <c r="AX706" s="86" t="str">
        <f t="shared" si="547"/>
        <v/>
      </c>
    </row>
    <row r="707" spans="1:50" x14ac:dyDescent="0.2">
      <c r="A707" s="29" t="str">
        <f t="shared" si="505"/>
        <v/>
      </c>
      <c r="B707" s="32" t="str">
        <f t="shared" si="506"/>
        <v/>
      </c>
      <c r="C707" s="35"/>
      <c r="D707" s="33" t="str">
        <f t="shared" si="507"/>
        <v/>
      </c>
      <c r="E707" s="22" t="str">
        <f t="shared" si="508"/>
        <v/>
      </c>
      <c r="F707" s="23" t="str">
        <f t="shared" si="509"/>
        <v/>
      </c>
      <c r="G707" s="23"/>
      <c r="H707" s="22"/>
      <c r="I707" s="23"/>
      <c r="J707" s="18"/>
      <c r="K707" s="13" t="str">
        <f t="shared" si="510"/>
        <v/>
      </c>
      <c r="L707" s="28" t="str">
        <f t="shared" si="511"/>
        <v/>
      </c>
      <c r="M707" s="10" t="str">
        <f t="shared" si="512"/>
        <v/>
      </c>
      <c r="N707" s="17" t="str">
        <f t="shared" si="513"/>
        <v/>
      </c>
      <c r="O707" s="39" t="str">
        <f t="shared" si="514"/>
        <v/>
      </c>
      <c r="P707" s="41" t="str">
        <f t="shared" si="515"/>
        <v/>
      </c>
      <c r="Q707" s="9" t="str">
        <f t="shared" si="516"/>
        <v/>
      </c>
      <c r="R707" s="14">
        <f t="shared" si="517"/>
        <v>0</v>
      </c>
      <c r="S707" s="61" t="str">
        <f t="shared" si="518"/>
        <v/>
      </c>
      <c r="T707" s="14">
        <f t="shared" si="519"/>
        <v>0</v>
      </c>
      <c r="U707" s="58" t="str">
        <f t="shared" si="520"/>
        <v/>
      </c>
      <c r="V707" s="14">
        <f t="shared" si="521"/>
        <v>0</v>
      </c>
      <c r="W707" s="58" t="str">
        <f t="shared" si="522"/>
        <v/>
      </c>
      <c r="X707" s="14">
        <f t="shared" si="523"/>
        <v>0</v>
      </c>
      <c r="Y707" s="58" t="str">
        <f t="shared" si="524"/>
        <v/>
      </c>
      <c r="Z707" s="31">
        <f t="shared" si="525"/>
        <v>0</v>
      </c>
      <c r="AA707" s="21">
        <f t="shared" si="526"/>
        <v>0</v>
      </c>
      <c r="AB707" s="58" t="str">
        <f t="shared" si="527"/>
        <v/>
      </c>
      <c r="AC707" s="630">
        <f t="shared" si="504"/>
        <v>0</v>
      </c>
      <c r="AD707" s="627"/>
      <c r="AE707" s="21">
        <f t="shared" si="528"/>
        <v>0</v>
      </c>
      <c r="AF707" s="58" t="str">
        <f t="shared" si="529"/>
        <v/>
      </c>
      <c r="AG707" s="21">
        <f t="shared" si="530"/>
        <v>0</v>
      </c>
      <c r="AH707" s="58" t="str">
        <f t="shared" si="531"/>
        <v/>
      </c>
      <c r="AI707" s="21">
        <f t="shared" si="532"/>
        <v>0</v>
      </c>
      <c r="AJ707" s="58" t="str">
        <f t="shared" si="533"/>
        <v/>
      </c>
      <c r="AK707" s="31">
        <f t="shared" si="534"/>
        <v>0</v>
      </c>
      <c r="AL707" s="21">
        <f t="shared" si="535"/>
        <v>0</v>
      </c>
      <c r="AM707" s="62" t="str">
        <f t="shared" si="536"/>
        <v/>
      </c>
      <c r="AN707" s="21">
        <f t="shared" si="537"/>
        <v>0</v>
      </c>
      <c r="AO707" s="62" t="str">
        <f t="shared" si="538"/>
        <v/>
      </c>
      <c r="AP707" s="21">
        <f t="shared" si="539"/>
        <v>0</v>
      </c>
      <c r="AQ707" s="62" t="str">
        <f t="shared" si="540"/>
        <v/>
      </c>
      <c r="AR707" s="31">
        <f t="shared" si="541"/>
        <v>0</v>
      </c>
      <c r="AS707" s="21">
        <f t="shared" si="542"/>
        <v>0</v>
      </c>
      <c r="AT707" s="62" t="str">
        <f t="shared" si="543"/>
        <v/>
      </c>
      <c r="AU707" s="84">
        <f t="shared" si="544"/>
        <v>0</v>
      </c>
      <c r="AV707" s="32">
        <f t="shared" si="545"/>
        <v>0</v>
      </c>
      <c r="AW707" s="85" t="str">
        <f t="shared" si="546"/>
        <v/>
      </c>
      <c r="AX707" s="86" t="str">
        <f t="shared" si="547"/>
        <v/>
      </c>
    </row>
    <row r="708" spans="1:50" x14ac:dyDescent="0.2">
      <c r="A708" s="29" t="str">
        <f t="shared" si="505"/>
        <v/>
      </c>
      <c r="B708" s="32" t="str">
        <f t="shared" si="506"/>
        <v/>
      </c>
      <c r="C708" s="35"/>
      <c r="D708" s="33" t="str">
        <f t="shared" si="507"/>
        <v/>
      </c>
      <c r="E708" s="22" t="str">
        <f t="shared" si="508"/>
        <v/>
      </c>
      <c r="F708" s="23" t="str">
        <f t="shared" si="509"/>
        <v/>
      </c>
      <c r="G708" s="23"/>
      <c r="H708" s="22"/>
      <c r="I708" s="23"/>
      <c r="J708" s="18"/>
      <c r="K708" s="13" t="str">
        <f t="shared" si="510"/>
        <v/>
      </c>
      <c r="L708" s="28" t="str">
        <f t="shared" si="511"/>
        <v/>
      </c>
      <c r="M708" s="10" t="str">
        <f t="shared" si="512"/>
        <v/>
      </c>
      <c r="N708" s="17" t="str">
        <f t="shared" si="513"/>
        <v/>
      </c>
      <c r="O708" s="39" t="str">
        <f t="shared" si="514"/>
        <v/>
      </c>
      <c r="P708" s="41" t="str">
        <f t="shared" si="515"/>
        <v/>
      </c>
      <c r="Q708" s="9" t="str">
        <f t="shared" si="516"/>
        <v/>
      </c>
      <c r="R708" s="14">
        <f t="shared" si="517"/>
        <v>0</v>
      </c>
      <c r="S708" s="61" t="str">
        <f t="shared" si="518"/>
        <v/>
      </c>
      <c r="T708" s="14">
        <f t="shared" si="519"/>
        <v>0</v>
      </c>
      <c r="U708" s="58" t="str">
        <f t="shared" si="520"/>
        <v/>
      </c>
      <c r="V708" s="14">
        <f t="shared" si="521"/>
        <v>0</v>
      </c>
      <c r="W708" s="58" t="str">
        <f t="shared" si="522"/>
        <v/>
      </c>
      <c r="X708" s="14">
        <f t="shared" si="523"/>
        <v>0</v>
      </c>
      <c r="Y708" s="58" t="str">
        <f t="shared" si="524"/>
        <v/>
      </c>
      <c r="Z708" s="31">
        <f t="shared" si="525"/>
        <v>0</v>
      </c>
      <c r="AA708" s="21">
        <f t="shared" si="526"/>
        <v>0</v>
      </c>
      <c r="AB708" s="58" t="str">
        <f t="shared" si="527"/>
        <v/>
      </c>
      <c r="AC708" s="630">
        <f t="shared" si="504"/>
        <v>0</v>
      </c>
      <c r="AD708" s="627"/>
      <c r="AE708" s="21">
        <f t="shared" si="528"/>
        <v>0</v>
      </c>
      <c r="AF708" s="58" t="str">
        <f t="shared" si="529"/>
        <v/>
      </c>
      <c r="AG708" s="21">
        <f t="shared" si="530"/>
        <v>0</v>
      </c>
      <c r="AH708" s="58" t="str">
        <f t="shared" si="531"/>
        <v/>
      </c>
      <c r="AI708" s="21">
        <f t="shared" si="532"/>
        <v>0</v>
      </c>
      <c r="AJ708" s="58" t="str">
        <f t="shared" si="533"/>
        <v/>
      </c>
      <c r="AK708" s="31">
        <f t="shared" si="534"/>
        <v>0</v>
      </c>
      <c r="AL708" s="21">
        <f t="shared" si="535"/>
        <v>0</v>
      </c>
      <c r="AM708" s="62" t="str">
        <f t="shared" si="536"/>
        <v/>
      </c>
      <c r="AN708" s="21">
        <f t="shared" si="537"/>
        <v>0</v>
      </c>
      <c r="AO708" s="62" t="str">
        <f t="shared" si="538"/>
        <v/>
      </c>
      <c r="AP708" s="21">
        <f t="shared" si="539"/>
        <v>0</v>
      </c>
      <c r="AQ708" s="62" t="str">
        <f t="shared" si="540"/>
        <v/>
      </c>
      <c r="AR708" s="31">
        <f t="shared" si="541"/>
        <v>0</v>
      </c>
      <c r="AS708" s="21">
        <f t="shared" si="542"/>
        <v>0</v>
      </c>
      <c r="AT708" s="62" t="str">
        <f t="shared" si="543"/>
        <v/>
      </c>
      <c r="AU708" s="84">
        <f t="shared" si="544"/>
        <v>0</v>
      </c>
      <c r="AV708" s="32">
        <f t="shared" si="545"/>
        <v>0</v>
      </c>
      <c r="AW708" s="85" t="str">
        <f t="shared" si="546"/>
        <v/>
      </c>
      <c r="AX708" s="86" t="str">
        <f t="shared" si="547"/>
        <v/>
      </c>
    </row>
    <row r="709" spans="1:50" x14ac:dyDescent="0.2">
      <c r="A709" s="29" t="str">
        <f t="shared" si="505"/>
        <v/>
      </c>
      <c r="B709" s="32" t="str">
        <f t="shared" si="506"/>
        <v/>
      </c>
      <c r="C709" s="35"/>
      <c r="D709" s="33" t="str">
        <f t="shared" si="507"/>
        <v/>
      </c>
      <c r="E709" s="22" t="str">
        <f t="shared" si="508"/>
        <v/>
      </c>
      <c r="F709" s="23" t="str">
        <f t="shared" si="509"/>
        <v/>
      </c>
      <c r="G709" s="23"/>
      <c r="H709" s="22"/>
      <c r="I709" s="23"/>
      <c r="J709" s="18"/>
      <c r="K709" s="13" t="str">
        <f t="shared" si="510"/>
        <v/>
      </c>
      <c r="L709" s="28" t="str">
        <f t="shared" si="511"/>
        <v/>
      </c>
      <c r="M709" s="10" t="str">
        <f t="shared" si="512"/>
        <v/>
      </c>
      <c r="N709" s="17" t="str">
        <f t="shared" si="513"/>
        <v/>
      </c>
      <c r="O709" s="39" t="str">
        <f t="shared" si="514"/>
        <v/>
      </c>
      <c r="P709" s="41" t="str">
        <f t="shared" si="515"/>
        <v/>
      </c>
      <c r="Q709" s="9" t="str">
        <f t="shared" si="516"/>
        <v/>
      </c>
      <c r="R709" s="14">
        <f t="shared" si="517"/>
        <v>0</v>
      </c>
      <c r="S709" s="61" t="str">
        <f t="shared" si="518"/>
        <v/>
      </c>
      <c r="T709" s="14">
        <f t="shared" si="519"/>
        <v>0</v>
      </c>
      <c r="U709" s="58" t="str">
        <f t="shared" si="520"/>
        <v/>
      </c>
      <c r="V709" s="14">
        <f t="shared" si="521"/>
        <v>0</v>
      </c>
      <c r="W709" s="58" t="str">
        <f t="shared" si="522"/>
        <v/>
      </c>
      <c r="X709" s="14">
        <f t="shared" si="523"/>
        <v>0</v>
      </c>
      <c r="Y709" s="58" t="str">
        <f t="shared" si="524"/>
        <v/>
      </c>
      <c r="Z709" s="31">
        <f t="shared" si="525"/>
        <v>0</v>
      </c>
      <c r="AA709" s="21">
        <f t="shared" si="526"/>
        <v>0</v>
      </c>
      <c r="AB709" s="58" t="str">
        <f t="shared" si="527"/>
        <v/>
      </c>
      <c r="AC709" s="630">
        <f t="shared" si="504"/>
        <v>0</v>
      </c>
      <c r="AD709" s="627"/>
      <c r="AE709" s="21">
        <f t="shared" si="528"/>
        <v>0</v>
      </c>
      <c r="AF709" s="58" t="str">
        <f t="shared" si="529"/>
        <v/>
      </c>
      <c r="AG709" s="21">
        <f t="shared" si="530"/>
        <v>0</v>
      </c>
      <c r="AH709" s="58" t="str">
        <f t="shared" si="531"/>
        <v/>
      </c>
      <c r="AI709" s="21">
        <f t="shared" si="532"/>
        <v>0</v>
      </c>
      <c r="AJ709" s="58" t="str">
        <f t="shared" si="533"/>
        <v/>
      </c>
      <c r="AK709" s="31">
        <f t="shared" si="534"/>
        <v>0</v>
      </c>
      <c r="AL709" s="21">
        <f t="shared" si="535"/>
        <v>0</v>
      </c>
      <c r="AM709" s="62" t="str">
        <f t="shared" si="536"/>
        <v/>
      </c>
      <c r="AN709" s="21">
        <f t="shared" si="537"/>
        <v>0</v>
      </c>
      <c r="AO709" s="62" t="str">
        <f t="shared" si="538"/>
        <v/>
      </c>
      <c r="AP709" s="21">
        <f t="shared" si="539"/>
        <v>0</v>
      </c>
      <c r="AQ709" s="62" t="str">
        <f t="shared" si="540"/>
        <v/>
      </c>
      <c r="AR709" s="31">
        <f t="shared" si="541"/>
        <v>0</v>
      </c>
      <c r="AS709" s="21">
        <f t="shared" si="542"/>
        <v>0</v>
      </c>
      <c r="AT709" s="62" t="str">
        <f t="shared" si="543"/>
        <v/>
      </c>
      <c r="AU709" s="84">
        <f t="shared" si="544"/>
        <v>0</v>
      </c>
      <c r="AV709" s="32">
        <f t="shared" si="545"/>
        <v>0</v>
      </c>
      <c r="AW709" s="85" t="str">
        <f t="shared" si="546"/>
        <v/>
      </c>
      <c r="AX709" s="86" t="str">
        <f t="shared" si="547"/>
        <v/>
      </c>
    </row>
    <row r="710" spans="1:50" x14ac:dyDescent="0.2">
      <c r="A710" s="29" t="str">
        <f t="shared" si="505"/>
        <v/>
      </c>
      <c r="B710" s="32" t="str">
        <f t="shared" si="506"/>
        <v/>
      </c>
      <c r="C710" s="35"/>
      <c r="D710" s="33" t="str">
        <f t="shared" si="507"/>
        <v/>
      </c>
      <c r="E710" s="22" t="str">
        <f t="shared" si="508"/>
        <v/>
      </c>
      <c r="F710" s="23" t="str">
        <f t="shared" si="509"/>
        <v/>
      </c>
      <c r="G710" s="23"/>
      <c r="H710" s="22"/>
      <c r="I710" s="23"/>
      <c r="J710" s="18"/>
      <c r="K710" s="13" t="str">
        <f t="shared" si="510"/>
        <v/>
      </c>
      <c r="L710" s="28" t="str">
        <f t="shared" si="511"/>
        <v/>
      </c>
      <c r="M710" s="10" t="str">
        <f t="shared" si="512"/>
        <v/>
      </c>
      <c r="N710" s="17" t="str">
        <f t="shared" si="513"/>
        <v/>
      </c>
      <c r="O710" s="39" t="str">
        <f t="shared" si="514"/>
        <v/>
      </c>
      <c r="P710" s="41" t="str">
        <f t="shared" si="515"/>
        <v/>
      </c>
      <c r="Q710" s="9" t="str">
        <f t="shared" si="516"/>
        <v/>
      </c>
      <c r="R710" s="14">
        <f t="shared" si="517"/>
        <v>0</v>
      </c>
      <c r="S710" s="61" t="str">
        <f t="shared" si="518"/>
        <v/>
      </c>
      <c r="T710" s="14">
        <f t="shared" si="519"/>
        <v>0</v>
      </c>
      <c r="U710" s="58" t="str">
        <f t="shared" si="520"/>
        <v/>
      </c>
      <c r="V710" s="14">
        <f t="shared" si="521"/>
        <v>0</v>
      </c>
      <c r="W710" s="58" t="str">
        <f t="shared" si="522"/>
        <v/>
      </c>
      <c r="X710" s="14">
        <f t="shared" si="523"/>
        <v>0</v>
      </c>
      <c r="Y710" s="58" t="str">
        <f t="shared" si="524"/>
        <v/>
      </c>
      <c r="Z710" s="31">
        <f t="shared" si="525"/>
        <v>0</v>
      </c>
      <c r="AA710" s="21">
        <f t="shared" si="526"/>
        <v>0</v>
      </c>
      <c r="AB710" s="58" t="str">
        <f t="shared" si="527"/>
        <v/>
      </c>
      <c r="AC710" s="630">
        <f t="shared" si="504"/>
        <v>0</v>
      </c>
      <c r="AD710" s="627"/>
      <c r="AE710" s="21">
        <f t="shared" si="528"/>
        <v>0</v>
      </c>
      <c r="AF710" s="58" t="str">
        <f t="shared" si="529"/>
        <v/>
      </c>
      <c r="AG710" s="21">
        <f t="shared" si="530"/>
        <v>0</v>
      </c>
      <c r="AH710" s="58" t="str">
        <f t="shared" si="531"/>
        <v/>
      </c>
      <c r="AI710" s="21">
        <f t="shared" si="532"/>
        <v>0</v>
      </c>
      <c r="AJ710" s="58" t="str">
        <f t="shared" si="533"/>
        <v/>
      </c>
      <c r="AK710" s="31">
        <f t="shared" si="534"/>
        <v>0</v>
      </c>
      <c r="AL710" s="21">
        <f t="shared" si="535"/>
        <v>0</v>
      </c>
      <c r="AM710" s="62" t="str">
        <f t="shared" si="536"/>
        <v/>
      </c>
      <c r="AN710" s="21">
        <f t="shared" si="537"/>
        <v>0</v>
      </c>
      <c r="AO710" s="62" t="str">
        <f t="shared" si="538"/>
        <v/>
      </c>
      <c r="AP710" s="21">
        <f t="shared" si="539"/>
        <v>0</v>
      </c>
      <c r="AQ710" s="62" t="str">
        <f t="shared" si="540"/>
        <v/>
      </c>
      <c r="AR710" s="31">
        <f t="shared" si="541"/>
        <v>0</v>
      </c>
      <c r="AS710" s="21">
        <f t="shared" si="542"/>
        <v>0</v>
      </c>
      <c r="AT710" s="62" t="str">
        <f t="shared" si="543"/>
        <v/>
      </c>
      <c r="AU710" s="84">
        <f t="shared" si="544"/>
        <v>0</v>
      </c>
      <c r="AV710" s="32">
        <f t="shared" si="545"/>
        <v>0</v>
      </c>
      <c r="AW710" s="85" t="str">
        <f t="shared" si="546"/>
        <v/>
      </c>
      <c r="AX710" s="86" t="str">
        <f t="shared" si="547"/>
        <v/>
      </c>
    </row>
    <row r="711" spans="1:50" x14ac:dyDescent="0.2">
      <c r="A711" s="29" t="str">
        <f t="shared" si="505"/>
        <v/>
      </c>
      <c r="B711" s="32" t="str">
        <f t="shared" si="506"/>
        <v/>
      </c>
      <c r="C711" s="35"/>
      <c r="D711" s="33" t="str">
        <f t="shared" si="507"/>
        <v/>
      </c>
      <c r="E711" s="22" t="str">
        <f t="shared" si="508"/>
        <v/>
      </c>
      <c r="F711" s="23" t="str">
        <f t="shared" si="509"/>
        <v/>
      </c>
      <c r="G711" s="23"/>
      <c r="H711" s="22"/>
      <c r="I711" s="23"/>
      <c r="J711" s="18"/>
      <c r="K711" s="13" t="str">
        <f t="shared" si="510"/>
        <v/>
      </c>
      <c r="L711" s="28" t="str">
        <f t="shared" si="511"/>
        <v/>
      </c>
      <c r="M711" s="10" t="str">
        <f t="shared" si="512"/>
        <v/>
      </c>
      <c r="N711" s="17" t="str">
        <f t="shared" si="513"/>
        <v/>
      </c>
      <c r="O711" s="39" t="str">
        <f t="shared" si="514"/>
        <v/>
      </c>
      <c r="P711" s="41" t="str">
        <f t="shared" si="515"/>
        <v/>
      </c>
      <c r="Q711" s="9" t="str">
        <f t="shared" si="516"/>
        <v/>
      </c>
      <c r="R711" s="14">
        <f t="shared" si="517"/>
        <v>0</v>
      </c>
      <c r="S711" s="61" t="str">
        <f t="shared" si="518"/>
        <v/>
      </c>
      <c r="T711" s="14">
        <f t="shared" si="519"/>
        <v>0</v>
      </c>
      <c r="U711" s="58" t="str">
        <f t="shared" si="520"/>
        <v/>
      </c>
      <c r="V711" s="14">
        <f t="shared" si="521"/>
        <v>0</v>
      </c>
      <c r="W711" s="58" t="str">
        <f t="shared" si="522"/>
        <v/>
      </c>
      <c r="X711" s="14">
        <f t="shared" si="523"/>
        <v>0</v>
      </c>
      <c r="Y711" s="58" t="str">
        <f t="shared" si="524"/>
        <v/>
      </c>
      <c r="Z711" s="31">
        <f t="shared" si="525"/>
        <v>0</v>
      </c>
      <c r="AA711" s="21">
        <f t="shared" si="526"/>
        <v>0</v>
      </c>
      <c r="AB711" s="58" t="str">
        <f t="shared" si="527"/>
        <v/>
      </c>
      <c r="AC711" s="630">
        <f t="shared" si="504"/>
        <v>0</v>
      </c>
      <c r="AD711" s="627"/>
      <c r="AE711" s="21">
        <f t="shared" si="528"/>
        <v>0</v>
      </c>
      <c r="AF711" s="58" t="str">
        <f t="shared" si="529"/>
        <v/>
      </c>
      <c r="AG711" s="21">
        <f t="shared" si="530"/>
        <v>0</v>
      </c>
      <c r="AH711" s="58" t="str">
        <f t="shared" si="531"/>
        <v/>
      </c>
      <c r="AI711" s="21">
        <f t="shared" si="532"/>
        <v>0</v>
      </c>
      <c r="AJ711" s="58" t="str">
        <f t="shared" si="533"/>
        <v/>
      </c>
      <c r="AK711" s="31">
        <f t="shared" si="534"/>
        <v>0</v>
      </c>
      <c r="AL711" s="21">
        <f t="shared" si="535"/>
        <v>0</v>
      </c>
      <c r="AM711" s="62" t="str">
        <f t="shared" si="536"/>
        <v/>
      </c>
      <c r="AN711" s="21">
        <f t="shared" si="537"/>
        <v>0</v>
      </c>
      <c r="AO711" s="62" t="str">
        <f t="shared" si="538"/>
        <v/>
      </c>
      <c r="AP711" s="21">
        <f t="shared" si="539"/>
        <v>0</v>
      </c>
      <c r="AQ711" s="62" t="str">
        <f t="shared" si="540"/>
        <v/>
      </c>
      <c r="AR711" s="31">
        <f t="shared" si="541"/>
        <v>0</v>
      </c>
      <c r="AS711" s="21">
        <f t="shared" si="542"/>
        <v>0</v>
      </c>
      <c r="AT711" s="62" t="str">
        <f t="shared" si="543"/>
        <v/>
      </c>
      <c r="AU711" s="84">
        <f t="shared" si="544"/>
        <v>0</v>
      </c>
      <c r="AV711" s="32">
        <f t="shared" si="545"/>
        <v>0</v>
      </c>
      <c r="AW711" s="85" t="str">
        <f t="shared" si="546"/>
        <v/>
      </c>
      <c r="AX711" s="86" t="str">
        <f t="shared" si="547"/>
        <v/>
      </c>
    </row>
    <row r="712" spans="1:50" x14ac:dyDescent="0.2">
      <c r="A712" s="29" t="str">
        <f t="shared" si="505"/>
        <v/>
      </c>
      <c r="B712" s="32" t="str">
        <f t="shared" si="506"/>
        <v/>
      </c>
      <c r="C712" s="35"/>
      <c r="D712" s="33" t="str">
        <f t="shared" si="507"/>
        <v/>
      </c>
      <c r="E712" s="22" t="str">
        <f t="shared" si="508"/>
        <v/>
      </c>
      <c r="F712" s="23" t="str">
        <f t="shared" si="509"/>
        <v/>
      </c>
      <c r="G712" s="23"/>
      <c r="H712" s="22"/>
      <c r="I712" s="23"/>
      <c r="J712" s="18"/>
      <c r="K712" s="13" t="str">
        <f t="shared" si="510"/>
        <v/>
      </c>
      <c r="L712" s="28" t="str">
        <f t="shared" si="511"/>
        <v/>
      </c>
      <c r="M712" s="10" t="str">
        <f t="shared" si="512"/>
        <v/>
      </c>
      <c r="N712" s="17" t="str">
        <f t="shared" si="513"/>
        <v/>
      </c>
      <c r="O712" s="39" t="str">
        <f t="shared" si="514"/>
        <v/>
      </c>
      <c r="P712" s="41" t="str">
        <f t="shared" si="515"/>
        <v/>
      </c>
      <c r="Q712" s="9" t="str">
        <f t="shared" si="516"/>
        <v/>
      </c>
      <c r="R712" s="14">
        <f t="shared" si="517"/>
        <v>0</v>
      </c>
      <c r="S712" s="61" t="str">
        <f t="shared" si="518"/>
        <v/>
      </c>
      <c r="T712" s="14">
        <f t="shared" si="519"/>
        <v>0</v>
      </c>
      <c r="U712" s="58" t="str">
        <f t="shared" si="520"/>
        <v/>
      </c>
      <c r="V712" s="14">
        <f t="shared" si="521"/>
        <v>0</v>
      </c>
      <c r="W712" s="58" t="str">
        <f t="shared" si="522"/>
        <v/>
      </c>
      <c r="X712" s="14">
        <f t="shared" si="523"/>
        <v>0</v>
      </c>
      <c r="Y712" s="58" t="str">
        <f t="shared" si="524"/>
        <v/>
      </c>
      <c r="Z712" s="31">
        <f t="shared" si="525"/>
        <v>0</v>
      </c>
      <c r="AA712" s="21">
        <f t="shared" si="526"/>
        <v>0</v>
      </c>
      <c r="AB712" s="58" t="str">
        <f t="shared" si="527"/>
        <v/>
      </c>
      <c r="AC712" s="630">
        <f t="shared" si="504"/>
        <v>0</v>
      </c>
      <c r="AD712" s="627"/>
      <c r="AE712" s="21">
        <f t="shared" si="528"/>
        <v>0</v>
      </c>
      <c r="AF712" s="58" t="str">
        <f t="shared" si="529"/>
        <v/>
      </c>
      <c r="AG712" s="21">
        <f t="shared" si="530"/>
        <v>0</v>
      </c>
      <c r="AH712" s="58" t="str">
        <f t="shared" si="531"/>
        <v/>
      </c>
      <c r="AI712" s="21">
        <f t="shared" si="532"/>
        <v>0</v>
      </c>
      <c r="AJ712" s="58" t="str">
        <f t="shared" si="533"/>
        <v/>
      </c>
      <c r="AK712" s="31">
        <f t="shared" si="534"/>
        <v>0</v>
      </c>
      <c r="AL712" s="21">
        <f t="shared" si="535"/>
        <v>0</v>
      </c>
      <c r="AM712" s="62" t="str">
        <f t="shared" si="536"/>
        <v/>
      </c>
      <c r="AN712" s="21">
        <f t="shared" si="537"/>
        <v>0</v>
      </c>
      <c r="AO712" s="62" t="str">
        <f t="shared" si="538"/>
        <v/>
      </c>
      <c r="AP712" s="21">
        <f t="shared" si="539"/>
        <v>0</v>
      </c>
      <c r="AQ712" s="62" t="str">
        <f t="shared" si="540"/>
        <v/>
      </c>
      <c r="AR712" s="31">
        <f t="shared" si="541"/>
        <v>0</v>
      </c>
      <c r="AS712" s="21">
        <f t="shared" si="542"/>
        <v>0</v>
      </c>
      <c r="AT712" s="62" t="str">
        <f t="shared" si="543"/>
        <v/>
      </c>
      <c r="AU712" s="84">
        <f t="shared" si="544"/>
        <v>0</v>
      </c>
      <c r="AV712" s="32">
        <f t="shared" si="545"/>
        <v>0</v>
      </c>
      <c r="AW712" s="85" t="str">
        <f t="shared" si="546"/>
        <v/>
      </c>
      <c r="AX712" s="86" t="str">
        <f t="shared" si="547"/>
        <v/>
      </c>
    </row>
    <row r="713" spans="1:50" x14ac:dyDescent="0.2">
      <c r="A713" s="29" t="str">
        <f t="shared" si="505"/>
        <v/>
      </c>
      <c r="B713" s="32" t="str">
        <f t="shared" si="506"/>
        <v/>
      </c>
      <c r="C713" s="35"/>
      <c r="D713" s="33" t="str">
        <f t="shared" si="507"/>
        <v/>
      </c>
      <c r="E713" s="22" t="str">
        <f t="shared" si="508"/>
        <v/>
      </c>
      <c r="F713" s="23" t="str">
        <f t="shared" si="509"/>
        <v/>
      </c>
      <c r="G713" s="23"/>
      <c r="H713" s="22"/>
      <c r="I713" s="23"/>
      <c r="J713" s="18"/>
      <c r="K713" s="13" t="str">
        <f t="shared" si="510"/>
        <v/>
      </c>
      <c r="L713" s="28" t="str">
        <f t="shared" si="511"/>
        <v/>
      </c>
      <c r="M713" s="10" t="str">
        <f t="shared" si="512"/>
        <v/>
      </c>
      <c r="N713" s="17" t="str">
        <f t="shared" si="513"/>
        <v/>
      </c>
      <c r="O713" s="39" t="str">
        <f t="shared" si="514"/>
        <v/>
      </c>
      <c r="P713" s="41" t="str">
        <f t="shared" si="515"/>
        <v/>
      </c>
      <c r="Q713" s="9" t="str">
        <f t="shared" si="516"/>
        <v/>
      </c>
      <c r="R713" s="14">
        <f t="shared" si="517"/>
        <v>0</v>
      </c>
      <c r="S713" s="61" t="str">
        <f t="shared" si="518"/>
        <v/>
      </c>
      <c r="T713" s="14">
        <f t="shared" si="519"/>
        <v>0</v>
      </c>
      <c r="U713" s="58" t="str">
        <f t="shared" si="520"/>
        <v/>
      </c>
      <c r="V713" s="14">
        <f t="shared" si="521"/>
        <v>0</v>
      </c>
      <c r="W713" s="58" t="str">
        <f t="shared" si="522"/>
        <v/>
      </c>
      <c r="X713" s="14">
        <f t="shared" si="523"/>
        <v>0</v>
      </c>
      <c r="Y713" s="58" t="str">
        <f t="shared" si="524"/>
        <v/>
      </c>
      <c r="Z713" s="31">
        <f t="shared" si="525"/>
        <v>0</v>
      </c>
      <c r="AA713" s="21">
        <f t="shared" si="526"/>
        <v>0</v>
      </c>
      <c r="AB713" s="58" t="str">
        <f t="shared" si="527"/>
        <v/>
      </c>
      <c r="AC713" s="630">
        <f t="shared" si="504"/>
        <v>0</v>
      </c>
      <c r="AD713" s="627"/>
      <c r="AE713" s="21">
        <f t="shared" si="528"/>
        <v>0</v>
      </c>
      <c r="AF713" s="58" t="str">
        <f t="shared" si="529"/>
        <v/>
      </c>
      <c r="AG713" s="21">
        <f t="shared" si="530"/>
        <v>0</v>
      </c>
      <c r="AH713" s="58" t="str">
        <f t="shared" si="531"/>
        <v/>
      </c>
      <c r="AI713" s="21">
        <f t="shared" si="532"/>
        <v>0</v>
      </c>
      <c r="AJ713" s="58" t="str">
        <f t="shared" si="533"/>
        <v/>
      </c>
      <c r="AK713" s="31">
        <f t="shared" si="534"/>
        <v>0</v>
      </c>
      <c r="AL713" s="21">
        <f t="shared" si="535"/>
        <v>0</v>
      </c>
      <c r="AM713" s="62" t="str">
        <f t="shared" si="536"/>
        <v/>
      </c>
      <c r="AN713" s="21">
        <f t="shared" si="537"/>
        <v>0</v>
      </c>
      <c r="AO713" s="62" t="str">
        <f t="shared" si="538"/>
        <v/>
      </c>
      <c r="AP713" s="21">
        <f t="shared" si="539"/>
        <v>0</v>
      </c>
      <c r="AQ713" s="62" t="str">
        <f t="shared" si="540"/>
        <v/>
      </c>
      <c r="AR713" s="31">
        <f t="shared" si="541"/>
        <v>0</v>
      </c>
      <c r="AS713" s="21">
        <f t="shared" si="542"/>
        <v>0</v>
      </c>
      <c r="AT713" s="62" t="str">
        <f t="shared" si="543"/>
        <v/>
      </c>
      <c r="AU713" s="84">
        <f t="shared" si="544"/>
        <v>0</v>
      </c>
      <c r="AV713" s="32">
        <f t="shared" si="545"/>
        <v>0</v>
      </c>
      <c r="AW713" s="85" t="str">
        <f t="shared" si="546"/>
        <v/>
      </c>
      <c r="AX713" s="86" t="str">
        <f t="shared" si="547"/>
        <v/>
      </c>
    </row>
    <row r="714" spans="1:50" x14ac:dyDescent="0.2">
      <c r="A714" s="29" t="str">
        <f t="shared" si="505"/>
        <v/>
      </c>
      <c r="B714" s="32" t="str">
        <f t="shared" si="506"/>
        <v/>
      </c>
      <c r="C714" s="35"/>
      <c r="D714" s="33" t="str">
        <f t="shared" si="507"/>
        <v/>
      </c>
      <c r="E714" s="22" t="str">
        <f t="shared" si="508"/>
        <v/>
      </c>
      <c r="F714" s="23" t="str">
        <f t="shared" si="509"/>
        <v/>
      </c>
      <c r="G714" s="23"/>
      <c r="H714" s="22"/>
      <c r="I714" s="23"/>
      <c r="J714" s="18"/>
      <c r="K714" s="13" t="str">
        <f t="shared" si="510"/>
        <v/>
      </c>
      <c r="L714" s="28" t="str">
        <f t="shared" si="511"/>
        <v/>
      </c>
      <c r="M714" s="10" t="str">
        <f t="shared" si="512"/>
        <v/>
      </c>
      <c r="N714" s="17" t="str">
        <f t="shared" si="513"/>
        <v/>
      </c>
      <c r="O714" s="39" t="str">
        <f t="shared" si="514"/>
        <v/>
      </c>
      <c r="P714" s="41" t="str">
        <f t="shared" si="515"/>
        <v/>
      </c>
      <c r="Q714" s="9" t="str">
        <f t="shared" si="516"/>
        <v/>
      </c>
      <c r="R714" s="14">
        <f t="shared" si="517"/>
        <v>0</v>
      </c>
      <c r="S714" s="61" t="str">
        <f t="shared" si="518"/>
        <v/>
      </c>
      <c r="T714" s="14">
        <f t="shared" si="519"/>
        <v>0</v>
      </c>
      <c r="U714" s="58" t="str">
        <f t="shared" si="520"/>
        <v/>
      </c>
      <c r="V714" s="14">
        <f t="shared" si="521"/>
        <v>0</v>
      </c>
      <c r="W714" s="58" t="str">
        <f t="shared" si="522"/>
        <v/>
      </c>
      <c r="X714" s="14">
        <f t="shared" si="523"/>
        <v>0</v>
      </c>
      <c r="Y714" s="58" t="str">
        <f t="shared" si="524"/>
        <v/>
      </c>
      <c r="Z714" s="31">
        <f t="shared" si="525"/>
        <v>0</v>
      </c>
      <c r="AA714" s="21">
        <f t="shared" si="526"/>
        <v>0</v>
      </c>
      <c r="AB714" s="58" t="str">
        <f t="shared" si="527"/>
        <v/>
      </c>
      <c r="AC714" s="630">
        <f t="shared" si="504"/>
        <v>0</v>
      </c>
      <c r="AD714" s="627"/>
      <c r="AE714" s="21">
        <f t="shared" si="528"/>
        <v>0</v>
      </c>
      <c r="AF714" s="58" t="str">
        <f t="shared" si="529"/>
        <v/>
      </c>
      <c r="AG714" s="21">
        <f t="shared" si="530"/>
        <v>0</v>
      </c>
      <c r="AH714" s="58" t="str">
        <f t="shared" si="531"/>
        <v/>
      </c>
      <c r="AI714" s="21">
        <f t="shared" si="532"/>
        <v>0</v>
      </c>
      <c r="AJ714" s="58" t="str">
        <f t="shared" si="533"/>
        <v/>
      </c>
      <c r="AK714" s="31">
        <f t="shared" si="534"/>
        <v>0</v>
      </c>
      <c r="AL714" s="21">
        <f t="shared" si="535"/>
        <v>0</v>
      </c>
      <c r="AM714" s="62" t="str">
        <f t="shared" si="536"/>
        <v/>
      </c>
      <c r="AN714" s="21">
        <f t="shared" si="537"/>
        <v>0</v>
      </c>
      <c r="AO714" s="62" t="str">
        <f t="shared" si="538"/>
        <v/>
      </c>
      <c r="AP714" s="21">
        <f t="shared" si="539"/>
        <v>0</v>
      </c>
      <c r="AQ714" s="62" t="str">
        <f t="shared" si="540"/>
        <v/>
      </c>
      <c r="AR714" s="31">
        <f t="shared" si="541"/>
        <v>0</v>
      </c>
      <c r="AS714" s="21">
        <f t="shared" si="542"/>
        <v>0</v>
      </c>
      <c r="AT714" s="62" t="str">
        <f t="shared" si="543"/>
        <v/>
      </c>
      <c r="AU714" s="84">
        <f t="shared" si="544"/>
        <v>0</v>
      </c>
      <c r="AV714" s="32">
        <f t="shared" si="545"/>
        <v>0</v>
      </c>
      <c r="AW714" s="85" t="str">
        <f t="shared" si="546"/>
        <v/>
      </c>
      <c r="AX714" s="86" t="str">
        <f t="shared" si="547"/>
        <v/>
      </c>
    </row>
    <row r="715" spans="1:50" x14ac:dyDescent="0.2">
      <c r="A715" s="29" t="str">
        <f t="shared" si="505"/>
        <v/>
      </c>
      <c r="B715" s="32" t="str">
        <f t="shared" si="506"/>
        <v/>
      </c>
      <c r="C715" s="35"/>
      <c r="D715" s="33" t="str">
        <f t="shared" si="507"/>
        <v/>
      </c>
      <c r="E715" s="22" t="str">
        <f t="shared" si="508"/>
        <v/>
      </c>
      <c r="F715" s="23" t="str">
        <f t="shared" si="509"/>
        <v/>
      </c>
      <c r="G715" s="23"/>
      <c r="H715" s="22"/>
      <c r="I715" s="23"/>
      <c r="J715" s="18"/>
      <c r="K715" s="13" t="str">
        <f t="shared" si="510"/>
        <v/>
      </c>
      <c r="L715" s="28" t="str">
        <f t="shared" si="511"/>
        <v/>
      </c>
      <c r="M715" s="10" t="str">
        <f t="shared" si="512"/>
        <v/>
      </c>
      <c r="N715" s="17" t="str">
        <f t="shared" si="513"/>
        <v/>
      </c>
      <c r="O715" s="39" t="str">
        <f t="shared" si="514"/>
        <v/>
      </c>
      <c r="P715" s="41" t="str">
        <f t="shared" si="515"/>
        <v/>
      </c>
      <c r="Q715" s="9" t="str">
        <f t="shared" si="516"/>
        <v/>
      </c>
      <c r="R715" s="14">
        <f t="shared" si="517"/>
        <v>0</v>
      </c>
      <c r="S715" s="61" t="str">
        <f t="shared" si="518"/>
        <v/>
      </c>
      <c r="T715" s="14">
        <f t="shared" si="519"/>
        <v>0</v>
      </c>
      <c r="U715" s="58" t="str">
        <f t="shared" si="520"/>
        <v/>
      </c>
      <c r="V715" s="14">
        <f t="shared" si="521"/>
        <v>0</v>
      </c>
      <c r="W715" s="58" t="str">
        <f t="shared" si="522"/>
        <v/>
      </c>
      <c r="X715" s="14">
        <f t="shared" si="523"/>
        <v>0</v>
      </c>
      <c r="Y715" s="58" t="str">
        <f t="shared" si="524"/>
        <v/>
      </c>
      <c r="Z715" s="31">
        <f t="shared" si="525"/>
        <v>0</v>
      </c>
      <c r="AA715" s="21">
        <f t="shared" si="526"/>
        <v>0</v>
      </c>
      <c r="AB715" s="58" t="str">
        <f t="shared" si="527"/>
        <v/>
      </c>
      <c r="AC715" s="630">
        <f t="shared" si="504"/>
        <v>0</v>
      </c>
      <c r="AD715" s="627"/>
      <c r="AE715" s="21">
        <f t="shared" si="528"/>
        <v>0</v>
      </c>
      <c r="AF715" s="58" t="str">
        <f t="shared" si="529"/>
        <v/>
      </c>
      <c r="AG715" s="21">
        <f t="shared" si="530"/>
        <v>0</v>
      </c>
      <c r="AH715" s="58" t="str">
        <f t="shared" si="531"/>
        <v/>
      </c>
      <c r="AI715" s="21">
        <f t="shared" si="532"/>
        <v>0</v>
      </c>
      <c r="AJ715" s="58" t="str">
        <f t="shared" si="533"/>
        <v/>
      </c>
      <c r="AK715" s="31">
        <f t="shared" si="534"/>
        <v>0</v>
      </c>
      <c r="AL715" s="21">
        <f t="shared" si="535"/>
        <v>0</v>
      </c>
      <c r="AM715" s="62" t="str">
        <f t="shared" si="536"/>
        <v/>
      </c>
      <c r="AN715" s="21">
        <f t="shared" si="537"/>
        <v>0</v>
      </c>
      <c r="AO715" s="62" t="str">
        <f t="shared" si="538"/>
        <v/>
      </c>
      <c r="AP715" s="21">
        <f t="shared" si="539"/>
        <v>0</v>
      </c>
      <c r="AQ715" s="62" t="str">
        <f t="shared" si="540"/>
        <v/>
      </c>
      <c r="AR715" s="31">
        <f t="shared" si="541"/>
        <v>0</v>
      </c>
      <c r="AS715" s="21">
        <f t="shared" si="542"/>
        <v>0</v>
      </c>
      <c r="AT715" s="62" t="str">
        <f t="shared" si="543"/>
        <v/>
      </c>
      <c r="AU715" s="84">
        <f t="shared" si="544"/>
        <v>0</v>
      </c>
      <c r="AV715" s="32">
        <f t="shared" si="545"/>
        <v>0</v>
      </c>
      <c r="AW715" s="85" t="str">
        <f t="shared" si="546"/>
        <v/>
      </c>
      <c r="AX715" s="86" t="str">
        <f t="shared" si="547"/>
        <v/>
      </c>
    </row>
    <row r="716" spans="1:50" x14ac:dyDescent="0.2">
      <c r="A716" s="29" t="str">
        <f t="shared" si="505"/>
        <v/>
      </c>
      <c r="B716" s="32" t="str">
        <f t="shared" si="506"/>
        <v/>
      </c>
      <c r="C716" s="35"/>
      <c r="D716" s="33" t="str">
        <f t="shared" si="507"/>
        <v/>
      </c>
      <c r="E716" s="22" t="str">
        <f t="shared" si="508"/>
        <v/>
      </c>
      <c r="F716" s="23" t="str">
        <f t="shared" si="509"/>
        <v/>
      </c>
      <c r="G716" s="23"/>
      <c r="H716" s="22"/>
      <c r="I716" s="23"/>
      <c r="J716" s="18"/>
      <c r="K716" s="13" t="str">
        <f t="shared" si="510"/>
        <v/>
      </c>
      <c r="L716" s="28" t="str">
        <f t="shared" si="511"/>
        <v/>
      </c>
      <c r="M716" s="10" t="str">
        <f t="shared" si="512"/>
        <v/>
      </c>
      <c r="N716" s="17" t="str">
        <f t="shared" si="513"/>
        <v/>
      </c>
      <c r="O716" s="39" t="str">
        <f t="shared" si="514"/>
        <v/>
      </c>
      <c r="P716" s="41" t="str">
        <f t="shared" si="515"/>
        <v/>
      </c>
      <c r="Q716" s="9" t="str">
        <f t="shared" si="516"/>
        <v/>
      </c>
      <c r="R716" s="14">
        <f t="shared" si="517"/>
        <v>0</v>
      </c>
      <c r="S716" s="61" t="str">
        <f t="shared" si="518"/>
        <v/>
      </c>
      <c r="T716" s="14">
        <f t="shared" si="519"/>
        <v>0</v>
      </c>
      <c r="U716" s="58" t="str">
        <f t="shared" si="520"/>
        <v/>
      </c>
      <c r="V716" s="14">
        <f t="shared" si="521"/>
        <v>0</v>
      </c>
      <c r="W716" s="58" t="str">
        <f t="shared" si="522"/>
        <v/>
      </c>
      <c r="X716" s="14">
        <f t="shared" si="523"/>
        <v>0</v>
      </c>
      <c r="Y716" s="58" t="str">
        <f t="shared" si="524"/>
        <v/>
      </c>
      <c r="Z716" s="31">
        <f t="shared" si="525"/>
        <v>0</v>
      </c>
      <c r="AA716" s="21">
        <f t="shared" si="526"/>
        <v>0</v>
      </c>
      <c r="AB716" s="58" t="str">
        <f t="shared" si="527"/>
        <v/>
      </c>
      <c r="AC716" s="630">
        <f t="shared" si="504"/>
        <v>0</v>
      </c>
      <c r="AD716" s="627"/>
      <c r="AE716" s="21">
        <f t="shared" si="528"/>
        <v>0</v>
      </c>
      <c r="AF716" s="58" t="str">
        <f t="shared" si="529"/>
        <v/>
      </c>
      <c r="AG716" s="21">
        <f t="shared" si="530"/>
        <v>0</v>
      </c>
      <c r="AH716" s="58" t="str">
        <f t="shared" si="531"/>
        <v/>
      </c>
      <c r="AI716" s="21">
        <f t="shared" si="532"/>
        <v>0</v>
      </c>
      <c r="AJ716" s="58" t="str">
        <f t="shared" si="533"/>
        <v/>
      </c>
      <c r="AK716" s="31">
        <f t="shared" si="534"/>
        <v>0</v>
      </c>
      <c r="AL716" s="21">
        <f t="shared" si="535"/>
        <v>0</v>
      </c>
      <c r="AM716" s="62" t="str">
        <f t="shared" si="536"/>
        <v/>
      </c>
      <c r="AN716" s="21">
        <f t="shared" si="537"/>
        <v>0</v>
      </c>
      <c r="AO716" s="62" t="str">
        <f t="shared" si="538"/>
        <v/>
      </c>
      <c r="AP716" s="21">
        <f t="shared" si="539"/>
        <v>0</v>
      </c>
      <c r="AQ716" s="62" t="str">
        <f t="shared" si="540"/>
        <v/>
      </c>
      <c r="AR716" s="31">
        <f t="shared" si="541"/>
        <v>0</v>
      </c>
      <c r="AS716" s="21">
        <f t="shared" si="542"/>
        <v>0</v>
      </c>
      <c r="AT716" s="62" t="str">
        <f t="shared" si="543"/>
        <v/>
      </c>
      <c r="AU716" s="84">
        <f t="shared" si="544"/>
        <v>0</v>
      </c>
      <c r="AV716" s="32">
        <f t="shared" si="545"/>
        <v>0</v>
      </c>
      <c r="AW716" s="85" t="str">
        <f t="shared" si="546"/>
        <v/>
      </c>
      <c r="AX716" s="86" t="str">
        <f t="shared" si="547"/>
        <v/>
      </c>
    </row>
    <row r="717" spans="1:50" x14ac:dyDescent="0.2">
      <c r="A717" s="29" t="str">
        <f t="shared" si="505"/>
        <v/>
      </c>
      <c r="B717" s="32" t="str">
        <f t="shared" si="506"/>
        <v/>
      </c>
      <c r="C717" s="35"/>
      <c r="D717" s="33" t="str">
        <f t="shared" si="507"/>
        <v/>
      </c>
      <c r="E717" s="22" t="str">
        <f t="shared" si="508"/>
        <v/>
      </c>
      <c r="F717" s="23" t="str">
        <f t="shared" si="509"/>
        <v/>
      </c>
      <c r="G717" s="23"/>
      <c r="H717" s="22"/>
      <c r="I717" s="23"/>
      <c r="J717" s="18"/>
      <c r="K717" s="13" t="str">
        <f t="shared" si="510"/>
        <v/>
      </c>
      <c r="L717" s="28" t="str">
        <f t="shared" si="511"/>
        <v/>
      </c>
      <c r="M717" s="10" t="str">
        <f t="shared" si="512"/>
        <v/>
      </c>
      <c r="N717" s="17" t="str">
        <f t="shared" si="513"/>
        <v/>
      </c>
      <c r="O717" s="39" t="str">
        <f t="shared" si="514"/>
        <v/>
      </c>
      <c r="P717" s="41" t="str">
        <f t="shared" si="515"/>
        <v/>
      </c>
      <c r="Q717" s="9" t="str">
        <f t="shared" si="516"/>
        <v/>
      </c>
      <c r="R717" s="14">
        <f t="shared" si="517"/>
        <v>0</v>
      </c>
      <c r="S717" s="61" t="str">
        <f t="shared" si="518"/>
        <v/>
      </c>
      <c r="T717" s="14">
        <f t="shared" si="519"/>
        <v>0</v>
      </c>
      <c r="U717" s="58" t="str">
        <f t="shared" si="520"/>
        <v/>
      </c>
      <c r="V717" s="14">
        <f t="shared" si="521"/>
        <v>0</v>
      </c>
      <c r="W717" s="58" t="str">
        <f t="shared" si="522"/>
        <v/>
      </c>
      <c r="X717" s="14">
        <f t="shared" si="523"/>
        <v>0</v>
      </c>
      <c r="Y717" s="58" t="str">
        <f t="shared" si="524"/>
        <v/>
      </c>
      <c r="Z717" s="31">
        <f t="shared" si="525"/>
        <v>0</v>
      </c>
      <c r="AA717" s="21">
        <f t="shared" si="526"/>
        <v>0</v>
      </c>
      <c r="AB717" s="58" t="str">
        <f t="shared" si="527"/>
        <v/>
      </c>
      <c r="AC717" s="630">
        <f t="shared" si="504"/>
        <v>0</v>
      </c>
      <c r="AD717" s="627"/>
      <c r="AE717" s="21">
        <f t="shared" si="528"/>
        <v>0</v>
      </c>
      <c r="AF717" s="58" t="str">
        <f t="shared" si="529"/>
        <v/>
      </c>
      <c r="AG717" s="21">
        <f t="shared" si="530"/>
        <v>0</v>
      </c>
      <c r="AH717" s="58" t="str">
        <f t="shared" si="531"/>
        <v/>
      </c>
      <c r="AI717" s="21">
        <f t="shared" si="532"/>
        <v>0</v>
      </c>
      <c r="AJ717" s="58" t="str">
        <f t="shared" si="533"/>
        <v/>
      </c>
      <c r="AK717" s="31">
        <f t="shared" si="534"/>
        <v>0</v>
      </c>
      <c r="AL717" s="21">
        <f t="shared" si="535"/>
        <v>0</v>
      </c>
      <c r="AM717" s="62" t="str">
        <f t="shared" si="536"/>
        <v/>
      </c>
      <c r="AN717" s="21">
        <f t="shared" si="537"/>
        <v>0</v>
      </c>
      <c r="AO717" s="62" t="str">
        <f t="shared" si="538"/>
        <v/>
      </c>
      <c r="AP717" s="21">
        <f t="shared" si="539"/>
        <v>0</v>
      </c>
      <c r="AQ717" s="62" t="str">
        <f t="shared" si="540"/>
        <v/>
      </c>
      <c r="AR717" s="31">
        <f t="shared" si="541"/>
        <v>0</v>
      </c>
      <c r="AS717" s="21">
        <f t="shared" si="542"/>
        <v>0</v>
      </c>
      <c r="AT717" s="62" t="str">
        <f t="shared" si="543"/>
        <v/>
      </c>
      <c r="AU717" s="84">
        <f t="shared" si="544"/>
        <v>0</v>
      </c>
      <c r="AV717" s="32">
        <f t="shared" si="545"/>
        <v>0</v>
      </c>
      <c r="AW717" s="85" t="str">
        <f t="shared" si="546"/>
        <v/>
      </c>
      <c r="AX717" s="86" t="str">
        <f t="shared" si="547"/>
        <v/>
      </c>
    </row>
    <row r="718" spans="1:50" x14ac:dyDescent="0.2">
      <c r="A718" s="29" t="str">
        <f t="shared" si="505"/>
        <v/>
      </c>
      <c r="B718" s="32" t="str">
        <f t="shared" si="506"/>
        <v/>
      </c>
      <c r="C718" s="35"/>
      <c r="D718" s="33" t="str">
        <f t="shared" si="507"/>
        <v/>
      </c>
      <c r="E718" s="22" t="str">
        <f t="shared" si="508"/>
        <v/>
      </c>
      <c r="F718" s="23" t="str">
        <f t="shared" si="509"/>
        <v/>
      </c>
      <c r="G718" s="23"/>
      <c r="H718" s="22"/>
      <c r="I718" s="23"/>
      <c r="J718" s="18"/>
      <c r="K718" s="13" t="str">
        <f t="shared" si="510"/>
        <v/>
      </c>
      <c r="L718" s="28" t="str">
        <f t="shared" si="511"/>
        <v/>
      </c>
      <c r="M718" s="10" t="str">
        <f t="shared" si="512"/>
        <v/>
      </c>
      <c r="N718" s="17" t="str">
        <f t="shared" si="513"/>
        <v/>
      </c>
      <c r="O718" s="39" t="str">
        <f t="shared" si="514"/>
        <v/>
      </c>
      <c r="P718" s="41" t="str">
        <f t="shared" si="515"/>
        <v/>
      </c>
      <c r="Q718" s="9" t="str">
        <f t="shared" si="516"/>
        <v/>
      </c>
      <c r="R718" s="14">
        <f t="shared" si="517"/>
        <v>0</v>
      </c>
      <c r="S718" s="61" t="str">
        <f t="shared" si="518"/>
        <v/>
      </c>
      <c r="T718" s="14">
        <f t="shared" si="519"/>
        <v>0</v>
      </c>
      <c r="U718" s="58" t="str">
        <f t="shared" si="520"/>
        <v/>
      </c>
      <c r="V718" s="14">
        <f t="shared" si="521"/>
        <v>0</v>
      </c>
      <c r="W718" s="58" t="str">
        <f t="shared" si="522"/>
        <v/>
      </c>
      <c r="X718" s="14">
        <f t="shared" si="523"/>
        <v>0</v>
      </c>
      <c r="Y718" s="58" t="str">
        <f t="shared" si="524"/>
        <v/>
      </c>
      <c r="Z718" s="31">
        <f t="shared" si="525"/>
        <v>0</v>
      </c>
      <c r="AA718" s="21">
        <f t="shared" si="526"/>
        <v>0</v>
      </c>
      <c r="AB718" s="58" t="str">
        <f t="shared" si="527"/>
        <v/>
      </c>
      <c r="AC718" s="630">
        <f t="shared" si="504"/>
        <v>0</v>
      </c>
      <c r="AD718" s="627"/>
      <c r="AE718" s="21">
        <f t="shared" si="528"/>
        <v>0</v>
      </c>
      <c r="AF718" s="58" t="str">
        <f t="shared" si="529"/>
        <v/>
      </c>
      <c r="AG718" s="21">
        <f t="shared" si="530"/>
        <v>0</v>
      </c>
      <c r="AH718" s="58" t="str">
        <f t="shared" si="531"/>
        <v/>
      </c>
      <c r="AI718" s="21">
        <f t="shared" si="532"/>
        <v>0</v>
      </c>
      <c r="AJ718" s="58" t="str">
        <f t="shared" si="533"/>
        <v/>
      </c>
      <c r="AK718" s="31">
        <f t="shared" si="534"/>
        <v>0</v>
      </c>
      <c r="AL718" s="21">
        <f t="shared" si="535"/>
        <v>0</v>
      </c>
      <c r="AM718" s="62" t="str">
        <f t="shared" si="536"/>
        <v/>
      </c>
      <c r="AN718" s="21">
        <f t="shared" si="537"/>
        <v>0</v>
      </c>
      <c r="AO718" s="62" t="str">
        <f t="shared" si="538"/>
        <v/>
      </c>
      <c r="AP718" s="21">
        <f t="shared" si="539"/>
        <v>0</v>
      </c>
      <c r="AQ718" s="62" t="str">
        <f t="shared" si="540"/>
        <v/>
      </c>
      <c r="AR718" s="31">
        <f t="shared" si="541"/>
        <v>0</v>
      </c>
      <c r="AS718" s="21">
        <f t="shared" si="542"/>
        <v>0</v>
      </c>
      <c r="AT718" s="62" t="str">
        <f t="shared" si="543"/>
        <v/>
      </c>
      <c r="AU718" s="84">
        <f t="shared" si="544"/>
        <v>0</v>
      </c>
      <c r="AV718" s="32">
        <f t="shared" si="545"/>
        <v>0</v>
      </c>
      <c r="AW718" s="85" t="str">
        <f t="shared" si="546"/>
        <v/>
      </c>
      <c r="AX718" s="86" t="str">
        <f t="shared" si="547"/>
        <v/>
      </c>
    </row>
    <row r="719" spans="1:50" x14ac:dyDescent="0.2">
      <c r="A719" s="29" t="str">
        <f t="shared" si="505"/>
        <v/>
      </c>
      <c r="B719" s="32" t="str">
        <f t="shared" si="506"/>
        <v/>
      </c>
      <c r="C719" s="35"/>
      <c r="D719" s="33" t="str">
        <f t="shared" si="507"/>
        <v/>
      </c>
      <c r="E719" s="22" t="str">
        <f t="shared" si="508"/>
        <v/>
      </c>
      <c r="F719" s="23" t="str">
        <f t="shared" si="509"/>
        <v/>
      </c>
      <c r="G719" s="23"/>
      <c r="H719" s="22"/>
      <c r="I719" s="23"/>
      <c r="J719" s="18"/>
      <c r="K719" s="13" t="str">
        <f t="shared" si="510"/>
        <v/>
      </c>
      <c r="L719" s="28" t="str">
        <f t="shared" si="511"/>
        <v/>
      </c>
      <c r="M719" s="10" t="str">
        <f t="shared" si="512"/>
        <v/>
      </c>
      <c r="N719" s="17" t="str">
        <f t="shared" si="513"/>
        <v/>
      </c>
      <c r="O719" s="39" t="str">
        <f t="shared" si="514"/>
        <v/>
      </c>
      <c r="P719" s="41" t="str">
        <f t="shared" si="515"/>
        <v/>
      </c>
      <c r="Q719" s="9" t="str">
        <f t="shared" si="516"/>
        <v/>
      </c>
      <c r="R719" s="14">
        <f t="shared" si="517"/>
        <v>0</v>
      </c>
      <c r="S719" s="61" t="str">
        <f t="shared" si="518"/>
        <v/>
      </c>
      <c r="T719" s="14">
        <f t="shared" si="519"/>
        <v>0</v>
      </c>
      <c r="U719" s="58" t="str">
        <f t="shared" si="520"/>
        <v/>
      </c>
      <c r="V719" s="14">
        <f t="shared" si="521"/>
        <v>0</v>
      </c>
      <c r="W719" s="58" t="str">
        <f t="shared" si="522"/>
        <v/>
      </c>
      <c r="X719" s="14">
        <f t="shared" si="523"/>
        <v>0</v>
      </c>
      <c r="Y719" s="58" t="str">
        <f t="shared" si="524"/>
        <v/>
      </c>
      <c r="Z719" s="31">
        <f t="shared" si="525"/>
        <v>0</v>
      </c>
      <c r="AA719" s="21">
        <f t="shared" si="526"/>
        <v>0</v>
      </c>
      <c r="AB719" s="58" t="str">
        <f t="shared" si="527"/>
        <v/>
      </c>
      <c r="AC719" s="630">
        <f t="shared" si="504"/>
        <v>0</v>
      </c>
      <c r="AD719" s="627"/>
      <c r="AE719" s="21">
        <f t="shared" si="528"/>
        <v>0</v>
      </c>
      <c r="AF719" s="58" t="str">
        <f t="shared" si="529"/>
        <v/>
      </c>
      <c r="AG719" s="21">
        <f t="shared" si="530"/>
        <v>0</v>
      </c>
      <c r="AH719" s="58" t="str">
        <f t="shared" si="531"/>
        <v/>
      </c>
      <c r="AI719" s="21">
        <f t="shared" si="532"/>
        <v>0</v>
      </c>
      <c r="AJ719" s="58" t="str">
        <f t="shared" si="533"/>
        <v/>
      </c>
      <c r="AK719" s="31">
        <f t="shared" si="534"/>
        <v>0</v>
      </c>
      <c r="AL719" s="21">
        <f t="shared" si="535"/>
        <v>0</v>
      </c>
      <c r="AM719" s="62" t="str">
        <f t="shared" si="536"/>
        <v/>
      </c>
      <c r="AN719" s="21">
        <f t="shared" si="537"/>
        <v>0</v>
      </c>
      <c r="AO719" s="62" t="str">
        <f t="shared" si="538"/>
        <v/>
      </c>
      <c r="AP719" s="21">
        <f t="shared" si="539"/>
        <v>0</v>
      </c>
      <c r="AQ719" s="62" t="str">
        <f t="shared" si="540"/>
        <v/>
      </c>
      <c r="AR719" s="31">
        <f t="shared" si="541"/>
        <v>0</v>
      </c>
      <c r="AS719" s="21">
        <f t="shared" si="542"/>
        <v>0</v>
      </c>
      <c r="AT719" s="62" t="str">
        <f t="shared" si="543"/>
        <v/>
      </c>
      <c r="AU719" s="84">
        <f t="shared" si="544"/>
        <v>0</v>
      </c>
      <c r="AV719" s="32">
        <f t="shared" si="545"/>
        <v>0</v>
      </c>
      <c r="AW719" s="85" t="str">
        <f t="shared" si="546"/>
        <v/>
      </c>
      <c r="AX719" s="86" t="str">
        <f t="shared" si="547"/>
        <v/>
      </c>
    </row>
    <row r="720" spans="1:50" x14ac:dyDescent="0.2">
      <c r="A720" s="29" t="str">
        <f t="shared" si="505"/>
        <v/>
      </c>
      <c r="B720" s="32" t="str">
        <f t="shared" si="506"/>
        <v/>
      </c>
      <c r="C720" s="35"/>
      <c r="D720" s="33" t="str">
        <f t="shared" si="507"/>
        <v/>
      </c>
      <c r="E720" s="22" t="str">
        <f t="shared" si="508"/>
        <v/>
      </c>
      <c r="F720" s="23" t="str">
        <f t="shared" si="509"/>
        <v/>
      </c>
      <c r="G720" s="23"/>
      <c r="H720" s="22"/>
      <c r="I720" s="23"/>
      <c r="J720" s="18"/>
      <c r="K720" s="13" t="str">
        <f t="shared" si="510"/>
        <v/>
      </c>
      <c r="L720" s="28" t="str">
        <f t="shared" si="511"/>
        <v/>
      </c>
      <c r="M720" s="10" t="str">
        <f t="shared" si="512"/>
        <v/>
      </c>
      <c r="N720" s="17" t="str">
        <f t="shared" si="513"/>
        <v/>
      </c>
      <c r="O720" s="39" t="str">
        <f t="shared" si="514"/>
        <v/>
      </c>
      <c r="P720" s="41" t="str">
        <f t="shared" si="515"/>
        <v/>
      </c>
      <c r="Q720" s="9" t="str">
        <f t="shared" si="516"/>
        <v/>
      </c>
      <c r="R720" s="14">
        <f t="shared" si="517"/>
        <v>0</v>
      </c>
      <c r="S720" s="61" t="str">
        <f t="shared" si="518"/>
        <v/>
      </c>
      <c r="T720" s="14">
        <f t="shared" si="519"/>
        <v>0</v>
      </c>
      <c r="U720" s="58" t="str">
        <f t="shared" si="520"/>
        <v/>
      </c>
      <c r="V720" s="14">
        <f t="shared" si="521"/>
        <v>0</v>
      </c>
      <c r="W720" s="58" t="str">
        <f t="shared" si="522"/>
        <v/>
      </c>
      <c r="X720" s="14">
        <f t="shared" si="523"/>
        <v>0</v>
      </c>
      <c r="Y720" s="58" t="str">
        <f t="shared" si="524"/>
        <v/>
      </c>
      <c r="Z720" s="31">
        <f t="shared" si="525"/>
        <v>0</v>
      </c>
      <c r="AA720" s="21">
        <f t="shared" si="526"/>
        <v>0</v>
      </c>
      <c r="AB720" s="58" t="str">
        <f t="shared" si="527"/>
        <v/>
      </c>
      <c r="AC720" s="630">
        <f t="shared" si="504"/>
        <v>0</v>
      </c>
      <c r="AD720" s="627"/>
      <c r="AE720" s="21">
        <f t="shared" si="528"/>
        <v>0</v>
      </c>
      <c r="AF720" s="58" t="str">
        <f t="shared" si="529"/>
        <v/>
      </c>
      <c r="AG720" s="21">
        <f t="shared" si="530"/>
        <v>0</v>
      </c>
      <c r="AH720" s="58" t="str">
        <f t="shared" si="531"/>
        <v/>
      </c>
      <c r="AI720" s="21">
        <f t="shared" si="532"/>
        <v>0</v>
      </c>
      <c r="AJ720" s="58" t="str">
        <f t="shared" si="533"/>
        <v/>
      </c>
      <c r="AK720" s="31">
        <f t="shared" si="534"/>
        <v>0</v>
      </c>
      <c r="AL720" s="21">
        <f t="shared" si="535"/>
        <v>0</v>
      </c>
      <c r="AM720" s="62" t="str">
        <f t="shared" si="536"/>
        <v/>
      </c>
      <c r="AN720" s="21">
        <f t="shared" si="537"/>
        <v>0</v>
      </c>
      <c r="AO720" s="62" t="str">
        <f t="shared" si="538"/>
        <v/>
      </c>
      <c r="AP720" s="21">
        <f t="shared" si="539"/>
        <v>0</v>
      </c>
      <c r="AQ720" s="62" t="str">
        <f t="shared" si="540"/>
        <v/>
      </c>
      <c r="AR720" s="31">
        <f t="shared" si="541"/>
        <v>0</v>
      </c>
      <c r="AS720" s="21">
        <f t="shared" si="542"/>
        <v>0</v>
      </c>
      <c r="AT720" s="62" t="str">
        <f t="shared" si="543"/>
        <v/>
      </c>
      <c r="AU720" s="84">
        <f t="shared" si="544"/>
        <v>0</v>
      </c>
      <c r="AV720" s="32">
        <f t="shared" si="545"/>
        <v>0</v>
      </c>
      <c r="AW720" s="85" t="str">
        <f t="shared" si="546"/>
        <v/>
      </c>
      <c r="AX720" s="86" t="str">
        <f t="shared" si="547"/>
        <v/>
      </c>
    </row>
    <row r="721" spans="1:50" x14ac:dyDescent="0.2">
      <c r="A721" s="29" t="str">
        <f t="shared" si="505"/>
        <v/>
      </c>
      <c r="B721" s="32" t="str">
        <f t="shared" si="506"/>
        <v/>
      </c>
      <c r="C721" s="35"/>
      <c r="D721" s="33" t="str">
        <f t="shared" si="507"/>
        <v/>
      </c>
      <c r="E721" s="22" t="str">
        <f t="shared" si="508"/>
        <v/>
      </c>
      <c r="F721" s="23" t="str">
        <f t="shared" si="509"/>
        <v/>
      </c>
      <c r="G721" s="23"/>
      <c r="H721" s="22"/>
      <c r="I721" s="23"/>
      <c r="J721" s="18"/>
      <c r="K721" s="13" t="str">
        <f t="shared" si="510"/>
        <v/>
      </c>
      <c r="L721" s="28" t="str">
        <f t="shared" si="511"/>
        <v/>
      </c>
      <c r="M721" s="10" t="str">
        <f t="shared" si="512"/>
        <v/>
      </c>
      <c r="N721" s="17" t="str">
        <f t="shared" si="513"/>
        <v/>
      </c>
      <c r="O721" s="39" t="str">
        <f t="shared" si="514"/>
        <v/>
      </c>
      <c r="P721" s="41" t="str">
        <f t="shared" si="515"/>
        <v/>
      </c>
      <c r="Q721" s="9" t="str">
        <f t="shared" si="516"/>
        <v/>
      </c>
      <c r="R721" s="14">
        <f t="shared" si="517"/>
        <v>0</v>
      </c>
      <c r="S721" s="61" t="str">
        <f t="shared" si="518"/>
        <v/>
      </c>
      <c r="T721" s="14">
        <f t="shared" si="519"/>
        <v>0</v>
      </c>
      <c r="U721" s="58" t="str">
        <f t="shared" si="520"/>
        <v/>
      </c>
      <c r="V721" s="14">
        <f t="shared" si="521"/>
        <v>0</v>
      </c>
      <c r="W721" s="58" t="str">
        <f t="shared" si="522"/>
        <v/>
      </c>
      <c r="X721" s="14">
        <f t="shared" si="523"/>
        <v>0</v>
      </c>
      <c r="Y721" s="58" t="str">
        <f t="shared" si="524"/>
        <v/>
      </c>
      <c r="Z721" s="31">
        <f t="shared" si="525"/>
        <v>0</v>
      </c>
      <c r="AA721" s="21">
        <f t="shared" si="526"/>
        <v>0</v>
      </c>
      <c r="AB721" s="58" t="str">
        <f t="shared" si="527"/>
        <v/>
      </c>
      <c r="AC721" s="630">
        <f t="shared" si="504"/>
        <v>0</v>
      </c>
      <c r="AD721" s="627"/>
      <c r="AE721" s="21">
        <f t="shared" si="528"/>
        <v>0</v>
      </c>
      <c r="AF721" s="58" t="str">
        <f t="shared" si="529"/>
        <v/>
      </c>
      <c r="AG721" s="21">
        <f t="shared" si="530"/>
        <v>0</v>
      </c>
      <c r="AH721" s="58" t="str">
        <f t="shared" si="531"/>
        <v/>
      </c>
      <c r="AI721" s="21">
        <f t="shared" si="532"/>
        <v>0</v>
      </c>
      <c r="AJ721" s="58" t="str">
        <f t="shared" si="533"/>
        <v/>
      </c>
      <c r="AK721" s="31">
        <f t="shared" si="534"/>
        <v>0</v>
      </c>
      <c r="AL721" s="21">
        <f t="shared" si="535"/>
        <v>0</v>
      </c>
      <c r="AM721" s="62" t="str">
        <f t="shared" si="536"/>
        <v/>
      </c>
      <c r="AN721" s="21">
        <f t="shared" si="537"/>
        <v>0</v>
      </c>
      <c r="AO721" s="62" t="str">
        <f t="shared" si="538"/>
        <v/>
      </c>
      <c r="AP721" s="21">
        <f t="shared" si="539"/>
        <v>0</v>
      </c>
      <c r="AQ721" s="62" t="str">
        <f t="shared" si="540"/>
        <v/>
      </c>
      <c r="AR721" s="31">
        <f t="shared" si="541"/>
        <v>0</v>
      </c>
      <c r="AS721" s="21">
        <f t="shared" si="542"/>
        <v>0</v>
      </c>
      <c r="AT721" s="62" t="str">
        <f t="shared" si="543"/>
        <v/>
      </c>
      <c r="AU721" s="84">
        <f t="shared" si="544"/>
        <v>0</v>
      </c>
      <c r="AV721" s="32">
        <f t="shared" si="545"/>
        <v>0</v>
      </c>
      <c r="AW721" s="85" t="str">
        <f t="shared" si="546"/>
        <v/>
      </c>
      <c r="AX721" s="86" t="str">
        <f t="shared" si="547"/>
        <v/>
      </c>
    </row>
    <row r="722" spans="1:50" x14ac:dyDescent="0.2">
      <c r="A722" s="29" t="str">
        <f t="shared" si="505"/>
        <v/>
      </c>
      <c r="B722" s="32" t="str">
        <f t="shared" si="506"/>
        <v/>
      </c>
      <c r="C722" s="35"/>
      <c r="D722" s="33" t="str">
        <f t="shared" si="507"/>
        <v/>
      </c>
      <c r="E722" s="22" t="str">
        <f t="shared" si="508"/>
        <v/>
      </c>
      <c r="F722" s="23" t="str">
        <f t="shared" si="509"/>
        <v/>
      </c>
      <c r="G722" s="23"/>
      <c r="H722" s="22"/>
      <c r="I722" s="23"/>
      <c r="J722" s="18"/>
      <c r="K722" s="13" t="str">
        <f t="shared" si="510"/>
        <v/>
      </c>
      <c r="L722" s="28" t="str">
        <f t="shared" si="511"/>
        <v/>
      </c>
      <c r="M722" s="10" t="str">
        <f t="shared" si="512"/>
        <v/>
      </c>
      <c r="N722" s="17" t="str">
        <f t="shared" si="513"/>
        <v/>
      </c>
      <c r="O722" s="39" t="str">
        <f t="shared" si="514"/>
        <v/>
      </c>
      <c r="P722" s="41" t="str">
        <f t="shared" si="515"/>
        <v/>
      </c>
      <c r="Q722" s="9" t="str">
        <f t="shared" si="516"/>
        <v/>
      </c>
      <c r="R722" s="14">
        <f t="shared" si="517"/>
        <v>0</v>
      </c>
      <c r="S722" s="61" t="str">
        <f t="shared" si="518"/>
        <v/>
      </c>
      <c r="T722" s="14">
        <f t="shared" si="519"/>
        <v>0</v>
      </c>
      <c r="U722" s="58" t="str">
        <f t="shared" si="520"/>
        <v/>
      </c>
      <c r="V722" s="14">
        <f t="shared" si="521"/>
        <v>0</v>
      </c>
      <c r="W722" s="58" t="str">
        <f t="shared" si="522"/>
        <v/>
      </c>
      <c r="X722" s="14">
        <f t="shared" si="523"/>
        <v>0</v>
      </c>
      <c r="Y722" s="58" t="str">
        <f t="shared" si="524"/>
        <v/>
      </c>
      <c r="Z722" s="31">
        <f t="shared" si="525"/>
        <v>0</v>
      </c>
      <c r="AA722" s="21">
        <f t="shared" si="526"/>
        <v>0</v>
      </c>
      <c r="AB722" s="58" t="str">
        <f t="shared" si="527"/>
        <v/>
      </c>
      <c r="AC722" s="630">
        <f t="shared" si="504"/>
        <v>0</v>
      </c>
      <c r="AD722" s="627"/>
      <c r="AE722" s="21">
        <f t="shared" si="528"/>
        <v>0</v>
      </c>
      <c r="AF722" s="58" t="str">
        <f t="shared" si="529"/>
        <v/>
      </c>
      <c r="AG722" s="21">
        <f t="shared" si="530"/>
        <v>0</v>
      </c>
      <c r="AH722" s="58" t="str">
        <f t="shared" si="531"/>
        <v/>
      </c>
      <c r="AI722" s="21">
        <f t="shared" si="532"/>
        <v>0</v>
      </c>
      <c r="AJ722" s="58" t="str">
        <f t="shared" si="533"/>
        <v/>
      </c>
      <c r="AK722" s="31">
        <f t="shared" si="534"/>
        <v>0</v>
      </c>
      <c r="AL722" s="21">
        <f t="shared" si="535"/>
        <v>0</v>
      </c>
      <c r="AM722" s="62" t="str">
        <f t="shared" si="536"/>
        <v/>
      </c>
      <c r="AN722" s="21">
        <f t="shared" si="537"/>
        <v>0</v>
      </c>
      <c r="AO722" s="62" t="str">
        <f t="shared" si="538"/>
        <v/>
      </c>
      <c r="AP722" s="21">
        <f t="shared" si="539"/>
        <v>0</v>
      </c>
      <c r="AQ722" s="62" t="str">
        <f t="shared" si="540"/>
        <v/>
      </c>
      <c r="AR722" s="31">
        <f t="shared" si="541"/>
        <v>0</v>
      </c>
      <c r="AS722" s="21">
        <f t="shared" si="542"/>
        <v>0</v>
      </c>
      <c r="AT722" s="62" t="str">
        <f t="shared" si="543"/>
        <v/>
      </c>
      <c r="AU722" s="84">
        <f t="shared" si="544"/>
        <v>0</v>
      </c>
      <c r="AV722" s="32">
        <f t="shared" si="545"/>
        <v>0</v>
      </c>
      <c r="AW722" s="85" t="str">
        <f t="shared" si="546"/>
        <v/>
      </c>
      <c r="AX722" s="86" t="str">
        <f t="shared" si="547"/>
        <v/>
      </c>
    </row>
    <row r="723" spans="1:50" x14ac:dyDescent="0.2">
      <c r="A723" s="29" t="str">
        <f t="shared" si="505"/>
        <v/>
      </c>
      <c r="B723" s="32" t="str">
        <f t="shared" si="506"/>
        <v/>
      </c>
      <c r="C723" s="35"/>
      <c r="D723" s="33" t="str">
        <f t="shared" si="507"/>
        <v/>
      </c>
      <c r="E723" s="22" t="str">
        <f t="shared" si="508"/>
        <v/>
      </c>
      <c r="F723" s="23" t="str">
        <f t="shared" si="509"/>
        <v/>
      </c>
      <c r="G723" s="23"/>
      <c r="H723" s="22"/>
      <c r="I723" s="23"/>
      <c r="J723" s="18"/>
      <c r="K723" s="13" t="str">
        <f t="shared" si="510"/>
        <v/>
      </c>
      <c r="L723" s="28" t="str">
        <f t="shared" si="511"/>
        <v/>
      </c>
      <c r="M723" s="10" t="str">
        <f t="shared" si="512"/>
        <v/>
      </c>
      <c r="N723" s="17" t="str">
        <f t="shared" si="513"/>
        <v/>
      </c>
      <c r="O723" s="39" t="str">
        <f t="shared" si="514"/>
        <v/>
      </c>
      <c r="P723" s="41" t="str">
        <f t="shared" si="515"/>
        <v/>
      </c>
      <c r="Q723" s="9" t="str">
        <f t="shared" si="516"/>
        <v/>
      </c>
      <c r="R723" s="14">
        <f t="shared" si="517"/>
        <v>0</v>
      </c>
      <c r="S723" s="61" t="str">
        <f t="shared" si="518"/>
        <v/>
      </c>
      <c r="T723" s="14">
        <f t="shared" si="519"/>
        <v>0</v>
      </c>
      <c r="U723" s="58" t="str">
        <f t="shared" si="520"/>
        <v/>
      </c>
      <c r="V723" s="14">
        <f t="shared" si="521"/>
        <v>0</v>
      </c>
      <c r="W723" s="58" t="str">
        <f t="shared" si="522"/>
        <v/>
      </c>
      <c r="X723" s="14">
        <f t="shared" si="523"/>
        <v>0</v>
      </c>
      <c r="Y723" s="58" t="str">
        <f t="shared" si="524"/>
        <v/>
      </c>
      <c r="Z723" s="31">
        <f t="shared" si="525"/>
        <v>0</v>
      </c>
      <c r="AA723" s="21">
        <f t="shared" si="526"/>
        <v>0</v>
      </c>
      <c r="AB723" s="58" t="str">
        <f t="shared" si="527"/>
        <v/>
      </c>
      <c r="AC723" s="630">
        <f t="shared" si="504"/>
        <v>0</v>
      </c>
      <c r="AD723" s="627"/>
      <c r="AE723" s="21">
        <f t="shared" si="528"/>
        <v>0</v>
      </c>
      <c r="AF723" s="58" t="str">
        <f t="shared" si="529"/>
        <v/>
      </c>
      <c r="AG723" s="21">
        <f t="shared" si="530"/>
        <v>0</v>
      </c>
      <c r="AH723" s="58" t="str">
        <f t="shared" si="531"/>
        <v/>
      </c>
      <c r="AI723" s="21">
        <f t="shared" si="532"/>
        <v>0</v>
      </c>
      <c r="AJ723" s="58" t="str">
        <f t="shared" si="533"/>
        <v/>
      </c>
      <c r="AK723" s="31">
        <f t="shared" si="534"/>
        <v>0</v>
      </c>
      <c r="AL723" s="21">
        <f t="shared" si="535"/>
        <v>0</v>
      </c>
      <c r="AM723" s="62" t="str">
        <f t="shared" si="536"/>
        <v/>
      </c>
      <c r="AN723" s="21">
        <f t="shared" si="537"/>
        <v>0</v>
      </c>
      <c r="AO723" s="62" t="str">
        <f t="shared" si="538"/>
        <v/>
      </c>
      <c r="AP723" s="21">
        <f t="shared" si="539"/>
        <v>0</v>
      </c>
      <c r="AQ723" s="62" t="str">
        <f t="shared" si="540"/>
        <v/>
      </c>
      <c r="AR723" s="31">
        <f t="shared" si="541"/>
        <v>0</v>
      </c>
      <c r="AS723" s="21">
        <f t="shared" si="542"/>
        <v>0</v>
      </c>
      <c r="AT723" s="62" t="str">
        <f t="shared" si="543"/>
        <v/>
      </c>
      <c r="AU723" s="84">
        <f t="shared" si="544"/>
        <v>0</v>
      </c>
      <c r="AV723" s="32">
        <f t="shared" si="545"/>
        <v>0</v>
      </c>
      <c r="AW723" s="85" t="str">
        <f t="shared" si="546"/>
        <v/>
      </c>
      <c r="AX723" s="86" t="str">
        <f t="shared" si="547"/>
        <v/>
      </c>
    </row>
    <row r="724" spans="1:50" x14ac:dyDescent="0.2">
      <c r="A724" s="29" t="str">
        <f t="shared" si="505"/>
        <v/>
      </c>
      <c r="B724" s="32" t="str">
        <f t="shared" si="506"/>
        <v/>
      </c>
      <c r="C724" s="35"/>
      <c r="D724" s="33" t="str">
        <f t="shared" si="507"/>
        <v/>
      </c>
      <c r="E724" s="22" t="str">
        <f t="shared" si="508"/>
        <v/>
      </c>
      <c r="F724" s="23" t="str">
        <f t="shared" si="509"/>
        <v/>
      </c>
      <c r="G724" s="23"/>
      <c r="H724" s="22"/>
      <c r="I724" s="23"/>
      <c r="J724" s="18"/>
      <c r="K724" s="13" t="str">
        <f t="shared" si="510"/>
        <v/>
      </c>
      <c r="L724" s="28" t="str">
        <f t="shared" si="511"/>
        <v/>
      </c>
      <c r="M724" s="10" t="str">
        <f t="shared" si="512"/>
        <v/>
      </c>
      <c r="N724" s="17" t="str">
        <f t="shared" si="513"/>
        <v/>
      </c>
      <c r="O724" s="39" t="str">
        <f t="shared" si="514"/>
        <v/>
      </c>
      <c r="P724" s="41" t="str">
        <f t="shared" si="515"/>
        <v/>
      </c>
      <c r="Q724" s="9" t="str">
        <f t="shared" si="516"/>
        <v/>
      </c>
      <c r="R724" s="14">
        <f t="shared" si="517"/>
        <v>0</v>
      </c>
      <c r="S724" s="61" t="str">
        <f t="shared" si="518"/>
        <v/>
      </c>
      <c r="T724" s="14">
        <f t="shared" si="519"/>
        <v>0</v>
      </c>
      <c r="U724" s="58" t="str">
        <f t="shared" si="520"/>
        <v/>
      </c>
      <c r="V724" s="14">
        <f t="shared" si="521"/>
        <v>0</v>
      </c>
      <c r="W724" s="58" t="str">
        <f t="shared" si="522"/>
        <v/>
      </c>
      <c r="X724" s="14">
        <f t="shared" si="523"/>
        <v>0</v>
      </c>
      <c r="Y724" s="58" t="str">
        <f t="shared" si="524"/>
        <v/>
      </c>
      <c r="Z724" s="31">
        <f t="shared" si="525"/>
        <v>0</v>
      </c>
      <c r="AA724" s="21">
        <f t="shared" si="526"/>
        <v>0</v>
      </c>
      <c r="AB724" s="58" t="str">
        <f t="shared" si="527"/>
        <v/>
      </c>
      <c r="AC724" s="630">
        <f t="shared" si="504"/>
        <v>0</v>
      </c>
      <c r="AD724" s="627"/>
      <c r="AE724" s="21">
        <f t="shared" si="528"/>
        <v>0</v>
      </c>
      <c r="AF724" s="58" t="str">
        <f t="shared" si="529"/>
        <v/>
      </c>
      <c r="AG724" s="21">
        <f t="shared" si="530"/>
        <v>0</v>
      </c>
      <c r="AH724" s="58" t="str">
        <f t="shared" si="531"/>
        <v/>
      </c>
      <c r="AI724" s="21">
        <f t="shared" si="532"/>
        <v>0</v>
      </c>
      <c r="AJ724" s="58" t="str">
        <f t="shared" si="533"/>
        <v/>
      </c>
      <c r="AK724" s="31">
        <f t="shared" si="534"/>
        <v>0</v>
      </c>
      <c r="AL724" s="21">
        <f t="shared" si="535"/>
        <v>0</v>
      </c>
      <c r="AM724" s="62" t="str">
        <f t="shared" si="536"/>
        <v/>
      </c>
      <c r="AN724" s="21">
        <f t="shared" si="537"/>
        <v>0</v>
      </c>
      <c r="AO724" s="62" t="str">
        <f t="shared" si="538"/>
        <v/>
      </c>
      <c r="AP724" s="21">
        <f t="shared" si="539"/>
        <v>0</v>
      </c>
      <c r="AQ724" s="62" t="str">
        <f t="shared" si="540"/>
        <v/>
      </c>
      <c r="AR724" s="31">
        <f t="shared" si="541"/>
        <v>0</v>
      </c>
      <c r="AS724" s="21">
        <f t="shared" si="542"/>
        <v>0</v>
      </c>
      <c r="AT724" s="62" t="str">
        <f t="shared" si="543"/>
        <v/>
      </c>
      <c r="AU724" s="84">
        <f t="shared" si="544"/>
        <v>0</v>
      </c>
      <c r="AV724" s="32">
        <f t="shared" si="545"/>
        <v>0</v>
      </c>
      <c r="AW724" s="85" t="str">
        <f t="shared" si="546"/>
        <v/>
      </c>
      <c r="AX724" s="86" t="str">
        <f t="shared" si="547"/>
        <v/>
      </c>
    </row>
    <row r="725" spans="1:50" x14ac:dyDescent="0.2">
      <c r="A725" s="29" t="str">
        <f t="shared" si="505"/>
        <v/>
      </c>
      <c r="B725" s="32" t="str">
        <f t="shared" si="506"/>
        <v/>
      </c>
      <c r="C725" s="35"/>
      <c r="D725" s="33" t="str">
        <f t="shared" si="507"/>
        <v/>
      </c>
      <c r="E725" s="22" t="str">
        <f t="shared" si="508"/>
        <v/>
      </c>
      <c r="F725" s="23" t="str">
        <f t="shared" si="509"/>
        <v/>
      </c>
      <c r="G725" s="23"/>
      <c r="H725" s="22"/>
      <c r="I725" s="23"/>
      <c r="J725" s="18"/>
      <c r="K725" s="13" t="str">
        <f t="shared" si="510"/>
        <v/>
      </c>
      <c r="L725" s="28" t="str">
        <f t="shared" si="511"/>
        <v/>
      </c>
      <c r="M725" s="10" t="str">
        <f t="shared" si="512"/>
        <v/>
      </c>
      <c r="N725" s="17" t="str">
        <f t="shared" si="513"/>
        <v/>
      </c>
      <c r="O725" s="39" t="str">
        <f t="shared" si="514"/>
        <v/>
      </c>
      <c r="P725" s="41" t="str">
        <f t="shared" si="515"/>
        <v/>
      </c>
      <c r="Q725" s="9" t="str">
        <f t="shared" si="516"/>
        <v/>
      </c>
      <c r="R725" s="14">
        <f t="shared" si="517"/>
        <v>0</v>
      </c>
      <c r="S725" s="61" t="str">
        <f t="shared" si="518"/>
        <v/>
      </c>
      <c r="T725" s="14">
        <f t="shared" si="519"/>
        <v>0</v>
      </c>
      <c r="U725" s="58" t="str">
        <f t="shared" si="520"/>
        <v/>
      </c>
      <c r="V725" s="14">
        <f t="shared" si="521"/>
        <v>0</v>
      </c>
      <c r="W725" s="58" t="str">
        <f t="shared" si="522"/>
        <v/>
      </c>
      <c r="X725" s="14">
        <f t="shared" si="523"/>
        <v>0</v>
      </c>
      <c r="Y725" s="58" t="str">
        <f t="shared" si="524"/>
        <v/>
      </c>
      <c r="Z725" s="31">
        <f t="shared" si="525"/>
        <v>0</v>
      </c>
      <c r="AA725" s="21">
        <f t="shared" si="526"/>
        <v>0</v>
      </c>
      <c r="AB725" s="58" t="str">
        <f t="shared" si="527"/>
        <v/>
      </c>
      <c r="AC725" s="630">
        <f t="shared" ref="AC725:AC788" si="548">COUNTIF(G725:J725,100)</f>
        <v>0</v>
      </c>
      <c r="AD725" s="627"/>
      <c r="AE725" s="21">
        <f t="shared" si="528"/>
        <v>0</v>
      </c>
      <c r="AF725" s="58" t="str">
        <f t="shared" si="529"/>
        <v/>
      </c>
      <c r="AG725" s="21">
        <f t="shared" si="530"/>
        <v>0</v>
      </c>
      <c r="AH725" s="58" t="str">
        <f t="shared" si="531"/>
        <v/>
      </c>
      <c r="AI725" s="21">
        <f t="shared" si="532"/>
        <v>0</v>
      </c>
      <c r="AJ725" s="58" t="str">
        <f t="shared" si="533"/>
        <v/>
      </c>
      <c r="AK725" s="31">
        <f t="shared" si="534"/>
        <v>0</v>
      </c>
      <c r="AL725" s="21">
        <f t="shared" si="535"/>
        <v>0</v>
      </c>
      <c r="AM725" s="62" t="str">
        <f t="shared" si="536"/>
        <v/>
      </c>
      <c r="AN725" s="21">
        <f t="shared" si="537"/>
        <v>0</v>
      </c>
      <c r="AO725" s="62" t="str">
        <f t="shared" si="538"/>
        <v/>
      </c>
      <c r="AP725" s="21">
        <f t="shared" si="539"/>
        <v>0</v>
      </c>
      <c r="AQ725" s="62" t="str">
        <f t="shared" si="540"/>
        <v/>
      </c>
      <c r="AR725" s="31">
        <f t="shared" si="541"/>
        <v>0</v>
      </c>
      <c r="AS725" s="21">
        <f t="shared" si="542"/>
        <v>0</v>
      </c>
      <c r="AT725" s="62" t="str">
        <f t="shared" si="543"/>
        <v/>
      </c>
      <c r="AU725" s="84">
        <f t="shared" si="544"/>
        <v>0</v>
      </c>
      <c r="AV725" s="32">
        <f t="shared" si="545"/>
        <v>0</v>
      </c>
      <c r="AW725" s="85" t="str">
        <f t="shared" si="546"/>
        <v/>
      </c>
      <c r="AX725" s="86" t="str">
        <f t="shared" si="547"/>
        <v/>
      </c>
    </row>
    <row r="726" spans="1:50" x14ac:dyDescent="0.2">
      <c r="A726" s="29" t="str">
        <f t="shared" si="505"/>
        <v/>
      </c>
      <c r="B726" s="32" t="str">
        <f t="shared" si="506"/>
        <v/>
      </c>
      <c r="C726" s="35"/>
      <c r="D726" s="33" t="str">
        <f t="shared" si="507"/>
        <v/>
      </c>
      <c r="E726" s="22" t="str">
        <f t="shared" si="508"/>
        <v/>
      </c>
      <c r="F726" s="23" t="str">
        <f t="shared" si="509"/>
        <v/>
      </c>
      <c r="G726" s="23"/>
      <c r="H726" s="22"/>
      <c r="I726" s="23"/>
      <c r="J726" s="18"/>
      <c r="K726" s="13" t="str">
        <f t="shared" si="510"/>
        <v/>
      </c>
      <c r="L726" s="28" t="str">
        <f t="shared" si="511"/>
        <v/>
      </c>
      <c r="M726" s="10" t="str">
        <f t="shared" si="512"/>
        <v/>
      </c>
      <c r="N726" s="17" t="str">
        <f t="shared" si="513"/>
        <v/>
      </c>
      <c r="O726" s="39" t="str">
        <f t="shared" si="514"/>
        <v/>
      </c>
      <c r="P726" s="41" t="str">
        <f t="shared" si="515"/>
        <v/>
      </c>
      <c r="Q726" s="9" t="str">
        <f t="shared" si="516"/>
        <v/>
      </c>
      <c r="R726" s="14">
        <f t="shared" si="517"/>
        <v>0</v>
      </c>
      <c r="S726" s="61" t="str">
        <f t="shared" si="518"/>
        <v/>
      </c>
      <c r="T726" s="14">
        <f t="shared" si="519"/>
        <v>0</v>
      </c>
      <c r="U726" s="58" t="str">
        <f t="shared" si="520"/>
        <v/>
      </c>
      <c r="V726" s="14">
        <f t="shared" si="521"/>
        <v>0</v>
      </c>
      <c r="W726" s="58" t="str">
        <f t="shared" si="522"/>
        <v/>
      </c>
      <c r="X726" s="14">
        <f t="shared" si="523"/>
        <v>0</v>
      </c>
      <c r="Y726" s="58" t="str">
        <f t="shared" si="524"/>
        <v/>
      </c>
      <c r="Z726" s="31">
        <f t="shared" si="525"/>
        <v>0</v>
      </c>
      <c r="AA726" s="21">
        <f t="shared" si="526"/>
        <v>0</v>
      </c>
      <c r="AB726" s="58" t="str">
        <f t="shared" si="527"/>
        <v/>
      </c>
      <c r="AC726" s="630">
        <f t="shared" si="548"/>
        <v>0</v>
      </c>
      <c r="AD726" s="627"/>
      <c r="AE726" s="21">
        <f t="shared" si="528"/>
        <v>0</v>
      </c>
      <c r="AF726" s="58" t="str">
        <f t="shared" si="529"/>
        <v/>
      </c>
      <c r="AG726" s="21">
        <f t="shared" si="530"/>
        <v>0</v>
      </c>
      <c r="AH726" s="58" t="str">
        <f t="shared" si="531"/>
        <v/>
      </c>
      <c r="AI726" s="21">
        <f t="shared" si="532"/>
        <v>0</v>
      </c>
      <c r="AJ726" s="58" t="str">
        <f t="shared" si="533"/>
        <v/>
      </c>
      <c r="AK726" s="31">
        <f t="shared" si="534"/>
        <v>0</v>
      </c>
      <c r="AL726" s="21">
        <f t="shared" si="535"/>
        <v>0</v>
      </c>
      <c r="AM726" s="62" t="str">
        <f t="shared" si="536"/>
        <v/>
      </c>
      <c r="AN726" s="21">
        <f t="shared" si="537"/>
        <v>0</v>
      </c>
      <c r="AO726" s="62" t="str">
        <f t="shared" si="538"/>
        <v/>
      </c>
      <c r="AP726" s="21">
        <f t="shared" si="539"/>
        <v>0</v>
      </c>
      <c r="AQ726" s="62" t="str">
        <f t="shared" si="540"/>
        <v/>
      </c>
      <c r="AR726" s="31">
        <f t="shared" si="541"/>
        <v>0</v>
      </c>
      <c r="AS726" s="21">
        <f t="shared" si="542"/>
        <v>0</v>
      </c>
      <c r="AT726" s="62" t="str">
        <f t="shared" si="543"/>
        <v/>
      </c>
      <c r="AU726" s="84">
        <f t="shared" si="544"/>
        <v>0</v>
      </c>
      <c r="AV726" s="32">
        <f t="shared" si="545"/>
        <v>0</v>
      </c>
      <c r="AW726" s="85" t="str">
        <f t="shared" si="546"/>
        <v/>
      </c>
      <c r="AX726" s="86" t="str">
        <f t="shared" si="547"/>
        <v/>
      </c>
    </row>
    <row r="727" spans="1:50" x14ac:dyDescent="0.2">
      <c r="A727" s="29" t="str">
        <f t="shared" si="505"/>
        <v/>
      </c>
      <c r="B727" s="32" t="str">
        <f t="shared" si="506"/>
        <v/>
      </c>
      <c r="C727" s="35"/>
      <c r="D727" s="33" t="str">
        <f t="shared" si="507"/>
        <v/>
      </c>
      <c r="E727" s="22" t="str">
        <f t="shared" si="508"/>
        <v/>
      </c>
      <c r="F727" s="23" t="str">
        <f t="shared" si="509"/>
        <v/>
      </c>
      <c r="G727" s="23"/>
      <c r="H727" s="22"/>
      <c r="I727" s="23"/>
      <c r="J727" s="18"/>
      <c r="K727" s="13" t="str">
        <f t="shared" si="510"/>
        <v/>
      </c>
      <c r="L727" s="28" t="str">
        <f t="shared" si="511"/>
        <v/>
      </c>
      <c r="M727" s="10" t="str">
        <f t="shared" si="512"/>
        <v/>
      </c>
      <c r="N727" s="17" t="str">
        <f t="shared" si="513"/>
        <v/>
      </c>
      <c r="O727" s="39" t="str">
        <f t="shared" si="514"/>
        <v/>
      </c>
      <c r="P727" s="41" t="str">
        <f t="shared" si="515"/>
        <v/>
      </c>
      <c r="Q727" s="9" t="str">
        <f t="shared" si="516"/>
        <v/>
      </c>
      <c r="R727" s="14">
        <f t="shared" si="517"/>
        <v>0</v>
      </c>
      <c r="S727" s="61" t="str">
        <f t="shared" si="518"/>
        <v/>
      </c>
      <c r="T727" s="14">
        <f t="shared" si="519"/>
        <v>0</v>
      </c>
      <c r="U727" s="58" t="str">
        <f t="shared" si="520"/>
        <v/>
      </c>
      <c r="V727" s="14">
        <f t="shared" si="521"/>
        <v>0</v>
      </c>
      <c r="W727" s="58" t="str">
        <f t="shared" si="522"/>
        <v/>
      </c>
      <c r="X727" s="14">
        <f t="shared" si="523"/>
        <v>0</v>
      </c>
      <c r="Y727" s="58" t="str">
        <f t="shared" si="524"/>
        <v/>
      </c>
      <c r="Z727" s="31">
        <f t="shared" si="525"/>
        <v>0</v>
      </c>
      <c r="AA727" s="21">
        <f t="shared" si="526"/>
        <v>0</v>
      </c>
      <c r="AB727" s="58" t="str">
        <f t="shared" si="527"/>
        <v/>
      </c>
      <c r="AC727" s="630">
        <f t="shared" si="548"/>
        <v>0</v>
      </c>
      <c r="AD727" s="627"/>
      <c r="AE727" s="21">
        <f t="shared" si="528"/>
        <v>0</v>
      </c>
      <c r="AF727" s="58" t="str">
        <f t="shared" si="529"/>
        <v/>
      </c>
      <c r="AG727" s="21">
        <f t="shared" si="530"/>
        <v>0</v>
      </c>
      <c r="AH727" s="58" t="str">
        <f t="shared" si="531"/>
        <v/>
      </c>
      <c r="AI727" s="21">
        <f t="shared" si="532"/>
        <v>0</v>
      </c>
      <c r="AJ727" s="58" t="str">
        <f t="shared" si="533"/>
        <v/>
      </c>
      <c r="AK727" s="31">
        <f t="shared" si="534"/>
        <v>0</v>
      </c>
      <c r="AL727" s="21">
        <f t="shared" si="535"/>
        <v>0</v>
      </c>
      <c r="AM727" s="62" t="str">
        <f t="shared" si="536"/>
        <v/>
      </c>
      <c r="AN727" s="21">
        <f t="shared" si="537"/>
        <v>0</v>
      </c>
      <c r="AO727" s="62" t="str">
        <f t="shared" si="538"/>
        <v/>
      </c>
      <c r="AP727" s="21">
        <f t="shared" si="539"/>
        <v>0</v>
      </c>
      <c r="AQ727" s="62" t="str">
        <f t="shared" si="540"/>
        <v/>
      </c>
      <c r="AR727" s="31">
        <f t="shared" si="541"/>
        <v>0</v>
      </c>
      <c r="AS727" s="21">
        <f t="shared" si="542"/>
        <v>0</v>
      </c>
      <c r="AT727" s="62" t="str">
        <f t="shared" si="543"/>
        <v/>
      </c>
      <c r="AU727" s="84">
        <f t="shared" si="544"/>
        <v>0</v>
      </c>
      <c r="AV727" s="32">
        <f t="shared" si="545"/>
        <v>0</v>
      </c>
      <c r="AW727" s="85" t="str">
        <f t="shared" si="546"/>
        <v/>
      </c>
      <c r="AX727" s="86" t="str">
        <f t="shared" si="547"/>
        <v/>
      </c>
    </row>
    <row r="728" spans="1:50" x14ac:dyDescent="0.2">
      <c r="A728" s="29" t="str">
        <f t="shared" si="505"/>
        <v/>
      </c>
      <c r="B728" s="32" t="str">
        <f t="shared" si="506"/>
        <v/>
      </c>
      <c r="C728" s="35"/>
      <c r="D728" s="33" t="str">
        <f t="shared" si="507"/>
        <v/>
      </c>
      <c r="E728" s="22" t="str">
        <f t="shared" si="508"/>
        <v/>
      </c>
      <c r="F728" s="23" t="str">
        <f t="shared" si="509"/>
        <v/>
      </c>
      <c r="G728" s="23"/>
      <c r="H728" s="22"/>
      <c r="I728" s="23"/>
      <c r="J728" s="18"/>
      <c r="K728" s="13" t="str">
        <f t="shared" si="510"/>
        <v/>
      </c>
      <c r="L728" s="28" t="str">
        <f t="shared" si="511"/>
        <v/>
      </c>
      <c r="M728" s="10" t="str">
        <f t="shared" si="512"/>
        <v/>
      </c>
      <c r="N728" s="17" t="str">
        <f t="shared" si="513"/>
        <v/>
      </c>
      <c r="O728" s="39" t="str">
        <f t="shared" si="514"/>
        <v/>
      </c>
      <c r="P728" s="41" t="str">
        <f t="shared" si="515"/>
        <v/>
      </c>
      <c r="Q728" s="9" t="str">
        <f t="shared" si="516"/>
        <v/>
      </c>
      <c r="R728" s="14">
        <f t="shared" si="517"/>
        <v>0</v>
      </c>
      <c r="S728" s="61" t="str">
        <f t="shared" si="518"/>
        <v/>
      </c>
      <c r="T728" s="14">
        <f t="shared" si="519"/>
        <v>0</v>
      </c>
      <c r="U728" s="58" t="str">
        <f t="shared" si="520"/>
        <v/>
      </c>
      <c r="V728" s="14">
        <f t="shared" si="521"/>
        <v>0</v>
      </c>
      <c r="W728" s="58" t="str">
        <f t="shared" si="522"/>
        <v/>
      </c>
      <c r="X728" s="14">
        <f t="shared" si="523"/>
        <v>0</v>
      </c>
      <c r="Y728" s="58" t="str">
        <f t="shared" si="524"/>
        <v/>
      </c>
      <c r="Z728" s="31">
        <f t="shared" si="525"/>
        <v>0</v>
      </c>
      <c r="AA728" s="21">
        <f t="shared" si="526"/>
        <v>0</v>
      </c>
      <c r="AB728" s="58" t="str">
        <f t="shared" si="527"/>
        <v/>
      </c>
      <c r="AC728" s="630">
        <f t="shared" si="548"/>
        <v>0</v>
      </c>
      <c r="AD728" s="627"/>
      <c r="AE728" s="21">
        <f t="shared" si="528"/>
        <v>0</v>
      </c>
      <c r="AF728" s="58" t="str">
        <f t="shared" si="529"/>
        <v/>
      </c>
      <c r="AG728" s="21">
        <f t="shared" si="530"/>
        <v>0</v>
      </c>
      <c r="AH728" s="58" t="str">
        <f t="shared" si="531"/>
        <v/>
      </c>
      <c r="AI728" s="21">
        <f t="shared" si="532"/>
        <v>0</v>
      </c>
      <c r="AJ728" s="58" t="str">
        <f t="shared" si="533"/>
        <v/>
      </c>
      <c r="AK728" s="31">
        <f t="shared" si="534"/>
        <v>0</v>
      </c>
      <c r="AL728" s="21">
        <f t="shared" si="535"/>
        <v>0</v>
      </c>
      <c r="AM728" s="62" t="str">
        <f t="shared" si="536"/>
        <v/>
      </c>
      <c r="AN728" s="21">
        <f t="shared" si="537"/>
        <v>0</v>
      </c>
      <c r="AO728" s="62" t="str">
        <f t="shared" si="538"/>
        <v/>
      </c>
      <c r="AP728" s="21">
        <f t="shared" si="539"/>
        <v>0</v>
      </c>
      <c r="AQ728" s="62" t="str">
        <f t="shared" si="540"/>
        <v/>
      </c>
      <c r="AR728" s="31">
        <f t="shared" si="541"/>
        <v>0</v>
      </c>
      <c r="AS728" s="21">
        <f t="shared" si="542"/>
        <v>0</v>
      </c>
      <c r="AT728" s="62" t="str">
        <f t="shared" si="543"/>
        <v/>
      </c>
      <c r="AU728" s="84">
        <f t="shared" si="544"/>
        <v>0</v>
      </c>
      <c r="AV728" s="32">
        <f t="shared" si="545"/>
        <v>0</v>
      </c>
      <c r="AW728" s="85" t="str">
        <f t="shared" si="546"/>
        <v/>
      </c>
      <c r="AX728" s="86" t="str">
        <f t="shared" si="547"/>
        <v/>
      </c>
    </row>
    <row r="729" spans="1:50" x14ac:dyDescent="0.2">
      <c r="A729" s="29" t="str">
        <f t="shared" si="505"/>
        <v/>
      </c>
      <c r="B729" s="32" t="str">
        <f t="shared" si="506"/>
        <v/>
      </c>
      <c r="C729" s="35"/>
      <c r="D729" s="33" t="str">
        <f t="shared" si="507"/>
        <v/>
      </c>
      <c r="E729" s="22" t="str">
        <f t="shared" si="508"/>
        <v/>
      </c>
      <c r="F729" s="23" t="str">
        <f t="shared" si="509"/>
        <v/>
      </c>
      <c r="G729" s="23"/>
      <c r="H729" s="22"/>
      <c r="I729" s="23"/>
      <c r="J729" s="18"/>
      <c r="K729" s="13" t="str">
        <f t="shared" si="510"/>
        <v/>
      </c>
      <c r="L729" s="28" t="str">
        <f t="shared" si="511"/>
        <v/>
      </c>
      <c r="M729" s="10" t="str">
        <f t="shared" si="512"/>
        <v/>
      </c>
      <c r="N729" s="17" t="str">
        <f t="shared" si="513"/>
        <v/>
      </c>
      <c r="O729" s="39" t="str">
        <f t="shared" si="514"/>
        <v/>
      </c>
      <c r="P729" s="41" t="str">
        <f t="shared" si="515"/>
        <v/>
      </c>
      <c r="Q729" s="9" t="str">
        <f t="shared" si="516"/>
        <v/>
      </c>
      <c r="R729" s="14">
        <f t="shared" si="517"/>
        <v>0</v>
      </c>
      <c r="S729" s="61" t="str">
        <f t="shared" si="518"/>
        <v/>
      </c>
      <c r="T729" s="14">
        <f t="shared" si="519"/>
        <v>0</v>
      </c>
      <c r="U729" s="58" t="str">
        <f t="shared" si="520"/>
        <v/>
      </c>
      <c r="V729" s="14">
        <f t="shared" si="521"/>
        <v>0</v>
      </c>
      <c r="W729" s="58" t="str">
        <f t="shared" si="522"/>
        <v/>
      </c>
      <c r="X729" s="14">
        <f t="shared" si="523"/>
        <v>0</v>
      </c>
      <c r="Y729" s="58" t="str">
        <f t="shared" si="524"/>
        <v/>
      </c>
      <c r="Z729" s="31">
        <f t="shared" si="525"/>
        <v>0</v>
      </c>
      <c r="AA729" s="21">
        <f t="shared" si="526"/>
        <v>0</v>
      </c>
      <c r="AB729" s="58" t="str">
        <f t="shared" si="527"/>
        <v/>
      </c>
      <c r="AC729" s="630">
        <f t="shared" si="548"/>
        <v>0</v>
      </c>
      <c r="AD729" s="627"/>
      <c r="AE729" s="21">
        <f t="shared" si="528"/>
        <v>0</v>
      </c>
      <c r="AF729" s="58" t="str">
        <f t="shared" si="529"/>
        <v/>
      </c>
      <c r="AG729" s="21">
        <f t="shared" si="530"/>
        <v>0</v>
      </c>
      <c r="AH729" s="58" t="str">
        <f t="shared" si="531"/>
        <v/>
      </c>
      <c r="AI729" s="21">
        <f t="shared" si="532"/>
        <v>0</v>
      </c>
      <c r="AJ729" s="58" t="str">
        <f t="shared" si="533"/>
        <v/>
      </c>
      <c r="AK729" s="31">
        <f t="shared" si="534"/>
        <v>0</v>
      </c>
      <c r="AL729" s="21">
        <f t="shared" si="535"/>
        <v>0</v>
      </c>
      <c r="AM729" s="62" t="str">
        <f t="shared" si="536"/>
        <v/>
      </c>
      <c r="AN729" s="21">
        <f t="shared" si="537"/>
        <v>0</v>
      </c>
      <c r="AO729" s="62" t="str">
        <f t="shared" si="538"/>
        <v/>
      </c>
      <c r="AP729" s="21">
        <f t="shared" si="539"/>
        <v>0</v>
      </c>
      <c r="AQ729" s="62" t="str">
        <f t="shared" si="540"/>
        <v/>
      </c>
      <c r="AR729" s="31">
        <f t="shared" si="541"/>
        <v>0</v>
      </c>
      <c r="AS729" s="21">
        <f t="shared" si="542"/>
        <v>0</v>
      </c>
      <c r="AT729" s="62" t="str">
        <f t="shared" si="543"/>
        <v/>
      </c>
      <c r="AU729" s="84">
        <f t="shared" si="544"/>
        <v>0</v>
      </c>
      <c r="AV729" s="32">
        <f t="shared" si="545"/>
        <v>0</v>
      </c>
      <c r="AW729" s="85" t="str">
        <f t="shared" si="546"/>
        <v/>
      </c>
      <c r="AX729" s="86" t="str">
        <f t="shared" si="547"/>
        <v/>
      </c>
    </row>
    <row r="730" spans="1:50" x14ac:dyDescent="0.2">
      <c r="A730" s="29" t="str">
        <f t="shared" si="505"/>
        <v/>
      </c>
      <c r="B730" s="32" t="str">
        <f t="shared" si="506"/>
        <v/>
      </c>
      <c r="C730" s="35"/>
      <c r="D730" s="33" t="str">
        <f t="shared" si="507"/>
        <v/>
      </c>
      <c r="E730" s="22" t="str">
        <f t="shared" si="508"/>
        <v/>
      </c>
      <c r="F730" s="23" t="str">
        <f t="shared" si="509"/>
        <v/>
      </c>
      <c r="G730" s="23"/>
      <c r="H730" s="22"/>
      <c r="I730" s="23"/>
      <c r="J730" s="18"/>
      <c r="K730" s="13" t="str">
        <f t="shared" si="510"/>
        <v/>
      </c>
      <c r="L730" s="28" t="str">
        <f t="shared" si="511"/>
        <v/>
      </c>
      <c r="M730" s="10" t="str">
        <f t="shared" si="512"/>
        <v/>
      </c>
      <c r="N730" s="17" t="str">
        <f t="shared" si="513"/>
        <v/>
      </c>
      <c r="O730" s="39" t="str">
        <f t="shared" si="514"/>
        <v/>
      </c>
      <c r="P730" s="41" t="str">
        <f t="shared" si="515"/>
        <v/>
      </c>
      <c r="Q730" s="9" t="str">
        <f t="shared" si="516"/>
        <v/>
      </c>
      <c r="R730" s="14">
        <f t="shared" si="517"/>
        <v>0</v>
      </c>
      <c r="S730" s="61" t="str">
        <f t="shared" si="518"/>
        <v/>
      </c>
      <c r="T730" s="14">
        <f t="shared" si="519"/>
        <v>0</v>
      </c>
      <c r="U730" s="58" t="str">
        <f t="shared" si="520"/>
        <v/>
      </c>
      <c r="V730" s="14">
        <f t="shared" si="521"/>
        <v>0</v>
      </c>
      <c r="W730" s="58" t="str">
        <f t="shared" si="522"/>
        <v/>
      </c>
      <c r="X730" s="14">
        <f t="shared" si="523"/>
        <v>0</v>
      </c>
      <c r="Y730" s="58" t="str">
        <f t="shared" si="524"/>
        <v/>
      </c>
      <c r="Z730" s="31">
        <f t="shared" si="525"/>
        <v>0</v>
      </c>
      <c r="AA730" s="21">
        <f t="shared" si="526"/>
        <v>0</v>
      </c>
      <c r="AB730" s="58" t="str">
        <f t="shared" si="527"/>
        <v/>
      </c>
      <c r="AC730" s="630">
        <f t="shared" si="548"/>
        <v>0</v>
      </c>
      <c r="AD730" s="627"/>
      <c r="AE730" s="21">
        <f t="shared" si="528"/>
        <v>0</v>
      </c>
      <c r="AF730" s="58" t="str">
        <f t="shared" si="529"/>
        <v/>
      </c>
      <c r="AG730" s="21">
        <f t="shared" si="530"/>
        <v>0</v>
      </c>
      <c r="AH730" s="58" t="str">
        <f t="shared" si="531"/>
        <v/>
      </c>
      <c r="AI730" s="21">
        <f t="shared" si="532"/>
        <v>0</v>
      </c>
      <c r="AJ730" s="58" t="str">
        <f t="shared" si="533"/>
        <v/>
      </c>
      <c r="AK730" s="31">
        <f t="shared" si="534"/>
        <v>0</v>
      </c>
      <c r="AL730" s="21">
        <f t="shared" si="535"/>
        <v>0</v>
      </c>
      <c r="AM730" s="62" t="str">
        <f t="shared" si="536"/>
        <v/>
      </c>
      <c r="AN730" s="21">
        <f t="shared" si="537"/>
        <v>0</v>
      </c>
      <c r="AO730" s="62" t="str">
        <f t="shared" si="538"/>
        <v/>
      </c>
      <c r="AP730" s="21">
        <f t="shared" si="539"/>
        <v>0</v>
      </c>
      <c r="AQ730" s="62" t="str">
        <f t="shared" si="540"/>
        <v/>
      </c>
      <c r="AR730" s="31">
        <f t="shared" si="541"/>
        <v>0</v>
      </c>
      <c r="AS730" s="21">
        <f t="shared" si="542"/>
        <v>0</v>
      </c>
      <c r="AT730" s="62" t="str">
        <f t="shared" si="543"/>
        <v/>
      </c>
      <c r="AU730" s="84">
        <f t="shared" si="544"/>
        <v>0</v>
      </c>
      <c r="AV730" s="32">
        <f t="shared" si="545"/>
        <v>0</v>
      </c>
      <c r="AW730" s="85" t="str">
        <f t="shared" si="546"/>
        <v/>
      </c>
      <c r="AX730" s="86" t="str">
        <f t="shared" si="547"/>
        <v/>
      </c>
    </row>
    <row r="731" spans="1:50" x14ac:dyDescent="0.2">
      <c r="A731" s="29" t="str">
        <f t="shared" si="505"/>
        <v/>
      </c>
      <c r="B731" s="32" t="str">
        <f t="shared" si="506"/>
        <v/>
      </c>
      <c r="C731" s="35"/>
      <c r="D731" s="33" t="str">
        <f t="shared" si="507"/>
        <v/>
      </c>
      <c r="E731" s="22" t="str">
        <f t="shared" si="508"/>
        <v/>
      </c>
      <c r="F731" s="23" t="str">
        <f t="shared" si="509"/>
        <v/>
      </c>
      <c r="G731" s="23"/>
      <c r="H731" s="22"/>
      <c r="I731" s="23"/>
      <c r="J731" s="18"/>
      <c r="K731" s="13" t="str">
        <f t="shared" si="510"/>
        <v/>
      </c>
      <c r="L731" s="28" t="str">
        <f t="shared" si="511"/>
        <v/>
      </c>
      <c r="M731" s="10" t="str">
        <f t="shared" si="512"/>
        <v/>
      </c>
      <c r="N731" s="17" t="str">
        <f t="shared" si="513"/>
        <v/>
      </c>
      <c r="O731" s="39" t="str">
        <f t="shared" si="514"/>
        <v/>
      </c>
      <c r="P731" s="41" t="str">
        <f t="shared" si="515"/>
        <v/>
      </c>
      <c r="Q731" s="9" t="str">
        <f t="shared" si="516"/>
        <v/>
      </c>
      <c r="R731" s="14">
        <f t="shared" si="517"/>
        <v>0</v>
      </c>
      <c r="S731" s="61" t="str">
        <f t="shared" si="518"/>
        <v/>
      </c>
      <c r="T731" s="14">
        <f t="shared" si="519"/>
        <v>0</v>
      </c>
      <c r="U731" s="58" t="str">
        <f t="shared" si="520"/>
        <v/>
      </c>
      <c r="V731" s="14">
        <f t="shared" si="521"/>
        <v>0</v>
      </c>
      <c r="W731" s="58" t="str">
        <f t="shared" si="522"/>
        <v/>
      </c>
      <c r="X731" s="14">
        <f t="shared" si="523"/>
        <v>0</v>
      </c>
      <c r="Y731" s="58" t="str">
        <f t="shared" si="524"/>
        <v/>
      </c>
      <c r="Z731" s="31">
        <f t="shared" si="525"/>
        <v>0</v>
      </c>
      <c r="AA731" s="21">
        <f t="shared" si="526"/>
        <v>0</v>
      </c>
      <c r="AB731" s="58" t="str">
        <f t="shared" si="527"/>
        <v/>
      </c>
      <c r="AC731" s="630">
        <f t="shared" si="548"/>
        <v>0</v>
      </c>
      <c r="AD731" s="627"/>
      <c r="AE731" s="21">
        <f t="shared" si="528"/>
        <v>0</v>
      </c>
      <c r="AF731" s="58" t="str">
        <f t="shared" si="529"/>
        <v/>
      </c>
      <c r="AG731" s="21">
        <f t="shared" si="530"/>
        <v>0</v>
      </c>
      <c r="AH731" s="58" t="str">
        <f t="shared" si="531"/>
        <v/>
      </c>
      <c r="AI731" s="21">
        <f t="shared" si="532"/>
        <v>0</v>
      </c>
      <c r="AJ731" s="58" t="str">
        <f t="shared" si="533"/>
        <v/>
      </c>
      <c r="AK731" s="31">
        <f t="shared" si="534"/>
        <v>0</v>
      </c>
      <c r="AL731" s="21">
        <f t="shared" si="535"/>
        <v>0</v>
      </c>
      <c r="AM731" s="62" t="str">
        <f t="shared" si="536"/>
        <v/>
      </c>
      <c r="AN731" s="21">
        <f t="shared" si="537"/>
        <v>0</v>
      </c>
      <c r="AO731" s="62" t="str">
        <f t="shared" si="538"/>
        <v/>
      </c>
      <c r="AP731" s="21">
        <f t="shared" si="539"/>
        <v>0</v>
      </c>
      <c r="AQ731" s="62" t="str">
        <f t="shared" si="540"/>
        <v/>
      </c>
      <c r="AR731" s="31">
        <f t="shared" si="541"/>
        <v>0</v>
      </c>
      <c r="AS731" s="21">
        <f t="shared" si="542"/>
        <v>0</v>
      </c>
      <c r="AT731" s="62" t="str">
        <f t="shared" si="543"/>
        <v/>
      </c>
      <c r="AU731" s="84">
        <f t="shared" si="544"/>
        <v>0</v>
      </c>
      <c r="AV731" s="32">
        <f t="shared" si="545"/>
        <v>0</v>
      </c>
      <c r="AW731" s="85" t="str">
        <f t="shared" si="546"/>
        <v/>
      </c>
      <c r="AX731" s="86" t="str">
        <f t="shared" si="547"/>
        <v/>
      </c>
    </row>
    <row r="732" spans="1:50" x14ac:dyDescent="0.2">
      <c r="A732" s="29" t="str">
        <f t="shared" si="505"/>
        <v/>
      </c>
      <c r="B732" s="32" t="str">
        <f t="shared" si="506"/>
        <v/>
      </c>
      <c r="C732" s="35"/>
      <c r="D732" s="33" t="str">
        <f t="shared" si="507"/>
        <v/>
      </c>
      <c r="E732" s="22" t="str">
        <f t="shared" si="508"/>
        <v/>
      </c>
      <c r="F732" s="23" t="str">
        <f t="shared" si="509"/>
        <v/>
      </c>
      <c r="G732" s="23"/>
      <c r="H732" s="22"/>
      <c r="I732" s="23"/>
      <c r="J732" s="18"/>
      <c r="K732" s="13" t="str">
        <f t="shared" si="510"/>
        <v/>
      </c>
      <c r="L732" s="28" t="str">
        <f t="shared" si="511"/>
        <v/>
      </c>
      <c r="M732" s="10" t="str">
        <f t="shared" si="512"/>
        <v/>
      </c>
      <c r="N732" s="17" t="str">
        <f t="shared" si="513"/>
        <v/>
      </c>
      <c r="O732" s="39" t="str">
        <f t="shared" si="514"/>
        <v/>
      </c>
      <c r="P732" s="41" t="str">
        <f t="shared" si="515"/>
        <v/>
      </c>
      <c r="Q732" s="9" t="str">
        <f t="shared" si="516"/>
        <v/>
      </c>
      <c r="R732" s="14">
        <f t="shared" si="517"/>
        <v>0</v>
      </c>
      <c r="S732" s="61" t="str">
        <f t="shared" si="518"/>
        <v/>
      </c>
      <c r="T732" s="14">
        <f t="shared" si="519"/>
        <v>0</v>
      </c>
      <c r="U732" s="58" t="str">
        <f t="shared" si="520"/>
        <v/>
      </c>
      <c r="V732" s="14">
        <f t="shared" si="521"/>
        <v>0</v>
      </c>
      <c r="W732" s="58" t="str">
        <f t="shared" si="522"/>
        <v/>
      </c>
      <c r="X732" s="14">
        <f t="shared" si="523"/>
        <v>0</v>
      </c>
      <c r="Y732" s="58" t="str">
        <f t="shared" si="524"/>
        <v/>
      </c>
      <c r="Z732" s="31">
        <f t="shared" si="525"/>
        <v>0</v>
      </c>
      <c r="AA732" s="21">
        <f t="shared" si="526"/>
        <v>0</v>
      </c>
      <c r="AB732" s="58" t="str">
        <f t="shared" si="527"/>
        <v/>
      </c>
      <c r="AC732" s="630">
        <f t="shared" si="548"/>
        <v>0</v>
      </c>
      <c r="AD732" s="627"/>
      <c r="AE732" s="21">
        <f t="shared" si="528"/>
        <v>0</v>
      </c>
      <c r="AF732" s="58" t="str">
        <f t="shared" si="529"/>
        <v/>
      </c>
      <c r="AG732" s="21">
        <f t="shared" si="530"/>
        <v>0</v>
      </c>
      <c r="AH732" s="58" t="str">
        <f t="shared" si="531"/>
        <v/>
      </c>
      <c r="AI732" s="21">
        <f t="shared" si="532"/>
        <v>0</v>
      </c>
      <c r="AJ732" s="58" t="str">
        <f t="shared" si="533"/>
        <v/>
      </c>
      <c r="AK732" s="31">
        <f t="shared" si="534"/>
        <v>0</v>
      </c>
      <c r="AL732" s="21">
        <f t="shared" si="535"/>
        <v>0</v>
      </c>
      <c r="AM732" s="62" t="str">
        <f t="shared" si="536"/>
        <v/>
      </c>
      <c r="AN732" s="21">
        <f t="shared" si="537"/>
        <v>0</v>
      </c>
      <c r="AO732" s="62" t="str">
        <f t="shared" si="538"/>
        <v/>
      </c>
      <c r="AP732" s="21">
        <f t="shared" si="539"/>
        <v>0</v>
      </c>
      <c r="AQ732" s="62" t="str">
        <f t="shared" si="540"/>
        <v/>
      </c>
      <c r="AR732" s="31">
        <f t="shared" si="541"/>
        <v>0</v>
      </c>
      <c r="AS732" s="21">
        <f t="shared" si="542"/>
        <v>0</v>
      </c>
      <c r="AT732" s="62" t="str">
        <f t="shared" si="543"/>
        <v/>
      </c>
      <c r="AU732" s="84">
        <f t="shared" si="544"/>
        <v>0</v>
      </c>
      <c r="AV732" s="32">
        <f t="shared" si="545"/>
        <v>0</v>
      </c>
      <c r="AW732" s="85" t="str">
        <f t="shared" si="546"/>
        <v/>
      </c>
      <c r="AX732" s="86" t="str">
        <f t="shared" si="547"/>
        <v/>
      </c>
    </row>
    <row r="733" spans="1:50" x14ac:dyDescent="0.2">
      <c r="A733" s="29" t="str">
        <f t="shared" si="505"/>
        <v/>
      </c>
      <c r="B733" s="32" t="str">
        <f t="shared" si="506"/>
        <v/>
      </c>
      <c r="C733" s="35"/>
      <c r="D733" s="33" t="str">
        <f t="shared" si="507"/>
        <v/>
      </c>
      <c r="E733" s="22" t="str">
        <f t="shared" si="508"/>
        <v/>
      </c>
      <c r="F733" s="23" t="str">
        <f t="shared" si="509"/>
        <v/>
      </c>
      <c r="G733" s="23"/>
      <c r="H733" s="22"/>
      <c r="I733" s="23"/>
      <c r="J733" s="18"/>
      <c r="K733" s="13" t="str">
        <f t="shared" si="510"/>
        <v/>
      </c>
      <c r="L733" s="28" t="str">
        <f t="shared" si="511"/>
        <v/>
      </c>
      <c r="M733" s="10" t="str">
        <f t="shared" si="512"/>
        <v/>
      </c>
      <c r="N733" s="17" t="str">
        <f t="shared" si="513"/>
        <v/>
      </c>
      <c r="O733" s="39" t="str">
        <f t="shared" si="514"/>
        <v/>
      </c>
      <c r="P733" s="41" t="str">
        <f t="shared" si="515"/>
        <v/>
      </c>
      <c r="Q733" s="9" t="str">
        <f t="shared" si="516"/>
        <v/>
      </c>
      <c r="R733" s="14">
        <f t="shared" si="517"/>
        <v>0</v>
      </c>
      <c r="S733" s="61" t="str">
        <f t="shared" si="518"/>
        <v/>
      </c>
      <c r="T733" s="14">
        <f t="shared" si="519"/>
        <v>0</v>
      </c>
      <c r="U733" s="58" t="str">
        <f t="shared" si="520"/>
        <v/>
      </c>
      <c r="V733" s="14">
        <f t="shared" si="521"/>
        <v>0</v>
      </c>
      <c r="W733" s="58" t="str">
        <f t="shared" si="522"/>
        <v/>
      </c>
      <c r="X733" s="14">
        <f t="shared" si="523"/>
        <v>0</v>
      </c>
      <c r="Y733" s="58" t="str">
        <f t="shared" si="524"/>
        <v/>
      </c>
      <c r="Z733" s="31">
        <f t="shared" si="525"/>
        <v>0</v>
      </c>
      <c r="AA733" s="21">
        <f t="shared" si="526"/>
        <v>0</v>
      </c>
      <c r="AB733" s="58" t="str">
        <f t="shared" si="527"/>
        <v/>
      </c>
      <c r="AC733" s="630">
        <f t="shared" si="548"/>
        <v>0</v>
      </c>
      <c r="AD733" s="627"/>
      <c r="AE733" s="21">
        <f t="shared" si="528"/>
        <v>0</v>
      </c>
      <c r="AF733" s="58" t="str">
        <f t="shared" si="529"/>
        <v/>
      </c>
      <c r="AG733" s="21">
        <f t="shared" si="530"/>
        <v>0</v>
      </c>
      <c r="AH733" s="58" t="str">
        <f t="shared" si="531"/>
        <v/>
      </c>
      <c r="AI733" s="21">
        <f t="shared" si="532"/>
        <v>0</v>
      </c>
      <c r="AJ733" s="58" t="str">
        <f t="shared" si="533"/>
        <v/>
      </c>
      <c r="AK733" s="31">
        <f t="shared" si="534"/>
        <v>0</v>
      </c>
      <c r="AL733" s="21">
        <f t="shared" si="535"/>
        <v>0</v>
      </c>
      <c r="AM733" s="62" t="str">
        <f t="shared" si="536"/>
        <v/>
      </c>
      <c r="AN733" s="21">
        <f t="shared" si="537"/>
        <v>0</v>
      </c>
      <c r="AO733" s="62" t="str">
        <f t="shared" si="538"/>
        <v/>
      </c>
      <c r="AP733" s="21">
        <f t="shared" si="539"/>
        <v>0</v>
      </c>
      <c r="AQ733" s="62" t="str">
        <f t="shared" si="540"/>
        <v/>
      </c>
      <c r="AR733" s="31">
        <f t="shared" si="541"/>
        <v>0</v>
      </c>
      <c r="AS733" s="21">
        <f t="shared" si="542"/>
        <v>0</v>
      </c>
      <c r="AT733" s="62" t="str">
        <f t="shared" si="543"/>
        <v/>
      </c>
      <c r="AU733" s="84">
        <f t="shared" si="544"/>
        <v>0</v>
      </c>
      <c r="AV733" s="32">
        <f t="shared" si="545"/>
        <v>0</v>
      </c>
      <c r="AW733" s="85" t="str">
        <f t="shared" si="546"/>
        <v/>
      </c>
      <c r="AX733" s="86" t="str">
        <f t="shared" si="547"/>
        <v/>
      </c>
    </row>
    <row r="734" spans="1:50" x14ac:dyDescent="0.2">
      <c r="A734" s="29" t="str">
        <f t="shared" si="505"/>
        <v/>
      </c>
      <c r="B734" s="32" t="str">
        <f t="shared" si="506"/>
        <v/>
      </c>
      <c r="C734" s="35"/>
      <c r="D734" s="33" t="str">
        <f t="shared" si="507"/>
        <v/>
      </c>
      <c r="E734" s="22" t="str">
        <f t="shared" si="508"/>
        <v/>
      </c>
      <c r="F734" s="23" t="str">
        <f t="shared" si="509"/>
        <v/>
      </c>
      <c r="G734" s="23"/>
      <c r="H734" s="22"/>
      <c r="I734" s="23"/>
      <c r="J734" s="18"/>
      <c r="K734" s="13" t="str">
        <f t="shared" si="510"/>
        <v/>
      </c>
      <c r="L734" s="28" t="str">
        <f t="shared" si="511"/>
        <v/>
      </c>
      <c r="M734" s="10" t="str">
        <f t="shared" si="512"/>
        <v/>
      </c>
      <c r="N734" s="17" t="str">
        <f t="shared" si="513"/>
        <v/>
      </c>
      <c r="O734" s="39" t="str">
        <f t="shared" si="514"/>
        <v/>
      </c>
      <c r="P734" s="41" t="str">
        <f t="shared" si="515"/>
        <v/>
      </c>
      <c r="Q734" s="9" t="str">
        <f t="shared" si="516"/>
        <v/>
      </c>
      <c r="R734" s="14">
        <f t="shared" si="517"/>
        <v>0</v>
      </c>
      <c r="S734" s="61" t="str">
        <f t="shared" si="518"/>
        <v/>
      </c>
      <c r="T734" s="14">
        <f t="shared" si="519"/>
        <v>0</v>
      </c>
      <c r="U734" s="58" t="str">
        <f t="shared" si="520"/>
        <v/>
      </c>
      <c r="V734" s="14">
        <f t="shared" si="521"/>
        <v>0</v>
      </c>
      <c r="W734" s="58" t="str">
        <f t="shared" si="522"/>
        <v/>
      </c>
      <c r="X734" s="14">
        <f t="shared" si="523"/>
        <v>0</v>
      </c>
      <c r="Y734" s="58" t="str">
        <f t="shared" si="524"/>
        <v/>
      </c>
      <c r="Z734" s="31">
        <f t="shared" si="525"/>
        <v>0</v>
      </c>
      <c r="AA734" s="21">
        <f t="shared" si="526"/>
        <v>0</v>
      </c>
      <c r="AB734" s="58" t="str">
        <f t="shared" si="527"/>
        <v/>
      </c>
      <c r="AC734" s="630">
        <f t="shared" si="548"/>
        <v>0</v>
      </c>
      <c r="AD734" s="627"/>
      <c r="AE734" s="21">
        <f t="shared" si="528"/>
        <v>0</v>
      </c>
      <c r="AF734" s="58" t="str">
        <f t="shared" si="529"/>
        <v/>
      </c>
      <c r="AG734" s="21">
        <f t="shared" si="530"/>
        <v>0</v>
      </c>
      <c r="AH734" s="58" t="str">
        <f t="shared" si="531"/>
        <v/>
      </c>
      <c r="AI734" s="21">
        <f t="shared" si="532"/>
        <v>0</v>
      </c>
      <c r="AJ734" s="58" t="str">
        <f t="shared" si="533"/>
        <v/>
      </c>
      <c r="AK734" s="31">
        <f t="shared" si="534"/>
        <v>0</v>
      </c>
      <c r="AL734" s="21">
        <f t="shared" si="535"/>
        <v>0</v>
      </c>
      <c r="AM734" s="62" t="str">
        <f t="shared" si="536"/>
        <v/>
      </c>
      <c r="AN734" s="21">
        <f t="shared" si="537"/>
        <v>0</v>
      </c>
      <c r="AO734" s="62" t="str">
        <f t="shared" si="538"/>
        <v/>
      </c>
      <c r="AP734" s="21">
        <f t="shared" si="539"/>
        <v>0</v>
      </c>
      <c r="AQ734" s="62" t="str">
        <f t="shared" si="540"/>
        <v/>
      </c>
      <c r="AR734" s="31">
        <f t="shared" si="541"/>
        <v>0</v>
      </c>
      <c r="AS734" s="21">
        <f t="shared" si="542"/>
        <v>0</v>
      </c>
      <c r="AT734" s="62" t="str">
        <f t="shared" si="543"/>
        <v/>
      </c>
      <c r="AU734" s="84">
        <f t="shared" si="544"/>
        <v>0</v>
      </c>
      <c r="AV734" s="32">
        <f t="shared" si="545"/>
        <v>0</v>
      </c>
      <c r="AW734" s="85" t="str">
        <f t="shared" si="546"/>
        <v/>
      </c>
      <c r="AX734" s="86" t="str">
        <f t="shared" si="547"/>
        <v/>
      </c>
    </row>
    <row r="735" spans="1:50" x14ac:dyDescent="0.2">
      <c r="A735" s="29" t="str">
        <f t="shared" si="505"/>
        <v/>
      </c>
      <c r="B735" s="32" t="str">
        <f t="shared" si="506"/>
        <v/>
      </c>
      <c r="C735" s="35"/>
      <c r="D735" s="33" t="str">
        <f t="shared" si="507"/>
        <v/>
      </c>
      <c r="E735" s="22" t="str">
        <f t="shared" si="508"/>
        <v/>
      </c>
      <c r="F735" s="23" t="str">
        <f t="shared" si="509"/>
        <v/>
      </c>
      <c r="G735" s="23"/>
      <c r="H735" s="22"/>
      <c r="I735" s="23"/>
      <c r="J735" s="18"/>
      <c r="K735" s="13" t="str">
        <f t="shared" si="510"/>
        <v/>
      </c>
      <c r="L735" s="28" t="str">
        <f t="shared" si="511"/>
        <v/>
      </c>
      <c r="M735" s="10" t="str">
        <f t="shared" si="512"/>
        <v/>
      </c>
      <c r="N735" s="17" t="str">
        <f t="shared" si="513"/>
        <v/>
      </c>
      <c r="O735" s="39" t="str">
        <f t="shared" si="514"/>
        <v/>
      </c>
      <c r="P735" s="41" t="str">
        <f t="shared" si="515"/>
        <v/>
      </c>
      <c r="Q735" s="9" t="str">
        <f t="shared" si="516"/>
        <v/>
      </c>
      <c r="R735" s="14">
        <f t="shared" si="517"/>
        <v>0</v>
      </c>
      <c r="S735" s="61" t="str">
        <f t="shared" si="518"/>
        <v/>
      </c>
      <c r="T735" s="14">
        <f t="shared" si="519"/>
        <v>0</v>
      </c>
      <c r="U735" s="58" t="str">
        <f t="shared" si="520"/>
        <v/>
      </c>
      <c r="V735" s="14">
        <f t="shared" si="521"/>
        <v>0</v>
      </c>
      <c r="W735" s="58" t="str">
        <f t="shared" si="522"/>
        <v/>
      </c>
      <c r="X735" s="14">
        <f t="shared" si="523"/>
        <v>0</v>
      </c>
      <c r="Y735" s="58" t="str">
        <f t="shared" si="524"/>
        <v/>
      </c>
      <c r="Z735" s="31">
        <f t="shared" si="525"/>
        <v>0</v>
      </c>
      <c r="AA735" s="21">
        <f t="shared" si="526"/>
        <v>0</v>
      </c>
      <c r="AB735" s="58" t="str">
        <f t="shared" si="527"/>
        <v/>
      </c>
      <c r="AC735" s="630">
        <f t="shared" si="548"/>
        <v>0</v>
      </c>
      <c r="AD735" s="627"/>
      <c r="AE735" s="21">
        <f t="shared" si="528"/>
        <v>0</v>
      </c>
      <c r="AF735" s="58" t="str">
        <f t="shared" si="529"/>
        <v/>
      </c>
      <c r="AG735" s="21">
        <f t="shared" si="530"/>
        <v>0</v>
      </c>
      <c r="AH735" s="58" t="str">
        <f t="shared" si="531"/>
        <v/>
      </c>
      <c r="AI735" s="21">
        <f t="shared" si="532"/>
        <v>0</v>
      </c>
      <c r="AJ735" s="58" t="str">
        <f t="shared" si="533"/>
        <v/>
      </c>
      <c r="AK735" s="31">
        <f t="shared" si="534"/>
        <v>0</v>
      </c>
      <c r="AL735" s="21">
        <f t="shared" si="535"/>
        <v>0</v>
      </c>
      <c r="AM735" s="62" t="str">
        <f t="shared" si="536"/>
        <v/>
      </c>
      <c r="AN735" s="21">
        <f t="shared" si="537"/>
        <v>0</v>
      </c>
      <c r="AO735" s="62" t="str">
        <f t="shared" si="538"/>
        <v/>
      </c>
      <c r="AP735" s="21">
        <f t="shared" si="539"/>
        <v>0</v>
      </c>
      <c r="AQ735" s="62" t="str">
        <f t="shared" si="540"/>
        <v/>
      </c>
      <c r="AR735" s="31">
        <f t="shared" si="541"/>
        <v>0</v>
      </c>
      <c r="AS735" s="21">
        <f t="shared" si="542"/>
        <v>0</v>
      </c>
      <c r="AT735" s="62" t="str">
        <f t="shared" si="543"/>
        <v/>
      </c>
      <c r="AU735" s="84">
        <f t="shared" si="544"/>
        <v>0</v>
      </c>
      <c r="AV735" s="32">
        <f t="shared" si="545"/>
        <v>0</v>
      </c>
      <c r="AW735" s="85" t="str">
        <f t="shared" si="546"/>
        <v/>
      </c>
      <c r="AX735" s="86" t="str">
        <f t="shared" si="547"/>
        <v/>
      </c>
    </row>
    <row r="736" spans="1:50" x14ac:dyDescent="0.2">
      <c r="A736" s="29" t="str">
        <f t="shared" si="505"/>
        <v/>
      </c>
      <c r="B736" s="32" t="str">
        <f t="shared" si="506"/>
        <v/>
      </c>
      <c r="C736" s="35"/>
      <c r="D736" s="33" t="str">
        <f t="shared" si="507"/>
        <v/>
      </c>
      <c r="E736" s="22" t="str">
        <f t="shared" si="508"/>
        <v/>
      </c>
      <c r="F736" s="23" t="str">
        <f t="shared" si="509"/>
        <v/>
      </c>
      <c r="G736" s="23"/>
      <c r="H736" s="22"/>
      <c r="I736" s="23"/>
      <c r="J736" s="18"/>
      <c r="K736" s="13" t="str">
        <f t="shared" si="510"/>
        <v/>
      </c>
      <c r="L736" s="28" t="str">
        <f t="shared" si="511"/>
        <v/>
      </c>
      <c r="M736" s="10" t="str">
        <f t="shared" si="512"/>
        <v/>
      </c>
      <c r="N736" s="17" t="str">
        <f t="shared" si="513"/>
        <v/>
      </c>
      <c r="O736" s="39" t="str">
        <f t="shared" si="514"/>
        <v/>
      </c>
      <c r="P736" s="41" t="str">
        <f t="shared" si="515"/>
        <v/>
      </c>
      <c r="Q736" s="9" t="str">
        <f t="shared" si="516"/>
        <v/>
      </c>
      <c r="R736" s="14">
        <f t="shared" si="517"/>
        <v>0</v>
      </c>
      <c r="S736" s="61" t="str">
        <f t="shared" si="518"/>
        <v/>
      </c>
      <c r="T736" s="14">
        <f t="shared" si="519"/>
        <v>0</v>
      </c>
      <c r="U736" s="58" t="str">
        <f t="shared" si="520"/>
        <v/>
      </c>
      <c r="V736" s="14">
        <f t="shared" si="521"/>
        <v>0</v>
      </c>
      <c r="W736" s="58" t="str">
        <f t="shared" si="522"/>
        <v/>
      </c>
      <c r="X736" s="14">
        <f t="shared" si="523"/>
        <v>0</v>
      </c>
      <c r="Y736" s="58" t="str">
        <f t="shared" si="524"/>
        <v/>
      </c>
      <c r="Z736" s="31">
        <f t="shared" si="525"/>
        <v>0</v>
      </c>
      <c r="AA736" s="21">
        <f t="shared" si="526"/>
        <v>0</v>
      </c>
      <c r="AB736" s="58" t="str">
        <f t="shared" si="527"/>
        <v/>
      </c>
      <c r="AC736" s="630">
        <f t="shared" si="548"/>
        <v>0</v>
      </c>
      <c r="AD736" s="627"/>
      <c r="AE736" s="21">
        <f t="shared" si="528"/>
        <v>0</v>
      </c>
      <c r="AF736" s="58" t="str">
        <f t="shared" si="529"/>
        <v/>
      </c>
      <c r="AG736" s="21">
        <f t="shared" si="530"/>
        <v>0</v>
      </c>
      <c r="AH736" s="58" t="str">
        <f t="shared" si="531"/>
        <v/>
      </c>
      <c r="AI736" s="21">
        <f t="shared" si="532"/>
        <v>0</v>
      </c>
      <c r="AJ736" s="58" t="str">
        <f t="shared" si="533"/>
        <v/>
      </c>
      <c r="AK736" s="31">
        <f t="shared" si="534"/>
        <v>0</v>
      </c>
      <c r="AL736" s="21">
        <f t="shared" si="535"/>
        <v>0</v>
      </c>
      <c r="AM736" s="62" t="str">
        <f t="shared" si="536"/>
        <v/>
      </c>
      <c r="AN736" s="21">
        <f t="shared" si="537"/>
        <v>0</v>
      </c>
      <c r="AO736" s="62" t="str">
        <f t="shared" si="538"/>
        <v/>
      </c>
      <c r="AP736" s="21">
        <f t="shared" si="539"/>
        <v>0</v>
      </c>
      <c r="AQ736" s="62" t="str">
        <f t="shared" si="540"/>
        <v/>
      </c>
      <c r="AR736" s="31">
        <f t="shared" si="541"/>
        <v>0</v>
      </c>
      <c r="AS736" s="21">
        <f t="shared" si="542"/>
        <v>0</v>
      </c>
      <c r="AT736" s="62" t="str">
        <f t="shared" si="543"/>
        <v/>
      </c>
      <c r="AU736" s="84">
        <f t="shared" si="544"/>
        <v>0</v>
      </c>
      <c r="AV736" s="32">
        <f t="shared" si="545"/>
        <v>0</v>
      </c>
      <c r="AW736" s="85" t="str">
        <f t="shared" si="546"/>
        <v/>
      </c>
      <c r="AX736" s="86" t="str">
        <f t="shared" si="547"/>
        <v/>
      </c>
    </row>
    <row r="737" spans="1:50" x14ac:dyDescent="0.2">
      <c r="A737" s="29" t="str">
        <f t="shared" si="505"/>
        <v/>
      </c>
      <c r="B737" s="32" t="str">
        <f t="shared" si="506"/>
        <v/>
      </c>
      <c r="C737" s="35"/>
      <c r="D737" s="33" t="str">
        <f t="shared" si="507"/>
        <v/>
      </c>
      <c r="E737" s="22" t="str">
        <f t="shared" si="508"/>
        <v/>
      </c>
      <c r="F737" s="23" t="str">
        <f t="shared" si="509"/>
        <v/>
      </c>
      <c r="G737" s="23"/>
      <c r="H737" s="22"/>
      <c r="I737" s="23"/>
      <c r="J737" s="18"/>
      <c r="K737" s="13" t="str">
        <f t="shared" si="510"/>
        <v/>
      </c>
      <c r="L737" s="28" t="str">
        <f t="shared" si="511"/>
        <v/>
      </c>
      <c r="M737" s="10" t="str">
        <f t="shared" si="512"/>
        <v/>
      </c>
      <c r="N737" s="17" t="str">
        <f t="shared" si="513"/>
        <v/>
      </c>
      <c r="O737" s="39" t="str">
        <f t="shared" si="514"/>
        <v/>
      </c>
      <c r="P737" s="41" t="str">
        <f t="shared" si="515"/>
        <v/>
      </c>
      <c r="Q737" s="9" t="str">
        <f t="shared" si="516"/>
        <v/>
      </c>
      <c r="R737" s="14">
        <f t="shared" si="517"/>
        <v>0</v>
      </c>
      <c r="S737" s="61" t="str">
        <f t="shared" si="518"/>
        <v/>
      </c>
      <c r="T737" s="14">
        <f t="shared" si="519"/>
        <v>0</v>
      </c>
      <c r="U737" s="58" t="str">
        <f t="shared" si="520"/>
        <v/>
      </c>
      <c r="V737" s="14">
        <f t="shared" si="521"/>
        <v>0</v>
      </c>
      <c r="W737" s="58" t="str">
        <f t="shared" si="522"/>
        <v/>
      </c>
      <c r="X737" s="14">
        <f t="shared" si="523"/>
        <v>0</v>
      </c>
      <c r="Y737" s="58" t="str">
        <f t="shared" si="524"/>
        <v/>
      </c>
      <c r="Z737" s="31">
        <f t="shared" si="525"/>
        <v>0</v>
      </c>
      <c r="AA737" s="21">
        <f t="shared" si="526"/>
        <v>0</v>
      </c>
      <c r="AB737" s="58" t="str">
        <f t="shared" si="527"/>
        <v/>
      </c>
      <c r="AC737" s="630">
        <f t="shared" si="548"/>
        <v>0</v>
      </c>
      <c r="AD737" s="627"/>
      <c r="AE737" s="21">
        <f t="shared" si="528"/>
        <v>0</v>
      </c>
      <c r="AF737" s="58" t="str">
        <f t="shared" si="529"/>
        <v/>
      </c>
      <c r="AG737" s="21">
        <f t="shared" si="530"/>
        <v>0</v>
      </c>
      <c r="AH737" s="58" t="str">
        <f t="shared" si="531"/>
        <v/>
      </c>
      <c r="AI737" s="21">
        <f t="shared" si="532"/>
        <v>0</v>
      </c>
      <c r="AJ737" s="58" t="str">
        <f t="shared" si="533"/>
        <v/>
      </c>
      <c r="AK737" s="31">
        <f t="shared" si="534"/>
        <v>0</v>
      </c>
      <c r="AL737" s="21">
        <f t="shared" si="535"/>
        <v>0</v>
      </c>
      <c r="AM737" s="62" t="str">
        <f t="shared" si="536"/>
        <v/>
      </c>
      <c r="AN737" s="21">
        <f t="shared" si="537"/>
        <v>0</v>
      </c>
      <c r="AO737" s="62" t="str">
        <f t="shared" si="538"/>
        <v/>
      </c>
      <c r="AP737" s="21">
        <f t="shared" si="539"/>
        <v>0</v>
      </c>
      <c r="AQ737" s="62" t="str">
        <f t="shared" si="540"/>
        <v/>
      </c>
      <c r="AR737" s="31">
        <f t="shared" si="541"/>
        <v>0</v>
      </c>
      <c r="AS737" s="21">
        <f t="shared" si="542"/>
        <v>0</v>
      </c>
      <c r="AT737" s="62" t="str">
        <f t="shared" si="543"/>
        <v/>
      </c>
      <c r="AU737" s="84">
        <f t="shared" si="544"/>
        <v>0</v>
      </c>
      <c r="AV737" s="32">
        <f t="shared" si="545"/>
        <v>0</v>
      </c>
      <c r="AW737" s="85" t="str">
        <f t="shared" si="546"/>
        <v/>
      </c>
      <c r="AX737" s="86" t="str">
        <f t="shared" si="547"/>
        <v/>
      </c>
    </row>
    <row r="738" spans="1:50" x14ac:dyDescent="0.2">
      <c r="A738" s="29" t="str">
        <f t="shared" ref="A738:A801" si="549">IF(A737="","",IF(C738="","",A737))</f>
        <v/>
      </c>
      <c r="B738" s="32" t="str">
        <f t="shared" ref="B738:B801" si="550">IF(B737="","",IF(C738="","",B737))</f>
        <v/>
      </c>
      <c r="C738" s="35"/>
      <c r="D738" s="33" t="str">
        <f t="shared" ref="D738:D801" si="551">IF(A738="","",IF(D737="","",D737))</f>
        <v/>
      </c>
      <c r="E738" s="22" t="str">
        <f t="shared" ref="E738:E801" si="552">IF(A738="","",IF(E737="","",E737))</f>
        <v/>
      </c>
      <c r="F738" s="23" t="str">
        <f t="shared" ref="F738:F801" si="553">IF(A738="","",IF(F737="","",F737))</f>
        <v/>
      </c>
      <c r="G738" s="23"/>
      <c r="H738" s="22"/>
      <c r="I738" s="23"/>
      <c r="J738" s="18"/>
      <c r="K738" s="13" t="str">
        <f t="shared" ref="K738:K801" si="554">IF($N$4="M",IF(A738="","",IF(D738=6,16,IF(A738&lt;=$M$5,26,IF(A738&lt;=$M$6,24,IF(A738&lt;=$M$7,22,IF(A738&lt;=$M$8,20,18)))))),IF(A738="","",IF(D738=6,16,IF(A738&lt;=$P$5,26,IF(A738&lt;=$P$6,24,IF(A738&lt;=$P$7,22,IF(A738&lt;=$P$8,20,18)))))))</f>
        <v/>
      </c>
      <c r="L738" s="28" t="str">
        <f t="shared" ref="L738:L801" si="555">IF($N$4="M",IF(A738="","",IF(K738=26,(A738+B738+Q738)*C738*0.02739,IF(K738=24,(A738+B738+Q738)*C738*0.02739,IF(K738=22,(A738+B738+Q738)*C738*0.0333,IF(K738=20,(A738+B738+Q738)*C738*0.0393,IF(K738=18,(A738+B738+Q738)*C738*0.0511,IF(K738=16,(A738+B738+Q738)*C738*0.0628))))))),IF(A738="","",IF(K738=26,(A738+B738+Q738)*C738*0.211,IF(K738=24,(A738+B738+Q738)*C738*0.211,IF(K738=22,(A738+B738+Q738)*C738*0.258,IF(K738=20,(A738+B738+Q738)*C738*0.304,IF(K738=18,(A738+B738+Q738)*C738*0.395,IF(K738=16,(A738+B738+Q738)*C738*0.487))))))))</f>
        <v/>
      </c>
      <c r="M738" s="10" t="str">
        <f t="shared" ref="M738:M801" si="556">IF(D738=1,0.5,IF(D738=2,"1 F",IF(D738=21,"1 R",IF(D738=3,2,""))))</f>
        <v/>
      </c>
      <c r="N738" s="17" t="str">
        <f t="shared" ref="N738:N801" si="557">IF(M738="","",IF($N$4="M",(A738+B738+Q738)*C738*0.022,(A738+B738+Q738)*C738*0.17))</f>
        <v/>
      </c>
      <c r="O738" s="39" t="str">
        <f t="shared" ref="O738:O801" si="558">IF(D738=4,1,IF(D738=5,2,""))</f>
        <v/>
      </c>
      <c r="P738" s="41" t="str">
        <f t="shared" ref="P738:P801" si="559">IF(O738="","",IF($N$4="M",IF(O738=1,(A738+B738+Q738)*C738*0.022*1.1,(A738+B738+Q738)*C738*0.022*1.15),IF(O738=1,(A738+B738+Q738)*C738*0.17*1.1,(A738+B738+Q738)*C738*0.17*1.15)))</f>
        <v/>
      </c>
      <c r="Q738" s="9" t="str">
        <f t="shared" ref="Q738:Q801" si="560">IF($N$4="M",IF(A738="","",IF(D738=1,50,IF(D738=2,100,IF(D738=21,100,IF(D738=3,200,0))))),IF(A738="","",IF(D738=1,2,IF(D738=2,4,IF(D738=21,4,IF(D738=3,8,0))))))</f>
        <v/>
      </c>
      <c r="R738" s="14">
        <f t="shared" ref="R738:R801" si="561">COUNTIF(G738:J738,7)</f>
        <v>0</v>
      </c>
      <c r="S738" s="61" t="str">
        <f t="shared" ref="S738:S801" si="562">IF(A738="","",IF($N$4="M",A738*B738*0.000011111*R738*1.5,A738*B738/144*R738*1.5))</f>
        <v/>
      </c>
      <c r="T738" s="14">
        <f t="shared" ref="T738:T801" si="563">COUNTIF(G738:J738,71)</f>
        <v>0</v>
      </c>
      <c r="U738" s="58" t="str">
        <f t="shared" ref="U738:U801" si="564">IF(A738="","",IF($N$4="M",A738*B738*0.000011111*T738*1.5,A738*B738/144*T738*1.5))</f>
        <v/>
      </c>
      <c r="V738" s="14">
        <f t="shared" ref="V738:V801" si="565">COUNTIF(G738:J738,8)</f>
        <v>0</v>
      </c>
      <c r="W738" s="58" t="str">
        <f t="shared" ref="W738:W801" si="566">IF(A738="","",IF($N$4="M",(A738+B738)*2*0.0032808*V738,(A738+B738)*2*V738/12))</f>
        <v/>
      </c>
      <c r="X738" s="14">
        <f t="shared" ref="X738:X801" si="567">COUNTIF(G738:J738,81)</f>
        <v>0</v>
      </c>
      <c r="Y738" s="58" t="str">
        <f t="shared" ref="Y738:Y801" si="568">IF(A738="","",IF($N$4="M",(A738+B738)*2*0.0032808*X738,(A738+B738)*2*X738/12))</f>
        <v/>
      </c>
      <c r="Z738" s="31">
        <f t="shared" ref="Z738:Z801" si="569">COUNTIF(G738:J738,9)</f>
        <v>0</v>
      </c>
      <c r="AA738" s="21">
        <f t="shared" ref="AA738:AA801" si="570">COUNTIF(G738:J738,10)</f>
        <v>0</v>
      </c>
      <c r="AB738" s="58" t="str">
        <f t="shared" ref="AB738:AB801" si="571">IF(A738="","",IF($N$4="M",(A738+B738)*2*0.0032808*AA738,(A738+B738)*2*AA738/12))</f>
        <v/>
      </c>
      <c r="AC738" s="630">
        <f t="shared" si="548"/>
        <v>0</v>
      </c>
      <c r="AD738" s="627"/>
      <c r="AE738" s="21">
        <f t="shared" ref="AE738:AE801" si="572">COUNTIF(G738:J738,11)</f>
        <v>0</v>
      </c>
      <c r="AF738" s="58" t="str">
        <f t="shared" ref="AF738:AF801" si="573">IF(A738="","",IF($N$4="M",A738*B738*0.000011111*AE738,A738*B738/144*AE738))</f>
        <v/>
      </c>
      <c r="AG738" s="21">
        <f t="shared" ref="AG738:AG801" si="574">COUNTIF(G738:J738,111)</f>
        <v>0</v>
      </c>
      <c r="AH738" s="58" t="str">
        <f t="shared" ref="AH738:AH801" si="575">IF(A738="","",IF($N$4="M",A738*B738*0.000011111*AG738,A738*B738/144*AG738))</f>
        <v/>
      </c>
      <c r="AI738" s="21">
        <f t="shared" ref="AI738:AI801" si="576">COUNTIF(G738:J738,12)</f>
        <v>0</v>
      </c>
      <c r="AJ738" s="58" t="str">
        <f t="shared" ref="AJ738:AJ801" si="577">IF(A738="","",IF($N$4="M",A738*B738*0.000011111*AI738,A738*B738/144*AI738))</f>
        <v/>
      </c>
      <c r="AK738" s="31">
        <f t="shared" ref="AK738:AK801" si="578">COUNTIF(G738:J738,13)</f>
        <v>0</v>
      </c>
      <c r="AL738" s="21">
        <f t="shared" ref="AL738:AL801" si="579">COUNTIF(G738:J738,131)</f>
        <v>0</v>
      </c>
      <c r="AM738" s="62" t="str">
        <f t="shared" ref="AM738:AM801" si="580">IF(A738="","",IF($N$4="M",A738*B738*0.000011111*AL738,A738*B738/144*AL738))</f>
        <v/>
      </c>
      <c r="AN738" s="21">
        <f t="shared" ref="AN738:AN801" si="581">COUNTIF(G738:J738,14)</f>
        <v>0</v>
      </c>
      <c r="AO738" s="62" t="str">
        <f t="shared" ref="AO738:AO801" si="582">IF(A738="","",IF($N$4="M",A738*B738*0.000011111*AN738,A738*B738/144*AN738))</f>
        <v/>
      </c>
      <c r="AP738" s="21">
        <f t="shared" ref="AP738:AP801" si="583">COUNTIF(G738:J738,141)</f>
        <v>0</v>
      </c>
      <c r="AQ738" s="62" t="str">
        <f t="shared" ref="AQ738:AQ801" si="584">IF(A738="","",IF($N$4="M",A738*B738*0.000011111*AP738,A738*B738/144*AP738))</f>
        <v/>
      </c>
      <c r="AR738" s="31">
        <f t="shared" ref="AR738:AR801" si="585">COUNTIF(G738:J738,15)</f>
        <v>0</v>
      </c>
      <c r="AS738" s="21">
        <f t="shared" ref="AS738:AS801" si="586">COUNTIF(G738:J738,16)</f>
        <v>0</v>
      </c>
      <c r="AT738" s="62" t="str">
        <f t="shared" ref="AT738:AT801" si="587">IF(A738="","",IF($N$4="M",A738*B738*0.000011111*AS738,A738*B738/144*AS738))</f>
        <v/>
      </c>
      <c r="AU738" s="84">
        <f t="shared" ref="AU738:AU801" si="588">IF(D738=61,C738,0)</f>
        <v>0</v>
      </c>
      <c r="AV738" s="32">
        <f t="shared" ref="AV738:AV801" si="589">IF(D738=61,L738,0)</f>
        <v>0</v>
      </c>
      <c r="AW738" s="85" t="str">
        <f t="shared" ref="AW738:AW801" si="590">IF(A738="","",(C738-AU738))</f>
        <v/>
      </c>
      <c r="AX738" s="86" t="str">
        <f t="shared" ref="AX738:AX801" si="591">IF(A738="","",(L738-AV738))</f>
        <v/>
      </c>
    </row>
    <row r="739" spans="1:50" x14ac:dyDescent="0.2">
      <c r="A739" s="29" t="str">
        <f t="shared" si="549"/>
        <v/>
      </c>
      <c r="B739" s="32" t="str">
        <f t="shared" si="550"/>
        <v/>
      </c>
      <c r="C739" s="35"/>
      <c r="D739" s="33" t="str">
        <f t="shared" si="551"/>
        <v/>
      </c>
      <c r="E739" s="22" t="str">
        <f t="shared" si="552"/>
        <v/>
      </c>
      <c r="F739" s="23" t="str">
        <f t="shared" si="553"/>
        <v/>
      </c>
      <c r="G739" s="23"/>
      <c r="H739" s="22"/>
      <c r="I739" s="23"/>
      <c r="J739" s="18"/>
      <c r="K739" s="13" t="str">
        <f t="shared" si="554"/>
        <v/>
      </c>
      <c r="L739" s="28" t="str">
        <f t="shared" si="555"/>
        <v/>
      </c>
      <c r="M739" s="10" t="str">
        <f t="shared" si="556"/>
        <v/>
      </c>
      <c r="N739" s="17" t="str">
        <f t="shared" si="557"/>
        <v/>
      </c>
      <c r="O739" s="39" t="str">
        <f t="shared" si="558"/>
        <v/>
      </c>
      <c r="P739" s="41" t="str">
        <f t="shared" si="559"/>
        <v/>
      </c>
      <c r="Q739" s="9" t="str">
        <f t="shared" si="560"/>
        <v/>
      </c>
      <c r="R739" s="14">
        <f t="shared" si="561"/>
        <v>0</v>
      </c>
      <c r="S739" s="61" t="str">
        <f t="shared" si="562"/>
        <v/>
      </c>
      <c r="T739" s="14">
        <f t="shared" si="563"/>
        <v>0</v>
      </c>
      <c r="U739" s="58" t="str">
        <f t="shared" si="564"/>
        <v/>
      </c>
      <c r="V739" s="14">
        <f t="shared" si="565"/>
        <v>0</v>
      </c>
      <c r="W739" s="58" t="str">
        <f t="shared" si="566"/>
        <v/>
      </c>
      <c r="X739" s="14">
        <f t="shared" si="567"/>
        <v>0</v>
      </c>
      <c r="Y739" s="58" t="str">
        <f t="shared" si="568"/>
        <v/>
      </c>
      <c r="Z739" s="31">
        <f t="shared" si="569"/>
        <v>0</v>
      </c>
      <c r="AA739" s="21">
        <f t="shared" si="570"/>
        <v>0</v>
      </c>
      <c r="AB739" s="58" t="str">
        <f t="shared" si="571"/>
        <v/>
      </c>
      <c r="AC739" s="630">
        <f t="shared" si="548"/>
        <v>0</v>
      </c>
      <c r="AD739" s="627"/>
      <c r="AE739" s="21">
        <f t="shared" si="572"/>
        <v>0</v>
      </c>
      <c r="AF739" s="58" t="str">
        <f t="shared" si="573"/>
        <v/>
      </c>
      <c r="AG739" s="21">
        <f t="shared" si="574"/>
        <v>0</v>
      </c>
      <c r="AH739" s="58" t="str">
        <f t="shared" si="575"/>
        <v/>
      </c>
      <c r="AI739" s="21">
        <f t="shared" si="576"/>
        <v>0</v>
      </c>
      <c r="AJ739" s="58" t="str">
        <f t="shared" si="577"/>
        <v/>
      </c>
      <c r="AK739" s="31">
        <f t="shared" si="578"/>
        <v>0</v>
      </c>
      <c r="AL739" s="21">
        <f t="shared" si="579"/>
        <v>0</v>
      </c>
      <c r="AM739" s="62" t="str">
        <f t="shared" si="580"/>
        <v/>
      </c>
      <c r="AN739" s="21">
        <f t="shared" si="581"/>
        <v>0</v>
      </c>
      <c r="AO739" s="62" t="str">
        <f t="shared" si="582"/>
        <v/>
      </c>
      <c r="AP739" s="21">
        <f t="shared" si="583"/>
        <v>0</v>
      </c>
      <c r="AQ739" s="62" t="str">
        <f t="shared" si="584"/>
        <v/>
      </c>
      <c r="AR739" s="31">
        <f t="shared" si="585"/>
        <v>0</v>
      </c>
      <c r="AS739" s="21">
        <f t="shared" si="586"/>
        <v>0</v>
      </c>
      <c r="AT739" s="62" t="str">
        <f t="shared" si="587"/>
        <v/>
      </c>
      <c r="AU739" s="84">
        <f t="shared" si="588"/>
        <v>0</v>
      </c>
      <c r="AV739" s="32">
        <f t="shared" si="589"/>
        <v>0</v>
      </c>
      <c r="AW739" s="85" t="str">
        <f t="shared" si="590"/>
        <v/>
      </c>
      <c r="AX739" s="86" t="str">
        <f t="shared" si="591"/>
        <v/>
      </c>
    </row>
    <row r="740" spans="1:50" x14ac:dyDescent="0.2">
      <c r="A740" s="29" t="str">
        <f t="shared" si="549"/>
        <v/>
      </c>
      <c r="B740" s="32" t="str">
        <f t="shared" si="550"/>
        <v/>
      </c>
      <c r="C740" s="35"/>
      <c r="D740" s="33" t="str">
        <f t="shared" si="551"/>
        <v/>
      </c>
      <c r="E740" s="22" t="str">
        <f t="shared" si="552"/>
        <v/>
      </c>
      <c r="F740" s="23" t="str">
        <f t="shared" si="553"/>
        <v/>
      </c>
      <c r="G740" s="23"/>
      <c r="H740" s="22"/>
      <c r="I740" s="23"/>
      <c r="J740" s="18"/>
      <c r="K740" s="13" t="str">
        <f t="shared" si="554"/>
        <v/>
      </c>
      <c r="L740" s="28" t="str">
        <f t="shared" si="555"/>
        <v/>
      </c>
      <c r="M740" s="10" t="str">
        <f t="shared" si="556"/>
        <v/>
      </c>
      <c r="N740" s="17" t="str">
        <f t="shared" si="557"/>
        <v/>
      </c>
      <c r="O740" s="39" t="str">
        <f t="shared" si="558"/>
        <v/>
      </c>
      <c r="P740" s="41" t="str">
        <f t="shared" si="559"/>
        <v/>
      </c>
      <c r="Q740" s="9" t="str">
        <f t="shared" si="560"/>
        <v/>
      </c>
      <c r="R740" s="14">
        <f t="shared" si="561"/>
        <v>0</v>
      </c>
      <c r="S740" s="61" t="str">
        <f t="shared" si="562"/>
        <v/>
      </c>
      <c r="T740" s="14">
        <f t="shared" si="563"/>
        <v>0</v>
      </c>
      <c r="U740" s="58" t="str">
        <f t="shared" si="564"/>
        <v/>
      </c>
      <c r="V740" s="14">
        <f t="shared" si="565"/>
        <v>0</v>
      </c>
      <c r="W740" s="58" t="str">
        <f t="shared" si="566"/>
        <v/>
      </c>
      <c r="X740" s="14">
        <f t="shared" si="567"/>
        <v>0</v>
      </c>
      <c r="Y740" s="58" t="str">
        <f t="shared" si="568"/>
        <v/>
      </c>
      <c r="Z740" s="31">
        <f t="shared" si="569"/>
        <v>0</v>
      </c>
      <c r="AA740" s="21">
        <f t="shared" si="570"/>
        <v>0</v>
      </c>
      <c r="AB740" s="58" t="str">
        <f t="shared" si="571"/>
        <v/>
      </c>
      <c r="AC740" s="630">
        <f t="shared" si="548"/>
        <v>0</v>
      </c>
      <c r="AD740" s="627"/>
      <c r="AE740" s="21">
        <f t="shared" si="572"/>
        <v>0</v>
      </c>
      <c r="AF740" s="58" t="str">
        <f t="shared" si="573"/>
        <v/>
      </c>
      <c r="AG740" s="21">
        <f t="shared" si="574"/>
        <v>0</v>
      </c>
      <c r="AH740" s="58" t="str">
        <f t="shared" si="575"/>
        <v/>
      </c>
      <c r="AI740" s="21">
        <f t="shared" si="576"/>
        <v>0</v>
      </c>
      <c r="AJ740" s="58" t="str">
        <f t="shared" si="577"/>
        <v/>
      </c>
      <c r="AK740" s="31">
        <f t="shared" si="578"/>
        <v>0</v>
      </c>
      <c r="AL740" s="21">
        <f t="shared" si="579"/>
        <v>0</v>
      </c>
      <c r="AM740" s="62" t="str">
        <f t="shared" si="580"/>
        <v/>
      </c>
      <c r="AN740" s="21">
        <f t="shared" si="581"/>
        <v>0</v>
      </c>
      <c r="AO740" s="62" t="str">
        <f t="shared" si="582"/>
        <v/>
      </c>
      <c r="AP740" s="21">
        <f t="shared" si="583"/>
        <v>0</v>
      </c>
      <c r="AQ740" s="62" t="str">
        <f t="shared" si="584"/>
        <v/>
      </c>
      <c r="AR740" s="31">
        <f t="shared" si="585"/>
        <v>0</v>
      </c>
      <c r="AS740" s="21">
        <f t="shared" si="586"/>
        <v>0</v>
      </c>
      <c r="AT740" s="62" t="str">
        <f t="shared" si="587"/>
        <v/>
      </c>
      <c r="AU740" s="84">
        <f t="shared" si="588"/>
        <v>0</v>
      </c>
      <c r="AV740" s="32">
        <f t="shared" si="589"/>
        <v>0</v>
      </c>
      <c r="AW740" s="85" t="str">
        <f t="shared" si="590"/>
        <v/>
      </c>
      <c r="AX740" s="86" t="str">
        <f t="shared" si="591"/>
        <v/>
      </c>
    </row>
    <row r="741" spans="1:50" x14ac:dyDescent="0.2">
      <c r="A741" s="29" t="str">
        <f t="shared" si="549"/>
        <v/>
      </c>
      <c r="B741" s="32" t="str">
        <f t="shared" si="550"/>
        <v/>
      </c>
      <c r="C741" s="35"/>
      <c r="D741" s="33" t="str">
        <f t="shared" si="551"/>
        <v/>
      </c>
      <c r="E741" s="22" t="str">
        <f t="shared" si="552"/>
        <v/>
      </c>
      <c r="F741" s="23" t="str">
        <f t="shared" si="553"/>
        <v/>
      </c>
      <c r="G741" s="23"/>
      <c r="H741" s="22"/>
      <c r="I741" s="23"/>
      <c r="J741" s="18"/>
      <c r="K741" s="13" t="str">
        <f t="shared" si="554"/>
        <v/>
      </c>
      <c r="L741" s="28" t="str">
        <f t="shared" si="555"/>
        <v/>
      </c>
      <c r="M741" s="10" t="str">
        <f t="shared" si="556"/>
        <v/>
      </c>
      <c r="N741" s="17" t="str">
        <f t="shared" si="557"/>
        <v/>
      </c>
      <c r="O741" s="39" t="str">
        <f t="shared" si="558"/>
        <v/>
      </c>
      <c r="P741" s="41" t="str">
        <f t="shared" si="559"/>
        <v/>
      </c>
      <c r="Q741" s="9" t="str">
        <f t="shared" si="560"/>
        <v/>
      </c>
      <c r="R741" s="14">
        <f t="shared" si="561"/>
        <v>0</v>
      </c>
      <c r="S741" s="61" t="str">
        <f t="shared" si="562"/>
        <v/>
      </c>
      <c r="T741" s="14">
        <f t="shared" si="563"/>
        <v>0</v>
      </c>
      <c r="U741" s="58" t="str">
        <f t="shared" si="564"/>
        <v/>
      </c>
      <c r="V741" s="14">
        <f t="shared" si="565"/>
        <v>0</v>
      </c>
      <c r="W741" s="58" t="str">
        <f t="shared" si="566"/>
        <v/>
      </c>
      <c r="X741" s="14">
        <f t="shared" si="567"/>
        <v>0</v>
      </c>
      <c r="Y741" s="58" t="str">
        <f t="shared" si="568"/>
        <v/>
      </c>
      <c r="Z741" s="31">
        <f t="shared" si="569"/>
        <v>0</v>
      </c>
      <c r="AA741" s="21">
        <f t="shared" si="570"/>
        <v>0</v>
      </c>
      <c r="AB741" s="58" t="str">
        <f t="shared" si="571"/>
        <v/>
      </c>
      <c r="AC741" s="630">
        <f t="shared" si="548"/>
        <v>0</v>
      </c>
      <c r="AD741" s="627"/>
      <c r="AE741" s="21">
        <f t="shared" si="572"/>
        <v>0</v>
      </c>
      <c r="AF741" s="58" t="str">
        <f t="shared" si="573"/>
        <v/>
      </c>
      <c r="AG741" s="21">
        <f t="shared" si="574"/>
        <v>0</v>
      </c>
      <c r="AH741" s="58" t="str">
        <f t="shared" si="575"/>
        <v/>
      </c>
      <c r="AI741" s="21">
        <f t="shared" si="576"/>
        <v>0</v>
      </c>
      <c r="AJ741" s="58" t="str">
        <f t="shared" si="577"/>
        <v/>
      </c>
      <c r="AK741" s="31">
        <f t="shared" si="578"/>
        <v>0</v>
      </c>
      <c r="AL741" s="21">
        <f t="shared" si="579"/>
        <v>0</v>
      </c>
      <c r="AM741" s="62" t="str">
        <f t="shared" si="580"/>
        <v/>
      </c>
      <c r="AN741" s="21">
        <f t="shared" si="581"/>
        <v>0</v>
      </c>
      <c r="AO741" s="62" t="str">
        <f t="shared" si="582"/>
        <v/>
      </c>
      <c r="AP741" s="21">
        <f t="shared" si="583"/>
        <v>0</v>
      </c>
      <c r="AQ741" s="62" t="str">
        <f t="shared" si="584"/>
        <v/>
      </c>
      <c r="AR741" s="31">
        <f t="shared" si="585"/>
        <v>0</v>
      </c>
      <c r="AS741" s="21">
        <f t="shared" si="586"/>
        <v>0</v>
      </c>
      <c r="AT741" s="62" t="str">
        <f t="shared" si="587"/>
        <v/>
      </c>
      <c r="AU741" s="84">
        <f t="shared" si="588"/>
        <v>0</v>
      </c>
      <c r="AV741" s="32">
        <f t="shared" si="589"/>
        <v>0</v>
      </c>
      <c r="AW741" s="85" t="str">
        <f t="shared" si="590"/>
        <v/>
      </c>
      <c r="AX741" s="86" t="str">
        <f t="shared" si="591"/>
        <v/>
      </c>
    </row>
    <row r="742" spans="1:50" x14ac:dyDescent="0.2">
      <c r="A742" s="29" t="str">
        <f t="shared" si="549"/>
        <v/>
      </c>
      <c r="B742" s="32" t="str">
        <f t="shared" si="550"/>
        <v/>
      </c>
      <c r="C742" s="35"/>
      <c r="D742" s="33" t="str">
        <f t="shared" si="551"/>
        <v/>
      </c>
      <c r="E742" s="22" t="str">
        <f t="shared" si="552"/>
        <v/>
      </c>
      <c r="F742" s="23" t="str">
        <f t="shared" si="553"/>
        <v/>
      </c>
      <c r="G742" s="23"/>
      <c r="H742" s="22"/>
      <c r="I742" s="23"/>
      <c r="J742" s="18"/>
      <c r="K742" s="13" t="str">
        <f t="shared" si="554"/>
        <v/>
      </c>
      <c r="L742" s="28" t="str">
        <f t="shared" si="555"/>
        <v/>
      </c>
      <c r="M742" s="10" t="str">
        <f t="shared" si="556"/>
        <v/>
      </c>
      <c r="N742" s="17" t="str">
        <f t="shared" si="557"/>
        <v/>
      </c>
      <c r="O742" s="39" t="str">
        <f t="shared" si="558"/>
        <v/>
      </c>
      <c r="P742" s="41" t="str">
        <f t="shared" si="559"/>
        <v/>
      </c>
      <c r="Q742" s="9" t="str">
        <f t="shared" si="560"/>
        <v/>
      </c>
      <c r="R742" s="14">
        <f t="shared" si="561"/>
        <v>0</v>
      </c>
      <c r="S742" s="61" t="str">
        <f t="shared" si="562"/>
        <v/>
      </c>
      <c r="T742" s="14">
        <f t="shared" si="563"/>
        <v>0</v>
      </c>
      <c r="U742" s="58" t="str">
        <f t="shared" si="564"/>
        <v/>
      </c>
      <c r="V742" s="14">
        <f t="shared" si="565"/>
        <v>0</v>
      </c>
      <c r="W742" s="58" t="str">
        <f t="shared" si="566"/>
        <v/>
      </c>
      <c r="X742" s="14">
        <f t="shared" si="567"/>
        <v>0</v>
      </c>
      <c r="Y742" s="58" t="str">
        <f t="shared" si="568"/>
        <v/>
      </c>
      <c r="Z742" s="31">
        <f t="shared" si="569"/>
        <v>0</v>
      </c>
      <c r="AA742" s="21">
        <f t="shared" si="570"/>
        <v>0</v>
      </c>
      <c r="AB742" s="58" t="str">
        <f t="shared" si="571"/>
        <v/>
      </c>
      <c r="AC742" s="630">
        <f t="shared" si="548"/>
        <v>0</v>
      </c>
      <c r="AD742" s="627"/>
      <c r="AE742" s="21">
        <f t="shared" si="572"/>
        <v>0</v>
      </c>
      <c r="AF742" s="58" t="str">
        <f t="shared" si="573"/>
        <v/>
      </c>
      <c r="AG742" s="21">
        <f t="shared" si="574"/>
        <v>0</v>
      </c>
      <c r="AH742" s="58" t="str">
        <f t="shared" si="575"/>
        <v/>
      </c>
      <c r="AI742" s="21">
        <f t="shared" si="576"/>
        <v>0</v>
      </c>
      <c r="AJ742" s="58" t="str">
        <f t="shared" si="577"/>
        <v/>
      </c>
      <c r="AK742" s="31">
        <f t="shared" si="578"/>
        <v>0</v>
      </c>
      <c r="AL742" s="21">
        <f t="shared" si="579"/>
        <v>0</v>
      </c>
      <c r="AM742" s="62" t="str">
        <f t="shared" si="580"/>
        <v/>
      </c>
      <c r="AN742" s="21">
        <f t="shared" si="581"/>
        <v>0</v>
      </c>
      <c r="AO742" s="62" t="str">
        <f t="shared" si="582"/>
        <v/>
      </c>
      <c r="AP742" s="21">
        <f t="shared" si="583"/>
        <v>0</v>
      </c>
      <c r="AQ742" s="62" t="str">
        <f t="shared" si="584"/>
        <v/>
      </c>
      <c r="AR742" s="31">
        <f t="shared" si="585"/>
        <v>0</v>
      </c>
      <c r="AS742" s="21">
        <f t="shared" si="586"/>
        <v>0</v>
      </c>
      <c r="AT742" s="62" t="str">
        <f t="shared" si="587"/>
        <v/>
      </c>
      <c r="AU742" s="84">
        <f t="shared" si="588"/>
        <v>0</v>
      </c>
      <c r="AV742" s="32">
        <f t="shared" si="589"/>
        <v>0</v>
      </c>
      <c r="AW742" s="85" t="str">
        <f t="shared" si="590"/>
        <v/>
      </c>
      <c r="AX742" s="86" t="str">
        <f t="shared" si="591"/>
        <v/>
      </c>
    </row>
    <row r="743" spans="1:50" x14ac:dyDescent="0.2">
      <c r="A743" s="29" t="str">
        <f t="shared" si="549"/>
        <v/>
      </c>
      <c r="B743" s="32" t="str">
        <f t="shared" si="550"/>
        <v/>
      </c>
      <c r="C743" s="35"/>
      <c r="D743" s="33" t="str">
        <f t="shared" si="551"/>
        <v/>
      </c>
      <c r="E743" s="22" t="str">
        <f t="shared" si="552"/>
        <v/>
      </c>
      <c r="F743" s="23" t="str">
        <f t="shared" si="553"/>
        <v/>
      </c>
      <c r="G743" s="23"/>
      <c r="H743" s="22"/>
      <c r="I743" s="23"/>
      <c r="J743" s="18"/>
      <c r="K743" s="13" t="str">
        <f t="shared" si="554"/>
        <v/>
      </c>
      <c r="L743" s="28" t="str">
        <f t="shared" si="555"/>
        <v/>
      </c>
      <c r="M743" s="10" t="str">
        <f t="shared" si="556"/>
        <v/>
      </c>
      <c r="N743" s="17" t="str">
        <f t="shared" si="557"/>
        <v/>
      </c>
      <c r="O743" s="39" t="str">
        <f t="shared" si="558"/>
        <v/>
      </c>
      <c r="P743" s="41" t="str">
        <f t="shared" si="559"/>
        <v/>
      </c>
      <c r="Q743" s="9" t="str">
        <f t="shared" si="560"/>
        <v/>
      </c>
      <c r="R743" s="14">
        <f t="shared" si="561"/>
        <v>0</v>
      </c>
      <c r="S743" s="61" t="str">
        <f t="shared" si="562"/>
        <v/>
      </c>
      <c r="T743" s="14">
        <f t="shared" si="563"/>
        <v>0</v>
      </c>
      <c r="U743" s="58" t="str">
        <f t="shared" si="564"/>
        <v/>
      </c>
      <c r="V743" s="14">
        <f t="shared" si="565"/>
        <v>0</v>
      </c>
      <c r="W743" s="58" t="str">
        <f t="shared" si="566"/>
        <v/>
      </c>
      <c r="X743" s="14">
        <f t="shared" si="567"/>
        <v>0</v>
      </c>
      <c r="Y743" s="58" t="str">
        <f t="shared" si="568"/>
        <v/>
      </c>
      <c r="Z743" s="31">
        <f t="shared" si="569"/>
        <v>0</v>
      </c>
      <c r="AA743" s="21">
        <f t="shared" si="570"/>
        <v>0</v>
      </c>
      <c r="AB743" s="58" t="str">
        <f t="shared" si="571"/>
        <v/>
      </c>
      <c r="AC743" s="630">
        <f t="shared" si="548"/>
        <v>0</v>
      </c>
      <c r="AD743" s="627"/>
      <c r="AE743" s="21">
        <f t="shared" si="572"/>
        <v>0</v>
      </c>
      <c r="AF743" s="58" t="str">
        <f t="shared" si="573"/>
        <v/>
      </c>
      <c r="AG743" s="21">
        <f t="shared" si="574"/>
        <v>0</v>
      </c>
      <c r="AH743" s="58" t="str">
        <f t="shared" si="575"/>
        <v/>
      </c>
      <c r="AI743" s="21">
        <f t="shared" si="576"/>
        <v>0</v>
      </c>
      <c r="AJ743" s="58" t="str">
        <f t="shared" si="577"/>
        <v/>
      </c>
      <c r="AK743" s="31">
        <f t="shared" si="578"/>
        <v>0</v>
      </c>
      <c r="AL743" s="21">
        <f t="shared" si="579"/>
        <v>0</v>
      </c>
      <c r="AM743" s="62" t="str">
        <f t="shared" si="580"/>
        <v/>
      </c>
      <c r="AN743" s="21">
        <f t="shared" si="581"/>
        <v>0</v>
      </c>
      <c r="AO743" s="62" t="str">
        <f t="shared" si="582"/>
        <v/>
      </c>
      <c r="AP743" s="21">
        <f t="shared" si="583"/>
        <v>0</v>
      </c>
      <c r="AQ743" s="62" t="str">
        <f t="shared" si="584"/>
        <v/>
      </c>
      <c r="AR743" s="31">
        <f t="shared" si="585"/>
        <v>0</v>
      </c>
      <c r="AS743" s="21">
        <f t="shared" si="586"/>
        <v>0</v>
      </c>
      <c r="AT743" s="62" t="str">
        <f t="shared" si="587"/>
        <v/>
      </c>
      <c r="AU743" s="84">
        <f t="shared" si="588"/>
        <v>0</v>
      </c>
      <c r="AV743" s="32">
        <f t="shared" si="589"/>
        <v>0</v>
      </c>
      <c r="AW743" s="85" t="str">
        <f t="shared" si="590"/>
        <v/>
      </c>
      <c r="AX743" s="86" t="str">
        <f t="shared" si="591"/>
        <v/>
      </c>
    </row>
    <row r="744" spans="1:50" x14ac:dyDescent="0.2">
      <c r="A744" s="29" t="str">
        <f t="shared" si="549"/>
        <v/>
      </c>
      <c r="B744" s="32" t="str">
        <f t="shared" si="550"/>
        <v/>
      </c>
      <c r="C744" s="35"/>
      <c r="D744" s="33" t="str">
        <f t="shared" si="551"/>
        <v/>
      </c>
      <c r="E744" s="22" t="str">
        <f t="shared" si="552"/>
        <v/>
      </c>
      <c r="F744" s="23" t="str">
        <f t="shared" si="553"/>
        <v/>
      </c>
      <c r="G744" s="23"/>
      <c r="H744" s="22"/>
      <c r="I744" s="23"/>
      <c r="J744" s="18"/>
      <c r="K744" s="13" t="str">
        <f t="shared" si="554"/>
        <v/>
      </c>
      <c r="L744" s="28" t="str">
        <f t="shared" si="555"/>
        <v/>
      </c>
      <c r="M744" s="10" t="str">
        <f t="shared" si="556"/>
        <v/>
      </c>
      <c r="N744" s="17" t="str">
        <f t="shared" si="557"/>
        <v/>
      </c>
      <c r="O744" s="39" t="str">
        <f t="shared" si="558"/>
        <v/>
      </c>
      <c r="P744" s="41" t="str">
        <f t="shared" si="559"/>
        <v/>
      </c>
      <c r="Q744" s="9" t="str">
        <f t="shared" si="560"/>
        <v/>
      </c>
      <c r="R744" s="14">
        <f t="shared" si="561"/>
        <v>0</v>
      </c>
      <c r="S744" s="61" t="str">
        <f t="shared" si="562"/>
        <v/>
      </c>
      <c r="T744" s="14">
        <f t="shared" si="563"/>
        <v>0</v>
      </c>
      <c r="U744" s="58" t="str">
        <f t="shared" si="564"/>
        <v/>
      </c>
      <c r="V744" s="14">
        <f t="shared" si="565"/>
        <v>0</v>
      </c>
      <c r="W744" s="58" t="str">
        <f t="shared" si="566"/>
        <v/>
      </c>
      <c r="X744" s="14">
        <f t="shared" si="567"/>
        <v>0</v>
      </c>
      <c r="Y744" s="58" t="str">
        <f t="shared" si="568"/>
        <v/>
      </c>
      <c r="Z744" s="31">
        <f t="shared" si="569"/>
        <v>0</v>
      </c>
      <c r="AA744" s="21">
        <f t="shared" si="570"/>
        <v>0</v>
      </c>
      <c r="AB744" s="58" t="str">
        <f t="shared" si="571"/>
        <v/>
      </c>
      <c r="AC744" s="630">
        <f t="shared" si="548"/>
        <v>0</v>
      </c>
      <c r="AD744" s="627"/>
      <c r="AE744" s="21">
        <f t="shared" si="572"/>
        <v>0</v>
      </c>
      <c r="AF744" s="58" t="str">
        <f t="shared" si="573"/>
        <v/>
      </c>
      <c r="AG744" s="21">
        <f t="shared" si="574"/>
        <v>0</v>
      </c>
      <c r="AH744" s="58" t="str">
        <f t="shared" si="575"/>
        <v/>
      </c>
      <c r="AI744" s="21">
        <f t="shared" si="576"/>
        <v>0</v>
      </c>
      <c r="AJ744" s="58" t="str">
        <f t="shared" si="577"/>
        <v/>
      </c>
      <c r="AK744" s="31">
        <f t="shared" si="578"/>
        <v>0</v>
      </c>
      <c r="AL744" s="21">
        <f t="shared" si="579"/>
        <v>0</v>
      </c>
      <c r="AM744" s="62" t="str">
        <f t="shared" si="580"/>
        <v/>
      </c>
      <c r="AN744" s="21">
        <f t="shared" si="581"/>
        <v>0</v>
      </c>
      <c r="AO744" s="62" t="str">
        <f t="shared" si="582"/>
        <v/>
      </c>
      <c r="AP744" s="21">
        <f t="shared" si="583"/>
        <v>0</v>
      </c>
      <c r="AQ744" s="62" t="str">
        <f t="shared" si="584"/>
        <v/>
      </c>
      <c r="AR744" s="31">
        <f t="shared" si="585"/>
        <v>0</v>
      </c>
      <c r="AS744" s="21">
        <f t="shared" si="586"/>
        <v>0</v>
      </c>
      <c r="AT744" s="62" t="str">
        <f t="shared" si="587"/>
        <v/>
      </c>
      <c r="AU744" s="84">
        <f t="shared" si="588"/>
        <v>0</v>
      </c>
      <c r="AV744" s="32">
        <f t="shared" si="589"/>
        <v>0</v>
      </c>
      <c r="AW744" s="85" t="str">
        <f t="shared" si="590"/>
        <v/>
      </c>
      <c r="AX744" s="86" t="str">
        <f t="shared" si="591"/>
        <v/>
      </c>
    </row>
    <row r="745" spans="1:50" x14ac:dyDescent="0.2">
      <c r="A745" s="29" t="str">
        <f t="shared" si="549"/>
        <v/>
      </c>
      <c r="B745" s="32" t="str">
        <f t="shared" si="550"/>
        <v/>
      </c>
      <c r="C745" s="35"/>
      <c r="D745" s="33" t="str">
        <f t="shared" si="551"/>
        <v/>
      </c>
      <c r="E745" s="22" t="str">
        <f t="shared" si="552"/>
        <v/>
      </c>
      <c r="F745" s="23" t="str">
        <f t="shared" si="553"/>
        <v/>
      </c>
      <c r="G745" s="23"/>
      <c r="H745" s="22"/>
      <c r="I745" s="23"/>
      <c r="J745" s="18"/>
      <c r="K745" s="13" t="str">
        <f t="shared" si="554"/>
        <v/>
      </c>
      <c r="L745" s="28" t="str">
        <f t="shared" si="555"/>
        <v/>
      </c>
      <c r="M745" s="10" t="str">
        <f t="shared" si="556"/>
        <v/>
      </c>
      <c r="N745" s="17" t="str">
        <f t="shared" si="557"/>
        <v/>
      </c>
      <c r="O745" s="39" t="str">
        <f t="shared" si="558"/>
        <v/>
      </c>
      <c r="P745" s="41" t="str">
        <f t="shared" si="559"/>
        <v/>
      </c>
      <c r="Q745" s="9" t="str">
        <f t="shared" si="560"/>
        <v/>
      </c>
      <c r="R745" s="14">
        <f t="shared" si="561"/>
        <v>0</v>
      </c>
      <c r="S745" s="61" t="str">
        <f t="shared" si="562"/>
        <v/>
      </c>
      <c r="T745" s="14">
        <f t="shared" si="563"/>
        <v>0</v>
      </c>
      <c r="U745" s="58" t="str">
        <f t="shared" si="564"/>
        <v/>
      </c>
      <c r="V745" s="14">
        <f t="shared" si="565"/>
        <v>0</v>
      </c>
      <c r="W745" s="58" t="str">
        <f t="shared" si="566"/>
        <v/>
      </c>
      <c r="X745" s="14">
        <f t="shared" si="567"/>
        <v>0</v>
      </c>
      <c r="Y745" s="58" t="str">
        <f t="shared" si="568"/>
        <v/>
      </c>
      <c r="Z745" s="31">
        <f t="shared" si="569"/>
        <v>0</v>
      </c>
      <c r="AA745" s="21">
        <f t="shared" si="570"/>
        <v>0</v>
      </c>
      <c r="AB745" s="58" t="str">
        <f t="shared" si="571"/>
        <v/>
      </c>
      <c r="AC745" s="630">
        <f t="shared" si="548"/>
        <v>0</v>
      </c>
      <c r="AD745" s="627"/>
      <c r="AE745" s="21">
        <f t="shared" si="572"/>
        <v>0</v>
      </c>
      <c r="AF745" s="58" t="str">
        <f t="shared" si="573"/>
        <v/>
      </c>
      <c r="AG745" s="21">
        <f t="shared" si="574"/>
        <v>0</v>
      </c>
      <c r="AH745" s="58" t="str">
        <f t="shared" si="575"/>
        <v/>
      </c>
      <c r="AI745" s="21">
        <f t="shared" si="576"/>
        <v>0</v>
      </c>
      <c r="AJ745" s="58" t="str">
        <f t="shared" si="577"/>
        <v/>
      </c>
      <c r="AK745" s="31">
        <f t="shared" si="578"/>
        <v>0</v>
      </c>
      <c r="AL745" s="21">
        <f t="shared" si="579"/>
        <v>0</v>
      </c>
      <c r="AM745" s="62" t="str">
        <f t="shared" si="580"/>
        <v/>
      </c>
      <c r="AN745" s="21">
        <f t="shared" si="581"/>
        <v>0</v>
      </c>
      <c r="AO745" s="62" t="str">
        <f t="shared" si="582"/>
        <v/>
      </c>
      <c r="AP745" s="21">
        <f t="shared" si="583"/>
        <v>0</v>
      </c>
      <c r="AQ745" s="62" t="str">
        <f t="shared" si="584"/>
        <v/>
      </c>
      <c r="AR745" s="31">
        <f t="shared" si="585"/>
        <v>0</v>
      </c>
      <c r="AS745" s="21">
        <f t="shared" si="586"/>
        <v>0</v>
      </c>
      <c r="AT745" s="62" t="str">
        <f t="shared" si="587"/>
        <v/>
      </c>
      <c r="AU745" s="84">
        <f t="shared" si="588"/>
        <v>0</v>
      </c>
      <c r="AV745" s="32">
        <f t="shared" si="589"/>
        <v>0</v>
      </c>
      <c r="AW745" s="85" t="str">
        <f t="shared" si="590"/>
        <v/>
      </c>
      <c r="AX745" s="86" t="str">
        <f t="shared" si="591"/>
        <v/>
      </c>
    </row>
    <row r="746" spans="1:50" x14ac:dyDescent="0.2">
      <c r="A746" s="29" t="str">
        <f t="shared" si="549"/>
        <v/>
      </c>
      <c r="B746" s="32" t="str">
        <f t="shared" si="550"/>
        <v/>
      </c>
      <c r="C746" s="35"/>
      <c r="D746" s="33" t="str">
        <f t="shared" si="551"/>
        <v/>
      </c>
      <c r="E746" s="22" t="str">
        <f t="shared" si="552"/>
        <v/>
      </c>
      <c r="F746" s="23" t="str">
        <f t="shared" si="553"/>
        <v/>
      </c>
      <c r="G746" s="23"/>
      <c r="H746" s="22"/>
      <c r="I746" s="23"/>
      <c r="J746" s="18"/>
      <c r="K746" s="13" t="str">
        <f t="shared" si="554"/>
        <v/>
      </c>
      <c r="L746" s="28" t="str">
        <f t="shared" si="555"/>
        <v/>
      </c>
      <c r="M746" s="10" t="str">
        <f t="shared" si="556"/>
        <v/>
      </c>
      <c r="N746" s="17" t="str">
        <f t="shared" si="557"/>
        <v/>
      </c>
      <c r="O746" s="39" t="str">
        <f t="shared" si="558"/>
        <v/>
      </c>
      <c r="P746" s="41" t="str">
        <f t="shared" si="559"/>
        <v/>
      </c>
      <c r="Q746" s="9" t="str">
        <f t="shared" si="560"/>
        <v/>
      </c>
      <c r="R746" s="14">
        <f t="shared" si="561"/>
        <v>0</v>
      </c>
      <c r="S746" s="61" t="str">
        <f t="shared" si="562"/>
        <v/>
      </c>
      <c r="T746" s="14">
        <f t="shared" si="563"/>
        <v>0</v>
      </c>
      <c r="U746" s="58" t="str">
        <f t="shared" si="564"/>
        <v/>
      </c>
      <c r="V746" s="14">
        <f t="shared" si="565"/>
        <v>0</v>
      </c>
      <c r="W746" s="58" t="str">
        <f t="shared" si="566"/>
        <v/>
      </c>
      <c r="X746" s="14">
        <f t="shared" si="567"/>
        <v>0</v>
      </c>
      <c r="Y746" s="58" t="str">
        <f t="shared" si="568"/>
        <v/>
      </c>
      <c r="Z746" s="31">
        <f t="shared" si="569"/>
        <v>0</v>
      </c>
      <c r="AA746" s="21">
        <f t="shared" si="570"/>
        <v>0</v>
      </c>
      <c r="AB746" s="58" t="str">
        <f t="shared" si="571"/>
        <v/>
      </c>
      <c r="AC746" s="630">
        <f t="shared" si="548"/>
        <v>0</v>
      </c>
      <c r="AD746" s="627"/>
      <c r="AE746" s="21">
        <f t="shared" si="572"/>
        <v>0</v>
      </c>
      <c r="AF746" s="58" t="str">
        <f t="shared" si="573"/>
        <v/>
      </c>
      <c r="AG746" s="21">
        <f t="shared" si="574"/>
        <v>0</v>
      </c>
      <c r="AH746" s="58" t="str">
        <f t="shared" si="575"/>
        <v/>
      </c>
      <c r="AI746" s="21">
        <f t="shared" si="576"/>
        <v>0</v>
      </c>
      <c r="AJ746" s="58" t="str">
        <f t="shared" si="577"/>
        <v/>
      </c>
      <c r="AK746" s="31">
        <f t="shared" si="578"/>
        <v>0</v>
      </c>
      <c r="AL746" s="21">
        <f t="shared" si="579"/>
        <v>0</v>
      </c>
      <c r="AM746" s="62" t="str">
        <f t="shared" si="580"/>
        <v/>
      </c>
      <c r="AN746" s="21">
        <f t="shared" si="581"/>
        <v>0</v>
      </c>
      <c r="AO746" s="62" t="str">
        <f t="shared" si="582"/>
        <v/>
      </c>
      <c r="AP746" s="21">
        <f t="shared" si="583"/>
        <v>0</v>
      </c>
      <c r="AQ746" s="62" t="str">
        <f t="shared" si="584"/>
        <v/>
      </c>
      <c r="AR746" s="31">
        <f t="shared" si="585"/>
        <v>0</v>
      </c>
      <c r="AS746" s="21">
        <f t="shared" si="586"/>
        <v>0</v>
      </c>
      <c r="AT746" s="62" t="str">
        <f t="shared" si="587"/>
        <v/>
      </c>
      <c r="AU746" s="84">
        <f t="shared" si="588"/>
        <v>0</v>
      </c>
      <c r="AV746" s="32">
        <f t="shared" si="589"/>
        <v>0</v>
      </c>
      <c r="AW746" s="85" t="str">
        <f t="shared" si="590"/>
        <v/>
      </c>
      <c r="AX746" s="86" t="str">
        <f t="shared" si="591"/>
        <v/>
      </c>
    </row>
    <row r="747" spans="1:50" x14ac:dyDescent="0.2">
      <c r="A747" s="29" t="str">
        <f t="shared" si="549"/>
        <v/>
      </c>
      <c r="B747" s="32" t="str">
        <f t="shared" si="550"/>
        <v/>
      </c>
      <c r="C747" s="35"/>
      <c r="D747" s="33" t="str">
        <f t="shared" si="551"/>
        <v/>
      </c>
      <c r="E747" s="22" t="str">
        <f t="shared" si="552"/>
        <v/>
      </c>
      <c r="F747" s="23" t="str">
        <f t="shared" si="553"/>
        <v/>
      </c>
      <c r="G747" s="23"/>
      <c r="H747" s="22"/>
      <c r="I747" s="23"/>
      <c r="J747" s="18"/>
      <c r="K747" s="13" t="str">
        <f t="shared" si="554"/>
        <v/>
      </c>
      <c r="L747" s="28" t="str">
        <f t="shared" si="555"/>
        <v/>
      </c>
      <c r="M747" s="10" t="str">
        <f t="shared" si="556"/>
        <v/>
      </c>
      <c r="N747" s="17" t="str">
        <f t="shared" si="557"/>
        <v/>
      </c>
      <c r="O747" s="39" t="str">
        <f t="shared" si="558"/>
        <v/>
      </c>
      <c r="P747" s="41" t="str">
        <f t="shared" si="559"/>
        <v/>
      </c>
      <c r="Q747" s="9" t="str">
        <f t="shared" si="560"/>
        <v/>
      </c>
      <c r="R747" s="14">
        <f t="shared" si="561"/>
        <v>0</v>
      </c>
      <c r="S747" s="61" t="str">
        <f t="shared" si="562"/>
        <v/>
      </c>
      <c r="T747" s="14">
        <f t="shared" si="563"/>
        <v>0</v>
      </c>
      <c r="U747" s="58" t="str">
        <f t="shared" si="564"/>
        <v/>
      </c>
      <c r="V747" s="14">
        <f t="shared" si="565"/>
        <v>0</v>
      </c>
      <c r="W747" s="58" t="str">
        <f t="shared" si="566"/>
        <v/>
      </c>
      <c r="X747" s="14">
        <f t="shared" si="567"/>
        <v>0</v>
      </c>
      <c r="Y747" s="58" t="str">
        <f t="shared" si="568"/>
        <v/>
      </c>
      <c r="Z747" s="31">
        <f t="shared" si="569"/>
        <v>0</v>
      </c>
      <c r="AA747" s="21">
        <f t="shared" si="570"/>
        <v>0</v>
      </c>
      <c r="AB747" s="58" t="str">
        <f t="shared" si="571"/>
        <v/>
      </c>
      <c r="AC747" s="630">
        <f t="shared" si="548"/>
        <v>0</v>
      </c>
      <c r="AD747" s="627"/>
      <c r="AE747" s="21">
        <f t="shared" si="572"/>
        <v>0</v>
      </c>
      <c r="AF747" s="58" t="str">
        <f t="shared" si="573"/>
        <v/>
      </c>
      <c r="AG747" s="21">
        <f t="shared" si="574"/>
        <v>0</v>
      </c>
      <c r="AH747" s="58" t="str">
        <f t="shared" si="575"/>
        <v/>
      </c>
      <c r="AI747" s="21">
        <f t="shared" si="576"/>
        <v>0</v>
      </c>
      <c r="AJ747" s="58" t="str">
        <f t="shared" si="577"/>
        <v/>
      </c>
      <c r="AK747" s="31">
        <f t="shared" si="578"/>
        <v>0</v>
      </c>
      <c r="AL747" s="21">
        <f t="shared" si="579"/>
        <v>0</v>
      </c>
      <c r="AM747" s="62" t="str">
        <f t="shared" si="580"/>
        <v/>
      </c>
      <c r="AN747" s="21">
        <f t="shared" si="581"/>
        <v>0</v>
      </c>
      <c r="AO747" s="62" t="str">
        <f t="shared" si="582"/>
        <v/>
      </c>
      <c r="AP747" s="21">
        <f t="shared" si="583"/>
        <v>0</v>
      </c>
      <c r="AQ747" s="62" t="str">
        <f t="shared" si="584"/>
        <v/>
      </c>
      <c r="AR747" s="31">
        <f t="shared" si="585"/>
        <v>0</v>
      </c>
      <c r="AS747" s="21">
        <f t="shared" si="586"/>
        <v>0</v>
      </c>
      <c r="AT747" s="62" t="str">
        <f t="shared" si="587"/>
        <v/>
      </c>
      <c r="AU747" s="84">
        <f t="shared" si="588"/>
        <v>0</v>
      </c>
      <c r="AV747" s="32">
        <f t="shared" si="589"/>
        <v>0</v>
      </c>
      <c r="AW747" s="85" t="str">
        <f t="shared" si="590"/>
        <v/>
      </c>
      <c r="AX747" s="86" t="str">
        <f t="shared" si="591"/>
        <v/>
      </c>
    </row>
    <row r="748" spans="1:50" x14ac:dyDescent="0.2">
      <c r="A748" s="29" t="str">
        <f t="shared" si="549"/>
        <v/>
      </c>
      <c r="B748" s="32" t="str">
        <f t="shared" si="550"/>
        <v/>
      </c>
      <c r="C748" s="35"/>
      <c r="D748" s="33" t="str">
        <f t="shared" si="551"/>
        <v/>
      </c>
      <c r="E748" s="22" t="str">
        <f t="shared" si="552"/>
        <v/>
      </c>
      <c r="F748" s="23" t="str">
        <f t="shared" si="553"/>
        <v/>
      </c>
      <c r="G748" s="23"/>
      <c r="H748" s="22"/>
      <c r="I748" s="23"/>
      <c r="J748" s="18"/>
      <c r="K748" s="13" t="str">
        <f t="shared" si="554"/>
        <v/>
      </c>
      <c r="L748" s="28" t="str">
        <f t="shared" si="555"/>
        <v/>
      </c>
      <c r="M748" s="10" t="str">
        <f t="shared" si="556"/>
        <v/>
      </c>
      <c r="N748" s="17" t="str">
        <f t="shared" si="557"/>
        <v/>
      </c>
      <c r="O748" s="39" t="str">
        <f t="shared" si="558"/>
        <v/>
      </c>
      <c r="P748" s="41" t="str">
        <f t="shared" si="559"/>
        <v/>
      </c>
      <c r="Q748" s="9" t="str">
        <f t="shared" si="560"/>
        <v/>
      </c>
      <c r="R748" s="14">
        <f t="shared" si="561"/>
        <v>0</v>
      </c>
      <c r="S748" s="61" t="str">
        <f t="shared" si="562"/>
        <v/>
      </c>
      <c r="T748" s="14">
        <f t="shared" si="563"/>
        <v>0</v>
      </c>
      <c r="U748" s="58" t="str">
        <f t="shared" si="564"/>
        <v/>
      </c>
      <c r="V748" s="14">
        <f t="shared" si="565"/>
        <v>0</v>
      </c>
      <c r="W748" s="58" t="str">
        <f t="shared" si="566"/>
        <v/>
      </c>
      <c r="X748" s="14">
        <f t="shared" si="567"/>
        <v>0</v>
      </c>
      <c r="Y748" s="58" t="str">
        <f t="shared" si="568"/>
        <v/>
      </c>
      <c r="Z748" s="31">
        <f t="shared" si="569"/>
        <v>0</v>
      </c>
      <c r="AA748" s="21">
        <f t="shared" si="570"/>
        <v>0</v>
      </c>
      <c r="AB748" s="58" t="str">
        <f t="shared" si="571"/>
        <v/>
      </c>
      <c r="AC748" s="630">
        <f t="shared" si="548"/>
        <v>0</v>
      </c>
      <c r="AD748" s="627"/>
      <c r="AE748" s="21">
        <f t="shared" si="572"/>
        <v>0</v>
      </c>
      <c r="AF748" s="58" t="str">
        <f t="shared" si="573"/>
        <v/>
      </c>
      <c r="AG748" s="21">
        <f t="shared" si="574"/>
        <v>0</v>
      </c>
      <c r="AH748" s="58" t="str">
        <f t="shared" si="575"/>
        <v/>
      </c>
      <c r="AI748" s="21">
        <f t="shared" si="576"/>
        <v>0</v>
      </c>
      <c r="AJ748" s="58" t="str">
        <f t="shared" si="577"/>
        <v/>
      </c>
      <c r="AK748" s="31">
        <f t="shared" si="578"/>
        <v>0</v>
      </c>
      <c r="AL748" s="21">
        <f t="shared" si="579"/>
        <v>0</v>
      </c>
      <c r="AM748" s="62" t="str">
        <f t="shared" si="580"/>
        <v/>
      </c>
      <c r="AN748" s="21">
        <f t="shared" si="581"/>
        <v>0</v>
      </c>
      <c r="AO748" s="62" t="str">
        <f t="shared" si="582"/>
        <v/>
      </c>
      <c r="AP748" s="21">
        <f t="shared" si="583"/>
        <v>0</v>
      </c>
      <c r="AQ748" s="62" t="str">
        <f t="shared" si="584"/>
        <v/>
      </c>
      <c r="AR748" s="31">
        <f t="shared" si="585"/>
        <v>0</v>
      </c>
      <c r="AS748" s="21">
        <f t="shared" si="586"/>
        <v>0</v>
      </c>
      <c r="AT748" s="62" t="str">
        <f t="shared" si="587"/>
        <v/>
      </c>
      <c r="AU748" s="84">
        <f t="shared" si="588"/>
        <v>0</v>
      </c>
      <c r="AV748" s="32">
        <f t="shared" si="589"/>
        <v>0</v>
      </c>
      <c r="AW748" s="85" t="str">
        <f t="shared" si="590"/>
        <v/>
      </c>
      <c r="AX748" s="86" t="str">
        <f t="shared" si="591"/>
        <v/>
      </c>
    </row>
    <row r="749" spans="1:50" x14ac:dyDescent="0.2">
      <c r="A749" s="29" t="str">
        <f t="shared" si="549"/>
        <v/>
      </c>
      <c r="B749" s="32" t="str">
        <f t="shared" si="550"/>
        <v/>
      </c>
      <c r="C749" s="35"/>
      <c r="D749" s="33" t="str">
        <f t="shared" si="551"/>
        <v/>
      </c>
      <c r="E749" s="22" t="str">
        <f t="shared" si="552"/>
        <v/>
      </c>
      <c r="F749" s="23" t="str">
        <f t="shared" si="553"/>
        <v/>
      </c>
      <c r="G749" s="23"/>
      <c r="H749" s="22"/>
      <c r="I749" s="23"/>
      <c r="J749" s="18"/>
      <c r="K749" s="13" t="str">
        <f t="shared" si="554"/>
        <v/>
      </c>
      <c r="L749" s="28" t="str">
        <f t="shared" si="555"/>
        <v/>
      </c>
      <c r="M749" s="10" t="str">
        <f t="shared" si="556"/>
        <v/>
      </c>
      <c r="N749" s="17" t="str">
        <f t="shared" si="557"/>
        <v/>
      </c>
      <c r="O749" s="39" t="str">
        <f t="shared" si="558"/>
        <v/>
      </c>
      <c r="P749" s="41" t="str">
        <f t="shared" si="559"/>
        <v/>
      </c>
      <c r="Q749" s="9" t="str">
        <f t="shared" si="560"/>
        <v/>
      </c>
      <c r="R749" s="14">
        <f t="shared" si="561"/>
        <v>0</v>
      </c>
      <c r="S749" s="61" t="str">
        <f t="shared" si="562"/>
        <v/>
      </c>
      <c r="T749" s="14">
        <f t="shared" si="563"/>
        <v>0</v>
      </c>
      <c r="U749" s="58" t="str">
        <f t="shared" si="564"/>
        <v/>
      </c>
      <c r="V749" s="14">
        <f t="shared" si="565"/>
        <v>0</v>
      </c>
      <c r="W749" s="58" t="str">
        <f t="shared" si="566"/>
        <v/>
      </c>
      <c r="X749" s="14">
        <f t="shared" si="567"/>
        <v>0</v>
      </c>
      <c r="Y749" s="58" t="str">
        <f t="shared" si="568"/>
        <v/>
      </c>
      <c r="Z749" s="31">
        <f t="shared" si="569"/>
        <v>0</v>
      </c>
      <c r="AA749" s="21">
        <f t="shared" si="570"/>
        <v>0</v>
      </c>
      <c r="AB749" s="58" t="str">
        <f t="shared" si="571"/>
        <v/>
      </c>
      <c r="AC749" s="630">
        <f t="shared" si="548"/>
        <v>0</v>
      </c>
      <c r="AD749" s="627"/>
      <c r="AE749" s="21">
        <f t="shared" si="572"/>
        <v>0</v>
      </c>
      <c r="AF749" s="58" t="str">
        <f t="shared" si="573"/>
        <v/>
      </c>
      <c r="AG749" s="21">
        <f t="shared" si="574"/>
        <v>0</v>
      </c>
      <c r="AH749" s="58" t="str">
        <f t="shared" si="575"/>
        <v/>
      </c>
      <c r="AI749" s="21">
        <f t="shared" si="576"/>
        <v>0</v>
      </c>
      <c r="AJ749" s="58" t="str">
        <f t="shared" si="577"/>
        <v/>
      </c>
      <c r="AK749" s="31">
        <f t="shared" si="578"/>
        <v>0</v>
      </c>
      <c r="AL749" s="21">
        <f t="shared" si="579"/>
        <v>0</v>
      </c>
      <c r="AM749" s="62" t="str">
        <f t="shared" si="580"/>
        <v/>
      </c>
      <c r="AN749" s="21">
        <f t="shared" si="581"/>
        <v>0</v>
      </c>
      <c r="AO749" s="62" t="str">
        <f t="shared" si="582"/>
        <v/>
      </c>
      <c r="AP749" s="21">
        <f t="shared" si="583"/>
        <v>0</v>
      </c>
      <c r="AQ749" s="62" t="str">
        <f t="shared" si="584"/>
        <v/>
      </c>
      <c r="AR749" s="31">
        <f t="shared" si="585"/>
        <v>0</v>
      </c>
      <c r="AS749" s="21">
        <f t="shared" si="586"/>
        <v>0</v>
      </c>
      <c r="AT749" s="62" t="str">
        <f t="shared" si="587"/>
        <v/>
      </c>
      <c r="AU749" s="84">
        <f t="shared" si="588"/>
        <v>0</v>
      </c>
      <c r="AV749" s="32">
        <f t="shared" si="589"/>
        <v>0</v>
      </c>
      <c r="AW749" s="85" t="str">
        <f t="shared" si="590"/>
        <v/>
      </c>
      <c r="AX749" s="86" t="str">
        <f t="shared" si="591"/>
        <v/>
      </c>
    </row>
    <row r="750" spans="1:50" x14ac:dyDescent="0.2">
      <c r="A750" s="29" t="str">
        <f t="shared" si="549"/>
        <v/>
      </c>
      <c r="B750" s="32" t="str">
        <f t="shared" si="550"/>
        <v/>
      </c>
      <c r="C750" s="35"/>
      <c r="D750" s="33" t="str">
        <f t="shared" si="551"/>
        <v/>
      </c>
      <c r="E750" s="22" t="str">
        <f t="shared" si="552"/>
        <v/>
      </c>
      <c r="F750" s="23" t="str">
        <f t="shared" si="553"/>
        <v/>
      </c>
      <c r="G750" s="23"/>
      <c r="H750" s="22"/>
      <c r="I750" s="23"/>
      <c r="J750" s="18"/>
      <c r="K750" s="13" t="str">
        <f t="shared" si="554"/>
        <v/>
      </c>
      <c r="L750" s="28" t="str">
        <f t="shared" si="555"/>
        <v/>
      </c>
      <c r="M750" s="10" t="str">
        <f t="shared" si="556"/>
        <v/>
      </c>
      <c r="N750" s="17" t="str">
        <f t="shared" si="557"/>
        <v/>
      </c>
      <c r="O750" s="39" t="str">
        <f t="shared" si="558"/>
        <v/>
      </c>
      <c r="P750" s="41" t="str">
        <f t="shared" si="559"/>
        <v/>
      </c>
      <c r="Q750" s="9" t="str">
        <f t="shared" si="560"/>
        <v/>
      </c>
      <c r="R750" s="14">
        <f t="shared" si="561"/>
        <v>0</v>
      </c>
      <c r="S750" s="61" t="str">
        <f t="shared" si="562"/>
        <v/>
      </c>
      <c r="T750" s="14">
        <f t="shared" si="563"/>
        <v>0</v>
      </c>
      <c r="U750" s="58" t="str">
        <f t="shared" si="564"/>
        <v/>
      </c>
      <c r="V750" s="14">
        <f t="shared" si="565"/>
        <v>0</v>
      </c>
      <c r="W750" s="58" t="str">
        <f t="shared" si="566"/>
        <v/>
      </c>
      <c r="X750" s="14">
        <f t="shared" si="567"/>
        <v>0</v>
      </c>
      <c r="Y750" s="58" t="str">
        <f t="shared" si="568"/>
        <v/>
      </c>
      <c r="Z750" s="31">
        <f t="shared" si="569"/>
        <v>0</v>
      </c>
      <c r="AA750" s="21">
        <f t="shared" si="570"/>
        <v>0</v>
      </c>
      <c r="AB750" s="58" t="str">
        <f t="shared" si="571"/>
        <v/>
      </c>
      <c r="AC750" s="630">
        <f t="shared" si="548"/>
        <v>0</v>
      </c>
      <c r="AD750" s="627"/>
      <c r="AE750" s="21">
        <f t="shared" si="572"/>
        <v>0</v>
      </c>
      <c r="AF750" s="58" t="str">
        <f t="shared" si="573"/>
        <v/>
      </c>
      <c r="AG750" s="21">
        <f t="shared" si="574"/>
        <v>0</v>
      </c>
      <c r="AH750" s="58" t="str">
        <f t="shared" si="575"/>
        <v/>
      </c>
      <c r="AI750" s="21">
        <f t="shared" si="576"/>
        <v>0</v>
      </c>
      <c r="AJ750" s="58" t="str">
        <f t="shared" si="577"/>
        <v/>
      </c>
      <c r="AK750" s="31">
        <f t="shared" si="578"/>
        <v>0</v>
      </c>
      <c r="AL750" s="21">
        <f t="shared" si="579"/>
        <v>0</v>
      </c>
      <c r="AM750" s="62" t="str">
        <f t="shared" si="580"/>
        <v/>
      </c>
      <c r="AN750" s="21">
        <f t="shared" si="581"/>
        <v>0</v>
      </c>
      <c r="AO750" s="62" t="str">
        <f t="shared" si="582"/>
        <v/>
      </c>
      <c r="AP750" s="21">
        <f t="shared" si="583"/>
        <v>0</v>
      </c>
      <c r="AQ750" s="62" t="str">
        <f t="shared" si="584"/>
        <v/>
      </c>
      <c r="AR750" s="31">
        <f t="shared" si="585"/>
        <v>0</v>
      </c>
      <c r="AS750" s="21">
        <f t="shared" si="586"/>
        <v>0</v>
      </c>
      <c r="AT750" s="62" t="str">
        <f t="shared" si="587"/>
        <v/>
      </c>
      <c r="AU750" s="84">
        <f t="shared" si="588"/>
        <v>0</v>
      </c>
      <c r="AV750" s="32">
        <f t="shared" si="589"/>
        <v>0</v>
      </c>
      <c r="AW750" s="85" t="str">
        <f t="shared" si="590"/>
        <v/>
      </c>
      <c r="AX750" s="86" t="str">
        <f t="shared" si="591"/>
        <v/>
      </c>
    </row>
    <row r="751" spans="1:50" x14ac:dyDescent="0.2">
      <c r="A751" s="29" t="str">
        <f t="shared" si="549"/>
        <v/>
      </c>
      <c r="B751" s="32" t="str">
        <f t="shared" si="550"/>
        <v/>
      </c>
      <c r="C751" s="35"/>
      <c r="D751" s="33" t="str">
        <f t="shared" si="551"/>
        <v/>
      </c>
      <c r="E751" s="22" t="str">
        <f t="shared" si="552"/>
        <v/>
      </c>
      <c r="F751" s="23" t="str">
        <f t="shared" si="553"/>
        <v/>
      </c>
      <c r="G751" s="23"/>
      <c r="H751" s="22"/>
      <c r="I751" s="23"/>
      <c r="J751" s="18"/>
      <c r="K751" s="13" t="str">
        <f t="shared" si="554"/>
        <v/>
      </c>
      <c r="L751" s="28" t="str">
        <f t="shared" si="555"/>
        <v/>
      </c>
      <c r="M751" s="10" t="str">
        <f t="shared" si="556"/>
        <v/>
      </c>
      <c r="N751" s="17" t="str">
        <f t="shared" si="557"/>
        <v/>
      </c>
      <c r="O751" s="39" t="str">
        <f t="shared" si="558"/>
        <v/>
      </c>
      <c r="P751" s="41" t="str">
        <f t="shared" si="559"/>
        <v/>
      </c>
      <c r="Q751" s="9" t="str">
        <f t="shared" si="560"/>
        <v/>
      </c>
      <c r="R751" s="14">
        <f t="shared" si="561"/>
        <v>0</v>
      </c>
      <c r="S751" s="61" t="str">
        <f t="shared" si="562"/>
        <v/>
      </c>
      <c r="T751" s="14">
        <f t="shared" si="563"/>
        <v>0</v>
      </c>
      <c r="U751" s="58" t="str">
        <f t="shared" si="564"/>
        <v/>
      </c>
      <c r="V751" s="14">
        <f t="shared" si="565"/>
        <v>0</v>
      </c>
      <c r="W751" s="58" t="str">
        <f t="shared" si="566"/>
        <v/>
      </c>
      <c r="X751" s="14">
        <f t="shared" si="567"/>
        <v>0</v>
      </c>
      <c r="Y751" s="58" t="str">
        <f t="shared" si="568"/>
        <v/>
      </c>
      <c r="Z751" s="31">
        <f t="shared" si="569"/>
        <v>0</v>
      </c>
      <c r="AA751" s="21">
        <f t="shared" si="570"/>
        <v>0</v>
      </c>
      <c r="AB751" s="58" t="str">
        <f t="shared" si="571"/>
        <v/>
      </c>
      <c r="AC751" s="630">
        <f t="shared" si="548"/>
        <v>0</v>
      </c>
      <c r="AD751" s="627"/>
      <c r="AE751" s="21">
        <f t="shared" si="572"/>
        <v>0</v>
      </c>
      <c r="AF751" s="58" t="str">
        <f t="shared" si="573"/>
        <v/>
      </c>
      <c r="AG751" s="21">
        <f t="shared" si="574"/>
        <v>0</v>
      </c>
      <c r="AH751" s="58" t="str">
        <f t="shared" si="575"/>
        <v/>
      </c>
      <c r="AI751" s="21">
        <f t="shared" si="576"/>
        <v>0</v>
      </c>
      <c r="AJ751" s="58" t="str">
        <f t="shared" si="577"/>
        <v/>
      </c>
      <c r="AK751" s="31">
        <f t="shared" si="578"/>
        <v>0</v>
      </c>
      <c r="AL751" s="21">
        <f t="shared" si="579"/>
        <v>0</v>
      </c>
      <c r="AM751" s="62" t="str">
        <f t="shared" si="580"/>
        <v/>
      </c>
      <c r="AN751" s="21">
        <f t="shared" si="581"/>
        <v>0</v>
      </c>
      <c r="AO751" s="62" t="str">
        <f t="shared" si="582"/>
        <v/>
      </c>
      <c r="AP751" s="21">
        <f t="shared" si="583"/>
        <v>0</v>
      </c>
      <c r="AQ751" s="62" t="str">
        <f t="shared" si="584"/>
        <v/>
      </c>
      <c r="AR751" s="31">
        <f t="shared" si="585"/>
        <v>0</v>
      </c>
      <c r="AS751" s="21">
        <f t="shared" si="586"/>
        <v>0</v>
      </c>
      <c r="AT751" s="62" t="str">
        <f t="shared" si="587"/>
        <v/>
      </c>
      <c r="AU751" s="84">
        <f t="shared" si="588"/>
        <v>0</v>
      </c>
      <c r="AV751" s="32">
        <f t="shared" si="589"/>
        <v>0</v>
      </c>
      <c r="AW751" s="85" t="str">
        <f t="shared" si="590"/>
        <v/>
      </c>
      <c r="AX751" s="86" t="str">
        <f t="shared" si="591"/>
        <v/>
      </c>
    </row>
    <row r="752" spans="1:50" x14ac:dyDescent="0.2">
      <c r="A752" s="29" t="str">
        <f t="shared" si="549"/>
        <v/>
      </c>
      <c r="B752" s="32" t="str">
        <f t="shared" si="550"/>
        <v/>
      </c>
      <c r="C752" s="35"/>
      <c r="D752" s="33" t="str">
        <f t="shared" si="551"/>
        <v/>
      </c>
      <c r="E752" s="22" t="str">
        <f t="shared" si="552"/>
        <v/>
      </c>
      <c r="F752" s="23" t="str">
        <f t="shared" si="553"/>
        <v/>
      </c>
      <c r="G752" s="23"/>
      <c r="H752" s="22"/>
      <c r="I752" s="23"/>
      <c r="J752" s="18"/>
      <c r="K752" s="13" t="str">
        <f t="shared" si="554"/>
        <v/>
      </c>
      <c r="L752" s="28" t="str">
        <f t="shared" si="555"/>
        <v/>
      </c>
      <c r="M752" s="10" t="str">
        <f t="shared" si="556"/>
        <v/>
      </c>
      <c r="N752" s="17" t="str">
        <f t="shared" si="557"/>
        <v/>
      </c>
      <c r="O752" s="39" t="str">
        <f t="shared" si="558"/>
        <v/>
      </c>
      <c r="P752" s="41" t="str">
        <f t="shared" si="559"/>
        <v/>
      </c>
      <c r="Q752" s="9" t="str">
        <f t="shared" si="560"/>
        <v/>
      </c>
      <c r="R752" s="14">
        <f t="shared" si="561"/>
        <v>0</v>
      </c>
      <c r="S752" s="61" t="str">
        <f t="shared" si="562"/>
        <v/>
      </c>
      <c r="T752" s="14">
        <f t="shared" si="563"/>
        <v>0</v>
      </c>
      <c r="U752" s="58" t="str">
        <f t="shared" si="564"/>
        <v/>
      </c>
      <c r="V752" s="14">
        <f t="shared" si="565"/>
        <v>0</v>
      </c>
      <c r="W752" s="58" t="str">
        <f t="shared" si="566"/>
        <v/>
      </c>
      <c r="X752" s="14">
        <f t="shared" si="567"/>
        <v>0</v>
      </c>
      <c r="Y752" s="58" t="str">
        <f t="shared" si="568"/>
        <v/>
      </c>
      <c r="Z752" s="31">
        <f t="shared" si="569"/>
        <v>0</v>
      </c>
      <c r="AA752" s="21">
        <f t="shared" si="570"/>
        <v>0</v>
      </c>
      <c r="AB752" s="58" t="str">
        <f t="shared" si="571"/>
        <v/>
      </c>
      <c r="AC752" s="630">
        <f t="shared" si="548"/>
        <v>0</v>
      </c>
      <c r="AD752" s="627"/>
      <c r="AE752" s="21">
        <f t="shared" si="572"/>
        <v>0</v>
      </c>
      <c r="AF752" s="58" t="str">
        <f t="shared" si="573"/>
        <v/>
      </c>
      <c r="AG752" s="21">
        <f t="shared" si="574"/>
        <v>0</v>
      </c>
      <c r="AH752" s="58" t="str">
        <f t="shared" si="575"/>
        <v/>
      </c>
      <c r="AI752" s="21">
        <f t="shared" si="576"/>
        <v>0</v>
      </c>
      <c r="AJ752" s="58" t="str">
        <f t="shared" si="577"/>
        <v/>
      </c>
      <c r="AK752" s="31">
        <f t="shared" si="578"/>
        <v>0</v>
      </c>
      <c r="AL752" s="21">
        <f t="shared" si="579"/>
        <v>0</v>
      </c>
      <c r="AM752" s="62" t="str">
        <f t="shared" si="580"/>
        <v/>
      </c>
      <c r="AN752" s="21">
        <f t="shared" si="581"/>
        <v>0</v>
      </c>
      <c r="AO752" s="62" t="str">
        <f t="shared" si="582"/>
        <v/>
      </c>
      <c r="AP752" s="21">
        <f t="shared" si="583"/>
        <v>0</v>
      </c>
      <c r="AQ752" s="62" t="str">
        <f t="shared" si="584"/>
        <v/>
      </c>
      <c r="AR752" s="31">
        <f t="shared" si="585"/>
        <v>0</v>
      </c>
      <c r="AS752" s="21">
        <f t="shared" si="586"/>
        <v>0</v>
      </c>
      <c r="AT752" s="62" t="str">
        <f t="shared" si="587"/>
        <v/>
      </c>
      <c r="AU752" s="84">
        <f t="shared" si="588"/>
        <v>0</v>
      </c>
      <c r="AV752" s="32">
        <f t="shared" si="589"/>
        <v>0</v>
      </c>
      <c r="AW752" s="85" t="str">
        <f t="shared" si="590"/>
        <v/>
      </c>
      <c r="AX752" s="86" t="str">
        <f t="shared" si="591"/>
        <v/>
      </c>
    </row>
    <row r="753" spans="1:50" x14ac:dyDescent="0.2">
      <c r="A753" s="29" t="str">
        <f t="shared" si="549"/>
        <v/>
      </c>
      <c r="B753" s="32" t="str">
        <f t="shared" si="550"/>
        <v/>
      </c>
      <c r="C753" s="35"/>
      <c r="D753" s="33" t="str">
        <f t="shared" si="551"/>
        <v/>
      </c>
      <c r="E753" s="22" t="str">
        <f t="shared" si="552"/>
        <v/>
      </c>
      <c r="F753" s="23" t="str">
        <f t="shared" si="553"/>
        <v/>
      </c>
      <c r="G753" s="23"/>
      <c r="H753" s="22"/>
      <c r="I753" s="23"/>
      <c r="J753" s="18"/>
      <c r="K753" s="13" t="str">
        <f t="shared" si="554"/>
        <v/>
      </c>
      <c r="L753" s="28" t="str">
        <f t="shared" si="555"/>
        <v/>
      </c>
      <c r="M753" s="10" t="str">
        <f t="shared" si="556"/>
        <v/>
      </c>
      <c r="N753" s="17" t="str">
        <f t="shared" si="557"/>
        <v/>
      </c>
      <c r="O753" s="39" t="str">
        <f t="shared" si="558"/>
        <v/>
      </c>
      <c r="P753" s="41" t="str">
        <f t="shared" si="559"/>
        <v/>
      </c>
      <c r="Q753" s="9" t="str">
        <f t="shared" si="560"/>
        <v/>
      </c>
      <c r="R753" s="14">
        <f t="shared" si="561"/>
        <v>0</v>
      </c>
      <c r="S753" s="61" t="str">
        <f t="shared" si="562"/>
        <v/>
      </c>
      <c r="T753" s="14">
        <f t="shared" si="563"/>
        <v>0</v>
      </c>
      <c r="U753" s="58" t="str">
        <f t="shared" si="564"/>
        <v/>
      </c>
      <c r="V753" s="14">
        <f t="shared" si="565"/>
        <v>0</v>
      </c>
      <c r="W753" s="58" t="str">
        <f t="shared" si="566"/>
        <v/>
      </c>
      <c r="X753" s="14">
        <f t="shared" si="567"/>
        <v>0</v>
      </c>
      <c r="Y753" s="58" t="str">
        <f t="shared" si="568"/>
        <v/>
      </c>
      <c r="Z753" s="31">
        <f t="shared" si="569"/>
        <v>0</v>
      </c>
      <c r="AA753" s="21">
        <f t="shared" si="570"/>
        <v>0</v>
      </c>
      <c r="AB753" s="58" t="str">
        <f t="shared" si="571"/>
        <v/>
      </c>
      <c r="AC753" s="630">
        <f t="shared" si="548"/>
        <v>0</v>
      </c>
      <c r="AD753" s="627"/>
      <c r="AE753" s="21">
        <f t="shared" si="572"/>
        <v>0</v>
      </c>
      <c r="AF753" s="58" t="str">
        <f t="shared" si="573"/>
        <v/>
      </c>
      <c r="AG753" s="21">
        <f t="shared" si="574"/>
        <v>0</v>
      </c>
      <c r="AH753" s="58" t="str">
        <f t="shared" si="575"/>
        <v/>
      </c>
      <c r="AI753" s="21">
        <f t="shared" si="576"/>
        <v>0</v>
      </c>
      <c r="AJ753" s="58" t="str">
        <f t="shared" si="577"/>
        <v/>
      </c>
      <c r="AK753" s="31">
        <f t="shared" si="578"/>
        <v>0</v>
      </c>
      <c r="AL753" s="21">
        <f t="shared" si="579"/>
        <v>0</v>
      </c>
      <c r="AM753" s="62" t="str">
        <f t="shared" si="580"/>
        <v/>
      </c>
      <c r="AN753" s="21">
        <f t="shared" si="581"/>
        <v>0</v>
      </c>
      <c r="AO753" s="62" t="str">
        <f t="shared" si="582"/>
        <v/>
      </c>
      <c r="AP753" s="21">
        <f t="shared" si="583"/>
        <v>0</v>
      </c>
      <c r="AQ753" s="62" t="str">
        <f t="shared" si="584"/>
        <v/>
      </c>
      <c r="AR753" s="31">
        <f t="shared" si="585"/>
        <v>0</v>
      </c>
      <c r="AS753" s="21">
        <f t="shared" si="586"/>
        <v>0</v>
      </c>
      <c r="AT753" s="62" t="str">
        <f t="shared" si="587"/>
        <v/>
      </c>
      <c r="AU753" s="84">
        <f t="shared" si="588"/>
        <v>0</v>
      </c>
      <c r="AV753" s="32">
        <f t="shared" si="589"/>
        <v>0</v>
      </c>
      <c r="AW753" s="85" t="str">
        <f t="shared" si="590"/>
        <v/>
      </c>
      <c r="AX753" s="86" t="str">
        <f t="shared" si="591"/>
        <v/>
      </c>
    </row>
    <row r="754" spans="1:50" x14ac:dyDescent="0.2">
      <c r="A754" s="29" t="str">
        <f t="shared" si="549"/>
        <v/>
      </c>
      <c r="B754" s="32" t="str">
        <f t="shared" si="550"/>
        <v/>
      </c>
      <c r="C754" s="35"/>
      <c r="D754" s="33" t="str">
        <f t="shared" si="551"/>
        <v/>
      </c>
      <c r="E754" s="22" t="str">
        <f t="shared" si="552"/>
        <v/>
      </c>
      <c r="F754" s="23" t="str">
        <f t="shared" si="553"/>
        <v/>
      </c>
      <c r="G754" s="23"/>
      <c r="H754" s="22"/>
      <c r="I754" s="23"/>
      <c r="J754" s="18"/>
      <c r="K754" s="13" t="str">
        <f t="shared" si="554"/>
        <v/>
      </c>
      <c r="L754" s="28" t="str">
        <f t="shared" si="555"/>
        <v/>
      </c>
      <c r="M754" s="10" t="str">
        <f t="shared" si="556"/>
        <v/>
      </c>
      <c r="N754" s="17" t="str">
        <f t="shared" si="557"/>
        <v/>
      </c>
      <c r="O754" s="39" t="str">
        <f t="shared" si="558"/>
        <v/>
      </c>
      <c r="P754" s="41" t="str">
        <f t="shared" si="559"/>
        <v/>
      </c>
      <c r="Q754" s="9" t="str">
        <f t="shared" si="560"/>
        <v/>
      </c>
      <c r="R754" s="14">
        <f t="shared" si="561"/>
        <v>0</v>
      </c>
      <c r="S754" s="61" t="str">
        <f t="shared" si="562"/>
        <v/>
      </c>
      <c r="T754" s="14">
        <f t="shared" si="563"/>
        <v>0</v>
      </c>
      <c r="U754" s="58" t="str">
        <f t="shared" si="564"/>
        <v/>
      </c>
      <c r="V754" s="14">
        <f t="shared" si="565"/>
        <v>0</v>
      </c>
      <c r="W754" s="58" t="str">
        <f t="shared" si="566"/>
        <v/>
      </c>
      <c r="X754" s="14">
        <f t="shared" si="567"/>
        <v>0</v>
      </c>
      <c r="Y754" s="58" t="str">
        <f t="shared" si="568"/>
        <v/>
      </c>
      <c r="Z754" s="31">
        <f t="shared" si="569"/>
        <v>0</v>
      </c>
      <c r="AA754" s="21">
        <f t="shared" si="570"/>
        <v>0</v>
      </c>
      <c r="AB754" s="58" t="str">
        <f t="shared" si="571"/>
        <v/>
      </c>
      <c r="AC754" s="630">
        <f t="shared" si="548"/>
        <v>0</v>
      </c>
      <c r="AD754" s="627"/>
      <c r="AE754" s="21">
        <f t="shared" si="572"/>
        <v>0</v>
      </c>
      <c r="AF754" s="58" t="str">
        <f t="shared" si="573"/>
        <v/>
      </c>
      <c r="AG754" s="21">
        <f t="shared" si="574"/>
        <v>0</v>
      </c>
      <c r="AH754" s="58" t="str">
        <f t="shared" si="575"/>
        <v/>
      </c>
      <c r="AI754" s="21">
        <f t="shared" si="576"/>
        <v>0</v>
      </c>
      <c r="AJ754" s="58" t="str">
        <f t="shared" si="577"/>
        <v/>
      </c>
      <c r="AK754" s="31">
        <f t="shared" si="578"/>
        <v>0</v>
      </c>
      <c r="AL754" s="21">
        <f t="shared" si="579"/>
        <v>0</v>
      </c>
      <c r="AM754" s="62" t="str">
        <f t="shared" si="580"/>
        <v/>
      </c>
      <c r="AN754" s="21">
        <f t="shared" si="581"/>
        <v>0</v>
      </c>
      <c r="AO754" s="62" t="str">
        <f t="shared" si="582"/>
        <v/>
      </c>
      <c r="AP754" s="21">
        <f t="shared" si="583"/>
        <v>0</v>
      </c>
      <c r="AQ754" s="62" t="str">
        <f t="shared" si="584"/>
        <v/>
      </c>
      <c r="AR754" s="31">
        <f t="shared" si="585"/>
        <v>0</v>
      </c>
      <c r="AS754" s="21">
        <f t="shared" si="586"/>
        <v>0</v>
      </c>
      <c r="AT754" s="62" t="str">
        <f t="shared" si="587"/>
        <v/>
      </c>
      <c r="AU754" s="84">
        <f t="shared" si="588"/>
        <v>0</v>
      </c>
      <c r="AV754" s="32">
        <f t="shared" si="589"/>
        <v>0</v>
      </c>
      <c r="AW754" s="85" t="str">
        <f t="shared" si="590"/>
        <v/>
      </c>
      <c r="AX754" s="86" t="str">
        <f t="shared" si="591"/>
        <v/>
      </c>
    </row>
    <row r="755" spans="1:50" x14ac:dyDescent="0.2">
      <c r="A755" s="29" t="str">
        <f t="shared" si="549"/>
        <v/>
      </c>
      <c r="B755" s="32" t="str">
        <f t="shared" si="550"/>
        <v/>
      </c>
      <c r="C755" s="35"/>
      <c r="D755" s="33" t="str">
        <f t="shared" si="551"/>
        <v/>
      </c>
      <c r="E755" s="22" t="str">
        <f t="shared" si="552"/>
        <v/>
      </c>
      <c r="F755" s="23" t="str">
        <f t="shared" si="553"/>
        <v/>
      </c>
      <c r="G755" s="23"/>
      <c r="H755" s="22"/>
      <c r="I755" s="23"/>
      <c r="J755" s="18"/>
      <c r="K755" s="13" t="str">
        <f t="shared" si="554"/>
        <v/>
      </c>
      <c r="L755" s="28" t="str">
        <f t="shared" si="555"/>
        <v/>
      </c>
      <c r="M755" s="10" t="str">
        <f t="shared" si="556"/>
        <v/>
      </c>
      <c r="N755" s="17" t="str">
        <f t="shared" si="557"/>
        <v/>
      </c>
      <c r="O755" s="39" t="str">
        <f t="shared" si="558"/>
        <v/>
      </c>
      <c r="P755" s="41" t="str">
        <f t="shared" si="559"/>
        <v/>
      </c>
      <c r="Q755" s="9" t="str">
        <f t="shared" si="560"/>
        <v/>
      </c>
      <c r="R755" s="14">
        <f t="shared" si="561"/>
        <v>0</v>
      </c>
      <c r="S755" s="61" t="str">
        <f t="shared" si="562"/>
        <v/>
      </c>
      <c r="T755" s="14">
        <f t="shared" si="563"/>
        <v>0</v>
      </c>
      <c r="U755" s="58" t="str">
        <f t="shared" si="564"/>
        <v/>
      </c>
      <c r="V755" s="14">
        <f t="shared" si="565"/>
        <v>0</v>
      </c>
      <c r="W755" s="58" t="str">
        <f t="shared" si="566"/>
        <v/>
      </c>
      <c r="X755" s="14">
        <f t="shared" si="567"/>
        <v>0</v>
      </c>
      <c r="Y755" s="58" t="str">
        <f t="shared" si="568"/>
        <v/>
      </c>
      <c r="Z755" s="31">
        <f t="shared" si="569"/>
        <v>0</v>
      </c>
      <c r="AA755" s="21">
        <f t="shared" si="570"/>
        <v>0</v>
      </c>
      <c r="AB755" s="58" t="str">
        <f t="shared" si="571"/>
        <v/>
      </c>
      <c r="AC755" s="630">
        <f t="shared" si="548"/>
        <v>0</v>
      </c>
      <c r="AD755" s="627"/>
      <c r="AE755" s="21">
        <f t="shared" si="572"/>
        <v>0</v>
      </c>
      <c r="AF755" s="58" t="str">
        <f t="shared" si="573"/>
        <v/>
      </c>
      <c r="AG755" s="21">
        <f t="shared" si="574"/>
        <v>0</v>
      </c>
      <c r="AH755" s="58" t="str">
        <f t="shared" si="575"/>
        <v/>
      </c>
      <c r="AI755" s="21">
        <f t="shared" si="576"/>
        <v>0</v>
      </c>
      <c r="AJ755" s="58" t="str">
        <f t="shared" si="577"/>
        <v/>
      </c>
      <c r="AK755" s="31">
        <f t="shared" si="578"/>
        <v>0</v>
      </c>
      <c r="AL755" s="21">
        <f t="shared" si="579"/>
        <v>0</v>
      </c>
      <c r="AM755" s="62" t="str">
        <f t="shared" si="580"/>
        <v/>
      </c>
      <c r="AN755" s="21">
        <f t="shared" si="581"/>
        <v>0</v>
      </c>
      <c r="AO755" s="62" t="str">
        <f t="shared" si="582"/>
        <v/>
      </c>
      <c r="AP755" s="21">
        <f t="shared" si="583"/>
        <v>0</v>
      </c>
      <c r="AQ755" s="62" t="str">
        <f t="shared" si="584"/>
        <v/>
      </c>
      <c r="AR755" s="31">
        <f t="shared" si="585"/>
        <v>0</v>
      </c>
      <c r="AS755" s="21">
        <f t="shared" si="586"/>
        <v>0</v>
      </c>
      <c r="AT755" s="62" t="str">
        <f t="shared" si="587"/>
        <v/>
      </c>
      <c r="AU755" s="84">
        <f t="shared" si="588"/>
        <v>0</v>
      </c>
      <c r="AV755" s="32">
        <f t="shared" si="589"/>
        <v>0</v>
      </c>
      <c r="AW755" s="85" t="str">
        <f t="shared" si="590"/>
        <v/>
      </c>
      <c r="AX755" s="86" t="str">
        <f t="shared" si="591"/>
        <v/>
      </c>
    </row>
    <row r="756" spans="1:50" x14ac:dyDescent="0.2">
      <c r="A756" s="29" t="str">
        <f t="shared" si="549"/>
        <v/>
      </c>
      <c r="B756" s="32" t="str">
        <f t="shared" si="550"/>
        <v/>
      </c>
      <c r="C756" s="35"/>
      <c r="D756" s="33" t="str">
        <f t="shared" si="551"/>
        <v/>
      </c>
      <c r="E756" s="22" t="str">
        <f t="shared" si="552"/>
        <v/>
      </c>
      <c r="F756" s="23" t="str">
        <f t="shared" si="553"/>
        <v/>
      </c>
      <c r="G756" s="23"/>
      <c r="H756" s="22"/>
      <c r="I756" s="23"/>
      <c r="J756" s="18"/>
      <c r="K756" s="13" t="str">
        <f t="shared" si="554"/>
        <v/>
      </c>
      <c r="L756" s="28" t="str">
        <f t="shared" si="555"/>
        <v/>
      </c>
      <c r="M756" s="10" t="str">
        <f t="shared" si="556"/>
        <v/>
      </c>
      <c r="N756" s="17" t="str">
        <f t="shared" si="557"/>
        <v/>
      </c>
      <c r="O756" s="39" t="str">
        <f t="shared" si="558"/>
        <v/>
      </c>
      <c r="P756" s="41" t="str">
        <f t="shared" si="559"/>
        <v/>
      </c>
      <c r="Q756" s="9" t="str">
        <f t="shared" si="560"/>
        <v/>
      </c>
      <c r="R756" s="14">
        <f t="shared" si="561"/>
        <v>0</v>
      </c>
      <c r="S756" s="61" t="str">
        <f t="shared" si="562"/>
        <v/>
      </c>
      <c r="T756" s="14">
        <f t="shared" si="563"/>
        <v>0</v>
      </c>
      <c r="U756" s="58" t="str">
        <f t="shared" si="564"/>
        <v/>
      </c>
      <c r="V756" s="14">
        <f t="shared" si="565"/>
        <v>0</v>
      </c>
      <c r="W756" s="58" t="str">
        <f t="shared" si="566"/>
        <v/>
      </c>
      <c r="X756" s="14">
        <f t="shared" si="567"/>
        <v>0</v>
      </c>
      <c r="Y756" s="58" t="str">
        <f t="shared" si="568"/>
        <v/>
      </c>
      <c r="Z756" s="31">
        <f t="shared" si="569"/>
        <v>0</v>
      </c>
      <c r="AA756" s="21">
        <f t="shared" si="570"/>
        <v>0</v>
      </c>
      <c r="AB756" s="58" t="str">
        <f t="shared" si="571"/>
        <v/>
      </c>
      <c r="AC756" s="630">
        <f t="shared" si="548"/>
        <v>0</v>
      </c>
      <c r="AD756" s="627"/>
      <c r="AE756" s="21">
        <f t="shared" si="572"/>
        <v>0</v>
      </c>
      <c r="AF756" s="58" t="str">
        <f t="shared" si="573"/>
        <v/>
      </c>
      <c r="AG756" s="21">
        <f t="shared" si="574"/>
        <v>0</v>
      </c>
      <c r="AH756" s="58" t="str">
        <f t="shared" si="575"/>
        <v/>
      </c>
      <c r="AI756" s="21">
        <f t="shared" si="576"/>
        <v>0</v>
      </c>
      <c r="AJ756" s="58" t="str">
        <f t="shared" si="577"/>
        <v/>
      </c>
      <c r="AK756" s="31">
        <f t="shared" si="578"/>
        <v>0</v>
      </c>
      <c r="AL756" s="21">
        <f t="shared" si="579"/>
        <v>0</v>
      </c>
      <c r="AM756" s="62" t="str">
        <f t="shared" si="580"/>
        <v/>
      </c>
      <c r="AN756" s="21">
        <f t="shared" si="581"/>
        <v>0</v>
      </c>
      <c r="AO756" s="62" t="str">
        <f t="shared" si="582"/>
        <v/>
      </c>
      <c r="AP756" s="21">
        <f t="shared" si="583"/>
        <v>0</v>
      </c>
      <c r="AQ756" s="62" t="str">
        <f t="shared" si="584"/>
        <v/>
      </c>
      <c r="AR756" s="31">
        <f t="shared" si="585"/>
        <v>0</v>
      </c>
      <c r="AS756" s="21">
        <f t="shared" si="586"/>
        <v>0</v>
      </c>
      <c r="AT756" s="62" t="str">
        <f t="shared" si="587"/>
        <v/>
      </c>
      <c r="AU756" s="84">
        <f t="shared" si="588"/>
        <v>0</v>
      </c>
      <c r="AV756" s="32">
        <f t="shared" si="589"/>
        <v>0</v>
      </c>
      <c r="AW756" s="85" t="str">
        <f t="shared" si="590"/>
        <v/>
      </c>
      <c r="AX756" s="86" t="str">
        <f t="shared" si="591"/>
        <v/>
      </c>
    </row>
    <row r="757" spans="1:50" x14ac:dyDescent="0.2">
      <c r="A757" s="29" t="str">
        <f t="shared" si="549"/>
        <v/>
      </c>
      <c r="B757" s="32" t="str">
        <f t="shared" si="550"/>
        <v/>
      </c>
      <c r="C757" s="35"/>
      <c r="D757" s="33" t="str">
        <f t="shared" si="551"/>
        <v/>
      </c>
      <c r="E757" s="22" t="str">
        <f t="shared" si="552"/>
        <v/>
      </c>
      <c r="F757" s="23" t="str">
        <f t="shared" si="553"/>
        <v/>
      </c>
      <c r="G757" s="23"/>
      <c r="H757" s="22"/>
      <c r="I757" s="23"/>
      <c r="J757" s="18"/>
      <c r="K757" s="13" t="str">
        <f t="shared" si="554"/>
        <v/>
      </c>
      <c r="L757" s="28" t="str">
        <f t="shared" si="555"/>
        <v/>
      </c>
      <c r="M757" s="10" t="str">
        <f t="shared" si="556"/>
        <v/>
      </c>
      <c r="N757" s="17" t="str">
        <f t="shared" si="557"/>
        <v/>
      </c>
      <c r="O757" s="39" t="str">
        <f t="shared" si="558"/>
        <v/>
      </c>
      <c r="P757" s="41" t="str">
        <f t="shared" si="559"/>
        <v/>
      </c>
      <c r="Q757" s="9" t="str">
        <f t="shared" si="560"/>
        <v/>
      </c>
      <c r="R757" s="14">
        <f t="shared" si="561"/>
        <v>0</v>
      </c>
      <c r="S757" s="61" t="str">
        <f t="shared" si="562"/>
        <v/>
      </c>
      <c r="T757" s="14">
        <f t="shared" si="563"/>
        <v>0</v>
      </c>
      <c r="U757" s="58" t="str">
        <f t="shared" si="564"/>
        <v/>
      </c>
      <c r="V757" s="14">
        <f t="shared" si="565"/>
        <v>0</v>
      </c>
      <c r="W757" s="58" t="str">
        <f t="shared" si="566"/>
        <v/>
      </c>
      <c r="X757" s="14">
        <f t="shared" si="567"/>
        <v>0</v>
      </c>
      <c r="Y757" s="58" t="str">
        <f t="shared" si="568"/>
        <v/>
      </c>
      <c r="Z757" s="31">
        <f t="shared" si="569"/>
        <v>0</v>
      </c>
      <c r="AA757" s="21">
        <f t="shared" si="570"/>
        <v>0</v>
      </c>
      <c r="AB757" s="58" t="str">
        <f t="shared" si="571"/>
        <v/>
      </c>
      <c r="AC757" s="630">
        <f t="shared" si="548"/>
        <v>0</v>
      </c>
      <c r="AD757" s="627"/>
      <c r="AE757" s="21">
        <f t="shared" si="572"/>
        <v>0</v>
      </c>
      <c r="AF757" s="58" t="str">
        <f t="shared" si="573"/>
        <v/>
      </c>
      <c r="AG757" s="21">
        <f t="shared" si="574"/>
        <v>0</v>
      </c>
      <c r="AH757" s="58" t="str">
        <f t="shared" si="575"/>
        <v/>
      </c>
      <c r="AI757" s="21">
        <f t="shared" si="576"/>
        <v>0</v>
      </c>
      <c r="AJ757" s="58" t="str">
        <f t="shared" si="577"/>
        <v/>
      </c>
      <c r="AK757" s="31">
        <f t="shared" si="578"/>
        <v>0</v>
      </c>
      <c r="AL757" s="21">
        <f t="shared" si="579"/>
        <v>0</v>
      </c>
      <c r="AM757" s="62" t="str">
        <f t="shared" si="580"/>
        <v/>
      </c>
      <c r="AN757" s="21">
        <f t="shared" si="581"/>
        <v>0</v>
      </c>
      <c r="AO757" s="62" t="str">
        <f t="shared" si="582"/>
        <v/>
      </c>
      <c r="AP757" s="21">
        <f t="shared" si="583"/>
        <v>0</v>
      </c>
      <c r="AQ757" s="62" t="str">
        <f t="shared" si="584"/>
        <v/>
      </c>
      <c r="AR757" s="31">
        <f t="shared" si="585"/>
        <v>0</v>
      </c>
      <c r="AS757" s="21">
        <f t="shared" si="586"/>
        <v>0</v>
      </c>
      <c r="AT757" s="62" t="str">
        <f t="shared" si="587"/>
        <v/>
      </c>
      <c r="AU757" s="84">
        <f t="shared" si="588"/>
        <v>0</v>
      </c>
      <c r="AV757" s="32">
        <f t="shared" si="589"/>
        <v>0</v>
      </c>
      <c r="AW757" s="85" t="str">
        <f t="shared" si="590"/>
        <v/>
      </c>
      <c r="AX757" s="86" t="str">
        <f t="shared" si="591"/>
        <v/>
      </c>
    </row>
    <row r="758" spans="1:50" x14ac:dyDescent="0.2">
      <c r="A758" s="29" t="str">
        <f t="shared" si="549"/>
        <v/>
      </c>
      <c r="B758" s="32" t="str">
        <f t="shared" si="550"/>
        <v/>
      </c>
      <c r="C758" s="35"/>
      <c r="D758" s="33" t="str">
        <f t="shared" si="551"/>
        <v/>
      </c>
      <c r="E758" s="22" t="str">
        <f t="shared" si="552"/>
        <v/>
      </c>
      <c r="F758" s="23" t="str">
        <f t="shared" si="553"/>
        <v/>
      </c>
      <c r="G758" s="23"/>
      <c r="H758" s="22"/>
      <c r="I758" s="23"/>
      <c r="J758" s="18"/>
      <c r="K758" s="13" t="str">
        <f t="shared" si="554"/>
        <v/>
      </c>
      <c r="L758" s="28" t="str">
        <f t="shared" si="555"/>
        <v/>
      </c>
      <c r="M758" s="10" t="str">
        <f t="shared" si="556"/>
        <v/>
      </c>
      <c r="N758" s="17" t="str">
        <f t="shared" si="557"/>
        <v/>
      </c>
      <c r="O758" s="39" t="str">
        <f t="shared" si="558"/>
        <v/>
      </c>
      <c r="P758" s="41" t="str">
        <f t="shared" si="559"/>
        <v/>
      </c>
      <c r="Q758" s="9" t="str">
        <f t="shared" si="560"/>
        <v/>
      </c>
      <c r="R758" s="14">
        <f t="shared" si="561"/>
        <v>0</v>
      </c>
      <c r="S758" s="61" t="str">
        <f t="shared" si="562"/>
        <v/>
      </c>
      <c r="T758" s="14">
        <f t="shared" si="563"/>
        <v>0</v>
      </c>
      <c r="U758" s="58" t="str">
        <f t="shared" si="564"/>
        <v/>
      </c>
      <c r="V758" s="14">
        <f t="shared" si="565"/>
        <v>0</v>
      </c>
      <c r="W758" s="58" t="str">
        <f t="shared" si="566"/>
        <v/>
      </c>
      <c r="X758" s="14">
        <f t="shared" si="567"/>
        <v>0</v>
      </c>
      <c r="Y758" s="58" t="str">
        <f t="shared" si="568"/>
        <v/>
      </c>
      <c r="Z758" s="31">
        <f t="shared" si="569"/>
        <v>0</v>
      </c>
      <c r="AA758" s="21">
        <f t="shared" si="570"/>
        <v>0</v>
      </c>
      <c r="AB758" s="58" t="str">
        <f t="shared" si="571"/>
        <v/>
      </c>
      <c r="AC758" s="630">
        <f t="shared" si="548"/>
        <v>0</v>
      </c>
      <c r="AD758" s="627"/>
      <c r="AE758" s="21">
        <f t="shared" si="572"/>
        <v>0</v>
      </c>
      <c r="AF758" s="58" t="str">
        <f t="shared" si="573"/>
        <v/>
      </c>
      <c r="AG758" s="21">
        <f t="shared" si="574"/>
        <v>0</v>
      </c>
      <c r="AH758" s="58" t="str">
        <f t="shared" si="575"/>
        <v/>
      </c>
      <c r="AI758" s="21">
        <f t="shared" si="576"/>
        <v>0</v>
      </c>
      <c r="AJ758" s="58" t="str">
        <f t="shared" si="577"/>
        <v/>
      </c>
      <c r="AK758" s="31">
        <f t="shared" si="578"/>
        <v>0</v>
      </c>
      <c r="AL758" s="21">
        <f t="shared" si="579"/>
        <v>0</v>
      </c>
      <c r="AM758" s="62" t="str">
        <f t="shared" si="580"/>
        <v/>
      </c>
      <c r="AN758" s="21">
        <f t="shared" si="581"/>
        <v>0</v>
      </c>
      <c r="AO758" s="62" t="str">
        <f t="shared" si="582"/>
        <v/>
      </c>
      <c r="AP758" s="21">
        <f t="shared" si="583"/>
        <v>0</v>
      </c>
      <c r="AQ758" s="62" t="str">
        <f t="shared" si="584"/>
        <v/>
      </c>
      <c r="AR758" s="31">
        <f t="shared" si="585"/>
        <v>0</v>
      </c>
      <c r="AS758" s="21">
        <f t="shared" si="586"/>
        <v>0</v>
      </c>
      <c r="AT758" s="62" t="str">
        <f t="shared" si="587"/>
        <v/>
      </c>
      <c r="AU758" s="84">
        <f t="shared" si="588"/>
        <v>0</v>
      </c>
      <c r="AV758" s="32">
        <f t="shared" si="589"/>
        <v>0</v>
      </c>
      <c r="AW758" s="85" t="str">
        <f t="shared" si="590"/>
        <v/>
      </c>
      <c r="AX758" s="86" t="str">
        <f t="shared" si="591"/>
        <v/>
      </c>
    </row>
    <row r="759" spans="1:50" x14ac:dyDescent="0.2">
      <c r="A759" s="29" t="str">
        <f t="shared" si="549"/>
        <v/>
      </c>
      <c r="B759" s="32" t="str">
        <f t="shared" si="550"/>
        <v/>
      </c>
      <c r="C759" s="35"/>
      <c r="D759" s="33" t="str">
        <f t="shared" si="551"/>
        <v/>
      </c>
      <c r="E759" s="22" t="str">
        <f t="shared" si="552"/>
        <v/>
      </c>
      <c r="F759" s="23" t="str">
        <f t="shared" si="553"/>
        <v/>
      </c>
      <c r="G759" s="23"/>
      <c r="H759" s="22"/>
      <c r="I759" s="23"/>
      <c r="J759" s="18"/>
      <c r="K759" s="13" t="str">
        <f t="shared" si="554"/>
        <v/>
      </c>
      <c r="L759" s="28" t="str">
        <f t="shared" si="555"/>
        <v/>
      </c>
      <c r="M759" s="10" t="str">
        <f t="shared" si="556"/>
        <v/>
      </c>
      <c r="N759" s="17" t="str">
        <f t="shared" si="557"/>
        <v/>
      </c>
      <c r="O759" s="39" t="str">
        <f t="shared" si="558"/>
        <v/>
      </c>
      <c r="P759" s="41" t="str">
        <f t="shared" si="559"/>
        <v/>
      </c>
      <c r="Q759" s="9" t="str">
        <f t="shared" si="560"/>
        <v/>
      </c>
      <c r="R759" s="14">
        <f t="shared" si="561"/>
        <v>0</v>
      </c>
      <c r="S759" s="61" t="str">
        <f t="shared" si="562"/>
        <v/>
      </c>
      <c r="T759" s="14">
        <f t="shared" si="563"/>
        <v>0</v>
      </c>
      <c r="U759" s="58" t="str">
        <f t="shared" si="564"/>
        <v/>
      </c>
      <c r="V759" s="14">
        <f t="shared" si="565"/>
        <v>0</v>
      </c>
      <c r="W759" s="58" t="str">
        <f t="shared" si="566"/>
        <v/>
      </c>
      <c r="X759" s="14">
        <f t="shared" si="567"/>
        <v>0</v>
      </c>
      <c r="Y759" s="58" t="str">
        <f t="shared" si="568"/>
        <v/>
      </c>
      <c r="Z759" s="31">
        <f t="shared" si="569"/>
        <v>0</v>
      </c>
      <c r="AA759" s="21">
        <f t="shared" si="570"/>
        <v>0</v>
      </c>
      <c r="AB759" s="58" t="str">
        <f t="shared" si="571"/>
        <v/>
      </c>
      <c r="AC759" s="630">
        <f t="shared" si="548"/>
        <v>0</v>
      </c>
      <c r="AD759" s="627"/>
      <c r="AE759" s="21">
        <f t="shared" si="572"/>
        <v>0</v>
      </c>
      <c r="AF759" s="58" t="str">
        <f t="shared" si="573"/>
        <v/>
      </c>
      <c r="AG759" s="21">
        <f t="shared" si="574"/>
        <v>0</v>
      </c>
      <c r="AH759" s="58" t="str">
        <f t="shared" si="575"/>
        <v/>
      </c>
      <c r="AI759" s="21">
        <f t="shared" si="576"/>
        <v>0</v>
      </c>
      <c r="AJ759" s="58" t="str">
        <f t="shared" si="577"/>
        <v/>
      </c>
      <c r="AK759" s="31">
        <f t="shared" si="578"/>
        <v>0</v>
      </c>
      <c r="AL759" s="21">
        <f t="shared" si="579"/>
        <v>0</v>
      </c>
      <c r="AM759" s="62" t="str">
        <f t="shared" si="580"/>
        <v/>
      </c>
      <c r="AN759" s="21">
        <f t="shared" si="581"/>
        <v>0</v>
      </c>
      <c r="AO759" s="62" t="str">
        <f t="shared" si="582"/>
        <v/>
      </c>
      <c r="AP759" s="21">
        <f t="shared" si="583"/>
        <v>0</v>
      </c>
      <c r="AQ759" s="62" t="str">
        <f t="shared" si="584"/>
        <v/>
      </c>
      <c r="AR759" s="31">
        <f t="shared" si="585"/>
        <v>0</v>
      </c>
      <c r="AS759" s="21">
        <f t="shared" si="586"/>
        <v>0</v>
      </c>
      <c r="AT759" s="62" t="str">
        <f t="shared" si="587"/>
        <v/>
      </c>
      <c r="AU759" s="84">
        <f t="shared" si="588"/>
        <v>0</v>
      </c>
      <c r="AV759" s="32">
        <f t="shared" si="589"/>
        <v>0</v>
      </c>
      <c r="AW759" s="85" t="str">
        <f t="shared" si="590"/>
        <v/>
      </c>
      <c r="AX759" s="86" t="str">
        <f t="shared" si="591"/>
        <v/>
      </c>
    </row>
    <row r="760" spans="1:50" x14ac:dyDescent="0.2">
      <c r="A760" s="29" t="str">
        <f t="shared" si="549"/>
        <v/>
      </c>
      <c r="B760" s="32" t="str">
        <f t="shared" si="550"/>
        <v/>
      </c>
      <c r="C760" s="35"/>
      <c r="D760" s="33" t="str">
        <f t="shared" si="551"/>
        <v/>
      </c>
      <c r="E760" s="22" t="str">
        <f t="shared" si="552"/>
        <v/>
      </c>
      <c r="F760" s="23" t="str">
        <f t="shared" si="553"/>
        <v/>
      </c>
      <c r="G760" s="23"/>
      <c r="H760" s="22"/>
      <c r="I760" s="23"/>
      <c r="J760" s="18"/>
      <c r="K760" s="13" t="str">
        <f t="shared" si="554"/>
        <v/>
      </c>
      <c r="L760" s="28" t="str">
        <f t="shared" si="555"/>
        <v/>
      </c>
      <c r="M760" s="10" t="str">
        <f t="shared" si="556"/>
        <v/>
      </c>
      <c r="N760" s="17" t="str">
        <f t="shared" si="557"/>
        <v/>
      </c>
      <c r="O760" s="39" t="str">
        <f t="shared" si="558"/>
        <v/>
      </c>
      <c r="P760" s="41" t="str">
        <f t="shared" si="559"/>
        <v/>
      </c>
      <c r="Q760" s="9" t="str">
        <f t="shared" si="560"/>
        <v/>
      </c>
      <c r="R760" s="14">
        <f t="shared" si="561"/>
        <v>0</v>
      </c>
      <c r="S760" s="61" t="str">
        <f t="shared" si="562"/>
        <v/>
      </c>
      <c r="T760" s="14">
        <f t="shared" si="563"/>
        <v>0</v>
      </c>
      <c r="U760" s="58" t="str">
        <f t="shared" si="564"/>
        <v/>
      </c>
      <c r="V760" s="14">
        <f t="shared" si="565"/>
        <v>0</v>
      </c>
      <c r="W760" s="58" t="str">
        <f t="shared" si="566"/>
        <v/>
      </c>
      <c r="X760" s="14">
        <f t="shared" si="567"/>
        <v>0</v>
      </c>
      <c r="Y760" s="58" t="str">
        <f t="shared" si="568"/>
        <v/>
      </c>
      <c r="Z760" s="31">
        <f t="shared" si="569"/>
        <v>0</v>
      </c>
      <c r="AA760" s="21">
        <f t="shared" si="570"/>
        <v>0</v>
      </c>
      <c r="AB760" s="58" t="str">
        <f t="shared" si="571"/>
        <v/>
      </c>
      <c r="AC760" s="630">
        <f t="shared" si="548"/>
        <v>0</v>
      </c>
      <c r="AD760" s="627"/>
      <c r="AE760" s="21">
        <f t="shared" si="572"/>
        <v>0</v>
      </c>
      <c r="AF760" s="58" t="str">
        <f t="shared" si="573"/>
        <v/>
      </c>
      <c r="AG760" s="21">
        <f t="shared" si="574"/>
        <v>0</v>
      </c>
      <c r="AH760" s="58" t="str">
        <f t="shared" si="575"/>
        <v/>
      </c>
      <c r="AI760" s="21">
        <f t="shared" si="576"/>
        <v>0</v>
      </c>
      <c r="AJ760" s="58" t="str">
        <f t="shared" si="577"/>
        <v/>
      </c>
      <c r="AK760" s="31">
        <f t="shared" si="578"/>
        <v>0</v>
      </c>
      <c r="AL760" s="21">
        <f t="shared" si="579"/>
        <v>0</v>
      </c>
      <c r="AM760" s="62" t="str">
        <f t="shared" si="580"/>
        <v/>
      </c>
      <c r="AN760" s="21">
        <f t="shared" si="581"/>
        <v>0</v>
      </c>
      <c r="AO760" s="62" t="str">
        <f t="shared" si="582"/>
        <v/>
      </c>
      <c r="AP760" s="21">
        <f t="shared" si="583"/>
        <v>0</v>
      </c>
      <c r="AQ760" s="62" t="str">
        <f t="shared" si="584"/>
        <v/>
      </c>
      <c r="AR760" s="31">
        <f t="shared" si="585"/>
        <v>0</v>
      </c>
      <c r="AS760" s="21">
        <f t="shared" si="586"/>
        <v>0</v>
      </c>
      <c r="AT760" s="62" t="str">
        <f t="shared" si="587"/>
        <v/>
      </c>
      <c r="AU760" s="84">
        <f t="shared" si="588"/>
        <v>0</v>
      </c>
      <c r="AV760" s="32">
        <f t="shared" si="589"/>
        <v>0</v>
      </c>
      <c r="AW760" s="85" t="str">
        <f t="shared" si="590"/>
        <v/>
      </c>
      <c r="AX760" s="86" t="str">
        <f t="shared" si="591"/>
        <v/>
      </c>
    </row>
    <row r="761" spans="1:50" x14ac:dyDescent="0.2">
      <c r="A761" s="29" t="str">
        <f t="shared" si="549"/>
        <v/>
      </c>
      <c r="B761" s="32" t="str">
        <f t="shared" si="550"/>
        <v/>
      </c>
      <c r="C761" s="35"/>
      <c r="D761" s="33" t="str">
        <f t="shared" si="551"/>
        <v/>
      </c>
      <c r="E761" s="22" t="str">
        <f t="shared" si="552"/>
        <v/>
      </c>
      <c r="F761" s="23" t="str">
        <f t="shared" si="553"/>
        <v/>
      </c>
      <c r="G761" s="23"/>
      <c r="H761" s="22"/>
      <c r="I761" s="23"/>
      <c r="J761" s="18"/>
      <c r="K761" s="13" t="str">
        <f t="shared" si="554"/>
        <v/>
      </c>
      <c r="L761" s="28" t="str">
        <f t="shared" si="555"/>
        <v/>
      </c>
      <c r="M761" s="10" t="str">
        <f t="shared" si="556"/>
        <v/>
      </c>
      <c r="N761" s="17" t="str">
        <f t="shared" si="557"/>
        <v/>
      </c>
      <c r="O761" s="39" t="str">
        <f t="shared" si="558"/>
        <v/>
      </c>
      <c r="P761" s="41" t="str">
        <f t="shared" si="559"/>
        <v/>
      </c>
      <c r="Q761" s="9" t="str">
        <f t="shared" si="560"/>
        <v/>
      </c>
      <c r="R761" s="14">
        <f t="shared" si="561"/>
        <v>0</v>
      </c>
      <c r="S761" s="61" t="str">
        <f t="shared" si="562"/>
        <v/>
      </c>
      <c r="T761" s="14">
        <f t="shared" si="563"/>
        <v>0</v>
      </c>
      <c r="U761" s="58" t="str">
        <f t="shared" si="564"/>
        <v/>
      </c>
      <c r="V761" s="14">
        <f t="shared" si="565"/>
        <v>0</v>
      </c>
      <c r="W761" s="58" t="str">
        <f t="shared" si="566"/>
        <v/>
      </c>
      <c r="X761" s="14">
        <f t="shared" si="567"/>
        <v>0</v>
      </c>
      <c r="Y761" s="58" t="str">
        <f t="shared" si="568"/>
        <v/>
      </c>
      <c r="Z761" s="31">
        <f t="shared" si="569"/>
        <v>0</v>
      </c>
      <c r="AA761" s="21">
        <f t="shared" si="570"/>
        <v>0</v>
      </c>
      <c r="AB761" s="58" t="str">
        <f t="shared" si="571"/>
        <v/>
      </c>
      <c r="AC761" s="630">
        <f t="shared" si="548"/>
        <v>0</v>
      </c>
      <c r="AD761" s="627"/>
      <c r="AE761" s="21">
        <f t="shared" si="572"/>
        <v>0</v>
      </c>
      <c r="AF761" s="58" t="str">
        <f t="shared" si="573"/>
        <v/>
      </c>
      <c r="AG761" s="21">
        <f t="shared" si="574"/>
        <v>0</v>
      </c>
      <c r="AH761" s="58" t="str">
        <f t="shared" si="575"/>
        <v/>
      </c>
      <c r="AI761" s="21">
        <f t="shared" si="576"/>
        <v>0</v>
      </c>
      <c r="AJ761" s="58" t="str">
        <f t="shared" si="577"/>
        <v/>
      </c>
      <c r="AK761" s="31">
        <f t="shared" si="578"/>
        <v>0</v>
      </c>
      <c r="AL761" s="21">
        <f t="shared" si="579"/>
        <v>0</v>
      </c>
      <c r="AM761" s="62" t="str">
        <f t="shared" si="580"/>
        <v/>
      </c>
      <c r="AN761" s="21">
        <f t="shared" si="581"/>
        <v>0</v>
      </c>
      <c r="AO761" s="62" t="str">
        <f t="shared" si="582"/>
        <v/>
      </c>
      <c r="AP761" s="21">
        <f t="shared" si="583"/>
        <v>0</v>
      </c>
      <c r="AQ761" s="62" t="str">
        <f t="shared" si="584"/>
        <v/>
      </c>
      <c r="AR761" s="31">
        <f t="shared" si="585"/>
        <v>0</v>
      </c>
      <c r="AS761" s="21">
        <f t="shared" si="586"/>
        <v>0</v>
      </c>
      <c r="AT761" s="62" t="str">
        <f t="shared" si="587"/>
        <v/>
      </c>
      <c r="AU761" s="84">
        <f t="shared" si="588"/>
        <v>0</v>
      </c>
      <c r="AV761" s="32">
        <f t="shared" si="589"/>
        <v>0</v>
      </c>
      <c r="AW761" s="85" t="str">
        <f t="shared" si="590"/>
        <v/>
      </c>
      <c r="AX761" s="86" t="str">
        <f t="shared" si="591"/>
        <v/>
      </c>
    </row>
    <row r="762" spans="1:50" x14ac:dyDescent="0.2">
      <c r="A762" s="29" t="str">
        <f t="shared" si="549"/>
        <v/>
      </c>
      <c r="B762" s="32" t="str">
        <f t="shared" si="550"/>
        <v/>
      </c>
      <c r="C762" s="35"/>
      <c r="D762" s="33" t="str">
        <f t="shared" si="551"/>
        <v/>
      </c>
      <c r="E762" s="22" t="str">
        <f t="shared" si="552"/>
        <v/>
      </c>
      <c r="F762" s="23" t="str">
        <f t="shared" si="553"/>
        <v/>
      </c>
      <c r="G762" s="23"/>
      <c r="H762" s="22"/>
      <c r="I762" s="23"/>
      <c r="J762" s="18"/>
      <c r="K762" s="13" t="str">
        <f t="shared" si="554"/>
        <v/>
      </c>
      <c r="L762" s="28" t="str">
        <f t="shared" si="555"/>
        <v/>
      </c>
      <c r="M762" s="10" t="str">
        <f t="shared" si="556"/>
        <v/>
      </c>
      <c r="N762" s="17" t="str">
        <f t="shared" si="557"/>
        <v/>
      </c>
      <c r="O762" s="39" t="str">
        <f t="shared" si="558"/>
        <v/>
      </c>
      <c r="P762" s="41" t="str">
        <f t="shared" si="559"/>
        <v/>
      </c>
      <c r="Q762" s="9" t="str">
        <f t="shared" si="560"/>
        <v/>
      </c>
      <c r="R762" s="14">
        <f t="shared" si="561"/>
        <v>0</v>
      </c>
      <c r="S762" s="61" t="str">
        <f t="shared" si="562"/>
        <v/>
      </c>
      <c r="T762" s="14">
        <f t="shared" si="563"/>
        <v>0</v>
      </c>
      <c r="U762" s="58" t="str">
        <f t="shared" si="564"/>
        <v/>
      </c>
      <c r="V762" s="14">
        <f t="shared" si="565"/>
        <v>0</v>
      </c>
      <c r="W762" s="58" t="str">
        <f t="shared" si="566"/>
        <v/>
      </c>
      <c r="X762" s="14">
        <f t="shared" si="567"/>
        <v>0</v>
      </c>
      <c r="Y762" s="58" t="str">
        <f t="shared" si="568"/>
        <v/>
      </c>
      <c r="Z762" s="31">
        <f t="shared" si="569"/>
        <v>0</v>
      </c>
      <c r="AA762" s="21">
        <f t="shared" si="570"/>
        <v>0</v>
      </c>
      <c r="AB762" s="58" t="str">
        <f t="shared" si="571"/>
        <v/>
      </c>
      <c r="AC762" s="630">
        <f t="shared" si="548"/>
        <v>0</v>
      </c>
      <c r="AD762" s="627"/>
      <c r="AE762" s="21">
        <f t="shared" si="572"/>
        <v>0</v>
      </c>
      <c r="AF762" s="58" t="str">
        <f t="shared" si="573"/>
        <v/>
      </c>
      <c r="AG762" s="21">
        <f t="shared" si="574"/>
        <v>0</v>
      </c>
      <c r="AH762" s="58" t="str">
        <f t="shared" si="575"/>
        <v/>
      </c>
      <c r="AI762" s="21">
        <f t="shared" si="576"/>
        <v>0</v>
      </c>
      <c r="AJ762" s="58" t="str">
        <f t="shared" si="577"/>
        <v/>
      </c>
      <c r="AK762" s="31">
        <f t="shared" si="578"/>
        <v>0</v>
      </c>
      <c r="AL762" s="21">
        <f t="shared" si="579"/>
        <v>0</v>
      </c>
      <c r="AM762" s="62" t="str">
        <f t="shared" si="580"/>
        <v/>
      </c>
      <c r="AN762" s="21">
        <f t="shared" si="581"/>
        <v>0</v>
      </c>
      <c r="AO762" s="62" t="str">
        <f t="shared" si="582"/>
        <v/>
      </c>
      <c r="AP762" s="21">
        <f t="shared" si="583"/>
        <v>0</v>
      </c>
      <c r="AQ762" s="62" t="str">
        <f t="shared" si="584"/>
        <v/>
      </c>
      <c r="AR762" s="31">
        <f t="shared" si="585"/>
        <v>0</v>
      </c>
      <c r="AS762" s="21">
        <f t="shared" si="586"/>
        <v>0</v>
      </c>
      <c r="AT762" s="62" t="str">
        <f t="shared" si="587"/>
        <v/>
      </c>
      <c r="AU762" s="84">
        <f t="shared" si="588"/>
        <v>0</v>
      </c>
      <c r="AV762" s="32">
        <f t="shared" si="589"/>
        <v>0</v>
      </c>
      <c r="AW762" s="85" t="str">
        <f t="shared" si="590"/>
        <v/>
      </c>
      <c r="AX762" s="86" t="str">
        <f t="shared" si="591"/>
        <v/>
      </c>
    </row>
    <row r="763" spans="1:50" x14ac:dyDescent="0.2">
      <c r="A763" s="29" t="str">
        <f t="shared" si="549"/>
        <v/>
      </c>
      <c r="B763" s="32" t="str">
        <f t="shared" si="550"/>
        <v/>
      </c>
      <c r="C763" s="35"/>
      <c r="D763" s="33" t="str">
        <f t="shared" si="551"/>
        <v/>
      </c>
      <c r="E763" s="22" t="str">
        <f t="shared" si="552"/>
        <v/>
      </c>
      <c r="F763" s="23" t="str">
        <f t="shared" si="553"/>
        <v/>
      </c>
      <c r="G763" s="23"/>
      <c r="H763" s="22"/>
      <c r="I763" s="23"/>
      <c r="J763" s="18"/>
      <c r="K763" s="13" t="str">
        <f t="shared" si="554"/>
        <v/>
      </c>
      <c r="L763" s="28" t="str">
        <f t="shared" si="555"/>
        <v/>
      </c>
      <c r="M763" s="10" t="str">
        <f t="shared" si="556"/>
        <v/>
      </c>
      <c r="N763" s="17" t="str">
        <f t="shared" si="557"/>
        <v/>
      </c>
      <c r="O763" s="39" t="str">
        <f t="shared" si="558"/>
        <v/>
      </c>
      <c r="P763" s="41" t="str">
        <f t="shared" si="559"/>
        <v/>
      </c>
      <c r="Q763" s="9" t="str">
        <f t="shared" si="560"/>
        <v/>
      </c>
      <c r="R763" s="14">
        <f t="shared" si="561"/>
        <v>0</v>
      </c>
      <c r="S763" s="61" t="str">
        <f t="shared" si="562"/>
        <v/>
      </c>
      <c r="T763" s="14">
        <f t="shared" si="563"/>
        <v>0</v>
      </c>
      <c r="U763" s="58" t="str">
        <f t="shared" si="564"/>
        <v/>
      </c>
      <c r="V763" s="14">
        <f t="shared" si="565"/>
        <v>0</v>
      </c>
      <c r="W763" s="58" t="str">
        <f t="shared" si="566"/>
        <v/>
      </c>
      <c r="X763" s="14">
        <f t="shared" si="567"/>
        <v>0</v>
      </c>
      <c r="Y763" s="58" t="str">
        <f t="shared" si="568"/>
        <v/>
      </c>
      <c r="Z763" s="31">
        <f t="shared" si="569"/>
        <v>0</v>
      </c>
      <c r="AA763" s="21">
        <f t="shared" si="570"/>
        <v>0</v>
      </c>
      <c r="AB763" s="58" t="str">
        <f t="shared" si="571"/>
        <v/>
      </c>
      <c r="AC763" s="630">
        <f t="shared" si="548"/>
        <v>0</v>
      </c>
      <c r="AD763" s="627"/>
      <c r="AE763" s="21">
        <f t="shared" si="572"/>
        <v>0</v>
      </c>
      <c r="AF763" s="58" t="str">
        <f t="shared" si="573"/>
        <v/>
      </c>
      <c r="AG763" s="21">
        <f t="shared" si="574"/>
        <v>0</v>
      </c>
      <c r="AH763" s="58" t="str">
        <f t="shared" si="575"/>
        <v/>
      </c>
      <c r="AI763" s="21">
        <f t="shared" si="576"/>
        <v>0</v>
      </c>
      <c r="AJ763" s="58" t="str">
        <f t="shared" si="577"/>
        <v/>
      </c>
      <c r="AK763" s="31">
        <f t="shared" si="578"/>
        <v>0</v>
      </c>
      <c r="AL763" s="21">
        <f t="shared" si="579"/>
        <v>0</v>
      </c>
      <c r="AM763" s="62" t="str">
        <f t="shared" si="580"/>
        <v/>
      </c>
      <c r="AN763" s="21">
        <f t="shared" si="581"/>
        <v>0</v>
      </c>
      <c r="AO763" s="62" t="str">
        <f t="shared" si="582"/>
        <v/>
      </c>
      <c r="AP763" s="21">
        <f t="shared" si="583"/>
        <v>0</v>
      </c>
      <c r="AQ763" s="62" t="str">
        <f t="shared" si="584"/>
        <v/>
      </c>
      <c r="AR763" s="31">
        <f t="shared" si="585"/>
        <v>0</v>
      </c>
      <c r="AS763" s="21">
        <f t="shared" si="586"/>
        <v>0</v>
      </c>
      <c r="AT763" s="62" t="str">
        <f t="shared" si="587"/>
        <v/>
      </c>
      <c r="AU763" s="84">
        <f t="shared" si="588"/>
        <v>0</v>
      </c>
      <c r="AV763" s="32">
        <f t="shared" si="589"/>
        <v>0</v>
      </c>
      <c r="AW763" s="85" t="str">
        <f t="shared" si="590"/>
        <v/>
      </c>
      <c r="AX763" s="86" t="str">
        <f t="shared" si="591"/>
        <v/>
      </c>
    </row>
    <row r="764" spans="1:50" x14ac:dyDescent="0.2">
      <c r="A764" s="29" t="str">
        <f t="shared" si="549"/>
        <v/>
      </c>
      <c r="B764" s="32" t="str">
        <f t="shared" si="550"/>
        <v/>
      </c>
      <c r="C764" s="35"/>
      <c r="D764" s="33" t="str">
        <f t="shared" si="551"/>
        <v/>
      </c>
      <c r="E764" s="22" t="str">
        <f t="shared" si="552"/>
        <v/>
      </c>
      <c r="F764" s="23" t="str">
        <f t="shared" si="553"/>
        <v/>
      </c>
      <c r="G764" s="23"/>
      <c r="H764" s="22"/>
      <c r="I764" s="23"/>
      <c r="J764" s="18"/>
      <c r="K764" s="13" t="str">
        <f t="shared" si="554"/>
        <v/>
      </c>
      <c r="L764" s="28" t="str">
        <f t="shared" si="555"/>
        <v/>
      </c>
      <c r="M764" s="10" t="str">
        <f t="shared" si="556"/>
        <v/>
      </c>
      <c r="N764" s="17" t="str">
        <f t="shared" si="557"/>
        <v/>
      </c>
      <c r="O764" s="39" t="str">
        <f t="shared" si="558"/>
        <v/>
      </c>
      <c r="P764" s="41" t="str">
        <f t="shared" si="559"/>
        <v/>
      </c>
      <c r="Q764" s="9" t="str">
        <f t="shared" si="560"/>
        <v/>
      </c>
      <c r="R764" s="14">
        <f t="shared" si="561"/>
        <v>0</v>
      </c>
      <c r="S764" s="61" t="str">
        <f t="shared" si="562"/>
        <v/>
      </c>
      <c r="T764" s="14">
        <f t="shared" si="563"/>
        <v>0</v>
      </c>
      <c r="U764" s="58" t="str">
        <f t="shared" si="564"/>
        <v/>
      </c>
      <c r="V764" s="14">
        <f t="shared" si="565"/>
        <v>0</v>
      </c>
      <c r="W764" s="58" t="str">
        <f t="shared" si="566"/>
        <v/>
      </c>
      <c r="X764" s="14">
        <f t="shared" si="567"/>
        <v>0</v>
      </c>
      <c r="Y764" s="58" t="str">
        <f t="shared" si="568"/>
        <v/>
      </c>
      <c r="Z764" s="31">
        <f t="shared" si="569"/>
        <v>0</v>
      </c>
      <c r="AA764" s="21">
        <f t="shared" si="570"/>
        <v>0</v>
      </c>
      <c r="AB764" s="58" t="str">
        <f t="shared" si="571"/>
        <v/>
      </c>
      <c r="AC764" s="630">
        <f t="shared" si="548"/>
        <v>0</v>
      </c>
      <c r="AD764" s="627"/>
      <c r="AE764" s="21">
        <f t="shared" si="572"/>
        <v>0</v>
      </c>
      <c r="AF764" s="58" t="str">
        <f t="shared" si="573"/>
        <v/>
      </c>
      <c r="AG764" s="21">
        <f t="shared" si="574"/>
        <v>0</v>
      </c>
      <c r="AH764" s="58" t="str">
        <f t="shared" si="575"/>
        <v/>
      </c>
      <c r="AI764" s="21">
        <f t="shared" si="576"/>
        <v>0</v>
      </c>
      <c r="AJ764" s="58" t="str">
        <f t="shared" si="577"/>
        <v/>
      </c>
      <c r="AK764" s="31">
        <f t="shared" si="578"/>
        <v>0</v>
      </c>
      <c r="AL764" s="21">
        <f t="shared" si="579"/>
        <v>0</v>
      </c>
      <c r="AM764" s="62" t="str">
        <f t="shared" si="580"/>
        <v/>
      </c>
      <c r="AN764" s="21">
        <f t="shared" si="581"/>
        <v>0</v>
      </c>
      <c r="AO764" s="62" t="str">
        <f t="shared" si="582"/>
        <v/>
      </c>
      <c r="AP764" s="21">
        <f t="shared" si="583"/>
        <v>0</v>
      </c>
      <c r="AQ764" s="62" t="str">
        <f t="shared" si="584"/>
        <v/>
      </c>
      <c r="AR764" s="31">
        <f t="shared" si="585"/>
        <v>0</v>
      </c>
      <c r="AS764" s="21">
        <f t="shared" si="586"/>
        <v>0</v>
      </c>
      <c r="AT764" s="62" t="str">
        <f t="shared" si="587"/>
        <v/>
      </c>
      <c r="AU764" s="84">
        <f t="shared" si="588"/>
        <v>0</v>
      </c>
      <c r="AV764" s="32">
        <f t="shared" si="589"/>
        <v>0</v>
      </c>
      <c r="AW764" s="85" t="str">
        <f t="shared" si="590"/>
        <v/>
      </c>
      <c r="AX764" s="86" t="str">
        <f t="shared" si="591"/>
        <v/>
      </c>
    </row>
    <row r="765" spans="1:50" x14ac:dyDescent="0.2">
      <c r="A765" s="29" t="str">
        <f t="shared" si="549"/>
        <v/>
      </c>
      <c r="B765" s="32" t="str">
        <f t="shared" si="550"/>
        <v/>
      </c>
      <c r="C765" s="35"/>
      <c r="D765" s="33" t="str">
        <f t="shared" si="551"/>
        <v/>
      </c>
      <c r="E765" s="22" t="str">
        <f t="shared" si="552"/>
        <v/>
      </c>
      <c r="F765" s="23" t="str">
        <f t="shared" si="553"/>
        <v/>
      </c>
      <c r="G765" s="23"/>
      <c r="H765" s="22"/>
      <c r="I765" s="23"/>
      <c r="J765" s="18"/>
      <c r="K765" s="13" t="str">
        <f t="shared" si="554"/>
        <v/>
      </c>
      <c r="L765" s="28" t="str">
        <f t="shared" si="555"/>
        <v/>
      </c>
      <c r="M765" s="10" t="str">
        <f t="shared" si="556"/>
        <v/>
      </c>
      <c r="N765" s="17" t="str">
        <f t="shared" si="557"/>
        <v/>
      </c>
      <c r="O765" s="39" t="str">
        <f t="shared" si="558"/>
        <v/>
      </c>
      <c r="P765" s="41" t="str">
        <f t="shared" si="559"/>
        <v/>
      </c>
      <c r="Q765" s="9" t="str">
        <f t="shared" si="560"/>
        <v/>
      </c>
      <c r="R765" s="14">
        <f t="shared" si="561"/>
        <v>0</v>
      </c>
      <c r="S765" s="61" t="str">
        <f t="shared" si="562"/>
        <v/>
      </c>
      <c r="T765" s="14">
        <f t="shared" si="563"/>
        <v>0</v>
      </c>
      <c r="U765" s="58" t="str">
        <f t="shared" si="564"/>
        <v/>
      </c>
      <c r="V765" s="14">
        <f t="shared" si="565"/>
        <v>0</v>
      </c>
      <c r="W765" s="58" t="str">
        <f t="shared" si="566"/>
        <v/>
      </c>
      <c r="X765" s="14">
        <f t="shared" si="567"/>
        <v>0</v>
      </c>
      <c r="Y765" s="58" t="str">
        <f t="shared" si="568"/>
        <v/>
      </c>
      <c r="Z765" s="31">
        <f t="shared" si="569"/>
        <v>0</v>
      </c>
      <c r="AA765" s="21">
        <f t="shared" si="570"/>
        <v>0</v>
      </c>
      <c r="AB765" s="58" t="str">
        <f t="shared" si="571"/>
        <v/>
      </c>
      <c r="AC765" s="630">
        <f t="shared" si="548"/>
        <v>0</v>
      </c>
      <c r="AD765" s="627"/>
      <c r="AE765" s="21">
        <f t="shared" si="572"/>
        <v>0</v>
      </c>
      <c r="AF765" s="58" t="str">
        <f t="shared" si="573"/>
        <v/>
      </c>
      <c r="AG765" s="21">
        <f t="shared" si="574"/>
        <v>0</v>
      </c>
      <c r="AH765" s="58" t="str">
        <f t="shared" si="575"/>
        <v/>
      </c>
      <c r="AI765" s="21">
        <f t="shared" si="576"/>
        <v>0</v>
      </c>
      <c r="AJ765" s="58" t="str">
        <f t="shared" si="577"/>
        <v/>
      </c>
      <c r="AK765" s="31">
        <f t="shared" si="578"/>
        <v>0</v>
      </c>
      <c r="AL765" s="21">
        <f t="shared" si="579"/>
        <v>0</v>
      </c>
      <c r="AM765" s="62" t="str">
        <f t="shared" si="580"/>
        <v/>
      </c>
      <c r="AN765" s="21">
        <f t="shared" si="581"/>
        <v>0</v>
      </c>
      <c r="AO765" s="62" t="str">
        <f t="shared" si="582"/>
        <v/>
      </c>
      <c r="AP765" s="21">
        <f t="shared" si="583"/>
        <v>0</v>
      </c>
      <c r="AQ765" s="62" t="str">
        <f t="shared" si="584"/>
        <v/>
      </c>
      <c r="AR765" s="31">
        <f t="shared" si="585"/>
        <v>0</v>
      </c>
      <c r="AS765" s="21">
        <f t="shared" si="586"/>
        <v>0</v>
      </c>
      <c r="AT765" s="62" t="str">
        <f t="shared" si="587"/>
        <v/>
      </c>
      <c r="AU765" s="84">
        <f t="shared" si="588"/>
        <v>0</v>
      </c>
      <c r="AV765" s="32">
        <f t="shared" si="589"/>
        <v>0</v>
      </c>
      <c r="AW765" s="85" t="str">
        <f t="shared" si="590"/>
        <v/>
      </c>
      <c r="AX765" s="86" t="str">
        <f t="shared" si="591"/>
        <v/>
      </c>
    </row>
    <row r="766" spans="1:50" x14ac:dyDescent="0.2">
      <c r="A766" s="29" t="str">
        <f t="shared" si="549"/>
        <v/>
      </c>
      <c r="B766" s="32" t="str">
        <f t="shared" si="550"/>
        <v/>
      </c>
      <c r="C766" s="35"/>
      <c r="D766" s="33" t="str">
        <f t="shared" si="551"/>
        <v/>
      </c>
      <c r="E766" s="22" t="str">
        <f t="shared" si="552"/>
        <v/>
      </c>
      <c r="F766" s="23" t="str">
        <f t="shared" si="553"/>
        <v/>
      </c>
      <c r="G766" s="23"/>
      <c r="H766" s="22"/>
      <c r="I766" s="23"/>
      <c r="J766" s="18"/>
      <c r="K766" s="13" t="str">
        <f t="shared" si="554"/>
        <v/>
      </c>
      <c r="L766" s="28" t="str">
        <f t="shared" si="555"/>
        <v/>
      </c>
      <c r="M766" s="10" t="str">
        <f t="shared" si="556"/>
        <v/>
      </c>
      <c r="N766" s="17" t="str">
        <f t="shared" si="557"/>
        <v/>
      </c>
      <c r="O766" s="39" t="str">
        <f t="shared" si="558"/>
        <v/>
      </c>
      <c r="P766" s="41" t="str">
        <f t="shared" si="559"/>
        <v/>
      </c>
      <c r="Q766" s="9" t="str">
        <f t="shared" si="560"/>
        <v/>
      </c>
      <c r="R766" s="14">
        <f t="shared" si="561"/>
        <v>0</v>
      </c>
      <c r="S766" s="61" t="str">
        <f t="shared" si="562"/>
        <v/>
      </c>
      <c r="T766" s="14">
        <f t="shared" si="563"/>
        <v>0</v>
      </c>
      <c r="U766" s="58" t="str">
        <f t="shared" si="564"/>
        <v/>
      </c>
      <c r="V766" s="14">
        <f t="shared" si="565"/>
        <v>0</v>
      </c>
      <c r="W766" s="58" t="str">
        <f t="shared" si="566"/>
        <v/>
      </c>
      <c r="X766" s="14">
        <f t="shared" si="567"/>
        <v>0</v>
      </c>
      <c r="Y766" s="58" t="str">
        <f t="shared" si="568"/>
        <v/>
      </c>
      <c r="Z766" s="31">
        <f t="shared" si="569"/>
        <v>0</v>
      </c>
      <c r="AA766" s="21">
        <f t="shared" si="570"/>
        <v>0</v>
      </c>
      <c r="AB766" s="58" t="str">
        <f t="shared" si="571"/>
        <v/>
      </c>
      <c r="AC766" s="630">
        <f t="shared" si="548"/>
        <v>0</v>
      </c>
      <c r="AD766" s="627"/>
      <c r="AE766" s="21">
        <f t="shared" si="572"/>
        <v>0</v>
      </c>
      <c r="AF766" s="58" t="str">
        <f t="shared" si="573"/>
        <v/>
      </c>
      <c r="AG766" s="21">
        <f t="shared" si="574"/>
        <v>0</v>
      </c>
      <c r="AH766" s="58" t="str">
        <f t="shared" si="575"/>
        <v/>
      </c>
      <c r="AI766" s="21">
        <f t="shared" si="576"/>
        <v>0</v>
      </c>
      <c r="AJ766" s="58" t="str">
        <f t="shared" si="577"/>
        <v/>
      </c>
      <c r="AK766" s="31">
        <f t="shared" si="578"/>
        <v>0</v>
      </c>
      <c r="AL766" s="21">
        <f t="shared" si="579"/>
        <v>0</v>
      </c>
      <c r="AM766" s="62" t="str">
        <f t="shared" si="580"/>
        <v/>
      </c>
      <c r="AN766" s="21">
        <f t="shared" si="581"/>
        <v>0</v>
      </c>
      <c r="AO766" s="62" t="str">
        <f t="shared" si="582"/>
        <v/>
      </c>
      <c r="AP766" s="21">
        <f t="shared" si="583"/>
        <v>0</v>
      </c>
      <c r="AQ766" s="62" t="str">
        <f t="shared" si="584"/>
        <v/>
      </c>
      <c r="AR766" s="31">
        <f t="shared" si="585"/>
        <v>0</v>
      </c>
      <c r="AS766" s="21">
        <f t="shared" si="586"/>
        <v>0</v>
      </c>
      <c r="AT766" s="62" t="str">
        <f t="shared" si="587"/>
        <v/>
      </c>
      <c r="AU766" s="84">
        <f t="shared" si="588"/>
        <v>0</v>
      </c>
      <c r="AV766" s="32">
        <f t="shared" si="589"/>
        <v>0</v>
      </c>
      <c r="AW766" s="85" t="str">
        <f t="shared" si="590"/>
        <v/>
      </c>
      <c r="AX766" s="86" t="str">
        <f t="shared" si="591"/>
        <v/>
      </c>
    </row>
    <row r="767" spans="1:50" x14ac:dyDescent="0.2">
      <c r="A767" s="29" t="str">
        <f t="shared" si="549"/>
        <v/>
      </c>
      <c r="B767" s="32" t="str">
        <f t="shared" si="550"/>
        <v/>
      </c>
      <c r="C767" s="35"/>
      <c r="D767" s="33" t="str">
        <f t="shared" si="551"/>
        <v/>
      </c>
      <c r="E767" s="22" t="str">
        <f t="shared" si="552"/>
        <v/>
      </c>
      <c r="F767" s="23" t="str">
        <f t="shared" si="553"/>
        <v/>
      </c>
      <c r="G767" s="23"/>
      <c r="H767" s="22"/>
      <c r="I767" s="23"/>
      <c r="J767" s="18"/>
      <c r="K767" s="13" t="str">
        <f t="shared" si="554"/>
        <v/>
      </c>
      <c r="L767" s="28" t="str">
        <f t="shared" si="555"/>
        <v/>
      </c>
      <c r="M767" s="10" t="str">
        <f t="shared" si="556"/>
        <v/>
      </c>
      <c r="N767" s="17" t="str">
        <f t="shared" si="557"/>
        <v/>
      </c>
      <c r="O767" s="39" t="str">
        <f t="shared" si="558"/>
        <v/>
      </c>
      <c r="P767" s="41" t="str">
        <f t="shared" si="559"/>
        <v/>
      </c>
      <c r="Q767" s="9" t="str">
        <f t="shared" si="560"/>
        <v/>
      </c>
      <c r="R767" s="14">
        <f t="shared" si="561"/>
        <v>0</v>
      </c>
      <c r="S767" s="61" t="str">
        <f t="shared" si="562"/>
        <v/>
      </c>
      <c r="T767" s="14">
        <f t="shared" si="563"/>
        <v>0</v>
      </c>
      <c r="U767" s="58" t="str">
        <f t="shared" si="564"/>
        <v/>
      </c>
      <c r="V767" s="14">
        <f t="shared" si="565"/>
        <v>0</v>
      </c>
      <c r="W767" s="58" t="str">
        <f t="shared" si="566"/>
        <v/>
      </c>
      <c r="X767" s="14">
        <f t="shared" si="567"/>
        <v>0</v>
      </c>
      <c r="Y767" s="58" t="str">
        <f t="shared" si="568"/>
        <v/>
      </c>
      <c r="Z767" s="31">
        <f t="shared" si="569"/>
        <v>0</v>
      </c>
      <c r="AA767" s="21">
        <f t="shared" si="570"/>
        <v>0</v>
      </c>
      <c r="AB767" s="58" t="str">
        <f t="shared" si="571"/>
        <v/>
      </c>
      <c r="AC767" s="630">
        <f t="shared" si="548"/>
        <v>0</v>
      </c>
      <c r="AD767" s="627"/>
      <c r="AE767" s="21">
        <f t="shared" si="572"/>
        <v>0</v>
      </c>
      <c r="AF767" s="58" t="str">
        <f t="shared" si="573"/>
        <v/>
      </c>
      <c r="AG767" s="21">
        <f t="shared" si="574"/>
        <v>0</v>
      </c>
      <c r="AH767" s="58" t="str">
        <f t="shared" si="575"/>
        <v/>
      </c>
      <c r="AI767" s="21">
        <f t="shared" si="576"/>
        <v>0</v>
      </c>
      <c r="AJ767" s="58" t="str">
        <f t="shared" si="577"/>
        <v/>
      </c>
      <c r="AK767" s="31">
        <f t="shared" si="578"/>
        <v>0</v>
      </c>
      <c r="AL767" s="21">
        <f t="shared" si="579"/>
        <v>0</v>
      </c>
      <c r="AM767" s="62" t="str">
        <f t="shared" si="580"/>
        <v/>
      </c>
      <c r="AN767" s="21">
        <f t="shared" si="581"/>
        <v>0</v>
      </c>
      <c r="AO767" s="62" t="str">
        <f t="shared" si="582"/>
        <v/>
      </c>
      <c r="AP767" s="21">
        <f t="shared" si="583"/>
        <v>0</v>
      </c>
      <c r="AQ767" s="62" t="str">
        <f t="shared" si="584"/>
        <v/>
      </c>
      <c r="AR767" s="31">
        <f t="shared" si="585"/>
        <v>0</v>
      </c>
      <c r="AS767" s="21">
        <f t="shared" si="586"/>
        <v>0</v>
      </c>
      <c r="AT767" s="62" t="str">
        <f t="shared" si="587"/>
        <v/>
      </c>
      <c r="AU767" s="84">
        <f t="shared" si="588"/>
        <v>0</v>
      </c>
      <c r="AV767" s="32">
        <f t="shared" si="589"/>
        <v>0</v>
      </c>
      <c r="AW767" s="85" t="str">
        <f t="shared" si="590"/>
        <v/>
      </c>
      <c r="AX767" s="86" t="str">
        <f t="shared" si="591"/>
        <v/>
      </c>
    </row>
    <row r="768" spans="1:50" x14ac:dyDescent="0.2">
      <c r="A768" s="29" t="str">
        <f t="shared" si="549"/>
        <v/>
      </c>
      <c r="B768" s="32" t="str">
        <f t="shared" si="550"/>
        <v/>
      </c>
      <c r="C768" s="35"/>
      <c r="D768" s="33" t="str">
        <f t="shared" si="551"/>
        <v/>
      </c>
      <c r="E768" s="22" t="str">
        <f t="shared" si="552"/>
        <v/>
      </c>
      <c r="F768" s="23" t="str">
        <f t="shared" si="553"/>
        <v/>
      </c>
      <c r="G768" s="23"/>
      <c r="H768" s="22"/>
      <c r="I768" s="23"/>
      <c r="J768" s="18"/>
      <c r="K768" s="13" t="str">
        <f t="shared" si="554"/>
        <v/>
      </c>
      <c r="L768" s="28" t="str">
        <f t="shared" si="555"/>
        <v/>
      </c>
      <c r="M768" s="10" t="str">
        <f t="shared" si="556"/>
        <v/>
      </c>
      <c r="N768" s="17" t="str">
        <f t="shared" si="557"/>
        <v/>
      </c>
      <c r="O768" s="39" t="str">
        <f t="shared" si="558"/>
        <v/>
      </c>
      <c r="P768" s="41" t="str">
        <f t="shared" si="559"/>
        <v/>
      </c>
      <c r="Q768" s="9" t="str">
        <f t="shared" si="560"/>
        <v/>
      </c>
      <c r="R768" s="14">
        <f t="shared" si="561"/>
        <v>0</v>
      </c>
      <c r="S768" s="61" t="str">
        <f t="shared" si="562"/>
        <v/>
      </c>
      <c r="T768" s="14">
        <f t="shared" si="563"/>
        <v>0</v>
      </c>
      <c r="U768" s="58" t="str">
        <f t="shared" si="564"/>
        <v/>
      </c>
      <c r="V768" s="14">
        <f t="shared" si="565"/>
        <v>0</v>
      </c>
      <c r="W768" s="58" t="str">
        <f t="shared" si="566"/>
        <v/>
      </c>
      <c r="X768" s="14">
        <f t="shared" si="567"/>
        <v>0</v>
      </c>
      <c r="Y768" s="58" t="str">
        <f t="shared" si="568"/>
        <v/>
      </c>
      <c r="Z768" s="31">
        <f t="shared" si="569"/>
        <v>0</v>
      </c>
      <c r="AA768" s="21">
        <f t="shared" si="570"/>
        <v>0</v>
      </c>
      <c r="AB768" s="58" t="str">
        <f t="shared" si="571"/>
        <v/>
      </c>
      <c r="AC768" s="630">
        <f t="shared" si="548"/>
        <v>0</v>
      </c>
      <c r="AD768" s="627"/>
      <c r="AE768" s="21">
        <f t="shared" si="572"/>
        <v>0</v>
      </c>
      <c r="AF768" s="58" t="str">
        <f t="shared" si="573"/>
        <v/>
      </c>
      <c r="AG768" s="21">
        <f t="shared" si="574"/>
        <v>0</v>
      </c>
      <c r="AH768" s="58" t="str">
        <f t="shared" si="575"/>
        <v/>
      </c>
      <c r="AI768" s="21">
        <f t="shared" si="576"/>
        <v>0</v>
      </c>
      <c r="AJ768" s="58" t="str">
        <f t="shared" si="577"/>
        <v/>
      </c>
      <c r="AK768" s="31">
        <f t="shared" si="578"/>
        <v>0</v>
      </c>
      <c r="AL768" s="21">
        <f t="shared" si="579"/>
        <v>0</v>
      </c>
      <c r="AM768" s="62" t="str">
        <f t="shared" si="580"/>
        <v/>
      </c>
      <c r="AN768" s="21">
        <f t="shared" si="581"/>
        <v>0</v>
      </c>
      <c r="AO768" s="62" t="str">
        <f t="shared" si="582"/>
        <v/>
      </c>
      <c r="AP768" s="21">
        <f t="shared" si="583"/>
        <v>0</v>
      </c>
      <c r="AQ768" s="62" t="str">
        <f t="shared" si="584"/>
        <v/>
      </c>
      <c r="AR768" s="31">
        <f t="shared" si="585"/>
        <v>0</v>
      </c>
      <c r="AS768" s="21">
        <f t="shared" si="586"/>
        <v>0</v>
      </c>
      <c r="AT768" s="62" t="str">
        <f t="shared" si="587"/>
        <v/>
      </c>
      <c r="AU768" s="84">
        <f t="shared" si="588"/>
        <v>0</v>
      </c>
      <c r="AV768" s="32">
        <f t="shared" si="589"/>
        <v>0</v>
      </c>
      <c r="AW768" s="85" t="str">
        <f t="shared" si="590"/>
        <v/>
      </c>
      <c r="AX768" s="86" t="str">
        <f t="shared" si="591"/>
        <v/>
      </c>
    </row>
    <row r="769" spans="1:50" x14ac:dyDescent="0.2">
      <c r="A769" s="29" t="str">
        <f t="shared" si="549"/>
        <v/>
      </c>
      <c r="B769" s="32" t="str">
        <f t="shared" si="550"/>
        <v/>
      </c>
      <c r="C769" s="35"/>
      <c r="D769" s="33" t="str">
        <f t="shared" si="551"/>
        <v/>
      </c>
      <c r="E769" s="22" t="str">
        <f t="shared" si="552"/>
        <v/>
      </c>
      <c r="F769" s="23" t="str">
        <f t="shared" si="553"/>
        <v/>
      </c>
      <c r="G769" s="23"/>
      <c r="H769" s="22"/>
      <c r="I769" s="23"/>
      <c r="J769" s="18"/>
      <c r="K769" s="13" t="str">
        <f t="shared" si="554"/>
        <v/>
      </c>
      <c r="L769" s="28" t="str">
        <f t="shared" si="555"/>
        <v/>
      </c>
      <c r="M769" s="10" t="str">
        <f t="shared" si="556"/>
        <v/>
      </c>
      <c r="N769" s="17" t="str">
        <f t="shared" si="557"/>
        <v/>
      </c>
      <c r="O769" s="39" t="str">
        <f t="shared" si="558"/>
        <v/>
      </c>
      <c r="P769" s="41" t="str">
        <f t="shared" si="559"/>
        <v/>
      </c>
      <c r="Q769" s="9" t="str">
        <f t="shared" si="560"/>
        <v/>
      </c>
      <c r="R769" s="14">
        <f t="shared" si="561"/>
        <v>0</v>
      </c>
      <c r="S769" s="61" t="str">
        <f t="shared" si="562"/>
        <v/>
      </c>
      <c r="T769" s="14">
        <f t="shared" si="563"/>
        <v>0</v>
      </c>
      <c r="U769" s="58" t="str">
        <f t="shared" si="564"/>
        <v/>
      </c>
      <c r="V769" s="14">
        <f t="shared" si="565"/>
        <v>0</v>
      </c>
      <c r="W769" s="58" t="str">
        <f t="shared" si="566"/>
        <v/>
      </c>
      <c r="X769" s="14">
        <f t="shared" si="567"/>
        <v>0</v>
      </c>
      <c r="Y769" s="58" t="str">
        <f t="shared" si="568"/>
        <v/>
      </c>
      <c r="Z769" s="31">
        <f t="shared" si="569"/>
        <v>0</v>
      </c>
      <c r="AA769" s="21">
        <f t="shared" si="570"/>
        <v>0</v>
      </c>
      <c r="AB769" s="58" t="str">
        <f t="shared" si="571"/>
        <v/>
      </c>
      <c r="AC769" s="630">
        <f t="shared" si="548"/>
        <v>0</v>
      </c>
      <c r="AD769" s="627"/>
      <c r="AE769" s="21">
        <f t="shared" si="572"/>
        <v>0</v>
      </c>
      <c r="AF769" s="58" t="str">
        <f t="shared" si="573"/>
        <v/>
      </c>
      <c r="AG769" s="21">
        <f t="shared" si="574"/>
        <v>0</v>
      </c>
      <c r="AH769" s="58" t="str">
        <f t="shared" si="575"/>
        <v/>
      </c>
      <c r="AI769" s="21">
        <f t="shared" si="576"/>
        <v>0</v>
      </c>
      <c r="AJ769" s="58" t="str">
        <f t="shared" si="577"/>
        <v/>
      </c>
      <c r="AK769" s="31">
        <f t="shared" si="578"/>
        <v>0</v>
      </c>
      <c r="AL769" s="21">
        <f t="shared" si="579"/>
        <v>0</v>
      </c>
      <c r="AM769" s="62" t="str">
        <f t="shared" si="580"/>
        <v/>
      </c>
      <c r="AN769" s="21">
        <f t="shared" si="581"/>
        <v>0</v>
      </c>
      <c r="AO769" s="62" t="str">
        <f t="shared" si="582"/>
        <v/>
      </c>
      <c r="AP769" s="21">
        <f t="shared" si="583"/>
        <v>0</v>
      </c>
      <c r="AQ769" s="62" t="str">
        <f t="shared" si="584"/>
        <v/>
      </c>
      <c r="AR769" s="31">
        <f t="shared" si="585"/>
        <v>0</v>
      </c>
      <c r="AS769" s="21">
        <f t="shared" si="586"/>
        <v>0</v>
      </c>
      <c r="AT769" s="62" t="str">
        <f t="shared" si="587"/>
        <v/>
      </c>
      <c r="AU769" s="84">
        <f t="shared" si="588"/>
        <v>0</v>
      </c>
      <c r="AV769" s="32">
        <f t="shared" si="589"/>
        <v>0</v>
      </c>
      <c r="AW769" s="85" t="str">
        <f t="shared" si="590"/>
        <v/>
      </c>
      <c r="AX769" s="86" t="str">
        <f t="shared" si="591"/>
        <v/>
      </c>
    </row>
    <row r="770" spans="1:50" x14ac:dyDescent="0.2">
      <c r="A770" s="29" t="str">
        <f t="shared" si="549"/>
        <v/>
      </c>
      <c r="B770" s="32" t="str">
        <f t="shared" si="550"/>
        <v/>
      </c>
      <c r="C770" s="35"/>
      <c r="D770" s="33" t="str">
        <f t="shared" si="551"/>
        <v/>
      </c>
      <c r="E770" s="22" t="str">
        <f t="shared" si="552"/>
        <v/>
      </c>
      <c r="F770" s="23" t="str">
        <f t="shared" si="553"/>
        <v/>
      </c>
      <c r="G770" s="23"/>
      <c r="H770" s="22"/>
      <c r="I770" s="23"/>
      <c r="J770" s="18"/>
      <c r="K770" s="13" t="str">
        <f t="shared" si="554"/>
        <v/>
      </c>
      <c r="L770" s="28" t="str">
        <f t="shared" si="555"/>
        <v/>
      </c>
      <c r="M770" s="10" t="str">
        <f t="shared" si="556"/>
        <v/>
      </c>
      <c r="N770" s="17" t="str">
        <f t="shared" si="557"/>
        <v/>
      </c>
      <c r="O770" s="39" t="str">
        <f t="shared" si="558"/>
        <v/>
      </c>
      <c r="P770" s="41" t="str">
        <f t="shared" si="559"/>
        <v/>
      </c>
      <c r="Q770" s="9" t="str">
        <f t="shared" si="560"/>
        <v/>
      </c>
      <c r="R770" s="14">
        <f t="shared" si="561"/>
        <v>0</v>
      </c>
      <c r="S770" s="61" t="str">
        <f t="shared" si="562"/>
        <v/>
      </c>
      <c r="T770" s="14">
        <f t="shared" si="563"/>
        <v>0</v>
      </c>
      <c r="U770" s="58" t="str">
        <f t="shared" si="564"/>
        <v/>
      </c>
      <c r="V770" s="14">
        <f t="shared" si="565"/>
        <v>0</v>
      </c>
      <c r="W770" s="58" t="str">
        <f t="shared" si="566"/>
        <v/>
      </c>
      <c r="X770" s="14">
        <f t="shared" si="567"/>
        <v>0</v>
      </c>
      <c r="Y770" s="58" t="str">
        <f t="shared" si="568"/>
        <v/>
      </c>
      <c r="Z770" s="31">
        <f t="shared" si="569"/>
        <v>0</v>
      </c>
      <c r="AA770" s="21">
        <f t="shared" si="570"/>
        <v>0</v>
      </c>
      <c r="AB770" s="58" t="str">
        <f t="shared" si="571"/>
        <v/>
      </c>
      <c r="AC770" s="630">
        <f t="shared" si="548"/>
        <v>0</v>
      </c>
      <c r="AD770" s="627"/>
      <c r="AE770" s="21">
        <f t="shared" si="572"/>
        <v>0</v>
      </c>
      <c r="AF770" s="58" t="str">
        <f t="shared" si="573"/>
        <v/>
      </c>
      <c r="AG770" s="21">
        <f t="shared" si="574"/>
        <v>0</v>
      </c>
      <c r="AH770" s="58" t="str">
        <f t="shared" si="575"/>
        <v/>
      </c>
      <c r="AI770" s="21">
        <f t="shared" si="576"/>
        <v>0</v>
      </c>
      <c r="AJ770" s="58" t="str">
        <f t="shared" si="577"/>
        <v/>
      </c>
      <c r="AK770" s="31">
        <f t="shared" si="578"/>
        <v>0</v>
      </c>
      <c r="AL770" s="21">
        <f t="shared" si="579"/>
        <v>0</v>
      </c>
      <c r="AM770" s="62" t="str">
        <f t="shared" si="580"/>
        <v/>
      </c>
      <c r="AN770" s="21">
        <f t="shared" si="581"/>
        <v>0</v>
      </c>
      <c r="AO770" s="62" t="str">
        <f t="shared" si="582"/>
        <v/>
      </c>
      <c r="AP770" s="21">
        <f t="shared" si="583"/>
        <v>0</v>
      </c>
      <c r="AQ770" s="62" t="str">
        <f t="shared" si="584"/>
        <v/>
      </c>
      <c r="AR770" s="31">
        <f t="shared" si="585"/>
        <v>0</v>
      </c>
      <c r="AS770" s="21">
        <f t="shared" si="586"/>
        <v>0</v>
      </c>
      <c r="AT770" s="62" t="str">
        <f t="shared" si="587"/>
        <v/>
      </c>
      <c r="AU770" s="84">
        <f t="shared" si="588"/>
        <v>0</v>
      </c>
      <c r="AV770" s="32">
        <f t="shared" si="589"/>
        <v>0</v>
      </c>
      <c r="AW770" s="85" t="str">
        <f t="shared" si="590"/>
        <v/>
      </c>
      <c r="AX770" s="86" t="str">
        <f t="shared" si="591"/>
        <v/>
      </c>
    </row>
    <row r="771" spans="1:50" x14ac:dyDescent="0.2">
      <c r="A771" s="29" t="str">
        <f t="shared" si="549"/>
        <v/>
      </c>
      <c r="B771" s="32" t="str">
        <f t="shared" si="550"/>
        <v/>
      </c>
      <c r="C771" s="35"/>
      <c r="D771" s="33" t="str">
        <f t="shared" si="551"/>
        <v/>
      </c>
      <c r="E771" s="22" t="str">
        <f t="shared" si="552"/>
        <v/>
      </c>
      <c r="F771" s="23" t="str">
        <f t="shared" si="553"/>
        <v/>
      </c>
      <c r="G771" s="23"/>
      <c r="H771" s="22"/>
      <c r="I771" s="23"/>
      <c r="J771" s="18"/>
      <c r="K771" s="13" t="str">
        <f t="shared" si="554"/>
        <v/>
      </c>
      <c r="L771" s="28" t="str">
        <f t="shared" si="555"/>
        <v/>
      </c>
      <c r="M771" s="10" t="str">
        <f t="shared" si="556"/>
        <v/>
      </c>
      <c r="N771" s="17" t="str">
        <f t="shared" si="557"/>
        <v/>
      </c>
      <c r="O771" s="39" t="str">
        <f t="shared" si="558"/>
        <v/>
      </c>
      <c r="P771" s="41" t="str">
        <f t="shared" si="559"/>
        <v/>
      </c>
      <c r="Q771" s="9" t="str">
        <f t="shared" si="560"/>
        <v/>
      </c>
      <c r="R771" s="14">
        <f t="shared" si="561"/>
        <v>0</v>
      </c>
      <c r="S771" s="61" t="str">
        <f t="shared" si="562"/>
        <v/>
      </c>
      <c r="T771" s="14">
        <f t="shared" si="563"/>
        <v>0</v>
      </c>
      <c r="U771" s="58" t="str">
        <f t="shared" si="564"/>
        <v/>
      </c>
      <c r="V771" s="14">
        <f t="shared" si="565"/>
        <v>0</v>
      </c>
      <c r="W771" s="58" t="str">
        <f t="shared" si="566"/>
        <v/>
      </c>
      <c r="X771" s="14">
        <f t="shared" si="567"/>
        <v>0</v>
      </c>
      <c r="Y771" s="58" t="str">
        <f t="shared" si="568"/>
        <v/>
      </c>
      <c r="Z771" s="31">
        <f t="shared" si="569"/>
        <v>0</v>
      </c>
      <c r="AA771" s="21">
        <f t="shared" si="570"/>
        <v>0</v>
      </c>
      <c r="AB771" s="58" t="str">
        <f t="shared" si="571"/>
        <v/>
      </c>
      <c r="AC771" s="630">
        <f t="shared" si="548"/>
        <v>0</v>
      </c>
      <c r="AD771" s="627"/>
      <c r="AE771" s="21">
        <f t="shared" si="572"/>
        <v>0</v>
      </c>
      <c r="AF771" s="58" t="str">
        <f t="shared" si="573"/>
        <v/>
      </c>
      <c r="AG771" s="21">
        <f t="shared" si="574"/>
        <v>0</v>
      </c>
      <c r="AH771" s="58" t="str">
        <f t="shared" si="575"/>
        <v/>
      </c>
      <c r="AI771" s="21">
        <f t="shared" si="576"/>
        <v>0</v>
      </c>
      <c r="AJ771" s="58" t="str">
        <f t="shared" si="577"/>
        <v/>
      </c>
      <c r="AK771" s="31">
        <f t="shared" si="578"/>
        <v>0</v>
      </c>
      <c r="AL771" s="21">
        <f t="shared" si="579"/>
        <v>0</v>
      </c>
      <c r="AM771" s="62" t="str">
        <f t="shared" si="580"/>
        <v/>
      </c>
      <c r="AN771" s="21">
        <f t="shared" si="581"/>
        <v>0</v>
      </c>
      <c r="AO771" s="62" t="str">
        <f t="shared" si="582"/>
        <v/>
      </c>
      <c r="AP771" s="21">
        <f t="shared" si="583"/>
        <v>0</v>
      </c>
      <c r="AQ771" s="62" t="str">
        <f t="shared" si="584"/>
        <v/>
      </c>
      <c r="AR771" s="31">
        <f t="shared" si="585"/>
        <v>0</v>
      </c>
      <c r="AS771" s="21">
        <f t="shared" si="586"/>
        <v>0</v>
      </c>
      <c r="AT771" s="62" t="str">
        <f t="shared" si="587"/>
        <v/>
      </c>
      <c r="AU771" s="84">
        <f t="shared" si="588"/>
        <v>0</v>
      </c>
      <c r="AV771" s="32">
        <f t="shared" si="589"/>
        <v>0</v>
      </c>
      <c r="AW771" s="85" t="str">
        <f t="shared" si="590"/>
        <v/>
      </c>
      <c r="AX771" s="86" t="str">
        <f t="shared" si="591"/>
        <v/>
      </c>
    </row>
    <row r="772" spans="1:50" x14ac:dyDescent="0.2">
      <c r="A772" s="29" t="str">
        <f t="shared" si="549"/>
        <v/>
      </c>
      <c r="B772" s="32" t="str">
        <f t="shared" si="550"/>
        <v/>
      </c>
      <c r="C772" s="35"/>
      <c r="D772" s="33" t="str">
        <f t="shared" si="551"/>
        <v/>
      </c>
      <c r="E772" s="22" t="str">
        <f t="shared" si="552"/>
        <v/>
      </c>
      <c r="F772" s="23" t="str">
        <f t="shared" si="553"/>
        <v/>
      </c>
      <c r="G772" s="23"/>
      <c r="H772" s="22"/>
      <c r="I772" s="23"/>
      <c r="J772" s="18"/>
      <c r="K772" s="13" t="str">
        <f t="shared" si="554"/>
        <v/>
      </c>
      <c r="L772" s="28" t="str">
        <f t="shared" si="555"/>
        <v/>
      </c>
      <c r="M772" s="10" t="str">
        <f t="shared" si="556"/>
        <v/>
      </c>
      <c r="N772" s="17" t="str">
        <f t="shared" si="557"/>
        <v/>
      </c>
      <c r="O772" s="39" t="str">
        <f t="shared" si="558"/>
        <v/>
      </c>
      <c r="P772" s="41" t="str">
        <f t="shared" si="559"/>
        <v/>
      </c>
      <c r="Q772" s="9" t="str">
        <f t="shared" si="560"/>
        <v/>
      </c>
      <c r="R772" s="14">
        <f t="shared" si="561"/>
        <v>0</v>
      </c>
      <c r="S772" s="61" t="str">
        <f t="shared" si="562"/>
        <v/>
      </c>
      <c r="T772" s="14">
        <f t="shared" si="563"/>
        <v>0</v>
      </c>
      <c r="U772" s="58" t="str">
        <f t="shared" si="564"/>
        <v/>
      </c>
      <c r="V772" s="14">
        <f t="shared" si="565"/>
        <v>0</v>
      </c>
      <c r="W772" s="58" t="str">
        <f t="shared" si="566"/>
        <v/>
      </c>
      <c r="X772" s="14">
        <f t="shared" si="567"/>
        <v>0</v>
      </c>
      <c r="Y772" s="58" t="str">
        <f t="shared" si="568"/>
        <v/>
      </c>
      <c r="Z772" s="31">
        <f t="shared" si="569"/>
        <v>0</v>
      </c>
      <c r="AA772" s="21">
        <f t="shared" si="570"/>
        <v>0</v>
      </c>
      <c r="AB772" s="58" t="str">
        <f t="shared" si="571"/>
        <v/>
      </c>
      <c r="AC772" s="630">
        <f t="shared" si="548"/>
        <v>0</v>
      </c>
      <c r="AD772" s="627"/>
      <c r="AE772" s="21">
        <f t="shared" si="572"/>
        <v>0</v>
      </c>
      <c r="AF772" s="58" t="str">
        <f t="shared" si="573"/>
        <v/>
      </c>
      <c r="AG772" s="21">
        <f t="shared" si="574"/>
        <v>0</v>
      </c>
      <c r="AH772" s="58" t="str">
        <f t="shared" si="575"/>
        <v/>
      </c>
      <c r="AI772" s="21">
        <f t="shared" si="576"/>
        <v>0</v>
      </c>
      <c r="AJ772" s="58" t="str">
        <f t="shared" si="577"/>
        <v/>
      </c>
      <c r="AK772" s="31">
        <f t="shared" si="578"/>
        <v>0</v>
      </c>
      <c r="AL772" s="21">
        <f t="shared" si="579"/>
        <v>0</v>
      </c>
      <c r="AM772" s="62" t="str">
        <f t="shared" si="580"/>
        <v/>
      </c>
      <c r="AN772" s="21">
        <f t="shared" si="581"/>
        <v>0</v>
      </c>
      <c r="AO772" s="62" t="str">
        <f t="shared" si="582"/>
        <v/>
      </c>
      <c r="AP772" s="21">
        <f t="shared" si="583"/>
        <v>0</v>
      </c>
      <c r="AQ772" s="62" t="str">
        <f t="shared" si="584"/>
        <v/>
      </c>
      <c r="AR772" s="31">
        <f t="shared" si="585"/>
        <v>0</v>
      </c>
      <c r="AS772" s="21">
        <f t="shared" si="586"/>
        <v>0</v>
      </c>
      <c r="AT772" s="62" t="str">
        <f t="shared" si="587"/>
        <v/>
      </c>
      <c r="AU772" s="84">
        <f t="shared" si="588"/>
        <v>0</v>
      </c>
      <c r="AV772" s="32">
        <f t="shared" si="589"/>
        <v>0</v>
      </c>
      <c r="AW772" s="85" t="str">
        <f t="shared" si="590"/>
        <v/>
      </c>
      <c r="AX772" s="86" t="str">
        <f t="shared" si="591"/>
        <v/>
      </c>
    </row>
    <row r="773" spans="1:50" x14ac:dyDescent="0.2">
      <c r="A773" s="29" t="str">
        <f t="shared" si="549"/>
        <v/>
      </c>
      <c r="B773" s="32" t="str">
        <f t="shared" si="550"/>
        <v/>
      </c>
      <c r="C773" s="35"/>
      <c r="D773" s="33" t="str">
        <f t="shared" si="551"/>
        <v/>
      </c>
      <c r="E773" s="22" t="str">
        <f t="shared" si="552"/>
        <v/>
      </c>
      <c r="F773" s="23" t="str">
        <f t="shared" si="553"/>
        <v/>
      </c>
      <c r="G773" s="23"/>
      <c r="H773" s="22"/>
      <c r="I773" s="23"/>
      <c r="J773" s="18"/>
      <c r="K773" s="13" t="str">
        <f t="shared" si="554"/>
        <v/>
      </c>
      <c r="L773" s="28" t="str">
        <f t="shared" si="555"/>
        <v/>
      </c>
      <c r="M773" s="10" t="str">
        <f t="shared" si="556"/>
        <v/>
      </c>
      <c r="N773" s="17" t="str">
        <f t="shared" si="557"/>
        <v/>
      </c>
      <c r="O773" s="39" t="str">
        <f t="shared" si="558"/>
        <v/>
      </c>
      <c r="P773" s="41" t="str">
        <f t="shared" si="559"/>
        <v/>
      </c>
      <c r="Q773" s="9" t="str">
        <f t="shared" si="560"/>
        <v/>
      </c>
      <c r="R773" s="14">
        <f t="shared" si="561"/>
        <v>0</v>
      </c>
      <c r="S773" s="61" t="str">
        <f t="shared" si="562"/>
        <v/>
      </c>
      <c r="T773" s="14">
        <f t="shared" si="563"/>
        <v>0</v>
      </c>
      <c r="U773" s="58" t="str">
        <f t="shared" si="564"/>
        <v/>
      </c>
      <c r="V773" s="14">
        <f t="shared" si="565"/>
        <v>0</v>
      </c>
      <c r="W773" s="58" t="str">
        <f t="shared" si="566"/>
        <v/>
      </c>
      <c r="X773" s="14">
        <f t="shared" si="567"/>
        <v>0</v>
      </c>
      <c r="Y773" s="58" t="str">
        <f t="shared" si="568"/>
        <v/>
      </c>
      <c r="Z773" s="31">
        <f t="shared" si="569"/>
        <v>0</v>
      </c>
      <c r="AA773" s="21">
        <f t="shared" si="570"/>
        <v>0</v>
      </c>
      <c r="AB773" s="58" t="str">
        <f t="shared" si="571"/>
        <v/>
      </c>
      <c r="AC773" s="630">
        <f t="shared" si="548"/>
        <v>0</v>
      </c>
      <c r="AD773" s="627"/>
      <c r="AE773" s="21">
        <f t="shared" si="572"/>
        <v>0</v>
      </c>
      <c r="AF773" s="58" t="str">
        <f t="shared" si="573"/>
        <v/>
      </c>
      <c r="AG773" s="21">
        <f t="shared" si="574"/>
        <v>0</v>
      </c>
      <c r="AH773" s="58" t="str">
        <f t="shared" si="575"/>
        <v/>
      </c>
      <c r="AI773" s="21">
        <f t="shared" si="576"/>
        <v>0</v>
      </c>
      <c r="AJ773" s="58" t="str">
        <f t="shared" si="577"/>
        <v/>
      </c>
      <c r="AK773" s="31">
        <f t="shared" si="578"/>
        <v>0</v>
      </c>
      <c r="AL773" s="21">
        <f t="shared" si="579"/>
        <v>0</v>
      </c>
      <c r="AM773" s="62" t="str">
        <f t="shared" si="580"/>
        <v/>
      </c>
      <c r="AN773" s="21">
        <f t="shared" si="581"/>
        <v>0</v>
      </c>
      <c r="AO773" s="62" t="str">
        <f t="shared" si="582"/>
        <v/>
      </c>
      <c r="AP773" s="21">
        <f t="shared" si="583"/>
        <v>0</v>
      </c>
      <c r="AQ773" s="62" t="str">
        <f t="shared" si="584"/>
        <v/>
      </c>
      <c r="AR773" s="31">
        <f t="shared" si="585"/>
        <v>0</v>
      </c>
      <c r="AS773" s="21">
        <f t="shared" si="586"/>
        <v>0</v>
      </c>
      <c r="AT773" s="62" t="str">
        <f t="shared" si="587"/>
        <v/>
      </c>
      <c r="AU773" s="84">
        <f t="shared" si="588"/>
        <v>0</v>
      </c>
      <c r="AV773" s="32">
        <f t="shared" si="589"/>
        <v>0</v>
      </c>
      <c r="AW773" s="85" t="str">
        <f t="shared" si="590"/>
        <v/>
      </c>
      <c r="AX773" s="86" t="str">
        <f t="shared" si="591"/>
        <v/>
      </c>
    </row>
    <row r="774" spans="1:50" x14ac:dyDescent="0.2">
      <c r="A774" s="29" t="str">
        <f t="shared" si="549"/>
        <v/>
      </c>
      <c r="B774" s="32" t="str">
        <f t="shared" si="550"/>
        <v/>
      </c>
      <c r="C774" s="35"/>
      <c r="D774" s="33" t="str">
        <f t="shared" si="551"/>
        <v/>
      </c>
      <c r="E774" s="22" t="str">
        <f t="shared" si="552"/>
        <v/>
      </c>
      <c r="F774" s="23" t="str">
        <f t="shared" si="553"/>
        <v/>
      </c>
      <c r="G774" s="23"/>
      <c r="H774" s="22"/>
      <c r="I774" s="23"/>
      <c r="J774" s="18"/>
      <c r="K774" s="13" t="str">
        <f t="shared" si="554"/>
        <v/>
      </c>
      <c r="L774" s="28" t="str">
        <f t="shared" si="555"/>
        <v/>
      </c>
      <c r="M774" s="10" t="str">
        <f t="shared" si="556"/>
        <v/>
      </c>
      <c r="N774" s="17" t="str">
        <f t="shared" si="557"/>
        <v/>
      </c>
      <c r="O774" s="39" t="str">
        <f t="shared" si="558"/>
        <v/>
      </c>
      <c r="P774" s="41" t="str">
        <f t="shared" si="559"/>
        <v/>
      </c>
      <c r="Q774" s="9" t="str">
        <f t="shared" si="560"/>
        <v/>
      </c>
      <c r="R774" s="14">
        <f t="shared" si="561"/>
        <v>0</v>
      </c>
      <c r="S774" s="61" t="str">
        <f t="shared" si="562"/>
        <v/>
      </c>
      <c r="T774" s="14">
        <f t="shared" si="563"/>
        <v>0</v>
      </c>
      <c r="U774" s="58" t="str">
        <f t="shared" si="564"/>
        <v/>
      </c>
      <c r="V774" s="14">
        <f t="shared" si="565"/>
        <v>0</v>
      </c>
      <c r="W774" s="58" t="str">
        <f t="shared" si="566"/>
        <v/>
      </c>
      <c r="X774" s="14">
        <f t="shared" si="567"/>
        <v>0</v>
      </c>
      <c r="Y774" s="58" t="str">
        <f t="shared" si="568"/>
        <v/>
      </c>
      <c r="Z774" s="31">
        <f t="shared" si="569"/>
        <v>0</v>
      </c>
      <c r="AA774" s="21">
        <f t="shared" si="570"/>
        <v>0</v>
      </c>
      <c r="AB774" s="58" t="str">
        <f t="shared" si="571"/>
        <v/>
      </c>
      <c r="AC774" s="630">
        <f t="shared" si="548"/>
        <v>0</v>
      </c>
      <c r="AD774" s="627"/>
      <c r="AE774" s="21">
        <f t="shared" si="572"/>
        <v>0</v>
      </c>
      <c r="AF774" s="58" t="str">
        <f t="shared" si="573"/>
        <v/>
      </c>
      <c r="AG774" s="21">
        <f t="shared" si="574"/>
        <v>0</v>
      </c>
      <c r="AH774" s="58" t="str">
        <f t="shared" si="575"/>
        <v/>
      </c>
      <c r="AI774" s="21">
        <f t="shared" si="576"/>
        <v>0</v>
      </c>
      <c r="AJ774" s="58" t="str">
        <f t="shared" si="577"/>
        <v/>
      </c>
      <c r="AK774" s="31">
        <f t="shared" si="578"/>
        <v>0</v>
      </c>
      <c r="AL774" s="21">
        <f t="shared" si="579"/>
        <v>0</v>
      </c>
      <c r="AM774" s="62" t="str">
        <f t="shared" si="580"/>
        <v/>
      </c>
      <c r="AN774" s="21">
        <f t="shared" si="581"/>
        <v>0</v>
      </c>
      <c r="AO774" s="62" t="str">
        <f t="shared" si="582"/>
        <v/>
      </c>
      <c r="AP774" s="21">
        <f t="shared" si="583"/>
        <v>0</v>
      </c>
      <c r="AQ774" s="62" t="str">
        <f t="shared" si="584"/>
        <v/>
      </c>
      <c r="AR774" s="31">
        <f t="shared" si="585"/>
        <v>0</v>
      </c>
      <c r="AS774" s="21">
        <f t="shared" si="586"/>
        <v>0</v>
      </c>
      <c r="AT774" s="62" t="str">
        <f t="shared" si="587"/>
        <v/>
      </c>
      <c r="AU774" s="84">
        <f t="shared" si="588"/>
        <v>0</v>
      </c>
      <c r="AV774" s="32">
        <f t="shared" si="589"/>
        <v>0</v>
      </c>
      <c r="AW774" s="85" t="str">
        <f t="shared" si="590"/>
        <v/>
      </c>
      <c r="AX774" s="86" t="str">
        <f t="shared" si="591"/>
        <v/>
      </c>
    </row>
    <row r="775" spans="1:50" x14ac:dyDescent="0.2">
      <c r="A775" s="29" t="str">
        <f t="shared" si="549"/>
        <v/>
      </c>
      <c r="B775" s="32" t="str">
        <f t="shared" si="550"/>
        <v/>
      </c>
      <c r="C775" s="35"/>
      <c r="D775" s="33" t="str">
        <f t="shared" si="551"/>
        <v/>
      </c>
      <c r="E775" s="22" t="str">
        <f t="shared" si="552"/>
        <v/>
      </c>
      <c r="F775" s="23" t="str">
        <f t="shared" si="553"/>
        <v/>
      </c>
      <c r="G775" s="23"/>
      <c r="H775" s="22"/>
      <c r="I775" s="23"/>
      <c r="J775" s="18"/>
      <c r="K775" s="13" t="str">
        <f t="shared" si="554"/>
        <v/>
      </c>
      <c r="L775" s="28" t="str">
        <f t="shared" si="555"/>
        <v/>
      </c>
      <c r="M775" s="10" t="str">
        <f t="shared" si="556"/>
        <v/>
      </c>
      <c r="N775" s="17" t="str">
        <f t="shared" si="557"/>
        <v/>
      </c>
      <c r="O775" s="39" t="str">
        <f t="shared" si="558"/>
        <v/>
      </c>
      <c r="P775" s="41" t="str">
        <f t="shared" si="559"/>
        <v/>
      </c>
      <c r="Q775" s="9" t="str">
        <f t="shared" si="560"/>
        <v/>
      </c>
      <c r="R775" s="14">
        <f t="shared" si="561"/>
        <v>0</v>
      </c>
      <c r="S775" s="61" t="str">
        <f t="shared" si="562"/>
        <v/>
      </c>
      <c r="T775" s="14">
        <f t="shared" si="563"/>
        <v>0</v>
      </c>
      <c r="U775" s="58" t="str">
        <f t="shared" si="564"/>
        <v/>
      </c>
      <c r="V775" s="14">
        <f t="shared" si="565"/>
        <v>0</v>
      </c>
      <c r="W775" s="58" t="str">
        <f t="shared" si="566"/>
        <v/>
      </c>
      <c r="X775" s="14">
        <f t="shared" si="567"/>
        <v>0</v>
      </c>
      <c r="Y775" s="58" t="str">
        <f t="shared" si="568"/>
        <v/>
      </c>
      <c r="Z775" s="31">
        <f t="shared" si="569"/>
        <v>0</v>
      </c>
      <c r="AA775" s="21">
        <f t="shared" si="570"/>
        <v>0</v>
      </c>
      <c r="AB775" s="58" t="str">
        <f t="shared" si="571"/>
        <v/>
      </c>
      <c r="AC775" s="630">
        <f t="shared" si="548"/>
        <v>0</v>
      </c>
      <c r="AD775" s="627"/>
      <c r="AE775" s="21">
        <f t="shared" si="572"/>
        <v>0</v>
      </c>
      <c r="AF775" s="58" t="str">
        <f t="shared" si="573"/>
        <v/>
      </c>
      <c r="AG775" s="21">
        <f t="shared" si="574"/>
        <v>0</v>
      </c>
      <c r="AH775" s="58" t="str">
        <f t="shared" si="575"/>
        <v/>
      </c>
      <c r="AI775" s="21">
        <f t="shared" si="576"/>
        <v>0</v>
      </c>
      <c r="AJ775" s="58" t="str">
        <f t="shared" si="577"/>
        <v/>
      </c>
      <c r="AK775" s="31">
        <f t="shared" si="578"/>
        <v>0</v>
      </c>
      <c r="AL775" s="21">
        <f t="shared" si="579"/>
        <v>0</v>
      </c>
      <c r="AM775" s="62" t="str">
        <f t="shared" si="580"/>
        <v/>
      </c>
      <c r="AN775" s="21">
        <f t="shared" si="581"/>
        <v>0</v>
      </c>
      <c r="AO775" s="62" t="str">
        <f t="shared" si="582"/>
        <v/>
      </c>
      <c r="AP775" s="21">
        <f t="shared" si="583"/>
        <v>0</v>
      </c>
      <c r="AQ775" s="62" t="str">
        <f t="shared" si="584"/>
        <v/>
      </c>
      <c r="AR775" s="31">
        <f t="shared" si="585"/>
        <v>0</v>
      </c>
      <c r="AS775" s="21">
        <f t="shared" si="586"/>
        <v>0</v>
      </c>
      <c r="AT775" s="62" t="str">
        <f t="shared" si="587"/>
        <v/>
      </c>
      <c r="AU775" s="84">
        <f t="shared" si="588"/>
        <v>0</v>
      </c>
      <c r="AV775" s="32">
        <f t="shared" si="589"/>
        <v>0</v>
      </c>
      <c r="AW775" s="85" t="str">
        <f t="shared" si="590"/>
        <v/>
      </c>
      <c r="AX775" s="86" t="str">
        <f t="shared" si="591"/>
        <v/>
      </c>
    </row>
    <row r="776" spans="1:50" x14ac:dyDescent="0.2">
      <c r="A776" s="29" t="str">
        <f t="shared" si="549"/>
        <v/>
      </c>
      <c r="B776" s="32" t="str">
        <f t="shared" si="550"/>
        <v/>
      </c>
      <c r="C776" s="35"/>
      <c r="D776" s="33" t="str">
        <f t="shared" si="551"/>
        <v/>
      </c>
      <c r="E776" s="22" t="str">
        <f t="shared" si="552"/>
        <v/>
      </c>
      <c r="F776" s="23" t="str">
        <f t="shared" si="553"/>
        <v/>
      </c>
      <c r="G776" s="23"/>
      <c r="H776" s="22"/>
      <c r="I776" s="23"/>
      <c r="J776" s="18"/>
      <c r="K776" s="13" t="str">
        <f t="shared" si="554"/>
        <v/>
      </c>
      <c r="L776" s="28" t="str">
        <f t="shared" si="555"/>
        <v/>
      </c>
      <c r="M776" s="10" t="str">
        <f t="shared" si="556"/>
        <v/>
      </c>
      <c r="N776" s="17" t="str">
        <f t="shared" si="557"/>
        <v/>
      </c>
      <c r="O776" s="39" t="str">
        <f t="shared" si="558"/>
        <v/>
      </c>
      <c r="P776" s="41" t="str">
        <f t="shared" si="559"/>
        <v/>
      </c>
      <c r="Q776" s="9" t="str">
        <f t="shared" si="560"/>
        <v/>
      </c>
      <c r="R776" s="14">
        <f t="shared" si="561"/>
        <v>0</v>
      </c>
      <c r="S776" s="61" t="str">
        <f t="shared" si="562"/>
        <v/>
      </c>
      <c r="T776" s="14">
        <f t="shared" si="563"/>
        <v>0</v>
      </c>
      <c r="U776" s="58" t="str">
        <f t="shared" si="564"/>
        <v/>
      </c>
      <c r="V776" s="14">
        <f t="shared" si="565"/>
        <v>0</v>
      </c>
      <c r="W776" s="58" t="str">
        <f t="shared" si="566"/>
        <v/>
      </c>
      <c r="X776" s="14">
        <f t="shared" si="567"/>
        <v>0</v>
      </c>
      <c r="Y776" s="58" t="str">
        <f t="shared" si="568"/>
        <v/>
      </c>
      <c r="Z776" s="31">
        <f t="shared" si="569"/>
        <v>0</v>
      </c>
      <c r="AA776" s="21">
        <f t="shared" si="570"/>
        <v>0</v>
      </c>
      <c r="AB776" s="58" t="str">
        <f t="shared" si="571"/>
        <v/>
      </c>
      <c r="AC776" s="630">
        <f t="shared" si="548"/>
        <v>0</v>
      </c>
      <c r="AD776" s="627"/>
      <c r="AE776" s="21">
        <f t="shared" si="572"/>
        <v>0</v>
      </c>
      <c r="AF776" s="58" t="str">
        <f t="shared" si="573"/>
        <v/>
      </c>
      <c r="AG776" s="21">
        <f t="shared" si="574"/>
        <v>0</v>
      </c>
      <c r="AH776" s="58" t="str">
        <f t="shared" si="575"/>
        <v/>
      </c>
      <c r="AI776" s="21">
        <f t="shared" si="576"/>
        <v>0</v>
      </c>
      <c r="AJ776" s="58" t="str">
        <f t="shared" si="577"/>
        <v/>
      </c>
      <c r="AK776" s="31">
        <f t="shared" si="578"/>
        <v>0</v>
      </c>
      <c r="AL776" s="21">
        <f t="shared" si="579"/>
        <v>0</v>
      </c>
      <c r="AM776" s="62" t="str">
        <f t="shared" si="580"/>
        <v/>
      </c>
      <c r="AN776" s="21">
        <f t="shared" si="581"/>
        <v>0</v>
      </c>
      <c r="AO776" s="62" t="str">
        <f t="shared" si="582"/>
        <v/>
      </c>
      <c r="AP776" s="21">
        <f t="shared" si="583"/>
        <v>0</v>
      </c>
      <c r="AQ776" s="62" t="str">
        <f t="shared" si="584"/>
        <v/>
      </c>
      <c r="AR776" s="31">
        <f t="shared" si="585"/>
        <v>0</v>
      </c>
      <c r="AS776" s="21">
        <f t="shared" si="586"/>
        <v>0</v>
      </c>
      <c r="AT776" s="62" t="str">
        <f t="shared" si="587"/>
        <v/>
      </c>
      <c r="AU776" s="84">
        <f t="shared" si="588"/>
        <v>0</v>
      </c>
      <c r="AV776" s="32">
        <f t="shared" si="589"/>
        <v>0</v>
      </c>
      <c r="AW776" s="85" t="str">
        <f t="shared" si="590"/>
        <v/>
      </c>
      <c r="AX776" s="86" t="str">
        <f t="shared" si="591"/>
        <v/>
      </c>
    </row>
    <row r="777" spans="1:50" x14ac:dyDescent="0.2">
      <c r="A777" s="29" t="str">
        <f t="shared" si="549"/>
        <v/>
      </c>
      <c r="B777" s="32" t="str">
        <f t="shared" si="550"/>
        <v/>
      </c>
      <c r="C777" s="35"/>
      <c r="D777" s="33" t="str">
        <f t="shared" si="551"/>
        <v/>
      </c>
      <c r="E777" s="22" t="str">
        <f t="shared" si="552"/>
        <v/>
      </c>
      <c r="F777" s="23" t="str">
        <f t="shared" si="553"/>
        <v/>
      </c>
      <c r="G777" s="23"/>
      <c r="H777" s="22"/>
      <c r="I777" s="23"/>
      <c r="J777" s="18"/>
      <c r="K777" s="13" t="str">
        <f t="shared" si="554"/>
        <v/>
      </c>
      <c r="L777" s="28" t="str">
        <f t="shared" si="555"/>
        <v/>
      </c>
      <c r="M777" s="10" t="str">
        <f t="shared" si="556"/>
        <v/>
      </c>
      <c r="N777" s="17" t="str">
        <f t="shared" si="557"/>
        <v/>
      </c>
      <c r="O777" s="39" t="str">
        <f t="shared" si="558"/>
        <v/>
      </c>
      <c r="P777" s="41" t="str">
        <f t="shared" si="559"/>
        <v/>
      </c>
      <c r="Q777" s="9" t="str">
        <f t="shared" si="560"/>
        <v/>
      </c>
      <c r="R777" s="14">
        <f t="shared" si="561"/>
        <v>0</v>
      </c>
      <c r="S777" s="61" t="str">
        <f t="shared" si="562"/>
        <v/>
      </c>
      <c r="T777" s="14">
        <f t="shared" si="563"/>
        <v>0</v>
      </c>
      <c r="U777" s="58" t="str">
        <f t="shared" si="564"/>
        <v/>
      </c>
      <c r="V777" s="14">
        <f t="shared" si="565"/>
        <v>0</v>
      </c>
      <c r="W777" s="58" t="str">
        <f t="shared" si="566"/>
        <v/>
      </c>
      <c r="X777" s="14">
        <f t="shared" si="567"/>
        <v>0</v>
      </c>
      <c r="Y777" s="58" t="str">
        <f t="shared" si="568"/>
        <v/>
      </c>
      <c r="Z777" s="31">
        <f t="shared" si="569"/>
        <v>0</v>
      </c>
      <c r="AA777" s="21">
        <f t="shared" si="570"/>
        <v>0</v>
      </c>
      <c r="AB777" s="58" t="str">
        <f t="shared" si="571"/>
        <v/>
      </c>
      <c r="AC777" s="630">
        <f t="shared" si="548"/>
        <v>0</v>
      </c>
      <c r="AD777" s="627"/>
      <c r="AE777" s="21">
        <f t="shared" si="572"/>
        <v>0</v>
      </c>
      <c r="AF777" s="58" t="str">
        <f t="shared" si="573"/>
        <v/>
      </c>
      <c r="AG777" s="21">
        <f t="shared" si="574"/>
        <v>0</v>
      </c>
      <c r="AH777" s="58" t="str">
        <f t="shared" si="575"/>
        <v/>
      </c>
      <c r="AI777" s="21">
        <f t="shared" si="576"/>
        <v>0</v>
      </c>
      <c r="AJ777" s="58" t="str">
        <f t="shared" si="577"/>
        <v/>
      </c>
      <c r="AK777" s="31">
        <f t="shared" si="578"/>
        <v>0</v>
      </c>
      <c r="AL777" s="21">
        <f t="shared" si="579"/>
        <v>0</v>
      </c>
      <c r="AM777" s="62" t="str">
        <f t="shared" si="580"/>
        <v/>
      </c>
      <c r="AN777" s="21">
        <f t="shared" si="581"/>
        <v>0</v>
      </c>
      <c r="AO777" s="62" t="str">
        <f t="shared" si="582"/>
        <v/>
      </c>
      <c r="AP777" s="21">
        <f t="shared" si="583"/>
        <v>0</v>
      </c>
      <c r="AQ777" s="62" t="str">
        <f t="shared" si="584"/>
        <v/>
      </c>
      <c r="AR777" s="31">
        <f t="shared" si="585"/>
        <v>0</v>
      </c>
      <c r="AS777" s="21">
        <f t="shared" si="586"/>
        <v>0</v>
      </c>
      <c r="AT777" s="62" t="str">
        <f t="shared" si="587"/>
        <v/>
      </c>
      <c r="AU777" s="84">
        <f t="shared" si="588"/>
        <v>0</v>
      </c>
      <c r="AV777" s="32">
        <f t="shared" si="589"/>
        <v>0</v>
      </c>
      <c r="AW777" s="85" t="str">
        <f t="shared" si="590"/>
        <v/>
      </c>
      <c r="AX777" s="86" t="str">
        <f t="shared" si="591"/>
        <v/>
      </c>
    </row>
    <row r="778" spans="1:50" x14ac:dyDescent="0.2">
      <c r="A778" s="29" t="str">
        <f t="shared" si="549"/>
        <v/>
      </c>
      <c r="B778" s="32" t="str">
        <f t="shared" si="550"/>
        <v/>
      </c>
      <c r="C778" s="35"/>
      <c r="D778" s="33" t="str">
        <f t="shared" si="551"/>
        <v/>
      </c>
      <c r="E778" s="22" t="str">
        <f t="shared" si="552"/>
        <v/>
      </c>
      <c r="F778" s="23" t="str">
        <f t="shared" si="553"/>
        <v/>
      </c>
      <c r="G778" s="23"/>
      <c r="H778" s="22"/>
      <c r="I778" s="23"/>
      <c r="J778" s="18"/>
      <c r="K778" s="13" t="str">
        <f t="shared" si="554"/>
        <v/>
      </c>
      <c r="L778" s="28" t="str">
        <f t="shared" si="555"/>
        <v/>
      </c>
      <c r="M778" s="10" t="str">
        <f t="shared" si="556"/>
        <v/>
      </c>
      <c r="N778" s="17" t="str">
        <f t="shared" si="557"/>
        <v/>
      </c>
      <c r="O778" s="39" t="str">
        <f t="shared" si="558"/>
        <v/>
      </c>
      <c r="P778" s="41" t="str">
        <f t="shared" si="559"/>
        <v/>
      </c>
      <c r="Q778" s="9" t="str">
        <f t="shared" si="560"/>
        <v/>
      </c>
      <c r="R778" s="14">
        <f t="shared" si="561"/>
        <v>0</v>
      </c>
      <c r="S778" s="61" t="str">
        <f t="shared" si="562"/>
        <v/>
      </c>
      <c r="T778" s="14">
        <f t="shared" si="563"/>
        <v>0</v>
      </c>
      <c r="U778" s="58" t="str">
        <f t="shared" si="564"/>
        <v/>
      </c>
      <c r="V778" s="14">
        <f t="shared" si="565"/>
        <v>0</v>
      </c>
      <c r="W778" s="58" t="str">
        <f t="shared" si="566"/>
        <v/>
      </c>
      <c r="X778" s="14">
        <f t="shared" si="567"/>
        <v>0</v>
      </c>
      <c r="Y778" s="58" t="str">
        <f t="shared" si="568"/>
        <v/>
      </c>
      <c r="Z778" s="31">
        <f t="shared" si="569"/>
        <v>0</v>
      </c>
      <c r="AA778" s="21">
        <f t="shared" si="570"/>
        <v>0</v>
      </c>
      <c r="AB778" s="58" t="str">
        <f t="shared" si="571"/>
        <v/>
      </c>
      <c r="AC778" s="630">
        <f t="shared" si="548"/>
        <v>0</v>
      </c>
      <c r="AD778" s="627"/>
      <c r="AE778" s="21">
        <f t="shared" si="572"/>
        <v>0</v>
      </c>
      <c r="AF778" s="58" t="str">
        <f t="shared" si="573"/>
        <v/>
      </c>
      <c r="AG778" s="21">
        <f t="shared" si="574"/>
        <v>0</v>
      </c>
      <c r="AH778" s="58" t="str">
        <f t="shared" si="575"/>
        <v/>
      </c>
      <c r="AI778" s="21">
        <f t="shared" si="576"/>
        <v>0</v>
      </c>
      <c r="AJ778" s="58" t="str">
        <f t="shared" si="577"/>
        <v/>
      </c>
      <c r="AK778" s="31">
        <f t="shared" si="578"/>
        <v>0</v>
      </c>
      <c r="AL778" s="21">
        <f t="shared" si="579"/>
        <v>0</v>
      </c>
      <c r="AM778" s="62" t="str">
        <f t="shared" si="580"/>
        <v/>
      </c>
      <c r="AN778" s="21">
        <f t="shared" si="581"/>
        <v>0</v>
      </c>
      <c r="AO778" s="62" t="str">
        <f t="shared" si="582"/>
        <v/>
      </c>
      <c r="AP778" s="21">
        <f t="shared" si="583"/>
        <v>0</v>
      </c>
      <c r="AQ778" s="62" t="str">
        <f t="shared" si="584"/>
        <v/>
      </c>
      <c r="AR778" s="31">
        <f t="shared" si="585"/>
        <v>0</v>
      </c>
      <c r="AS778" s="21">
        <f t="shared" si="586"/>
        <v>0</v>
      </c>
      <c r="AT778" s="62" t="str">
        <f t="shared" si="587"/>
        <v/>
      </c>
      <c r="AU778" s="84">
        <f t="shared" si="588"/>
        <v>0</v>
      </c>
      <c r="AV778" s="32">
        <f t="shared" si="589"/>
        <v>0</v>
      </c>
      <c r="AW778" s="85" t="str">
        <f t="shared" si="590"/>
        <v/>
      </c>
      <c r="AX778" s="86" t="str">
        <f t="shared" si="591"/>
        <v/>
      </c>
    </row>
    <row r="779" spans="1:50" x14ac:dyDescent="0.2">
      <c r="A779" s="29" t="str">
        <f t="shared" si="549"/>
        <v/>
      </c>
      <c r="B779" s="32" t="str">
        <f t="shared" si="550"/>
        <v/>
      </c>
      <c r="C779" s="35"/>
      <c r="D779" s="33" t="str">
        <f t="shared" si="551"/>
        <v/>
      </c>
      <c r="E779" s="22" t="str">
        <f t="shared" si="552"/>
        <v/>
      </c>
      <c r="F779" s="23" t="str">
        <f t="shared" si="553"/>
        <v/>
      </c>
      <c r="G779" s="23"/>
      <c r="H779" s="22"/>
      <c r="I779" s="23"/>
      <c r="J779" s="18"/>
      <c r="K779" s="13" t="str">
        <f t="shared" si="554"/>
        <v/>
      </c>
      <c r="L779" s="28" t="str">
        <f t="shared" si="555"/>
        <v/>
      </c>
      <c r="M779" s="10" t="str">
        <f t="shared" si="556"/>
        <v/>
      </c>
      <c r="N779" s="17" t="str">
        <f t="shared" si="557"/>
        <v/>
      </c>
      <c r="O779" s="39" t="str">
        <f t="shared" si="558"/>
        <v/>
      </c>
      <c r="P779" s="41" t="str">
        <f t="shared" si="559"/>
        <v/>
      </c>
      <c r="Q779" s="9" t="str">
        <f t="shared" si="560"/>
        <v/>
      </c>
      <c r="R779" s="14">
        <f t="shared" si="561"/>
        <v>0</v>
      </c>
      <c r="S779" s="61" t="str">
        <f t="shared" si="562"/>
        <v/>
      </c>
      <c r="T779" s="14">
        <f t="shared" si="563"/>
        <v>0</v>
      </c>
      <c r="U779" s="58" t="str">
        <f t="shared" si="564"/>
        <v/>
      </c>
      <c r="V779" s="14">
        <f t="shared" si="565"/>
        <v>0</v>
      </c>
      <c r="W779" s="58" t="str">
        <f t="shared" si="566"/>
        <v/>
      </c>
      <c r="X779" s="14">
        <f t="shared" si="567"/>
        <v>0</v>
      </c>
      <c r="Y779" s="58" t="str">
        <f t="shared" si="568"/>
        <v/>
      </c>
      <c r="Z779" s="31">
        <f t="shared" si="569"/>
        <v>0</v>
      </c>
      <c r="AA779" s="21">
        <f t="shared" si="570"/>
        <v>0</v>
      </c>
      <c r="AB779" s="58" t="str">
        <f t="shared" si="571"/>
        <v/>
      </c>
      <c r="AC779" s="630">
        <f t="shared" si="548"/>
        <v>0</v>
      </c>
      <c r="AD779" s="627"/>
      <c r="AE779" s="21">
        <f t="shared" si="572"/>
        <v>0</v>
      </c>
      <c r="AF779" s="58" t="str">
        <f t="shared" si="573"/>
        <v/>
      </c>
      <c r="AG779" s="21">
        <f t="shared" si="574"/>
        <v>0</v>
      </c>
      <c r="AH779" s="58" t="str">
        <f t="shared" si="575"/>
        <v/>
      </c>
      <c r="AI779" s="21">
        <f t="shared" si="576"/>
        <v>0</v>
      </c>
      <c r="AJ779" s="58" t="str">
        <f t="shared" si="577"/>
        <v/>
      </c>
      <c r="AK779" s="31">
        <f t="shared" si="578"/>
        <v>0</v>
      </c>
      <c r="AL779" s="21">
        <f t="shared" si="579"/>
        <v>0</v>
      </c>
      <c r="AM779" s="62" t="str">
        <f t="shared" si="580"/>
        <v/>
      </c>
      <c r="AN779" s="21">
        <f t="shared" si="581"/>
        <v>0</v>
      </c>
      <c r="AO779" s="62" t="str">
        <f t="shared" si="582"/>
        <v/>
      </c>
      <c r="AP779" s="21">
        <f t="shared" si="583"/>
        <v>0</v>
      </c>
      <c r="AQ779" s="62" t="str">
        <f t="shared" si="584"/>
        <v/>
      </c>
      <c r="AR779" s="31">
        <f t="shared" si="585"/>
        <v>0</v>
      </c>
      <c r="AS779" s="21">
        <f t="shared" si="586"/>
        <v>0</v>
      </c>
      <c r="AT779" s="62" t="str">
        <f t="shared" si="587"/>
        <v/>
      </c>
      <c r="AU779" s="84">
        <f t="shared" si="588"/>
        <v>0</v>
      </c>
      <c r="AV779" s="32">
        <f t="shared" si="589"/>
        <v>0</v>
      </c>
      <c r="AW779" s="85" t="str">
        <f t="shared" si="590"/>
        <v/>
      </c>
      <c r="AX779" s="86" t="str">
        <f t="shared" si="591"/>
        <v/>
      </c>
    </row>
    <row r="780" spans="1:50" x14ac:dyDescent="0.2">
      <c r="A780" s="29" t="str">
        <f t="shared" si="549"/>
        <v/>
      </c>
      <c r="B780" s="32" t="str">
        <f t="shared" si="550"/>
        <v/>
      </c>
      <c r="C780" s="35"/>
      <c r="D780" s="33" t="str">
        <f t="shared" si="551"/>
        <v/>
      </c>
      <c r="E780" s="22" t="str">
        <f t="shared" si="552"/>
        <v/>
      </c>
      <c r="F780" s="23" t="str">
        <f t="shared" si="553"/>
        <v/>
      </c>
      <c r="G780" s="23"/>
      <c r="H780" s="22"/>
      <c r="I780" s="23"/>
      <c r="J780" s="18"/>
      <c r="K780" s="13" t="str">
        <f t="shared" si="554"/>
        <v/>
      </c>
      <c r="L780" s="28" t="str">
        <f t="shared" si="555"/>
        <v/>
      </c>
      <c r="M780" s="10" t="str">
        <f t="shared" si="556"/>
        <v/>
      </c>
      <c r="N780" s="17" t="str">
        <f t="shared" si="557"/>
        <v/>
      </c>
      <c r="O780" s="39" t="str">
        <f t="shared" si="558"/>
        <v/>
      </c>
      <c r="P780" s="41" t="str">
        <f t="shared" si="559"/>
        <v/>
      </c>
      <c r="Q780" s="9" t="str">
        <f t="shared" si="560"/>
        <v/>
      </c>
      <c r="R780" s="14">
        <f t="shared" si="561"/>
        <v>0</v>
      </c>
      <c r="S780" s="61" t="str">
        <f t="shared" si="562"/>
        <v/>
      </c>
      <c r="T780" s="14">
        <f t="shared" si="563"/>
        <v>0</v>
      </c>
      <c r="U780" s="58" t="str">
        <f t="shared" si="564"/>
        <v/>
      </c>
      <c r="V780" s="14">
        <f t="shared" si="565"/>
        <v>0</v>
      </c>
      <c r="W780" s="58" t="str">
        <f t="shared" si="566"/>
        <v/>
      </c>
      <c r="X780" s="14">
        <f t="shared" si="567"/>
        <v>0</v>
      </c>
      <c r="Y780" s="58" t="str">
        <f t="shared" si="568"/>
        <v/>
      </c>
      <c r="Z780" s="31">
        <f t="shared" si="569"/>
        <v>0</v>
      </c>
      <c r="AA780" s="21">
        <f t="shared" si="570"/>
        <v>0</v>
      </c>
      <c r="AB780" s="58" t="str">
        <f t="shared" si="571"/>
        <v/>
      </c>
      <c r="AC780" s="630">
        <f t="shared" si="548"/>
        <v>0</v>
      </c>
      <c r="AD780" s="627"/>
      <c r="AE780" s="21">
        <f t="shared" si="572"/>
        <v>0</v>
      </c>
      <c r="AF780" s="58" t="str">
        <f t="shared" si="573"/>
        <v/>
      </c>
      <c r="AG780" s="21">
        <f t="shared" si="574"/>
        <v>0</v>
      </c>
      <c r="AH780" s="58" t="str">
        <f t="shared" si="575"/>
        <v/>
      </c>
      <c r="AI780" s="21">
        <f t="shared" si="576"/>
        <v>0</v>
      </c>
      <c r="AJ780" s="58" t="str">
        <f t="shared" si="577"/>
        <v/>
      </c>
      <c r="AK780" s="31">
        <f t="shared" si="578"/>
        <v>0</v>
      </c>
      <c r="AL780" s="21">
        <f t="shared" si="579"/>
        <v>0</v>
      </c>
      <c r="AM780" s="62" t="str">
        <f t="shared" si="580"/>
        <v/>
      </c>
      <c r="AN780" s="21">
        <f t="shared" si="581"/>
        <v>0</v>
      </c>
      <c r="AO780" s="62" t="str">
        <f t="shared" si="582"/>
        <v/>
      </c>
      <c r="AP780" s="21">
        <f t="shared" si="583"/>
        <v>0</v>
      </c>
      <c r="AQ780" s="62" t="str">
        <f t="shared" si="584"/>
        <v/>
      </c>
      <c r="AR780" s="31">
        <f t="shared" si="585"/>
        <v>0</v>
      </c>
      <c r="AS780" s="21">
        <f t="shared" si="586"/>
        <v>0</v>
      </c>
      <c r="AT780" s="62" t="str">
        <f t="shared" si="587"/>
        <v/>
      </c>
      <c r="AU780" s="84">
        <f t="shared" si="588"/>
        <v>0</v>
      </c>
      <c r="AV780" s="32">
        <f t="shared" si="589"/>
        <v>0</v>
      </c>
      <c r="AW780" s="85" t="str">
        <f t="shared" si="590"/>
        <v/>
      </c>
      <c r="AX780" s="86" t="str">
        <f t="shared" si="591"/>
        <v/>
      </c>
    </row>
    <row r="781" spans="1:50" x14ac:dyDescent="0.2">
      <c r="A781" s="29" t="str">
        <f t="shared" si="549"/>
        <v/>
      </c>
      <c r="B781" s="32" t="str">
        <f t="shared" si="550"/>
        <v/>
      </c>
      <c r="C781" s="35"/>
      <c r="D781" s="33" t="str">
        <f t="shared" si="551"/>
        <v/>
      </c>
      <c r="E781" s="22" t="str">
        <f t="shared" si="552"/>
        <v/>
      </c>
      <c r="F781" s="23" t="str">
        <f t="shared" si="553"/>
        <v/>
      </c>
      <c r="G781" s="23"/>
      <c r="H781" s="22"/>
      <c r="I781" s="23"/>
      <c r="J781" s="18"/>
      <c r="K781" s="13" t="str">
        <f t="shared" si="554"/>
        <v/>
      </c>
      <c r="L781" s="28" t="str">
        <f t="shared" si="555"/>
        <v/>
      </c>
      <c r="M781" s="10" t="str">
        <f t="shared" si="556"/>
        <v/>
      </c>
      <c r="N781" s="17" t="str">
        <f t="shared" si="557"/>
        <v/>
      </c>
      <c r="O781" s="39" t="str">
        <f t="shared" si="558"/>
        <v/>
      </c>
      <c r="P781" s="41" t="str">
        <f t="shared" si="559"/>
        <v/>
      </c>
      <c r="Q781" s="9" t="str">
        <f t="shared" si="560"/>
        <v/>
      </c>
      <c r="R781" s="14">
        <f t="shared" si="561"/>
        <v>0</v>
      </c>
      <c r="S781" s="61" t="str">
        <f t="shared" si="562"/>
        <v/>
      </c>
      <c r="T781" s="14">
        <f t="shared" si="563"/>
        <v>0</v>
      </c>
      <c r="U781" s="58" t="str">
        <f t="shared" si="564"/>
        <v/>
      </c>
      <c r="V781" s="14">
        <f t="shared" si="565"/>
        <v>0</v>
      </c>
      <c r="W781" s="58" t="str">
        <f t="shared" si="566"/>
        <v/>
      </c>
      <c r="X781" s="14">
        <f t="shared" si="567"/>
        <v>0</v>
      </c>
      <c r="Y781" s="58" t="str">
        <f t="shared" si="568"/>
        <v/>
      </c>
      <c r="Z781" s="31">
        <f t="shared" si="569"/>
        <v>0</v>
      </c>
      <c r="AA781" s="21">
        <f t="shared" si="570"/>
        <v>0</v>
      </c>
      <c r="AB781" s="58" t="str">
        <f t="shared" si="571"/>
        <v/>
      </c>
      <c r="AC781" s="630">
        <f t="shared" si="548"/>
        <v>0</v>
      </c>
      <c r="AD781" s="627"/>
      <c r="AE781" s="21">
        <f t="shared" si="572"/>
        <v>0</v>
      </c>
      <c r="AF781" s="58" t="str">
        <f t="shared" si="573"/>
        <v/>
      </c>
      <c r="AG781" s="21">
        <f t="shared" si="574"/>
        <v>0</v>
      </c>
      <c r="AH781" s="58" t="str">
        <f t="shared" si="575"/>
        <v/>
      </c>
      <c r="AI781" s="21">
        <f t="shared" si="576"/>
        <v>0</v>
      </c>
      <c r="AJ781" s="58" t="str">
        <f t="shared" si="577"/>
        <v/>
      </c>
      <c r="AK781" s="31">
        <f t="shared" si="578"/>
        <v>0</v>
      </c>
      <c r="AL781" s="21">
        <f t="shared" si="579"/>
        <v>0</v>
      </c>
      <c r="AM781" s="62" t="str">
        <f t="shared" si="580"/>
        <v/>
      </c>
      <c r="AN781" s="21">
        <f t="shared" si="581"/>
        <v>0</v>
      </c>
      <c r="AO781" s="62" t="str">
        <f t="shared" si="582"/>
        <v/>
      </c>
      <c r="AP781" s="21">
        <f t="shared" si="583"/>
        <v>0</v>
      </c>
      <c r="AQ781" s="62" t="str">
        <f t="shared" si="584"/>
        <v/>
      </c>
      <c r="AR781" s="31">
        <f t="shared" si="585"/>
        <v>0</v>
      </c>
      <c r="AS781" s="21">
        <f t="shared" si="586"/>
        <v>0</v>
      </c>
      <c r="AT781" s="62" t="str">
        <f t="shared" si="587"/>
        <v/>
      </c>
      <c r="AU781" s="84">
        <f t="shared" si="588"/>
        <v>0</v>
      </c>
      <c r="AV781" s="32">
        <f t="shared" si="589"/>
        <v>0</v>
      </c>
      <c r="AW781" s="85" t="str">
        <f t="shared" si="590"/>
        <v/>
      </c>
      <c r="AX781" s="86" t="str">
        <f t="shared" si="591"/>
        <v/>
      </c>
    </row>
    <row r="782" spans="1:50" x14ac:dyDescent="0.2">
      <c r="A782" s="29" t="str">
        <f t="shared" si="549"/>
        <v/>
      </c>
      <c r="B782" s="32" t="str">
        <f t="shared" si="550"/>
        <v/>
      </c>
      <c r="C782" s="35"/>
      <c r="D782" s="33" t="str">
        <f t="shared" si="551"/>
        <v/>
      </c>
      <c r="E782" s="22" t="str">
        <f t="shared" si="552"/>
        <v/>
      </c>
      <c r="F782" s="23" t="str">
        <f t="shared" si="553"/>
        <v/>
      </c>
      <c r="G782" s="23"/>
      <c r="H782" s="22"/>
      <c r="I782" s="23"/>
      <c r="J782" s="18"/>
      <c r="K782" s="13" t="str">
        <f t="shared" si="554"/>
        <v/>
      </c>
      <c r="L782" s="28" t="str">
        <f t="shared" si="555"/>
        <v/>
      </c>
      <c r="M782" s="10" t="str">
        <f t="shared" si="556"/>
        <v/>
      </c>
      <c r="N782" s="17" t="str">
        <f t="shared" si="557"/>
        <v/>
      </c>
      <c r="O782" s="39" t="str">
        <f t="shared" si="558"/>
        <v/>
      </c>
      <c r="P782" s="41" t="str">
        <f t="shared" si="559"/>
        <v/>
      </c>
      <c r="Q782" s="9" t="str">
        <f t="shared" si="560"/>
        <v/>
      </c>
      <c r="R782" s="14">
        <f t="shared" si="561"/>
        <v>0</v>
      </c>
      <c r="S782" s="61" t="str">
        <f t="shared" si="562"/>
        <v/>
      </c>
      <c r="T782" s="14">
        <f t="shared" si="563"/>
        <v>0</v>
      </c>
      <c r="U782" s="58" t="str">
        <f t="shared" si="564"/>
        <v/>
      </c>
      <c r="V782" s="14">
        <f t="shared" si="565"/>
        <v>0</v>
      </c>
      <c r="W782" s="58" t="str">
        <f t="shared" si="566"/>
        <v/>
      </c>
      <c r="X782" s="14">
        <f t="shared" si="567"/>
        <v>0</v>
      </c>
      <c r="Y782" s="58" t="str">
        <f t="shared" si="568"/>
        <v/>
      </c>
      <c r="Z782" s="31">
        <f t="shared" si="569"/>
        <v>0</v>
      </c>
      <c r="AA782" s="21">
        <f t="shared" si="570"/>
        <v>0</v>
      </c>
      <c r="AB782" s="58" t="str">
        <f t="shared" si="571"/>
        <v/>
      </c>
      <c r="AC782" s="630">
        <f t="shared" si="548"/>
        <v>0</v>
      </c>
      <c r="AD782" s="627"/>
      <c r="AE782" s="21">
        <f t="shared" si="572"/>
        <v>0</v>
      </c>
      <c r="AF782" s="58" t="str">
        <f t="shared" si="573"/>
        <v/>
      </c>
      <c r="AG782" s="21">
        <f t="shared" si="574"/>
        <v>0</v>
      </c>
      <c r="AH782" s="58" t="str">
        <f t="shared" si="575"/>
        <v/>
      </c>
      <c r="AI782" s="21">
        <f t="shared" si="576"/>
        <v>0</v>
      </c>
      <c r="AJ782" s="58" t="str">
        <f t="shared" si="577"/>
        <v/>
      </c>
      <c r="AK782" s="31">
        <f t="shared" si="578"/>
        <v>0</v>
      </c>
      <c r="AL782" s="21">
        <f t="shared" si="579"/>
        <v>0</v>
      </c>
      <c r="AM782" s="62" t="str">
        <f t="shared" si="580"/>
        <v/>
      </c>
      <c r="AN782" s="21">
        <f t="shared" si="581"/>
        <v>0</v>
      </c>
      <c r="AO782" s="62" t="str">
        <f t="shared" si="582"/>
        <v/>
      </c>
      <c r="AP782" s="21">
        <f t="shared" si="583"/>
        <v>0</v>
      </c>
      <c r="AQ782" s="62" t="str">
        <f t="shared" si="584"/>
        <v/>
      </c>
      <c r="AR782" s="31">
        <f t="shared" si="585"/>
        <v>0</v>
      </c>
      <c r="AS782" s="21">
        <f t="shared" si="586"/>
        <v>0</v>
      </c>
      <c r="AT782" s="62" t="str">
        <f t="shared" si="587"/>
        <v/>
      </c>
      <c r="AU782" s="84">
        <f t="shared" si="588"/>
        <v>0</v>
      </c>
      <c r="AV782" s="32">
        <f t="shared" si="589"/>
        <v>0</v>
      </c>
      <c r="AW782" s="85" t="str">
        <f t="shared" si="590"/>
        <v/>
      </c>
      <c r="AX782" s="86" t="str">
        <f t="shared" si="591"/>
        <v/>
      </c>
    </row>
    <row r="783" spans="1:50" x14ac:dyDescent="0.2">
      <c r="A783" s="29" t="str">
        <f t="shared" si="549"/>
        <v/>
      </c>
      <c r="B783" s="32" t="str">
        <f t="shared" si="550"/>
        <v/>
      </c>
      <c r="C783" s="35"/>
      <c r="D783" s="33" t="str">
        <f t="shared" si="551"/>
        <v/>
      </c>
      <c r="E783" s="22" t="str">
        <f t="shared" si="552"/>
        <v/>
      </c>
      <c r="F783" s="23" t="str">
        <f t="shared" si="553"/>
        <v/>
      </c>
      <c r="G783" s="23"/>
      <c r="H783" s="22"/>
      <c r="I783" s="23"/>
      <c r="J783" s="18"/>
      <c r="K783" s="13" t="str">
        <f t="shared" si="554"/>
        <v/>
      </c>
      <c r="L783" s="28" t="str">
        <f t="shared" si="555"/>
        <v/>
      </c>
      <c r="M783" s="10" t="str">
        <f t="shared" si="556"/>
        <v/>
      </c>
      <c r="N783" s="17" t="str">
        <f t="shared" si="557"/>
        <v/>
      </c>
      <c r="O783" s="39" t="str">
        <f t="shared" si="558"/>
        <v/>
      </c>
      <c r="P783" s="41" t="str">
        <f t="shared" si="559"/>
        <v/>
      </c>
      <c r="Q783" s="9" t="str">
        <f t="shared" si="560"/>
        <v/>
      </c>
      <c r="R783" s="14">
        <f t="shared" si="561"/>
        <v>0</v>
      </c>
      <c r="S783" s="61" t="str">
        <f t="shared" si="562"/>
        <v/>
      </c>
      <c r="T783" s="14">
        <f t="shared" si="563"/>
        <v>0</v>
      </c>
      <c r="U783" s="58" t="str">
        <f t="shared" si="564"/>
        <v/>
      </c>
      <c r="V783" s="14">
        <f t="shared" si="565"/>
        <v>0</v>
      </c>
      <c r="W783" s="58" t="str">
        <f t="shared" si="566"/>
        <v/>
      </c>
      <c r="X783" s="14">
        <f t="shared" si="567"/>
        <v>0</v>
      </c>
      <c r="Y783" s="58" t="str">
        <f t="shared" si="568"/>
        <v/>
      </c>
      <c r="Z783" s="31">
        <f t="shared" si="569"/>
        <v>0</v>
      </c>
      <c r="AA783" s="21">
        <f t="shared" si="570"/>
        <v>0</v>
      </c>
      <c r="AB783" s="58" t="str">
        <f t="shared" si="571"/>
        <v/>
      </c>
      <c r="AC783" s="630">
        <f t="shared" si="548"/>
        <v>0</v>
      </c>
      <c r="AD783" s="627"/>
      <c r="AE783" s="21">
        <f t="shared" si="572"/>
        <v>0</v>
      </c>
      <c r="AF783" s="58" t="str">
        <f t="shared" si="573"/>
        <v/>
      </c>
      <c r="AG783" s="21">
        <f t="shared" si="574"/>
        <v>0</v>
      </c>
      <c r="AH783" s="58" t="str">
        <f t="shared" si="575"/>
        <v/>
      </c>
      <c r="AI783" s="21">
        <f t="shared" si="576"/>
        <v>0</v>
      </c>
      <c r="AJ783" s="58" t="str">
        <f t="shared" si="577"/>
        <v/>
      </c>
      <c r="AK783" s="31">
        <f t="shared" si="578"/>
        <v>0</v>
      </c>
      <c r="AL783" s="21">
        <f t="shared" si="579"/>
        <v>0</v>
      </c>
      <c r="AM783" s="62" t="str">
        <f t="shared" si="580"/>
        <v/>
      </c>
      <c r="AN783" s="21">
        <f t="shared" si="581"/>
        <v>0</v>
      </c>
      <c r="AO783" s="62" t="str">
        <f t="shared" si="582"/>
        <v/>
      </c>
      <c r="AP783" s="21">
        <f t="shared" si="583"/>
        <v>0</v>
      </c>
      <c r="AQ783" s="62" t="str">
        <f t="shared" si="584"/>
        <v/>
      </c>
      <c r="AR783" s="31">
        <f t="shared" si="585"/>
        <v>0</v>
      </c>
      <c r="AS783" s="21">
        <f t="shared" si="586"/>
        <v>0</v>
      </c>
      <c r="AT783" s="62" t="str">
        <f t="shared" si="587"/>
        <v/>
      </c>
      <c r="AU783" s="84">
        <f t="shared" si="588"/>
        <v>0</v>
      </c>
      <c r="AV783" s="32">
        <f t="shared" si="589"/>
        <v>0</v>
      </c>
      <c r="AW783" s="85" t="str">
        <f t="shared" si="590"/>
        <v/>
      </c>
      <c r="AX783" s="86" t="str">
        <f t="shared" si="591"/>
        <v/>
      </c>
    </row>
    <row r="784" spans="1:50" x14ac:dyDescent="0.2">
      <c r="A784" s="29" t="str">
        <f t="shared" si="549"/>
        <v/>
      </c>
      <c r="B784" s="32" t="str">
        <f t="shared" si="550"/>
        <v/>
      </c>
      <c r="C784" s="35"/>
      <c r="D784" s="33" t="str">
        <f t="shared" si="551"/>
        <v/>
      </c>
      <c r="E784" s="22" t="str">
        <f t="shared" si="552"/>
        <v/>
      </c>
      <c r="F784" s="23" t="str">
        <f t="shared" si="553"/>
        <v/>
      </c>
      <c r="G784" s="23"/>
      <c r="H784" s="22"/>
      <c r="I784" s="23"/>
      <c r="J784" s="18"/>
      <c r="K784" s="13" t="str">
        <f t="shared" si="554"/>
        <v/>
      </c>
      <c r="L784" s="28" t="str">
        <f t="shared" si="555"/>
        <v/>
      </c>
      <c r="M784" s="10" t="str">
        <f t="shared" si="556"/>
        <v/>
      </c>
      <c r="N784" s="17" t="str">
        <f t="shared" si="557"/>
        <v/>
      </c>
      <c r="O784" s="39" t="str">
        <f t="shared" si="558"/>
        <v/>
      </c>
      <c r="P784" s="41" t="str">
        <f t="shared" si="559"/>
        <v/>
      </c>
      <c r="Q784" s="9" t="str">
        <f t="shared" si="560"/>
        <v/>
      </c>
      <c r="R784" s="14">
        <f t="shared" si="561"/>
        <v>0</v>
      </c>
      <c r="S784" s="61" t="str">
        <f t="shared" si="562"/>
        <v/>
      </c>
      <c r="T784" s="14">
        <f t="shared" si="563"/>
        <v>0</v>
      </c>
      <c r="U784" s="58" t="str">
        <f t="shared" si="564"/>
        <v/>
      </c>
      <c r="V784" s="14">
        <f t="shared" si="565"/>
        <v>0</v>
      </c>
      <c r="W784" s="58" t="str">
        <f t="shared" si="566"/>
        <v/>
      </c>
      <c r="X784" s="14">
        <f t="shared" si="567"/>
        <v>0</v>
      </c>
      <c r="Y784" s="58" t="str">
        <f t="shared" si="568"/>
        <v/>
      </c>
      <c r="Z784" s="31">
        <f t="shared" si="569"/>
        <v>0</v>
      </c>
      <c r="AA784" s="21">
        <f t="shared" si="570"/>
        <v>0</v>
      </c>
      <c r="AB784" s="58" t="str">
        <f t="shared" si="571"/>
        <v/>
      </c>
      <c r="AC784" s="630">
        <f t="shared" si="548"/>
        <v>0</v>
      </c>
      <c r="AD784" s="627"/>
      <c r="AE784" s="21">
        <f t="shared" si="572"/>
        <v>0</v>
      </c>
      <c r="AF784" s="58" t="str">
        <f t="shared" si="573"/>
        <v/>
      </c>
      <c r="AG784" s="21">
        <f t="shared" si="574"/>
        <v>0</v>
      </c>
      <c r="AH784" s="58" t="str">
        <f t="shared" si="575"/>
        <v/>
      </c>
      <c r="AI784" s="21">
        <f t="shared" si="576"/>
        <v>0</v>
      </c>
      <c r="AJ784" s="58" t="str">
        <f t="shared" si="577"/>
        <v/>
      </c>
      <c r="AK784" s="31">
        <f t="shared" si="578"/>
        <v>0</v>
      </c>
      <c r="AL784" s="21">
        <f t="shared" si="579"/>
        <v>0</v>
      </c>
      <c r="AM784" s="62" t="str">
        <f t="shared" si="580"/>
        <v/>
      </c>
      <c r="AN784" s="21">
        <f t="shared" si="581"/>
        <v>0</v>
      </c>
      <c r="AO784" s="62" t="str">
        <f t="shared" si="582"/>
        <v/>
      </c>
      <c r="AP784" s="21">
        <f t="shared" si="583"/>
        <v>0</v>
      </c>
      <c r="AQ784" s="62" t="str">
        <f t="shared" si="584"/>
        <v/>
      </c>
      <c r="AR784" s="31">
        <f t="shared" si="585"/>
        <v>0</v>
      </c>
      <c r="AS784" s="21">
        <f t="shared" si="586"/>
        <v>0</v>
      </c>
      <c r="AT784" s="62" t="str">
        <f t="shared" si="587"/>
        <v/>
      </c>
      <c r="AU784" s="84">
        <f t="shared" si="588"/>
        <v>0</v>
      </c>
      <c r="AV784" s="32">
        <f t="shared" si="589"/>
        <v>0</v>
      </c>
      <c r="AW784" s="85" t="str">
        <f t="shared" si="590"/>
        <v/>
      </c>
      <c r="AX784" s="86" t="str">
        <f t="shared" si="591"/>
        <v/>
      </c>
    </row>
    <row r="785" spans="1:50" x14ac:dyDescent="0.2">
      <c r="A785" s="29" t="str">
        <f t="shared" si="549"/>
        <v/>
      </c>
      <c r="B785" s="32" t="str">
        <f t="shared" si="550"/>
        <v/>
      </c>
      <c r="C785" s="35"/>
      <c r="D785" s="33" t="str">
        <f t="shared" si="551"/>
        <v/>
      </c>
      <c r="E785" s="22" t="str">
        <f t="shared" si="552"/>
        <v/>
      </c>
      <c r="F785" s="23" t="str">
        <f t="shared" si="553"/>
        <v/>
      </c>
      <c r="G785" s="23"/>
      <c r="H785" s="22"/>
      <c r="I785" s="23"/>
      <c r="J785" s="18"/>
      <c r="K785" s="13" t="str">
        <f t="shared" si="554"/>
        <v/>
      </c>
      <c r="L785" s="28" t="str">
        <f t="shared" si="555"/>
        <v/>
      </c>
      <c r="M785" s="10" t="str">
        <f t="shared" si="556"/>
        <v/>
      </c>
      <c r="N785" s="17" t="str">
        <f t="shared" si="557"/>
        <v/>
      </c>
      <c r="O785" s="39" t="str">
        <f t="shared" si="558"/>
        <v/>
      </c>
      <c r="P785" s="41" t="str">
        <f t="shared" si="559"/>
        <v/>
      </c>
      <c r="Q785" s="9" t="str">
        <f t="shared" si="560"/>
        <v/>
      </c>
      <c r="R785" s="14">
        <f t="shared" si="561"/>
        <v>0</v>
      </c>
      <c r="S785" s="61" t="str">
        <f t="shared" si="562"/>
        <v/>
      </c>
      <c r="T785" s="14">
        <f t="shared" si="563"/>
        <v>0</v>
      </c>
      <c r="U785" s="58" t="str">
        <f t="shared" si="564"/>
        <v/>
      </c>
      <c r="V785" s="14">
        <f t="shared" si="565"/>
        <v>0</v>
      </c>
      <c r="W785" s="58" t="str">
        <f t="shared" si="566"/>
        <v/>
      </c>
      <c r="X785" s="14">
        <f t="shared" si="567"/>
        <v>0</v>
      </c>
      <c r="Y785" s="58" t="str">
        <f t="shared" si="568"/>
        <v/>
      </c>
      <c r="Z785" s="31">
        <f t="shared" si="569"/>
        <v>0</v>
      </c>
      <c r="AA785" s="21">
        <f t="shared" si="570"/>
        <v>0</v>
      </c>
      <c r="AB785" s="58" t="str">
        <f t="shared" si="571"/>
        <v/>
      </c>
      <c r="AC785" s="630">
        <f t="shared" si="548"/>
        <v>0</v>
      </c>
      <c r="AD785" s="627"/>
      <c r="AE785" s="21">
        <f t="shared" si="572"/>
        <v>0</v>
      </c>
      <c r="AF785" s="58" t="str">
        <f t="shared" si="573"/>
        <v/>
      </c>
      <c r="AG785" s="21">
        <f t="shared" si="574"/>
        <v>0</v>
      </c>
      <c r="AH785" s="58" t="str">
        <f t="shared" si="575"/>
        <v/>
      </c>
      <c r="AI785" s="21">
        <f t="shared" si="576"/>
        <v>0</v>
      </c>
      <c r="AJ785" s="58" t="str">
        <f t="shared" si="577"/>
        <v/>
      </c>
      <c r="AK785" s="31">
        <f t="shared" si="578"/>
        <v>0</v>
      </c>
      <c r="AL785" s="21">
        <f t="shared" si="579"/>
        <v>0</v>
      </c>
      <c r="AM785" s="62" t="str">
        <f t="shared" si="580"/>
        <v/>
      </c>
      <c r="AN785" s="21">
        <f t="shared" si="581"/>
        <v>0</v>
      </c>
      <c r="AO785" s="62" t="str">
        <f t="shared" si="582"/>
        <v/>
      </c>
      <c r="AP785" s="21">
        <f t="shared" si="583"/>
        <v>0</v>
      </c>
      <c r="AQ785" s="62" t="str">
        <f t="shared" si="584"/>
        <v/>
      </c>
      <c r="AR785" s="31">
        <f t="shared" si="585"/>
        <v>0</v>
      </c>
      <c r="AS785" s="21">
        <f t="shared" si="586"/>
        <v>0</v>
      </c>
      <c r="AT785" s="62" t="str">
        <f t="shared" si="587"/>
        <v/>
      </c>
      <c r="AU785" s="84">
        <f t="shared" si="588"/>
        <v>0</v>
      </c>
      <c r="AV785" s="32">
        <f t="shared" si="589"/>
        <v>0</v>
      </c>
      <c r="AW785" s="85" t="str">
        <f t="shared" si="590"/>
        <v/>
      </c>
      <c r="AX785" s="86" t="str">
        <f t="shared" si="591"/>
        <v/>
      </c>
    </row>
    <row r="786" spans="1:50" x14ac:dyDescent="0.2">
      <c r="A786" s="29" t="str">
        <f t="shared" si="549"/>
        <v/>
      </c>
      <c r="B786" s="32" t="str">
        <f t="shared" si="550"/>
        <v/>
      </c>
      <c r="C786" s="35"/>
      <c r="D786" s="33" t="str">
        <f t="shared" si="551"/>
        <v/>
      </c>
      <c r="E786" s="22" t="str">
        <f t="shared" si="552"/>
        <v/>
      </c>
      <c r="F786" s="23" t="str">
        <f t="shared" si="553"/>
        <v/>
      </c>
      <c r="G786" s="23"/>
      <c r="H786" s="22"/>
      <c r="I786" s="23"/>
      <c r="J786" s="18"/>
      <c r="K786" s="13" t="str">
        <f t="shared" si="554"/>
        <v/>
      </c>
      <c r="L786" s="28" t="str">
        <f t="shared" si="555"/>
        <v/>
      </c>
      <c r="M786" s="10" t="str">
        <f t="shared" si="556"/>
        <v/>
      </c>
      <c r="N786" s="17" t="str">
        <f t="shared" si="557"/>
        <v/>
      </c>
      <c r="O786" s="39" t="str">
        <f t="shared" si="558"/>
        <v/>
      </c>
      <c r="P786" s="41" t="str">
        <f t="shared" si="559"/>
        <v/>
      </c>
      <c r="Q786" s="9" t="str">
        <f t="shared" si="560"/>
        <v/>
      </c>
      <c r="R786" s="14">
        <f t="shared" si="561"/>
        <v>0</v>
      </c>
      <c r="S786" s="61" t="str">
        <f t="shared" si="562"/>
        <v/>
      </c>
      <c r="T786" s="14">
        <f t="shared" si="563"/>
        <v>0</v>
      </c>
      <c r="U786" s="58" t="str">
        <f t="shared" si="564"/>
        <v/>
      </c>
      <c r="V786" s="14">
        <f t="shared" si="565"/>
        <v>0</v>
      </c>
      <c r="W786" s="58" t="str">
        <f t="shared" si="566"/>
        <v/>
      </c>
      <c r="X786" s="14">
        <f t="shared" si="567"/>
        <v>0</v>
      </c>
      <c r="Y786" s="58" t="str">
        <f t="shared" si="568"/>
        <v/>
      </c>
      <c r="Z786" s="31">
        <f t="shared" si="569"/>
        <v>0</v>
      </c>
      <c r="AA786" s="21">
        <f t="shared" si="570"/>
        <v>0</v>
      </c>
      <c r="AB786" s="58" t="str">
        <f t="shared" si="571"/>
        <v/>
      </c>
      <c r="AC786" s="630">
        <f t="shared" si="548"/>
        <v>0</v>
      </c>
      <c r="AD786" s="627"/>
      <c r="AE786" s="21">
        <f t="shared" si="572"/>
        <v>0</v>
      </c>
      <c r="AF786" s="58" t="str">
        <f t="shared" si="573"/>
        <v/>
      </c>
      <c r="AG786" s="21">
        <f t="shared" si="574"/>
        <v>0</v>
      </c>
      <c r="AH786" s="58" t="str">
        <f t="shared" si="575"/>
        <v/>
      </c>
      <c r="AI786" s="21">
        <f t="shared" si="576"/>
        <v>0</v>
      </c>
      <c r="AJ786" s="58" t="str">
        <f t="shared" si="577"/>
        <v/>
      </c>
      <c r="AK786" s="31">
        <f t="shared" si="578"/>
        <v>0</v>
      </c>
      <c r="AL786" s="21">
        <f t="shared" si="579"/>
        <v>0</v>
      </c>
      <c r="AM786" s="62" t="str">
        <f t="shared" si="580"/>
        <v/>
      </c>
      <c r="AN786" s="21">
        <f t="shared" si="581"/>
        <v>0</v>
      </c>
      <c r="AO786" s="62" t="str">
        <f t="shared" si="582"/>
        <v/>
      </c>
      <c r="AP786" s="21">
        <f t="shared" si="583"/>
        <v>0</v>
      </c>
      <c r="AQ786" s="62" t="str">
        <f t="shared" si="584"/>
        <v/>
      </c>
      <c r="AR786" s="31">
        <f t="shared" si="585"/>
        <v>0</v>
      </c>
      <c r="AS786" s="21">
        <f t="shared" si="586"/>
        <v>0</v>
      </c>
      <c r="AT786" s="62" t="str">
        <f t="shared" si="587"/>
        <v/>
      </c>
      <c r="AU786" s="84">
        <f t="shared" si="588"/>
        <v>0</v>
      </c>
      <c r="AV786" s="32">
        <f t="shared" si="589"/>
        <v>0</v>
      </c>
      <c r="AW786" s="85" t="str">
        <f t="shared" si="590"/>
        <v/>
      </c>
      <c r="AX786" s="86" t="str">
        <f t="shared" si="591"/>
        <v/>
      </c>
    </row>
    <row r="787" spans="1:50" x14ac:dyDescent="0.2">
      <c r="A787" s="29" t="str">
        <f t="shared" si="549"/>
        <v/>
      </c>
      <c r="B787" s="32" t="str">
        <f t="shared" si="550"/>
        <v/>
      </c>
      <c r="C787" s="35"/>
      <c r="D787" s="33" t="str">
        <f t="shared" si="551"/>
        <v/>
      </c>
      <c r="E787" s="22" t="str">
        <f t="shared" si="552"/>
        <v/>
      </c>
      <c r="F787" s="23" t="str">
        <f t="shared" si="553"/>
        <v/>
      </c>
      <c r="G787" s="23"/>
      <c r="H787" s="22"/>
      <c r="I787" s="23"/>
      <c r="J787" s="18"/>
      <c r="K787" s="13" t="str">
        <f t="shared" si="554"/>
        <v/>
      </c>
      <c r="L787" s="28" t="str">
        <f t="shared" si="555"/>
        <v/>
      </c>
      <c r="M787" s="10" t="str">
        <f t="shared" si="556"/>
        <v/>
      </c>
      <c r="N787" s="17" t="str">
        <f t="shared" si="557"/>
        <v/>
      </c>
      <c r="O787" s="39" t="str">
        <f t="shared" si="558"/>
        <v/>
      </c>
      <c r="P787" s="41" t="str">
        <f t="shared" si="559"/>
        <v/>
      </c>
      <c r="Q787" s="9" t="str">
        <f t="shared" si="560"/>
        <v/>
      </c>
      <c r="R787" s="14">
        <f t="shared" si="561"/>
        <v>0</v>
      </c>
      <c r="S787" s="61" t="str">
        <f t="shared" si="562"/>
        <v/>
      </c>
      <c r="T787" s="14">
        <f t="shared" si="563"/>
        <v>0</v>
      </c>
      <c r="U787" s="58" t="str">
        <f t="shared" si="564"/>
        <v/>
      </c>
      <c r="V787" s="14">
        <f t="shared" si="565"/>
        <v>0</v>
      </c>
      <c r="W787" s="58" t="str">
        <f t="shared" si="566"/>
        <v/>
      </c>
      <c r="X787" s="14">
        <f t="shared" si="567"/>
        <v>0</v>
      </c>
      <c r="Y787" s="58" t="str">
        <f t="shared" si="568"/>
        <v/>
      </c>
      <c r="Z787" s="31">
        <f t="shared" si="569"/>
        <v>0</v>
      </c>
      <c r="AA787" s="21">
        <f t="shared" si="570"/>
        <v>0</v>
      </c>
      <c r="AB787" s="58" t="str">
        <f t="shared" si="571"/>
        <v/>
      </c>
      <c r="AC787" s="630">
        <f t="shared" si="548"/>
        <v>0</v>
      </c>
      <c r="AD787" s="627"/>
      <c r="AE787" s="21">
        <f t="shared" si="572"/>
        <v>0</v>
      </c>
      <c r="AF787" s="58" t="str">
        <f t="shared" si="573"/>
        <v/>
      </c>
      <c r="AG787" s="21">
        <f t="shared" si="574"/>
        <v>0</v>
      </c>
      <c r="AH787" s="58" t="str">
        <f t="shared" si="575"/>
        <v/>
      </c>
      <c r="AI787" s="21">
        <f t="shared" si="576"/>
        <v>0</v>
      </c>
      <c r="AJ787" s="58" t="str">
        <f t="shared" si="577"/>
        <v/>
      </c>
      <c r="AK787" s="31">
        <f t="shared" si="578"/>
        <v>0</v>
      </c>
      <c r="AL787" s="21">
        <f t="shared" si="579"/>
        <v>0</v>
      </c>
      <c r="AM787" s="62" t="str">
        <f t="shared" si="580"/>
        <v/>
      </c>
      <c r="AN787" s="21">
        <f t="shared" si="581"/>
        <v>0</v>
      </c>
      <c r="AO787" s="62" t="str">
        <f t="shared" si="582"/>
        <v/>
      </c>
      <c r="AP787" s="21">
        <f t="shared" si="583"/>
        <v>0</v>
      </c>
      <c r="AQ787" s="62" t="str">
        <f t="shared" si="584"/>
        <v/>
      </c>
      <c r="AR787" s="31">
        <f t="shared" si="585"/>
        <v>0</v>
      </c>
      <c r="AS787" s="21">
        <f t="shared" si="586"/>
        <v>0</v>
      </c>
      <c r="AT787" s="62" t="str">
        <f t="shared" si="587"/>
        <v/>
      </c>
      <c r="AU787" s="84">
        <f t="shared" si="588"/>
        <v>0</v>
      </c>
      <c r="AV787" s="32">
        <f t="shared" si="589"/>
        <v>0</v>
      </c>
      <c r="AW787" s="85" t="str">
        <f t="shared" si="590"/>
        <v/>
      </c>
      <c r="AX787" s="86" t="str">
        <f t="shared" si="591"/>
        <v/>
      </c>
    </row>
    <row r="788" spans="1:50" x14ac:dyDescent="0.2">
      <c r="A788" s="29" t="str">
        <f t="shared" si="549"/>
        <v/>
      </c>
      <c r="B788" s="32" t="str">
        <f t="shared" si="550"/>
        <v/>
      </c>
      <c r="C788" s="35"/>
      <c r="D788" s="33" t="str">
        <f t="shared" si="551"/>
        <v/>
      </c>
      <c r="E788" s="22" t="str">
        <f t="shared" si="552"/>
        <v/>
      </c>
      <c r="F788" s="23" t="str">
        <f t="shared" si="553"/>
        <v/>
      </c>
      <c r="G788" s="23"/>
      <c r="H788" s="22"/>
      <c r="I788" s="23"/>
      <c r="J788" s="18"/>
      <c r="K788" s="13" t="str">
        <f t="shared" si="554"/>
        <v/>
      </c>
      <c r="L788" s="28" t="str">
        <f t="shared" si="555"/>
        <v/>
      </c>
      <c r="M788" s="10" t="str">
        <f t="shared" si="556"/>
        <v/>
      </c>
      <c r="N788" s="17" t="str">
        <f t="shared" si="557"/>
        <v/>
      </c>
      <c r="O788" s="39" t="str">
        <f t="shared" si="558"/>
        <v/>
      </c>
      <c r="P788" s="41" t="str">
        <f t="shared" si="559"/>
        <v/>
      </c>
      <c r="Q788" s="9" t="str">
        <f t="shared" si="560"/>
        <v/>
      </c>
      <c r="R788" s="14">
        <f t="shared" si="561"/>
        <v>0</v>
      </c>
      <c r="S788" s="61" t="str">
        <f t="shared" si="562"/>
        <v/>
      </c>
      <c r="T788" s="14">
        <f t="shared" si="563"/>
        <v>0</v>
      </c>
      <c r="U788" s="58" t="str">
        <f t="shared" si="564"/>
        <v/>
      </c>
      <c r="V788" s="14">
        <f t="shared" si="565"/>
        <v>0</v>
      </c>
      <c r="W788" s="58" t="str">
        <f t="shared" si="566"/>
        <v/>
      </c>
      <c r="X788" s="14">
        <f t="shared" si="567"/>
        <v>0</v>
      </c>
      <c r="Y788" s="58" t="str">
        <f t="shared" si="568"/>
        <v/>
      </c>
      <c r="Z788" s="31">
        <f t="shared" si="569"/>
        <v>0</v>
      </c>
      <c r="AA788" s="21">
        <f t="shared" si="570"/>
        <v>0</v>
      </c>
      <c r="AB788" s="58" t="str">
        <f t="shared" si="571"/>
        <v/>
      </c>
      <c r="AC788" s="630">
        <f t="shared" si="548"/>
        <v>0</v>
      </c>
      <c r="AD788" s="627"/>
      <c r="AE788" s="21">
        <f t="shared" si="572"/>
        <v>0</v>
      </c>
      <c r="AF788" s="58" t="str">
        <f t="shared" si="573"/>
        <v/>
      </c>
      <c r="AG788" s="21">
        <f t="shared" si="574"/>
        <v>0</v>
      </c>
      <c r="AH788" s="58" t="str">
        <f t="shared" si="575"/>
        <v/>
      </c>
      <c r="AI788" s="21">
        <f t="shared" si="576"/>
        <v>0</v>
      </c>
      <c r="AJ788" s="58" t="str">
        <f t="shared" si="577"/>
        <v/>
      </c>
      <c r="AK788" s="31">
        <f t="shared" si="578"/>
        <v>0</v>
      </c>
      <c r="AL788" s="21">
        <f t="shared" si="579"/>
        <v>0</v>
      </c>
      <c r="AM788" s="62" t="str">
        <f t="shared" si="580"/>
        <v/>
      </c>
      <c r="AN788" s="21">
        <f t="shared" si="581"/>
        <v>0</v>
      </c>
      <c r="AO788" s="62" t="str">
        <f t="shared" si="582"/>
        <v/>
      </c>
      <c r="AP788" s="21">
        <f t="shared" si="583"/>
        <v>0</v>
      </c>
      <c r="AQ788" s="62" t="str">
        <f t="shared" si="584"/>
        <v/>
      </c>
      <c r="AR788" s="31">
        <f t="shared" si="585"/>
        <v>0</v>
      </c>
      <c r="AS788" s="21">
        <f t="shared" si="586"/>
        <v>0</v>
      </c>
      <c r="AT788" s="62" t="str">
        <f t="shared" si="587"/>
        <v/>
      </c>
      <c r="AU788" s="84">
        <f t="shared" si="588"/>
        <v>0</v>
      </c>
      <c r="AV788" s="32">
        <f t="shared" si="589"/>
        <v>0</v>
      </c>
      <c r="AW788" s="85" t="str">
        <f t="shared" si="590"/>
        <v/>
      </c>
      <c r="AX788" s="86" t="str">
        <f t="shared" si="591"/>
        <v/>
      </c>
    </row>
    <row r="789" spans="1:50" x14ac:dyDescent="0.2">
      <c r="A789" s="29" t="str">
        <f t="shared" si="549"/>
        <v/>
      </c>
      <c r="B789" s="32" t="str">
        <f t="shared" si="550"/>
        <v/>
      </c>
      <c r="C789" s="35"/>
      <c r="D789" s="33"/>
      <c r="E789" s="22" t="str">
        <f t="shared" si="552"/>
        <v/>
      </c>
      <c r="F789" s="23" t="str">
        <f t="shared" si="553"/>
        <v/>
      </c>
      <c r="G789" s="23"/>
      <c r="H789" s="22"/>
      <c r="I789" s="23"/>
      <c r="J789" s="18"/>
      <c r="K789" s="13" t="str">
        <f t="shared" si="554"/>
        <v/>
      </c>
      <c r="L789" s="28" t="str">
        <f t="shared" si="555"/>
        <v/>
      </c>
      <c r="M789" s="10" t="str">
        <f t="shared" si="556"/>
        <v/>
      </c>
      <c r="N789" s="17" t="str">
        <f t="shared" si="557"/>
        <v/>
      </c>
      <c r="O789" s="39" t="str">
        <f t="shared" si="558"/>
        <v/>
      </c>
      <c r="P789" s="41" t="str">
        <f t="shared" si="559"/>
        <v/>
      </c>
      <c r="Q789" s="9" t="str">
        <f t="shared" si="560"/>
        <v/>
      </c>
      <c r="R789" s="14">
        <f t="shared" si="561"/>
        <v>0</v>
      </c>
      <c r="S789" s="61" t="str">
        <f t="shared" si="562"/>
        <v/>
      </c>
      <c r="T789" s="14">
        <f t="shared" si="563"/>
        <v>0</v>
      </c>
      <c r="U789" s="58" t="str">
        <f t="shared" si="564"/>
        <v/>
      </c>
      <c r="V789" s="14">
        <f t="shared" si="565"/>
        <v>0</v>
      </c>
      <c r="W789" s="58" t="str">
        <f t="shared" si="566"/>
        <v/>
      </c>
      <c r="X789" s="14">
        <f t="shared" si="567"/>
        <v>0</v>
      </c>
      <c r="Y789" s="58" t="str">
        <f t="shared" si="568"/>
        <v/>
      </c>
      <c r="Z789" s="31">
        <f t="shared" si="569"/>
        <v>0</v>
      </c>
      <c r="AA789" s="21">
        <f t="shared" si="570"/>
        <v>0</v>
      </c>
      <c r="AB789" s="58" t="str">
        <f t="shared" si="571"/>
        <v/>
      </c>
      <c r="AC789" s="630">
        <f t="shared" ref="AC789:AC852" si="592">COUNTIF(G789:J789,100)</f>
        <v>0</v>
      </c>
      <c r="AD789" s="627"/>
      <c r="AE789" s="21">
        <f t="shared" si="572"/>
        <v>0</v>
      </c>
      <c r="AF789" s="58" t="str">
        <f t="shared" si="573"/>
        <v/>
      </c>
      <c r="AG789" s="21">
        <f t="shared" si="574"/>
        <v>0</v>
      </c>
      <c r="AH789" s="58" t="str">
        <f t="shared" si="575"/>
        <v/>
      </c>
      <c r="AI789" s="21">
        <f t="shared" si="576"/>
        <v>0</v>
      </c>
      <c r="AJ789" s="58" t="str">
        <f t="shared" si="577"/>
        <v/>
      </c>
      <c r="AK789" s="31">
        <f t="shared" si="578"/>
        <v>0</v>
      </c>
      <c r="AL789" s="21">
        <f t="shared" si="579"/>
        <v>0</v>
      </c>
      <c r="AM789" s="62" t="str">
        <f t="shared" si="580"/>
        <v/>
      </c>
      <c r="AN789" s="21">
        <f t="shared" si="581"/>
        <v>0</v>
      </c>
      <c r="AO789" s="62" t="str">
        <f t="shared" si="582"/>
        <v/>
      </c>
      <c r="AP789" s="21">
        <f t="shared" si="583"/>
        <v>0</v>
      </c>
      <c r="AQ789" s="62" t="str">
        <f t="shared" si="584"/>
        <v/>
      </c>
      <c r="AR789" s="31">
        <f t="shared" si="585"/>
        <v>0</v>
      </c>
      <c r="AS789" s="21">
        <f t="shared" si="586"/>
        <v>0</v>
      </c>
      <c r="AT789" s="62" t="str">
        <f t="shared" si="587"/>
        <v/>
      </c>
      <c r="AU789" s="84">
        <f t="shared" si="588"/>
        <v>0</v>
      </c>
      <c r="AV789" s="32">
        <f t="shared" si="589"/>
        <v>0</v>
      </c>
      <c r="AW789" s="85" t="str">
        <f t="shared" si="590"/>
        <v/>
      </c>
      <c r="AX789" s="86" t="str">
        <f t="shared" si="591"/>
        <v/>
      </c>
    </row>
    <row r="790" spans="1:50" x14ac:dyDescent="0.2">
      <c r="A790" s="29" t="str">
        <f t="shared" si="549"/>
        <v/>
      </c>
      <c r="B790" s="32" t="str">
        <f t="shared" si="550"/>
        <v/>
      </c>
      <c r="C790" s="35"/>
      <c r="D790" s="33"/>
      <c r="E790" s="22" t="str">
        <f t="shared" si="552"/>
        <v/>
      </c>
      <c r="F790" s="23" t="str">
        <f t="shared" si="553"/>
        <v/>
      </c>
      <c r="G790" s="23"/>
      <c r="H790" s="22"/>
      <c r="I790" s="23"/>
      <c r="J790" s="18"/>
      <c r="K790" s="13" t="str">
        <f t="shared" si="554"/>
        <v/>
      </c>
      <c r="L790" s="28" t="str">
        <f t="shared" si="555"/>
        <v/>
      </c>
      <c r="M790" s="10" t="str">
        <f t="shared" si="556"/>
        <v/>
      </c>
      <c r="N790" s="17" t="str">
        <f t="shared" si="557"/>
        <v/>
      </c>
      <c r="O790" s="39" t="str">
        <f t="shared" si="558"/>
        <v/>
      </c>
      <c r="P790" s="41" t="str">
        <f t="shared" si="559"/>
        <v/>
      </c>
      <c r="Q790" s="9" t="str">
        <f t="shared" si="560"/>
        <v/>
      </c>
      <c r="R790" s="14">
        <f t="shared" si="561"/>
        <v>0</v>
      </c>
      <c r="S790" s="61" t="str">
        <f t="shared" si="562"/>
        <v/>
      </c>
      <c r="T790" s="14">
        <f t="shared" si="563"/>
        <v>0</v>
      </c>
      <c r="U790" s="58" t="str">
        <f t="shared" si="564"/>
        <v/>
      </c>
      <c r="V790" s="14">
        <f t="shared" si="565"/>
        <v>0</v>
      </c>
      <c r="W790" s="58" t="str">
        <f t="shared" si="566"/>
        <v/>
      </c>
      <c r="X790" s="14">
        <f t="shared" si="567"/>
        <v>0</v>
      </c>
      <c r="Y790" s="58" t="str">
        <f t="shared" si="568"/>
        <v/>
      </c>
      <c r="Z790" s="31">
        <f t="shared" si="569"/>
        <v>0</v>
      </c>
      <c r="AA790" s="21">
        <f t="shared" si="570"/>
        <v>0</v>
      </c>
      <c r="AB790" s="58" t="str">
        <f t="shared" si="571"/>
        <v/>
      </c>
      <c r="AC790" s="630">
        <f t="shared" si="592"/>
        <v>0</v>
      </c>
      <c r="AD790" s="627"/>
      <c r="AE790" s="21">
        <f t="shared" si="572"/>
        <v>0</v>
      </c>
      <c r="AF790" s="58" t="str">
        <f t="shared" si="573"/>
        <v/>
      </c>
      <c r="AG790" s="21">
        <f t="shared" si="574"/>
        <v>0</v>
      </c>
      <c r="AH790" s="58" t="str">
        <f t="shared" si="575"/>
        <v/>
      </c>
      <c r="AI790" s="21">
        <f t="shared" si="576"/>
        <v>0</v>
      </c>
      <c r="AJ790" s="58" t="str">
        <f t="shared" si="577"/>
        <v/>
      </c>
      <c r="AK790" s="31">
        <f t="shared" si="578"/>
        <v>0</v>
      </c>
      <c r="AL790" s="21">
        <f t="shared" si="579"/>
        <v>0</v>
      </c>
      <c r="AM790" s="62" t="str">
        <f t="shared" si="580"/>
        <v/>
      </c>
      <c r="AN790" s="21">
        <f t="shared" si="581"/>
        <v>0</v>
      </c>
      <c r="AO790" s="62" t="str">
        <f t="shared" si="582"/>
        <v/>
      </c>
      <c r="AP790" s="21">
        <f t="shared" si="583"/>
        <v>0</v>
      </c>
      <c r="AQ790" s="62" t="str">
        <f t="shared" si="584"/>
        <v/>
      </c>
      <c r="AR790" s="31">
        <f t="shared" si="585"/>
        <v>0</v>
      </c>
      <c r="AS790" s="21">
        <f t="shared" si="586"/>
        <v>0</v>
      </c>
      <c r="AT790" s="62" t="str">
        <f t="shared" si="587"/>
        <v/>
      </c>
      <c r="AU790" s="84">
        <f t="shared" si="588"/>
        <v>0</v>
      </c>
      <c r="AV790" s="32">
        <f t="shared" si="589"/>
        <v>0</v>
      </c>
      <c r="AW790" s="85" t="str">
        <f t="shared" si="590"/>
        <v/>
      </c>
      <c r="AX790" s="86" t="str">
        <f t="shared" si="591"/>
        <v/>
      </c>
    </row>
    <row r="791" spans="1:50" x14ac:dyDescent="0.2">
      <c r="A791" s="29" t="str">
        <f t="shared" si="549"/>
        <v/>
      </c>
      <c r="B791" s="32" t="str">
        <f t="shared" si="550"/>
        <v/>
      </c>
      <c r="C791" s="35"/>
      <c r="D791" s="33" t="str">
        <f t="shared" si="551"/>
        <v/>
      </c>
      <c r="E791" s="22" t="str">
        <f t="shared" si="552"/>
        <v/>
      </c>
      <c r="F791" s="23" t="str">
        <f t="shared" si="553"/>
        <v/>
      </c>
      <c r="G791" s="23"/>
      <c r="H791" s="22"/>
      <c r="I791" s="23"/>
      <c r="J791" s="18"/>
      <c r="K791" s="13" t="str">
        <f t="shared" si="554"/>
        <v/>
      </c>
      <c r="L791" s="28" t="str">
        <f t="shared" si="555"/>
        <v/>
      </c>
      <c r="M791" s="10" t="str">
        <f t="shared" si="556"/>
        <v/>
      </c>
      <c r="N791" s="17" t="str">
        <f t="shared" si="557"/>
        <v/>
      </c>
      <c r="O791" s="39" t="str">
        <f t="shared" si="558"/>
        <v/>
      </c>
      <c r="P791" s="41" t="str">
        <f t="shared" si="559"/>
        <v/>
      </c>
      <c r="Q791" s="9" t="str">
        <f t="shared" si="560"/>
        <v/>
      </c>
      <c r="R791" s="14">
        <f t="shared" si="561"/>
        <v>0</v>
      </c>
      <c r="S791" s="61" t="str">
        <f t="shared" si="562"/>
        <v/>
      </c>
      <c r="T791" s="14">
        <f t="shared" si="563"/>
        <v>0</v>
      </c>
      <c r="U791" s="58" t="str">
        <f t="shared" si="564"/>
        <v/>
      </c>
      <c r="V791" s="14">
        <f t="shared" si="565"/>
        <v>0</v>
      </c>
      <c r="W791" s="58" t="str">
        <f t="shared" si="566"/>
        <v/>
      </c>
      <c r="X791" s="14">
        <f t="shared" si="567"/>
        <v>0</v>
      </c>
      <c r="Y791" s="58" t="str">
        <f t="shared" si="568"/>
        <v/>
      </c>
      <c r="Z791" s="31">
        <f t="shared" si="569"/>
        <v>0</v>
      </c>
      <c r="AA791" s="21">
        <f t="shared" si="570"/>
        <v>0</v>
      </c>
      <c r="AB791" s="58" t="str">
        <f t="shared" si="571"/>
        <v/>
      </c>
      <c r="AC791" s="630">
        <f t="shared" si="592"/>
        <v>0</v>
      </c>
      <c r="AD791" s="627"/>
      <c r="AE791" s="21">
        <f t="shared" si="572"/>
        <v>0</v>
      </c>
      <c r="AF791" s="58" t="str">
        <f t="shared" si="573"/>
        <v/>
      </c>
      <c r="AG791" s="21">
        <f t="shared" si="574"/>
        <v>0</v>
      </c>
      <c r="AH791" s="58" t="str">
        <f t="shared" si="575"/>
        <v/>
      </c>
      <c r="AI791" s="21">
        <f t="shared" si="576"/>
        <v>0</v>
      </c>
      <c r="AJ791" s="58" t="str">
        <f t="shared" si="577"/>
        <v/>
      </c>
      <c r="AK791" s="31">
        <f t="shared" si="578"/>
        <v>0</v>
      </c>
      <c r="AL791" s="21">
        <f t="shared" si="579"/>
        <v>0</v>
      </c>
      <c r="AM791" s="62" t="str">
        <f t="shared" si="580"/>
        <v/>
      </c>
      <c r="AN791" s="21">
        <f t="shared" si="581"/>
        <v>0</v>
      </c>
      <c r="AO791" s="62" t="str">
        <f t="shared" si="582"/>
        <v/>
      </c>
      <c r="AP791" s="21">
        <f t="shared" si="583"/>
        <v>0</v>
      </c>
      <c r="AQ791" s="62" t="str">
        <f t="shared" si="584"/>
        <v/>
      </c>
      <c r="AR791" s="31">
        <f t="shared" si="585"/>
        <v>0</v>
      </c>
      <c r="AS791" s="21">
        <f t="shared" si="586"/>
        <v>0</v>
      </c>
      <c r="AT791" s="62" t="str">
        <f t="shared" si="587"/>
        <v/>
      </c>
      <c r="AU791" s="84">
        <f t="shared" si="588"/>
        <v>0</v>
      </c>
      <c r="AV791" s="32">
        <f t="shared" si="589"/>
        <v>0</v>
      </c>
      <c r="AW791" s="85" t="str">
        <f t="shared" si="590"/>
        <v/>
      </c>
      <c r="AX791" s="86" t="str">
        <f t="shared" si="591"/>
        <v/>
      </c>
    </row>
    <row r="792" spans="1:50" x14ac:dyDescent="0.2">
      <c r="A792" s="29" t="str">
        <f t="shared" si="549"/>
        <v/>
      </c>
      <c r="B792" s="32" t="str">
        <f t="shared" si="550"/>
        <v/>
      </c>
      <c r="C792" s="35"/>
      <c r="D792" s="33" t="str">
        <f t="shared" si="551"/>
        <v/>
      </c>
      <c r="E792" s="22" t="str">
        <f t="shared" si="552"/>
        <v/>
      </c>
      <c r="F792" s="23" t="str">
        <f t="shared" si="553"/>
        <v/>
      </c>
      <c r="G792" s="23"/>
      <c r="H792" s="22"/>
      <c r="I792" s="23"/>
      <c r="J792" s="18"/>
      <c r="K792" s="13" t="str">
        <f t="shared" si="554"/>
        <v/>
      </c>
      <c r="L792" s="28" t="str">
        <f t="shared" si="555"/>
        <v/>
      </c>
      <c r="M792" s="10" t="str">
        <f t="shared" si="556"/>
        <v/>
      </c>
      <c r="N792" s="17" t="str">
        <f t="shared" si="557"/>
        <v/>
      </c>
      <c r="O792" s="39" t="str">
        <f t="shared" si="558"/>
        <v/>
      </c>
      <c r="P792" s="41" t="str">
        <f t="shared" si="559"/>
        <v/>
      </c>
      <c r="Q792" s="9" t="str">
        <f t="shared" si="560"/>
        <v/>
      </c>
      <c r="R792" s="14">
        <f t="shared" si="561"/>
        <v>0</v>
      </c>
      <c r="S792" s="61" t="str">
        <f t="shared" si="562"/>
        <v/>
      </c>
      <c r="T792" s="14">
        <f t="shared" si="563"/>
        <v>0</v>
      </c>
      <c r="U792" s="58" t="str">
        <f t="shared" si="564"/>
        <v/>
      </c>
      <c r="V792" s="14">
        <f t="shared" si="565"/>
        <v>0</v>
      </c>
      <c r="W792" s="58" t="str">
        <f t="shared" si="566"/>
        <v/>
      </c>
      <c r="X792" s="14">
        <f t="shared" si="567"/>
        <v>0</v>
      </c>
      <c r="Y792" s="58" t="str">
        <f t="shared" si="568"/>
        <v/>
      </c>
      <c r="Z792" s="31">
        <f t="shared" si="569"/>
        <v>0</v>
      </c>
      <c r="AA792" s="21">
        <f t="shared" si="570"/>
        <v>0</v>
      </c>
      <c r="AB792" s="58" t="str">
        <f t="shared" si="571"/>
        <v/>
      </c>
      <c r="AC792" s="630">
        <f t="shared" si="592"/>
        <v>0</v>
      </c>
      <c r="AD792" s="627"/>
      <c r="AE792" s="21">
        <f t="shared" si="572"/>
        <v>0</v>
      </c>
      <c r="AF792" s="58" t="str">
        <f t="shared" si="573"/>
        <v/>
      </c>
      <c r="AG792" s="21">
        <f t="shared" si="574"/>
        <v>0</v>
      </c>
      <c r="AH792" s="58" t="str">
        <f t="shared" si="575"/>
        <v/>
      </c>
      <c r="AI792" s="21">
        <f t="shared" si="576"/>
        <v>0</v>
      </c>
      <c r="AJ792" s="58" t="str">
        <f t="shared" si="577"/>
        <v/>
      </c>
      <c r="AK792" s="31">
        <f t="shared" si="578"/>
        <v>0</v>
      </c>
      <c r="AL792" s="21">
        <f t="shared" si="579"/>
        <v>0</v>
      </c>
      <c r="AM792" s="62" t="str">
        <f t="shared" si="580"/>
        <v/>
      </c>
      <c r="AN792" s="21">
        <f t="shared" si="581"/>
        <v>0</v>
      </c>
      <c r="AO792" s="62" t="str">
        <f t="shared" si="582"/>
        <v/>
      </c>
      <c r="AP792" s="21">
        <f t="shared" si="583"/>
        <v>0</v>
      </c>
      <c r="AQ792" s="62" t="str">
        <f t="shared" si="584"/>
        <v/>
      </c>
      <c r="AR792" s="31">
        <f t="shared" si="585"/>
        <v>0</v>
      </c>
      <c r="AS792" s="21">
        <f t="shared" si="586"/>
        <v>0</v>
      </c>
      <c r="AT792" s="62" t="str">
        <f t="shared" si="587"/>
        <v/>
      </c>
      <c r="AU792" s="84">
        <f t="shared" si="588"/>
        <v>0</v>
      </c>
      <c r="AV792" s="32">
        <f t="shared" si="589"/>
        <v>0</v>
      </c>
      <c r="AW792" s="85" t="str">
        <f t="shared" si="590"/>
        <v/>
      </c>
      <c r="AX792" s="86" t="str">
        <f t="shared" si="591"/>
        <v/>
      </c>
    </row>
    <row r="793" spans="1:50" x14ac:dyDescent="0.2">
      <c r="A793" s="29" t="str">
        <f t="shared" si="549"/>
        <v/>
      </c>
      <c r="B793" s="32" t="str">
        <f t="shared" si="550"/>
        <v/>
      </c>
      <c r="C793" s="35"/>
      <c r="D793" s="33" t="str">
        <f t="shared" si="551"/>
        <v/>
      </c>
      <c r="E793" s="22" t="str">
        <f t="shared" si="552"/>
        <v/>
      </c>
      <c r="F793" s="23" t="str">
        <f t="shared" si="553"/>
        <v/>
      </c>
      <c r="G793" s="23"/>
      <c r="H793" s="22"/>
      <c r="I793" s="23"/>
      <c r="J793" s="18"/>
      <c r="K793" s="13" t="str">
        <f t="shared" si="554"/>
        <v/>
      </c>
      <c r="L793" s="28" t="str">
        <f t="shared" si="555"/>
        <v/>
      </c>
      <c r="M793" s="10" t="str">
        <f t="shared" si="556"/>
        <v/>
      </c>
      <c r="N793" s="17" t="str">
        <f t="shared" si="557"/>
        <v/>
      </c>
      <c r="O793" s="39" t="str">
        <f t="shared" si="558"/>
        <v/>
      </c>
      <c r="P793" s="41" t="str">
        <f t="shared" si="559"/>
        <v/>
      </c>
      <c r="Q793" s="9" t="str">
        <f t="shared" si="560"/>
        <v/>
      </c>
      <c r="R793" s="14">
        <f t="shared" si="561"/>
        <v>0</v>
      </c>
      <c r="S793" s="61" t="str">
        <f t="shared" si="562"/>
        <v/>
      </c>
      <c r="T793" s="14">
        <f t="shared" si="563"/>
        <v>0</v>
      </c>
      <c r="U793" s="58" t="str">
        <f t="shared" si="564"/>
        <v/>
      </c>
      <c r="V793" s="14">
        <f t="shared" si="565"/>
        <v>0</v>
      </c>
      <c r="W793" s="58" t="str">
        <f t="shared" si="566"/>
        <v/>
      </c>
      <c r="X793" s="14">
        <f t="shared" si="567"/>
        <v>0</v>
      </c>
      <c r="Y793" s="58" t="str">
        <f t="shared" si="568"/>
        <v/>
      </c>
      <c r="Z793" s="31">
        <f t="shared" si="569"/>
        <v>0</v>
      </c>
      <c r="AA793" s="21">
        <f t="shared" si="570"/>
        <v>0</v>
      </c>
      <c r="AB793" s="58" t="str">
        <f t="shared" si="571"/>
        <v/>
      </c>
      <c r="AC793" s="630">
        <f t="shared" si="592"/>
        <v>0</v>
      </c>
      <c r="AD793" s="627"/>
      <c r="AE793" s="21">
        <f t="shared" si="572"/>
        <v>0</v>
      </c>
      <c r="AF793" s="58" t="str">
        <f t="shared" si="573"/>
        <v/>
      </c>
      <c r="AG793" s="21">
        <f t="shared" si="574"/>
        <v>0</v>
      </c>
      <c r="AH793" s="58" t="str">
        <f t="shared" si="575"/>
        <v/>
      </c>
      <c r="AI793" s="21">
        <f t="shared" si="576"/>
        <v>0</v>
      </c>
      <c r="AJ793" s="58" t="str">
        <f t="shared" si="577"/>
        <v/>
      </c>
      <c r="AK793" s="31">
        <f t="shared" si="578"/>
        <v>0</v>
      </c>
      <c r="AL793" s="21">
        <f t="shared" si="579"/>
        <v>0</v>
      </c>
      <c r="AM793" s="62" t="str">
        <f t="shared" si="580"/>
        <v/>
      </c>
      <c r="AN793" s="21">
        <f t="shared" si="581"/>
        <v>0</v>
      </c>
      <c r="AO793" s="62" t="str">
        <f t="shared" si="582"/>
        <v/>
      </c>
      <c r="AP793" s="21">
        <f t="shared" si="583"/>
        <v>0</v>
      </c>
      <c r="AQ793" s="62" t="str">
        <f t="shared" si="584"/>
        <v/>
      </c>
      <c r="AR793" s="31">
        <f t="shared" si="585"/>
        <v>0</v>
      </c>
      <c r="AS793" s="21">
        <f t="shared" si="586"/>
        <v>0</v>
      </c>
      <c r="AT793" s="62" t="str">
        <f t="shared" si="587"/>
        <v/>
      </c>
      <c r="AU793" s="84">
        <f t="shared" si="588"/>
        <v>0</v>
      </c>
      <c r="AV793" s="32">
        <f t="shared" si="589"/>
        <v>0</v>
      </c>
      <c r="AW793" s="85" t="str">
        <f t="shared" si="590"/>
        <v/>
      </c>
      <c r="AX793" s="86" t="str">
        <f t="shared" si="591"/>
        <v/>
      </c>
    </row>
    <row r="794" spans="1:50" x14ac:dyDescent="0.2">
      <c r="A794" s="29" t="str">
        <f t="shared" si="549"/>
        <v/>
      </c>
      <c r="B794" s="32" t="str">
        <f t="shared" si="550"/>
        <v/>
      </c>
      <c r="C794" s="35"/>
      <c r="D794" s="33" t="str">
        <f t="shared" si="551"/>
        <v/>
      </c>
      <c r="E794" s="22" t="str">
        <f t="shared" si="552"/>
        <v/>
      </c>
      <c r="F794" s="23" t="str">
        <f t="shared" si="553"/>
        <v/>
      </c>
      <c r="G794" s="23"/>
      <c r="H794" s="22"/>
      <c r="I794" s="23"/>
      <c r="J794" s="18"/>
      <c r="K794" s="13" t="str">
        <f t="shared" si="554"/>
        <v/>
      </c>
      <c r="L794" s="28" t="str">
        <f t="shared" si="555"/>
        <v/>
      </c>
      <c r="M794" s="10" t="str">
        <f t="shared" si="556"/>
        <v/>
      </c>
      <c r="N794" s="17" t="str">
        <f t="shared" si="557"/>
        <v/>
      </c>
      <c r="O794" s="39" t="str">
        <f t="shared" si="558"/>
        <v/>
      </c>
      <c r="P794" s="41" t="str">
        <f t="shared" si="559"/>
        <v/>
      </c>
      <c r="Q794" s="9" t="str">
        <f t="shared" si="560"/>
        <v/>
      </c>
      <c r="R794" s="14">
        <f t="shared" si="561"/>
        <v>0</v>
      </c>
      <c r="S794" s="61" t="str">
        <f t="shared" si="562"/>
        <v/>
      </c>
      <c r="T794" s="14">
        <f t="shared" si="563"/>
        <v>0</v>
      </c>
      <c r="U794" s="58" t="str">
        <f t="shared" si="564"/>
        <v/>
      </c>
      <c r="V794" s="14">
        <f t="shared" si="565"/>
        <v>0</v>
      </c>
      <c r="W794" s="58" t="str">
        <f t="shared" si="566"/>
        <v/>
      </c>
      <c r="X794" s="14">
        <f t="shared" si="567"/>
        <v>0</v>
      </c>
      <c r="Y794" s="58" t="str">
        <f t="shared" si="568"/>
        <v/>
      </c>
      <c r="Z794" s="31">
        <f t="shared" si="569"/>
        <v>0</v>
      </c>
      <c r="AA794" s="21">
        <f t="shared" si="570"/>
        <v>0</v>
      </c>
      <c r="AB794" s="58" t="str">
        <f t="shared" si="571"/>
        <v/>
      </c>
      <c r="AC794" s="630">
        <f t="shared" si="592"/>
        <v>0</v>
      </c>
      <c r="AD794" s="627"/>
      <c r="AE794" s="21">
        <f t="shared" si="572"/>
        <v>0</v>
      </c>
      <c r="AF794" s="58" t="str">
        <f t="shared" si="573"/>
        <v/>
      </c>
      <c r="AG794" s="21">
        <f t="shared" si="574"/>
        <v>0</v>
      </c>
      <c r="AH794" s="58" t="str">
        <f t="shared" si="575"/>
        <v/>
      </c>
      <c r="AI794" s="21">
        <f t="shared" si="576"/>
        <v>0</v>
      </c>
      <c r="AJ794" s="58" t="str">
        <f t="shared" si="577"/>
        <v/>
      </c>
      <c r="AK794" s="31">
        <f t="shared" si="578"/>
        <v>0</v>
      </c>
      <c r="AL794" s="21">
        <f t="shared" si="579"/>
        <v>0</v>
      </c>
      <c r="AM794" s="62" t="str">
        <f t="shared" si="580"/>
        <v/>
      </c>
      <c r="AN794" s="21">
        <f t="shared" si="581"/>
        <v>0</v>
      </c>
      <c r="AO794" s="62" t="str">
        <f t="shared" si="582"/>
        <v/>
      </c>
      <c r="AP794" s="21">
        <f t="shared" si="583"/>
        <v>0</v>
      </c>
      <c r="AQ794" s="62" t="str">
        <f t="shared" si="584"/>
        <v/>
      </c>
      <c r="AR794" s="31">
        <f t="shared" si="585"/>
        <v>0</v>
      </c>
      <c r="AS794" s="21">
        <f t="shared" si="586"/>
        <v>0</v>
      </c>
      <c r="AT794" s="62" t="str">
        <f t="shared" si="587"/>
        <v/>
      </c>
      <c r="AU794" s="84">
        <f t="shared" si="588"/>
        <v>0</v>
      </c>
      <c r="AV794" s="32">
        <f t="shared" si="589"/>
        <v>0</v>
      </c>
      <c r="AW794" s="85" t="str">
        <f t="shared" si="590"/>
        <v/>
      </c>
      <c r="AX794" s="86" t="str">
        <f t="shared" si="591"/>
        <v/>
      </c>
    </row>
    <row r="795" spans="1:50" x14ac:dyDescent="0.2">
      <c r="A795" s="29" t="str">
        <f t="shared" si="549"/>
        <v/>
      </c>
      <c r="B795" s="32" t="str">
        <f t="shared" si="550"/>
        <v/>
      </c>
      <c r="C795" s="35"/>
      <c r="D795" s="33" t="str">
        <f t="shared" si="551"/>
        <v/>
      </c>
      <c r="E795" s="22" t="str">
        <f t="shared" si="552"/>
        <v/>
      </c>
      <c r="F795" s="23" t="str">
        <f t="shared" si="553"/>
        <v/>
      </c>
      <c r="G795" s="23"/>
      <c r="H795" s="22"/>
      <c r="I795" s="23"/>
      <c r="J795" s="18"/>
      <c r="K795" s="13" t="str">
        <f t="shared" si="554"/>
        <v/>
      </c>
      <c r="L795" s="28" t="str">
        <f t="shared" si="555"/>
        <v/>
      </c>
      <c r="M795" s="10" t="str">
        <f t="shared" si="556"/>
        <v/>
      </c>
      <c r="N795" s="17" t="str">
        <f t="shared" si="557"/>
        <v/>
      </c>
      <c r="O795" s="39" t="str">
        <f t="shared" si="558"/>
        <v/>
      </c>
      <c r="P795" s="41" t="str">
        <f t="shared" si="559"/>
        <v/>
      </c>
      <c r="Q795" s="9" t="str">
        <f t="shared" si="560"/>
        <v/>
      </c>
      <c r="R795" s="14">
        <f t="shared" si="561"/>
        <v>0</v>
      </c>
      <c r="S795" s="61" t="str">
        <f t="shared" si="562"/>
        <v/>
      </c>
      <c r="T795" s="14">
        <f t="shared" si="563"/>
        <v>0</v>
      </c>
      <c r="U795" s="58" t="str">
        <f t="shared" si="564"/>
        <v/>
      </c>
      <c r="V795" s="14">
        <f t="shared" si="565"/>
        <v>0</v>
      </c>
      <c r="W795" s="58" t="str">
        <f t="shared" si="566"/>
        <v/>
      </c>
      <c r="X795" s="14">
        <f t="shared" si="567"/>
        <v>0</v>
      </c>
      <c r="Y795" s="58" t="str">
        <f t="shared" si="568"/>
        <v/>
      </c>
      <c r="Z795" s="31">
        <f t="shared" si="569"/>
        <v>0</v>
      </c>
      <c r="AA795" s="21">
        <f t="shared" si="570"/>
        <v>0</v>
      </c>
      <c r="AB795" s="58" t="str">
        <f t="shared" si="571"/>
        <v/>
      </c>
      <c r="AC795" s="630">
        <f t="shared" si="592"/>
        <v>0</v>
      </c>
      <c r="AD795" s="627"/>
      <c r="AE795" s="21">
        <f t="shared" si="572"/>
        <v>0</v>
      </c>
      <c r="AF795" s="58" t="str">
        <f t="shared" si="573"/>
        <v/>
      </c>
      <c r="AG795" s="21">
        <f t="shared" si="574"/>
        <v>0</v>
      </c>
      <c r="AH795" s="58" t="str">
        <f t="shared" si="575"/>
        <v/>
      </c>
      <c r="AI795" s="21">
        <f t="shared" si="576"/>
        <v>0</v>
      </c>
      <c r="AJ795" s="58" t="str">
        <f t="shared" si="577"/>
        <v/>
      </c>
      <c r="AK795" s="31">
        <f t="shared" si="578"/>
        <v>0</v>
      </c>
      <c r="AL795" s="21">
        <f t="shared" si="579"/>
        <v>0</v>
      </c>
      <c r="AM795" s="62" t="str">
        <f t="shared" si="580"/>
        <v/>
      </c>
      <c r="AN795" s="21">
        <f t="shared" si="581"/>
        <v>0</v>
      </c>
      <c r="AO795" s="62" t="str">
        <f t="shared" si="582"/>
        <v/>
      </c>
      <c r="AP795" s="21">
        <f t="shared" si="583"/>
        <v>0</v>
      </c>
      <c r="AQ795" s="62" t="str">
        <f t="shared" si="584"/>
        <v/>
      </c>
      <c r="AR795" s="31">
        <f t="shared" si="585"/>
        <v>0</v>
      </c>
      <c r="AS795" s="21">
        <f t="shared" si="586"/>
        <v>0</v>
      </c>
      <c r="AT795" s="62" t="str">
        <f t="shared" si="587"/>
        <v/>
      </c>
      <c r="AU795" s="84">
        <f t="shared" si="588"/>
        <v>0</v>
      </c>
      <c r="AV795" s="32">
        <f t="shared" si="589"/>
        <v>0</v>
      </c>
      <c r="AW795" s="85" t="str">
        <f t="shared" si="590"/>
        <v/>
      </c>
      <c r="AX795" s="86" t="str">
        <f t="shared" si="591"/>
        <v/>
      </c>
    </row>
    <row r="796" spans="1:50" x14ac:dyDescent="0.2">
      <c r="A796" s="29" t="str">
        <f t="shared" si="549"/>
        <v/>
      </c>
      <c r="B796" s="32" t="str">
        <f t="shared" si="550"/>
        <v/>
      </c>
      <c r="C796" s="35"/>
      <c r="D796" s="33" t="str">
        <f t="shared" si="551"/>
        <v/>
      </c>
      <c r="E796" s="22" t="str">
        <f t="shared" si="552"/>
        <v/>
      </c>
      <c r="F796" s="23" t="str">
        <f t="shared" si="553"/>
        <v/>
      </c>
      <c r="G796" s="23"/>
      <c r="H796" s="22"/>
      <c r="I796" s="23"/>
      <c r="J796" s="18"/>
      <c r="K796" s="13" t="str">
        <f t="shared" si="554"/>
        <v/>
      </c>
      <c r="L796" s="28" t="str">
        <f t="shared" si="555"/>
        <v/>
      </c>
      <c r="M796" s="10" t="str">
        <f t="shared" si="556"/>
        <v/>
      </c>
      <c r="N796" s="17" t="str">
        <f t="shared" si="557"/>
        <v/>
      </c>
      <c r="O796" s="39" t="str">
        <f t="shared" si="558"/>
        <v/>
      </c>
      <c r="P796" s="41" t="str">
        <f t="shared" si="559"/>
        <v/>
      </c>
      <c r="Q796" s="9" t="str">
        <f t="shared" si="560"/>
        <v/>
      </c>
      <c r="R796" s="14">
        <f t="shared" si="561"/>
        <v>0</v>
      </c>
      <c r="S796" s="61" t="str">
        <f t="shared" si="562"/>
        <v/>
      </c>
      <c r="T796" s="14">
        <f t="shared" si="563"/>
        <v>0</v>
      </c>
      <c r="U796" s="58" t="str">
        <f t="shared" si="564"/>
        <v/>
      </c>
      <c r="V796" s="14">
        <f t="shared" si="565"/>
        <v>0</v>
      </c>
      <c r="W796" s="58" t="str">
        <f t="shared" si="566"/>
        <v/>
      </c>
      <c r="X796" s="14">
        <f t="shared" si="567"/>
        <v>0</v>
      </c>
      <c r="Y796" s="58" t="str">
        <f t="shared" si="568"/>
        <v/>
      </c>
      <c r="Z796" s="31">
        <f t="shared" si="569"/>
        <v>0</v>
      </c>
      <c r="AA796" s="21">
        <f t="shared" si="570"/>
        <v>0</v>
      </c>
      <c r="AB796" s="58" t="str">
        <f t="shared" si="571"/>
        <v/>
      </c>
      <c r="AC796" s="630">
        <f t="shared" si="592"/>
        <v>0</v>
      </c>
      <c r="AD796" s="627"/>
      <c r="AE796" s="21">
        <f t="shared" si="572"/>
        <v>0</v>
      </c>
      <c r="AF796" s="58" t="str">
        <f t="shared" si="573"/>
        <v/>
      </c>
      <c r="AG796" s="21">
        <f t="shared" si="574"/>
        <v>0</v>
      </c>
      <c r="AH796" s="58" t="str">
        <f t="shared" si="575"/>
        <v/>
      </c>
      <c r="AI796" s="21">
        <f t="shared" si="576"/>
        <v>0</v>
      </c>
      <c r="AJ796" s="58" t="str">
        <f t="shared" si="577"/>
        <v/>
      </c>
      <c r="AK796" s="31">
        <f t="shared" si="578"/>
        <v>0</v>
      </c>
      <c r="AL796" s="21">
        <f t="shared" si="579"/>
        <v>0</v>
      </c>
      <c r="AM796" s="62" t="str">
        <f t="shared" si="580"/>
        <v/>
      </c>
      <c r="AN796" s="21">
        <f t="shared" si="581"/>
        <v>0</v>
      </c>
      <c r="AO796" s="62" t="str">
        <f t="shared" si="582"/>
        <v/>
      </c>
      <c r="AP796" s="21">
        <f t="shared" si="583"/>
        <v>0</v>
      </c>
      <c r="AQ796" s="62" t="str">
        <f t="shared" si="584"/>
        <v/>
      </c>
      <c r="AR796" s="31">
        <f t="shared" si="585"/>
        <v>0</v>
      </c>
      <c r="AS796" s="21">
        <f t="shared" si="586"/>
        <v>0</v>
      </c>
      <c r="AT796" s="62" t="str">
        <f t="shared" si="587"/>
        <v/>
      </c>
      <c r="AU796" s="84">
        <f t="shared" si="588"/>
        <v>0</v>
      </c>
      <c r="AV796" s="32">
        <f t="shared" si="589"/>
        <v>0</v>
      </c>
      <c r="AW796" s="85" t="str">
        <f t="shared" si="590"/>
        <v/>
      </c>
      <c r="AX796" s="86" t="str">
        <f t="shared" si="591"/>
        <v/>
      </c>
    </row>
    <row r="797" spans="1:50" x14ac:dyDescent="0.2">
      <c r="A797" s="29" t="str">
        <f t="shared" si="549"/>
        <v/>
      </c>
      <c r="B797" s="32" t="str">
        <f t="shared" si="550"/>
        <v/>
      </c>
      <c r="C797" s="35"/>
      <c r="D797" s="33" t="str">
        <f t="shared" si="551"/>
        <v/>
      </c>
      <c r="E797" s="22" t="str">
        <f t="shared" si="552"/>
        <v/>
      </c>
      <c r="F797" s="23" t="str">
        <f t="shared" si="553"/>
        <v/>
      </c>
      <c r="G797" s="23"/>
      <c r="H797" s="22"/>
      <c r="I797" s="23"/>
      <c r="J797" s="18"/>
      <c r="K797" s="13" t="str">
        <f t="shared" si="554"/>
        <v/>
      </c>
      <c r="L797" s="28" t="str">
        <f t="shared" si="555"/>
        <v/>
      </c>
      <c r="M797" s="10" t="str">
        <f t="shared" si="556"/>
        <v/>
      </c>
      <c r="N797" s="17" t="str">
        <f t="shared" si="557"/>
        <v/>
      </c>
      <c r="O797" s="39" t="str">
        <f t="shared" si="558"/>
        <v/>
      </c>
      <c r="P797" s="41" t="str">
        <f t="shared" si="559"/>
        <v/>
      </c>
      <c r="Q797" s="9" t="str">
        <f t="shared" si="560"/>
        <v/>
      </c>
      <c r="R797" s="14">
        <f t="shared" si="561"/>
        <v>0</v>
      </c>
      <c r="S797" s="61" t="str">
        <f t="shared" si="562"/>
        <v/>
      </c>
      <c r="T797" s="14">
        <f t="shared" si="563"/>
        <v>0</v>
      </c>
      <c r="U797" s="58" t="str">
        <f t="shared" si="564"/>
        <v/>
      </c>
      <c r="V797" s="14">
        <f t="shared" si="565"/>
        <v>0</v>
      </c>
      <c r="W797" s="58" t="str">
        <f t="shared" si="566"/>
        <v/>
      </c>
      <c r="X797" s="14">
        <f t="shared" si="567"/>
        <v>0</v>
      </c>
      <c r="Y797" s="58" t="str">
        <f t="shared" si="568"/>
        <v/>
      </c>
      <c r="Z797" s="31">
        <f t="shared" si="569"/>
        <v>0</v>
      </c>
      <c r="AA797" s="21">
        <f t="shared" si="570"/>
        <v>0</v>
      </c>
      <c r="AB797" s="58" t="str">
        <f t="shared" si="571"/>
        <v/>
      </c>
      <c r="AC797" s="630">
        <f t="shared" si="592"/>
        <v>0</v>
      </c>
      <c r="AD797" s="627"/>
      <c r="AE797" s="21">
        <f t="shared" si="572"/>
        <v>0</v>
      </c>
      <c r="AF797" s="58" t="str">
        <f t="shared" si="573"/>
        <v/>
      </c>
      <c r="AG797" s="21">
        <f t="shared" si="574"/>
        <v>0</v>
      </c>
      <c r="AH797" s="58" t="str">
        <f t="shared" si="575"/>
        <v/>
      </c>
      <c r="AI797" s="21">
        <f t="shared" si="576"/>
        <v>0</v>
      </c>
      <c r="AJ797" s="58" t="str">
        <f t="shared" si="577"/>
        <v/>
      </c>
      <c r="AK797" s="31">
        <f t="shared" si="578"/>
        <v>0</v>
      </c>
      <c r="AL797" s="21">
        <f t="shared" si="579"/>
        <v>0</v>
      </c>
      <c r="AM797" s="62" t="str">
        <f t="shared" si="580"/>
        <v/>
      </c>
      <c r="AN797" s="21">
        <f t="shared" si="581"/>
        <v>0</v>
      </c>
      <c r="AO797" s="62" t="str">
        <f t="shared" si="582"/>
        <v/>
      </c>
      <c r="AP797" s="21">
        <f t="shared" si="583"/>
        <v>0</v>
      </c>
      <c r="AQ797" s="62" t="str">
        <f t="shared" si="584"/>
        <v/>
      </c>
      <c r="AR797" s="31">
        <f t="shared" si="585"/>
        <v>0</v>
      </c>
      <c r="AS797" s="21">
        <f t="shared" si="586"/>
        <v>0</v>
      </c>
      <c r="AT797" s="62" t="str">
        <f t="shared" si="587"/>
        <v/>
      </c>
      <c r="AU797" s="84">
        <f t="shared" si="588"/>
        <v>0</v>
      </c>
      <c r="AV797" s="32">
        <f t="shared" si="589"/>
        <v>0</v>
      </c>
      <c r="AW797" s="85" t="str">
        <f t="shared" si="590"/>
        <v/>
      </c>
      <c r="AX797" s="86" t="str">
        <f t="shared" si="591"/>
        <v/>
      </c>
    </row>
    <row r="798" spans="1:50" x14ac:dyDescent="0.2">
      <c r="A798" s="29" t="str">
        <f t="shared" si="549"/>
        <v/>
      </c>
      <c r="B798" s="32" t="str">
        <f t="shared" si="550"/>
        <v/>
      </c>
      <c r="C798" s="35"/>
      <c r="D798" s="33" t="str">
        <f t="shared" si="551"/>
        <v/>
      </c>
      <c r="E798" s="22" t="str">
        <f t="shared" si="552"/>
        <v/>
      </c>
      <c r="F798" s="23" t="str">
        <f t="shared" si="553"/>
        <v/>
      </c>
      <c r="G798" s="23"/>
      <c r="H798" s="22"/>
      <c r="I798" s="23"/>
      <c r="J798" s="18"/>
      <c r="K798" s="13" t="str">
        <f t="shared" si="554"/>
        <v/>
      </c>
      <c r="L798" s="28" t="str">
        <f t="shared" si="555"/>
        <v/>
      </c>
      <c r="M798" s="10" t="str">
        <f t="shared" si="556"/>
        <v/>
      </c>
      <c r="N798" s="17" t="str">
        <f t="shared" si="557"/>
        <v/>
      </c>
      <c r="O798" s="39" t="str">
        <f t="shared" si="558"/>
        <v/>
      </c>
      <c r="P798" s="41" t="str">
        <f t="shared" si="559"/>
        <v/>
      </c>
      <c r="Q798" s="9" t="str">
        <f t="shared" si="560"/>
        <v/>
      </c>
      <c r="R798" s="14">
        <f t="shared" si="561"/>
        <v>0</v>
      </c>
      <c r="S798" s="61" t="str">
        <f t="shared" si="562"/>
        <v/>
      </c>
      <c r="T798" s="14">
        <f t="shared" si="563"/>
        <v>0</v>
      </c>
      <c r="U798" s="58" t="str">
        <f t="shared" si="564"/>
        <v/>
      </c>
      <c r="V798" s="14">
        <f t="shared" si="565"/>
        <v>0</v>
      </c>
      <c r="W798" s="58" t="str">
        <f t="shared" si="566"/>
        <v/>
      </c>
      <c r="X798" s="14">
        <f t="shared" si="567"/>
        <v>0</v>
      </c>
      <c r="Y798" s="58" t="str">
        <f t="shared" si="568"/>
        <v/>
      </c>
      <c r="Z798" s="31">
        <f t="shared" si="569"/>
        <v>0</v>
      </c>
      <c r="AA798" s="21">
        <f t="shared" si="570"/>
        <v>0</v>
      </c>
      <c r="AB798" s="58" t="str">
        <f t="shared" si="571"/>
        <v/>
      </c>
      <c r="AC798" s="630">
        <f t="shared" si="592"/>
        <v>0</v>
      </c>
      <c r="AD798" s="627"/>
      <c r="AE798" s="21">
        <f t="shared" si="572"/>
        <v>0</v>
      </c>
      <c r="AF798" s="58" t="str">
        <f t="shared" si="573"/>
        <v/>
      </c>
      <c r="AG798" s="21">
        <f t="shared" si="574"/>
        <v>0</v>
      </c>
      <c r="AH798" s="58" t="str">
        <f t="shared" si="575"/>
        <v/>
      </c>
      <c r="AI798" s="21">
        <f t="shared" si="576"/>
        <v>0</v>
      </c>
      <c r="AJ798" s="58" t="str">
        <f t="shared" si="577"/>
        <v/>
      </c>
      <c r="AK798" s="31">
        <f t="shared" si="578"/>
        <v>0</v>
      </c>
      <c r="AL798" s="21">
        <f t="shared" si="579"/>
        <v>0</v>
      </c>
      <c r="AM798" s="62" t="str">
        <f t="shared" si="580"/>
        <v/>
      </c>
      <c r="AN798" s="21">
        <f t="shared" si="581"/>
        <v>0</v>
      </c>
      <c r="AO798" s="62" t="str">
        <f t="shared" si="582"/>
        <v/>
      </c>
      <c r="AP798" s="21">
        <f t="shared" si="583"/>
        <v>0</v>
      </c>
      <c r="AQ798" s="62" t="str">
        <f t="shared" si="584"/>
        <v/>
      </c>
      <c r="AR798" s="31">
        <f t="shared" si="585"/>
        <v>0</v>
      </c>
      <c r="AS798" s="21">
        <f t="shared" si="586"/>
        <v>0</v>
      </c>
      <c r="AT798" s="62" t="str">
        <f t="shared" si="587"/>
        <v/>
      </c>
      <c r="AU798" s="84">
        <f t="shared" si="588"/>
        <v>0</v>
      </c>
      <c r="AV798" s="32">
        <f t="shared" si="589"/>
        <v>0</v>
      </c>
      <c r="AW798" s="85" t="str">
        <f t="shared" si="590"/>
        <v/>
      </c>
      <c r="AX798" s="86" t="str">
        <f t="shared" si="591"/>
        <v/>
      </c>
    </row>
    <row r="799" spans="1:50" x14ac:dyDescent="0.2">
      <c r="A799" s="29" t="str">
        <f t="shared" si="549"/>
        <v/>
      </c>
      <c r="B799" s="32" t="str">
        <f t="shared" si="550"/>
        <v/>
      </c>
      <c r="C799" s="35"/>
      <c r="D799" s="33" t="str">
        <f t="shared" si="551"/>
        <v/>
      </c>
      <c r="E799" s="22" t="str">
        <f t="shared" si="552"/>
        <v/>
      </c>
      <c r="F799" s="23" t="str">
        <f t="shared" si="553"/>
        <v/>
      </c>
      <c r="G799" s="23"/>
      <c r="H799" s="22"/>
      <c r="I799" s="23"/>
      <c r="J799" s="18"/>
      <c r="K799" s="13" t="str">
        <f t="shared" si="554"/>
        <v/>
      </c>
      <c r="L799" s="28" t="str">
        <f t="shared" si="555"/>
        <v/>
      </c>
      <c r="M799" s="10" t="str">
        <f t="shared" si="556"/>
        <v/>
      </c>
      <c r="N799" s="17" t="str">
        <f t="shared" si="557"/>
        <v/>
      </c>
      <c r="O799" s="39" t="str">
        <f t="shared" si="558"/>
        <v/>
      </c>
      <c r="P799" s="41" t="str">
        <f t="shared" si="559"/>
        <v/>
      </c>
      <c r="Q799" s="9" t="str">
        <f t="shared" si="560"/>
        <v/>
      </c>
      <c r="R799" s="14">
        <f t="shared" si="561"/>
        <v>0</v>
      </c>
      <c r="S799" s="61" t="str">
        <f t="shared" si="562"/>
        <v/>
      </c>
      <c r="T799" s="14">
        <f t="shared" si="563"/>
        <v>0</v>
      </c>
      <c r="U799" s="58" t="str">
        <f t="shared" si="564"/>
        <v/>
      </c>
      <c r="V799" s="14">
        <f t="shared" si="565"/>
        <v>0</v>
      </c>
      <c r="W799" s="58" t="str">
        <f t="shared" si="566"/>
        <v/>
      </c>
      <c r="X799" s="14">
        <f t="shared" si="567"/>
        <v>0</v>
      </c>
      <c r="Y799" s="58" t="str">
        <f t="shared" si="568"/>
        <v/>
      </c>
      <c r="Z799" s="31">
        <f t="shared" si="569"/>
        <v>0</v>
      </c>
      <c r="AA799" s="21">
        <f t="shared" si="570"/>
        <v>0</v>
      </c>
      <c r="AB799" s="58" t="str">
        <f t="shared" si="571"/>
        <v/>
      </c>
      <c r="AC799" s="630">
        <f t="shared" si="592"/>
        <v>0</v>
      </c>
      <c r="AD799" s="627"/>
      <c r="AE799" s="21">
        <f t="shared" si="572"/>
        <v>0</v>
      </c>
      <c r="AF799" s="58" t="str">
        <f t="shared" si="573"/>
        <v/>
      </c>
      <c r="AG799" s="21">
        <f t="shared" si="574"/>
        <v>0</v>
      </c>
      <c r="AH799" s="58" t="str">
        <f t="shared" si="575"/>
        <v/>
      </c>
      <c r="AI799" s="21">
        <f t="shared" si="576"/>
        <v>0</v>
      </c>
      <c r="AJ799" s="58" t="str">
        <f t="shared" si="577"/>
        <v/>
      </c>
      <c r="AK799" s="31">
        <f t="shared" si="578"/>
        <v>0</v>
      </c>
      <c r="AL799" s="21">
        <f t="shared" si="579"/>
        <v>0</v>
      </c>
      <c r="AM799" s="62" t="str">
        <f t="shared" si="580"/>
        <v/>
      </c>
      <c r="AN799" s="21">
        <f t="shared" si="581"/>
        <v>0</v>
      </c>
      <c r="AO799" s="62" t="str">
        <f t="shared" si="582"/>
        <v/>
      </c>
      <c r="AP799" s="21">
        <f t="shared" si="583"/>
        <v>0</v>
      </c>
      <c r="AQ799" s="62" t="str">
        <f t="shared" si="584"/>
        <v/>
      </c>
      <c r="AR799" s="31">
        <f t="shared" si="585"/>
        <v>0</v>
      </c>
      <c r="AS799" s="21">
        <f t="shared" si="586"/>
        <v>0</v>
      </c>
      <c r="AT799" s="62" t="str">
        <f t="shared" si="587"/>
        <v/>
      </c>
      <c r="AU799" s="84">
        <f t="shared" si="588"/>
        <v>0</v>
      </c>
      <c r="AV799" s="32">
        <f t="shared" si="589"/>
        <v>0</v>
      </c>
      <c r="AW799" s="85" t="str">
        <f t="shared" si="590"/>
        <v/>
      </c>
      <c r="AX799" s="86" t="str">
        <f t="shared" si="591"/>
        <v/>
      </c>
    </row>
    <row r="800" spans="1:50" x14ac:dyDescent="0.2">
      <c r="A800" s="29" t="str">
        <f t="shared" si="549"/>
        <v/>
      </c>
      <c r="B800" s="32" t="str">
        <f t="shared" si="550"/>
        <v/>
      </c>
      <c r="C800" s="35"/>
      <c r="D800" s="33" t="str">
        <f t="shared" si="551"/>
        <v/>
      </c>
      <c r="E800" s="22" t="str">
        <f t="shared" si="552"/>
        <v/>
      </c>
      <c r="F800" s="23" t="str">
        <f t="shared" si="553"/>
        <v/>
      </c>
      <c r="G800" s="23"/>
      <c r="H800" s="22"/>
      <c r="I800" s="23"/>
      <c r="J800" s="18"/>
      <c r="K800" s="13" t="str">
        <f t="shared" si="554"/>
        <v/>
      </c>
      <c r="L800" s="28" t="str">
        <f t="shared" si="555"/>
        <v/>
      </c>
      <c r="M800" s="10" t="str">
        <f t="shared" si="556"/>
        <v/>
      </c>
      <c r="N800" s="17" t="str">
        <f t="shared" si="557"/>
        <v/>
      </c>
      <c r="O800" s="39" t="str">
        <f t="shared" si="558"/>
        <v/>
      </c>
      <c r="P800" s="41" t="str">
        <f t="shared" si="559"/>
        <v/>
      </c>
      <c r="Q800" s="9" t="str">
        <f t="shared" si="560"/>
        <v/>
      </c>
      <c r="R800" s="14">
        <f t="shared" si="561"/>
        <v>0</v>
      </c>
      <c r="S800" s="61" t="str">
        <f t="shared" si="562"/>
        <v/>
      </c>
      <c r="T800" s="14">
        <f t="shared" si="563"/>
        <v>0</v>
      </c>
      <c r="U800" s="58" t="str">
        <f t="shared" si="564"/>
        <v/>
      </c>
      <c r="V800" s="14">
        <f t="shared" si="565"/>
        <v>0</v>
      </c>
      <c r="W800" s="58" t="str">
        <f t="shared" si="566"/>
        <v/>
      </c>
      <c r="X800" s="14">
        <f t="shared" si="567"/>
        <v>0</v>
      </c>
      <c r="Y800" s="58" t="str">
        <f t="shared" si="568"/>
        <v/>
      </c>
      <c r="Z800" s="31">
        <f t="shared" si="569"/>
        <v>0</v>
      </c>
      <c r="AA800" s="21">
        <f t="shared" si="570"/>
        <v>0</v>
      </c>
      <c r="AB800" s="58" t="str">
        <f t="shared" si="571"/>
        <v/>
      </c>
      <c r="AC800" s="630">
        <f t="shared" si="592"/>
        <v>0</v>
      </c>
      <c r="AD800" s="627"/>
      <c r="AE800" s="21">
        <f t="shared" si="572"/>
        <v>0</v>
      </c>
      <c r="AF800" s="58" t="str">
        <f t="shared" si="573"/>
        <v/>
      </c>
      <c r="AG800" s="21">
        <f t="shared" si="574"/>
        <v>0</v>
      </c>
      <c r="AH800" s="58" t="str">
        <f t="shared" si="575"/>
        <v/>
      </c>
      <c r="AI800" s="21">
        <f t="shared" si="576"/>
        <v>0</v>
      </c>
      <c r="AJ800" s="58" t="str">
        <f t="shared" si="577"/>
        <v/>
      </c>
      <c r="AK800" s="31">
        <f t="shared" si="578"/>
        <v>0</v>
      </c>
      <c r="AL800" s="21">
        <f t="shared" si="579"/>
        <v>0</v>
      </c>
      <c r="AM800" s="62" t="str">
        <f t="shared" si="580"/>
        <v/>
      </c>
      <c r="AN800" s="21">
        <f t="shared" si="581"/>
        <v>0</v>
      </c>
      <c r="AO800" s="62" t="str">
        <f t="shared" si="582"/>
        <v/>
      </c>
      <c r="AP800" s="21">
        <f t="shared" si="583"/>
        <v>0</v>
      </c>
      <c r="AQ800" s="62" t="str">
        <f t="shared" si="584"/>
        <v/>
      </c>
      <c r="AR800" s="31">
        <f t="shared" si="585"/>
        <v>0</v>
      </c>
      <c r="AS800" s="21">
        <f t="shared" si="586"/>
        <v>0</v>
      </c>
      <c r="AT800" s="62" t="str">
        <f t="shared" si="587"/>
        <v/>
      </c>
      <c r="AU800" s="84">
        <f t="shared" si="588"/>
        <v>0</v>
      </c>
      <c r="AV800" s="32">
        <f t="shared" si="589"/>
        <v>0</v>
      </c>
      <c r="AW800" s="85" t="str">
        <f t="shared" si="590"/>
        <v/>
      </c>
      <c r="AX800" s="86" t="str">
        <f t="shared" si="591"/>
        <v/>
      </c>
    </row>
    <row r="801" spans="1:50" x14ac:dyDescent="0.2">
      <c r="A801" s="29" t="str">
        <f t="shared" si="549"/>
        <v/>
      </c>
      <c r="B801" s="32" t="str">
        <f t="shared" si="550"/>
        <v/>
      </c>
      <c r="C801" s="35"/>
      <c r="D801" s="33" t="str">
        <f t="shared" si="551"/>
        <v/>
      </c>
      <c r="E801" s="22" t="str">
        <f t="shared" si="552"/>
        <v/>
      </c>
      <c r="F801" s="23" t="str">
        <f t="shared" si="553"/>
        <v/>
      </c>
      <c r="G801" s="23"/>
      <c r="H801" s="22"/>
      <c r="I801" s="23"/>
      <c r="J801" s="18"/>
      <c r="K801" s="13" t="str">
        <f t="shared" si="554"/>
        <v/>
      </c>
      <c r="L801" s="28" t="str">
        <f t="shared" si="555"/>
        <v/>
      </c>
      <c r="M801" s="10" t="str">
        <f t="shared" si="556"/>
        <v/>
      </c>
      <c r="N801" s="17" t="str">
        <f t="shared" si="557"/>
        <v/>
      </c>
      <c r="O801" s="39" t="str">
        <f t="shared" si="558"/>
        <v/>
      </c>
      <c r="P801" s="41" t="str">
        <f t="shared" si="559"/>
        <v/>
      </c>
      <c r="Q801" s="9" t="str">
        <f t="shared" si="560"/>
        <v/>
      </c>
      <c r="R801" s="14">
        <f t="shared" si="561"/>
        <v>0</v>
      </c>
      <c r="S801" s="61" t="str">
        <f t="shared" si="562"/>
        <v/>
      </c>
      <c r="T801" s="14">
        <f t="shared" si="563"/>
        <v>0</v>
      </c>
      <c r="U801" s="58" t="str">
        <f t="shared" si="564"/>
        <v/>
      </c>
      <c r="V801" s="14">
        <f t="shared" si="565"/>
        <v>0</v>
      </c>
      <c r="W801" s="58" t="str">
        <f t="shared" si="566"/>
        <v/>
      </c>
      <c r="X801" s="14">
        <f t="shared" si="567"/>
        <v>0</v>
      </c>
      <c r="Y801" s="58" t="str">
        <f t="shared" si="568"/>
        <v/>
      </c>
      <c r="Z801" s="31">
        <f t="shared" si="569"/>
        <v>0</v>
      </c>
      <c r="AA801" s="21">
        <f t="shared" si="570"/>
        <v>0</v>
      </c>
      <c r="AB801" s="58" t="str">
        <f t="shared" si="571"/>
        <v/>
      </c>
      <c r="AC801" s="630">
        <f t="shared" si="592"/>
        <v>0</v>
      </c>
      <c r="AD801" s="627"/>
      <c r="AE801" s="21">
        <f t="shared" si="572"/>
        <v>0</v>
      </c>
      <c r="AF801" s="58" t="str">
        <f t="shared" si="573"/>
        <v/>
      </c>
      <c r="AG801" s="21">
        <f t="shared" si="574"/>
        <v>0</v>
      </c>
      <c r="AH801" s="58" t="str">
        <f t="shared" si="575"/>
        <v/>
      </c>
      <c r="AI801" s="21">
        <f t="shared" si="576"/>
        <v>0</v>
      </c>
      <c r="AJ801" s="58" t="str">
        <f t="shared" si="577"/>
        <v/>
      </c>
      <c r="AK801" s="31">
        <f t="shared" si="578"/>
        <v>0</v>
      </c>
      <c r="AL801" s="21">
        <f t="shared" si="579"/>
        <v>0</v>
      </c>
      <c r="AM801" s="62" t="str">
        <f t="shared" si="580"/>
        <v/>
      </c>
      <c r="AN801" s="21">
        <f t="shared" si="581"/>
        <v>0</v>
      </c>
      <c r="AO801" s="62" t="str">
        <f t="shared" si="582"/>
        <v/>
      </c>
      <c r="AP801" s="21">
        <f t="shared" si="583"/>
        <v>0</v>
      </c>
      <c r="AQ801" s="62" t="str">
        <f t="shared" si="584"/>
        <v/>
      </c>
      <c r="AR801" s="31">
        <f t="shared" si="585"/>
        <v>0</v>
      </c>
      <c r="AS801" s="21">
        <f t="shared" si="586"/>
        <v>0</v>
      </c>
      <c r="AT801" s="62" t="str">
        <f t="shared" si="587"/>
        <v/>
      </c>
      <c r="AU801" s="84">
        <f t="shared" si="588"/>
        <v>0</v>
      </c>
      <c r="AV801" s="32">
        <f t="shared" si="589"/>
        <v>0</v>
      </c>
      <c r="AW801" s="85" t="str">
        <f t="shared" si="590"/>
        <v/>
      </c>
      <c r="AX801" s="86" t="str">
        <f t="shared" si="591"/>
        <v/>
      </c>
    </row>
    <row r="802" spans="1:50" x14ac:dyDescent="0.2">
      <c r="A802" s="29" t="str">
        <f t="shared" ref="A802:A812" si="593">IF(A801="","",IF(C802="","",A801))</f>
        <v/>
      </c>
      <c r="B802" s="32" t="str">
        <f t="shared" ref="B802:B807" si="594">IF(B801="","",IF(C802="","",B801))</f>
        <v/>
      </c>
      <c r="C802" s="35"/>
      <c r="D802" s="33" t="str">
        <f t="shared" ref="D802:D865" si="595">IF(A802="","",IF(D801="","",D801))</f>
        <v/>
      </c>
      <c r="E802" s="22" t="str">
        <f t="shared" ref="E802:E865" si="596">IF(A802="","",IF(E801="","",E801))</f>
        <v/>
      </c>
      <c r="F802" s="23" t="str">
        <f t="shared" ref="F802:F865" si="597">IF(A802="","",IF(F801="","",F801))</f>
        <v/>
      </c>
      <c r="G802" s="23"/>
      <c r="H802" s="22"/>
      <c r="I802" s="23"/>
      <c r="J802" s="18"/>
      <c r="K802" s="13" t="str">
        <f t="shared" ref="K802:K865" si="598">IF($N$4="M",IF(A802="","",IF(D802=6,16,IF(A802&lt;=$M$5,26,IF(A802&lt;=$M$6,24,IF(A802&lt;=$M$7,22,IF(A802&lt;=$M$8,20,18)))))),IF(A802="","",IF(D802=6,16,IF(A802&lt;=$P$5,26,IF(A802&lt;=$P$6,24,IF(A802&lt;=$P$7,22,IF(A802&lt;=$P$8,20,18)))))))</f>
        <v/>
      </c>
      <c r="L802" s="28" t="str">
        <f t="shared" ref="L802:L865" si="599">IF($N$4="M",IF(A802="","",IF(K802=26,(A802+B802+Q802)*C802*0.02739,IF(K802=24,(A802+B802+Q802)*C802*0.02739,IF(K802=22,(A802+B802+Q802)*C802*0.0333,IF(K802=20,(A802+B802+Q802)*C802*0.0393,IF(K802=18,(A802+B802+Q802)*C802*0.0511,IF(K802=16,(A802+B802+Q802)*C802*0.0628))))))),IF(A802="","",IF(K802=26,(A802+B802+Q802)*C802*0.211,IF(K802=24,(A802+B802+Q802)*C802*0.211,IF(K802=22,(A802+B802+Q802)*C802*0.258,IF(K802=20,(A802+B802+Q802)*C802*0.304,IF(K802=18,(A802+B802+Q802)*C802*0.395,IF(K802=16,(A802+B802+Q802)*C802*0.487))))))))</f>
        <v/>
      </c>
      <c r="M802" s="10" t="str">
        <f t="shared" ref="M802:M865" si="600">IF(D802=1,0.5,IF(D802=2,"1 F",IF(D802=21,"1 R",IF(D802=3,2,""))))</f>
        <v/>
      </c>
      <c r="N802" s="17" t="str">
        <f t="shared" ref="N802:N865" si="601">IF(M802="","",IF($N$4="M",(A802+B802+Q802)*C802*0.022,(A802+B802+Q802)*C802*0.17))</f>
        <v/>
      </c>
      <c r="O802" s="39" t="str">
        <f t="shared" ref="O802:O865" si="602">IF(D802=4,1,IF(D802=5,2,""))</f>
        <v/>
      </c>
      <c r="P802" s="41" t="str">
        <f t="shared" ref="P802:P865" si="603">IF(O802="","",IF($N$4="M",IF(O802=1,(A802+B802+Q802)*C802*0.022*1.1,(A802+B802+Q802)*C802*0.022*1.15),IF(O802=1,(A802+B802+Q802)*C802*0.17*1.1,(A802+B802+Q802)*C802*0.17*1.15)))</f>
        <v/>
      </c>
      <c r="Q802" s="9" t="str">
        <f t="shared" ref="Q802:Q865" si="604">IF($N$4="M",IF(A802="","",IF(D802=1,50,IF(D802=2,100,IF(D802=21,100,IF(D802=3,200,0))))),IF(A802="","",IF(D802=1,2,IF(D802=2,4,IF(D802=21,4,IF(D802=3,8,0))))))</f>
        <v/>
      </c>
      <c r="R802" s="14">
        <f t="shared" ref="R802:R865" si="605">COUNTIF(G802:J802,7)</f>
        <v>0</v>
      </c>
      <c r="S802" s="61" t="str">
        <f t="shared" ref="S802:S865" si="606">IF(A802="","",IF($N$4="M",A802*B802*0.000011111*R802*1.5,A802*B802/144*R802*1.5))</f>
        <v/>
      </c>
      <c r="T802" s="14">
        <f t="shared" ref="T802:T865" si="607">COUNTIF(G802:J802,71)</f>
        <v>0</v>
      </c>
      <c r="U802" s="58" t="str">
        <f t="shared" ref="U802:U865" si="608">IF(A802="","",IF($N$4="M",A802*B802*0.000011111*T802*1.5,A802*B802/144*T802*1.5))</f>
        <v/>
      </c>
      <c r="V802" s="14">
        <f t="shared" ref="V802:V865" si="609">COUNTIF(G802:J802,8)</f>
        <v>0</v>
      </c>
      <c r="W802" s="58" t="str">
        <f t="shared" ref="W802:W865" si="610">IF(A802="","",IF($N$4="M",(A802+B802)*2*0.0032808*V802,(A802+B802)*2*V802/12))</f>
        <v/>
      </c>
      <c r="X802" s="14">
        <f t="shared" ref="X802:X865" si="611">COUNTIF(G802:J802,81)</f>
        <v>0</v>
      </c>
      <c r="Y802" s="58" t="str">
        <f t="shared" ref="Y802:Y865" si="612">IF(A802="","",IF($N$4="M",(A802+B802)*2*0.0032808*X802,(A802+B802)*2*X802/12))</f>
        <v/>
      </c>
      <c r="Z802" s="31">
        <f t="shared" ref="Z802:Z865" si="613">COUNTIF(G802:J802,9)</f>
        <v>0</v>
      </c>
      <c r="AA802" s="21">
        <f t="shared" ref="AA802:AA865" si="614">COUNTIF(G802:J802,10)</f>
        <v>0</v>
      </c>
      <c r="AB802" s="58" t="str">
        <f t="shared" ref="AB802:AB865" si="615">IF(A802="","",IF($N$4="M",(A802+B802)*2*0.0032808*AA802,(A802+B802)*2*AA802/12))</f>
        <v/>
      </c>
      <c r="AC802" s="630">
        <f t="shared" si="592"/>
        <v>0</v>
      </c>
      <c r="AD802" s="627"/>
      <c r="AE802" s="21">
        <f t="shared" ref="AE802:AE865" si="616">COUNTIF(G802:J802,11)</f>
        <v>0</v>
      </c>
      <c r="AF802" s="58" t="str">
        <f t="shared" ref="AF802:AF865" si="617">IF(A802="","",IF($N$4="M",A802*B802*0.000011111*AE802,A802*B802/144*AE802))</f>
        <v/>
      </c>
      <c r="AG802" s="21">
        <f t="shared" ref="AG802:AG865" si="618">COUNTIF(G802:J802,111)</f>
        <v>0</v>
      </c>
      <c r="AH802" s="58" t="str">
        <f t="shared" ref="AH802:AH865" si="619">IF(A802="","",IF($N$4="M",A802*B802*0.000011111*AG802,A802*B802/144*AG802))</f>
        <v/>
      </c>
      <c r="AI802" s="21">
        <f t="shared" ref="AI802:AI865" si="620">COUNTIF(G802:J802,12)</f>
        <v>0</v>
      </c>
      <c r="AJ802" s="58" t="str">
        <f t="shared" ref="AJ802:AJ865" si="621">IF(A802="","",IF($N$4="M",A802*B802*0.000011111*AI802,A802*B802/144*AI802))</f>
        <v/>
      </c>
      <c r="AK802" s="31">
        <f t="shared" ref="AK802:AK865" si="622">COUNTIF(G802:J802,13)</f>
        <v>0</v>
      </c>
      <c r="AL802" s="21">
        <f t="shared" ref="AL802:AL865" si="623">COUNTIF(G802:J802,131)</f>
        <v>0</v>
      </c>
      <c r="AM802" s="62" t="str">
        <f t="shared" ref="AM802:AM865" si="624">IF(A802="","",IF($N$4="M",A802*B802*0.000011111*AL802,A802*B802/144*AL802))</f>
        <v/>
      </c>
      <c r="AN802" s="21">
        <f t="shared" ref="AN802:AN865" si="625">COUNTIF(G802:J802,14)</f>
        <v>0</v>
      </c>
      <c r="AO802" s="62" t="str">
        <f t="shared" ref="AO802:AO865" si="626">IF(A802="","",IF($N$4="M",A802*B802*0.000011111*AN802,A802*B802/144*AN802))</f>
        <v/>
      </c>
      <c r="AP802" s="21">
        <f t="shared" ref="AP802:AP865" si="627">COUNTIF(G802:J802,141)</f>
        <v>0</v>
      </c>
      <c r="AQ802" s="62" t="str">
        <f t="shared" ref="AQ802:AQ865" si="628">IF(A802="","",IF($N$4="M",A802*B802*0.000011111*AP802,A802*B802/144*AP802))</f>
        <v/>
      </c>
      <c r="AR802" s="31">
        <f t="shared" ref="AR802:AR865" si="629">COUNTIF(G802:J802,15)</f>
        <v>0</v>
      </c>
      <c r="AS802" s="21">
        <f t="shared" ref="AS802:AS865" si="630">COUNTIF(G802:J802,16)</f>
        <v>0</v>
      </c>
      <c r="AT802" s="62" t="str">
        <f t="shared" ref="AT802:AT865" si="631">IF(A802="","",IF($N$4="M",A802*B802*0.000011111*AS802,A802*B802/144*AS802))</f>
        <v/>
      </c>
      <c r="AU802" s="84">
        <f t="shared" ref="AU802:AU865" si="632">IF(D802=61,C802,0)</f>
        <v>0</v>
      </c>
      <c r="AV802" s="32">
        <f t="shared" ref="AV802:AV865" si="633">IF(D802=61,L802,0)</f>
        <v>0</v>
      </c>
      <c r="AW802" s="85" t="str">
        <f t="shared" ref="AW802:AW865" si="634">IF(A802="","",(C802-AU802))</f>
        <v/>
      </c>
      <c r="AX802" s="86" t="str">
        <f t="shared" ref="AX802:AX865" si="635">IF(A802="","",(L802-AV802))</f>
        <v/>
      </c>
    </row>
    <row r="803" spans="1:50" x14ac:dyDescent="0.2">
      <c r="A803" s="29" t="str">
        <f t="shared" si="593"/>
        <v/>
      </c>
      <c r="B803" s="32" t="str">
        <f t="shared" si="594"/>
        <v/>
      </c>
      <c r="C803" s="35"/>
      <c r="D803" s="33" t="str">
        <f t="shared" si="595"/>
        <v/>
      </c>
      <c r="E803" s="22" t="str">
        <f t="shared" si="596"/>
        <v/>
      </c>
      <c r="F803" s="23" t="str">
        <f t="shared" si="597"/>
        <v/>
      </c>
      <c r="G803" s="23"/>
      <c r="H803" s="22"/>
      <c r="I803" s="23"/>
      <c r="J803" s="18"/>
      <c r="K803" s="13" t="str">
        <f t="shared" si="598"/>
        <v/>
      </c>
      <c r="L803" s="28" t="str">
        <f t="shared" si="599"/>
        <v/>
      </c>
      <c r="M803" s="10" t="str">
        <f t="shared" si="600"/>
        <v/>
      </c>
      <c r="N803" s="17" t="str">
        <f t="shared" si="601"/>
        <v/>
      </c>
      <c r="O803" s="39" t="str">
        <f t="shared" si="602"/>
        <v/>
      </c>
      <c r="P803" s="41" t="str">
        <f t="shared" si="603"/>
        <v/>
      </c>
      <c r="Q803" s="9" t="str">
        <f t="shared" si="604"/>
        <v/>
      </c>
      <c r="R803" s="14">
        <f t="shared" si="605"/>
        <v>0</v>
      </c>
      <c r="S803" s="61" t="str">
        <f t="shared" si="606"/>
        <v/>
      </c>
      <c r="T803" s="14">
        <f t="shared" si="607"/>
        <v>0</v>
      </c>
      <c r="U803" s="58" t="str">
        <f t="shared" si="608"/>
        <v/>
      </c>
      <c r="V803" s="14">
        <f t="shared" si="609"/>
        <v>0</v>
      </c>
      <c r="W803" s="58" t="str">
        <f t="shared" si="610"/>
        <v/>
      </c>
      <c r="X803" s="14">
        <f t="shared" si="611"/>
        <v>0</v>
      </c>
      <c r="Y803" s="58" t="str">
        <f t="shared" si="612"/>
        <v/>
      </c>
      <c r="Z803" s="31">
        <f t="shared" si="613"/>
        <v>0</v>
      </c>
      <c r="AA803" s="21">
        <f t="shared" si="614"/>
        <v>0</v>
      </c>
      <c r="AB803" s="58" t="str">
        <f t="shared" si="615"/>
        <v/>
      </c>
      <c r="AC803" s="630">
        <f t="shared" si="592"/>
        <v>0</v>
      </c>
      <c r="AD803" s="627"/>
      <c r="AE803" s="21">
        <f t="shared" si="616"/>
        <v>0</v>
      </c>
      <c r="AF803" s="58" t="str">
        <f t="shared" si="617"/>
        <v/>
      </c>
      <c r="AG803" s="21">
        <f t="shared" si="618"/>
        <v>0</v>
      </c>
      <c r="AH803" s="58" t="str">
        <f t="shared" si="619"/>
        <v/>
      </c>
      <c r="AI803" s="21">
        <f t="shared" si="620"/>
        <v>0</v>
      </c>
      <c r="AJ803" s="58" t="str">
        <f t="shared" si="621"/>
        <v/>
      </c>
      <c r="AK803" s="31">
        <f t="shared" si="622"/>
        <v>0</v>
      </c>
      <c r="AL803" s="21">
        <f t="shared" si="623"/>
        <v>0</v>
      </c>
      <c r="AM803" s="62" t="str">
        <f t="shared" si="624"/>
        <v/>
      </c>
      <c r="AN803" s="21">
        <f t="shared" si="625"/>
        <v>0</v>
      </c>
      <c r="AO803" s="62" t="str">
        <f t="shared" si="626"/>
        <v/>
      </c>
      <c r="AP803" s="21">
        <f t="shared" si="627"/>
        <v>0</v>
      </c>
      <c r="AQ803" s="62" t="str">
        <f t="shared" si="628"/>
        <v/>
      </c>
      <c r="AR803" s="31">
        <f t="shared" si="629"/>
        <v>0</v>
      </c>
      <c r="AS803" s="21">
        <f t="shared" si="630"/>
        <v>0</v>
      </c>
      <c r="AT803" s="62" t="str">
        <f t="shared" si="631"/>
        <v/>
      </c>
      <c r="AU803" s="84">
        <f t="shared" si="632"/>
        <v>0</v>
      </c>
      <c r="AV803" s="32">
        <f t="shared" si="633"/>
        <v>0</v>
      </c>
      <c r="AW803" s="85" t="str">
        <f t="shared" si="634"/>
        <v/>
      </c>
      <c r="AX803" s="86" t="str">
        <f t="shared" si="635"/>
        <v/>
      </c>
    </row>
    <row r="804" spans="1:50" x14ac:dyDescent="0.2">
      <c r="A804" s="29" t="str">
        <f t="shared" si="593"/>
        <v/>
      </c>
      <c r="B804" s="32" t="str">
        <f t="shared" si="594"/>
        <v/>
      </c>
      <c r="C804" s="35"/>
      <c r="D804" s="33" t="str">
        <f t="shared" si="595"/>
        <v/>
      </c>
      <c r="E804" s="22" t="str">
        <f t="shared" si="596"/>
        <v/>
      </c>
      <c r="F804" s="23" t="str">
        <f t="shared" si="597"/>
        <v/>
      </c>
      <c r="G804" s="23"/>
      <c r="H804" s="22"/>
      <c r="I804" s="23"/>
      <c r="J804" s="18"/>
      <c r="K804" s="13" t="str">
        <f t="shared" si="598"/>
        <v/>
      </c>
      <c r="L804" s="28" t="str">
        <f t="shared" si="599"/>
        <v/>
      </c>
      <c r="M804" s="10" t="str">
        <f t="shared" si="600"/>
        <v/>
      </c>
      <c r="N804" s="17" t="str">
        <f t="shared" si="601"/>
        <v/>
      </c>
      <c r="O804" s="39" t="str">
        <f t="shared" si="602"/>
        <v/>
      </c>
      <c r="P804" s="41" t="str">
        <f t="shared" si="603"/>
        <v/>
      </c>
      <c r="Q804" s="9" t="str">
        <f t="shared" si="604"/>
        <v/>
      </c>
      <c r="R804" s="14">
        <f t="shared" si="605"/>
        <v>0</v>
      </c>
      <c r="S804" s="61" t="str">
        <f t="shared" si="606"/>
        <v/>
      </c>
      <c r="T804" s="14">
        <f t="shared" si="607"/>
        <v>0</v>
      </c>
      <c r="U804" s="58" t="str">
        <f t="shared" si="608"/>
        <v/>
      </c>
      <c r="V804" s="14">
        <f t="shared" si="609"/>
        <v>0</v>
      </c>
      <c r="W804" s="58" t="str">
        <f t="shared" si="610"/>
        <v/>
      </c>
      <c r="X804" s="14">
        <f t="shared" si="611"/>
        <v>0</v>
      </c>
      <c r="Y804" s="58" t="str">
        <f t="shared" si="612"/>
        <v/>
      </c>
      <c r="Z804" s="31">
        <f t="shared" si="613"/>
        <v>0</v>
      </c>
      <c r="AA804" s="21">
        <f t="shared" si="614"/>
        <v>0</v>
      </c>
      <c r="AB804" s="58" t="str">
        <f t="shared" si="615"/>
        <v/>
      </c>
      <c r="AC804" s="630">
        <f t="shared" si="592"/>
        <v>0</v>
      </c>
      <c r="AD804" s="627"/>
      <c r="AE804" s="21">
        <f t="shared" si="616"/>
        <v>0</v>
      </c>
      <c r="AF804" s="58" t="str">
        <f t="shared" si="617"/>
        <v/>
      </c>
      <c r="AG804" s="21">
        <f t="shared" si="618"/>
        <v>0</v>
      </c>
      <c r="AH804" s="58" t="str">
        <f t="shared" si="619"/>
        <v/>
      </c>
      <c r="AI804" s="21">
        <f t="shared" si="620"/>
        <v>0</v>
      </c>
      <c r="AJ804" s="58" t="str">
        <f t="shared" si="621"/>
        <v/>
      </c>
      <c r="AK804" s="31">
        <f t="shared" si="622"/>
        <v>0</v>
      </c>
      <c r="AL804" s="21">
        <f t="shared" si="623"/>
        <v>0</v>
      </c>
      <c r="AM804" s="62" t="str">
        <f t="shared" si="624"/>
        <v/>
      </c>
      <c r="AN804" s="21">
        <f t="shared" si="625"/>
        <v>0</v>
      </c>
      <c r="AO804" s="62" t="str">
        <f t="shared" si="626"/>
        <v/>
      </c>
      <c r="AP804" s="21">
        <f t="shared" si="627"/>
        <v>0</v>
      </c>
      <c r="AQ804" s="62" t="str">
        <f t="shared" si="628"/>
        <v/>
      </c>
      <c r="AR804" s="31">
        <f t="shared" si="629"/>
        <v>0</v>
      </c>
      <c r="AS804" s="21">
        <f t="shared" si="630"/>
        <v>0</v>
      </c>
      <c r="AT804" s="62" t="str">
        <f t="shared" si="631"/>
        <v/>
      </c>
      <c r="AU804" s="84">
        <f t="shared" si="632"/>
        <v>0</v>
      </c>
      <c r="AV804" s="32">
        <f t="shared" si="633"/>
        <v>0</v>
      </c>
      <c r="AW804" s="85" t="str">
        <f t="shared" si="634"/>
        <v/>
      </c>
      <c r="AX804" s="86" t="str">
        <f t="shared" si="635"/>
        <v/>
      </c>
    </row>
    <row r="805" spans="1:50" x14ac:dyDescent="0.2">
      <c r="A805" s="29" t="str">
        <f t="shared" si="593"/>
        <v/>
      </c>
      <c r="B805" s="32" t="str">
        <f t="shared" si="594"/>
        <v/>
      </c>
      <c r="C805" s="35"/>
      <c r="D805" s="33" t="str">
        <f t="shared" si="595"/>
        <v/>
      </c>
      <c r="E805" s="22" t="str">
        <f t="shared" si="596"/>
        <v/>
      </c>
      <c r="F805" s="23" t="str">
        <f t="shared" si="597"/>
        <v/>
      </c>
      <c r="G805" s="23"/>
      <c r="H805" s="22"/>
      <c r="I805" s="23"/>
      <c r="J805" s="18"/>
      <c r="K805" s="13" t="str">
        <f t="shared" si="598"/>
        <v/>
      </c>
      <c r="L805" s="28" t="str">
        <f t="shared" si="599"/>
        <v/>
      </c>
      <c r="M805" s="10" t="str">
        <f t="shared" si="600"/>
        <v/>
      </c>
      <c r="N805" s="17" t="str">
        <f t="shared" si="601"/>
        <v/>
      </c>
      <c r="O805" s="39" t="str">
        <f t="shared" si="602"/>
        <v/>
      </c>
      <c r="P805" s="41" t="str">
        <f t="shared" si="603"/>
        <v/>
      </c>
      <c r="Q805" s="9" t="str">
        <f t="shared" si="604"/>
        <v/>
      </c>
      <c r="R805" s="14">
        <f t="shared" si="605"/>
        <v>0</v>
      </c>
      <c r="S805" s="61" t="str">
        <f t="shared" si="606"/>
        <v/>
      </c>
      <c r="T805" s="14">
        <f t="shared" si="607"/>
        <v>0</v>
      </c>
      <c r="U805" s="58" t="str">
        <f t="shared" si="608"/>
        <v/>
      </c>
      <c r="V805" s="14">
        <f t="shared" si="609"/>
        <v>0</v>
      </c>
      <c r="W805" s="58" t="str">
        <f t="shared" si="610"/>
        <v/>
      </c>
      <c r="X805" s="14">
        <f t="shared" si="611"/>
        <v>0</v>
      </c>
      <c r="Y805" s="58" t="str">
        <f t="shared" si="612"/>
        <v/>
      </c>
      <c r="Z805" s="31">
        <f t="shared" si="613"/>
        <v>0</v>
      </c>
      <c r="AA805" s="21">
        <f t="shared" si="614"/>
        <v>0</v>
      </c>
      <c r="AB805" s="58" t="str">
        <f t="shared" si="615"/>
        <v/>
      </c>
      <c r="AC805" s="630">
        <f t="shared" si="592"/>
        <v>0</v>
      </c>
      <c r="AD805" s="627"/>
      <c r="AE805" s="21">
        <f t="shared" si="616"/>
        <v>0</v>
      </c>
      <c r="AF805" s="58" t="str">
        <f t="shared" si="617"/>
        <v/>
      </c>
      <c r="AG805" s="21">
        <f t="shared" si="618"/>
        <v>0</v>
      </c>
      <c r="AH805" s="58" t="str">
        <f t="shared" si="619"/>
        <v/>
      </c>
      <c r="AI805" s="21">
        <f t="shared" si="620"/>
        <v>0</v>
      </c>
      <c r="AJ805" s="58" t="str">
        <f t="shared" si="621"/>
        <v/>
      </c>
      <c r="AK805" s="31">
        <f t="shared" si="622"/>
        <v>0</v>
      </c>
      <c r="AL805" s="21">
        <f t="shared" si="623"/>
        <v>0</v>
      </c>
      <c r="AM805" s="62" t="str">
        <f t="shared" si="624"/>
        <v/>
      </c>
      <c r="AN805" s="21">
        <f t="shared" si="625"/>
        <v>0</v>
      </c>
      <c r="AO805" s="62" t="str">
        <f t="shared" si="626"/>
        <v/>
      </c>
      <c r="AP805" s="21">
        <f t="shared" si="627"/>
        <v>0</v>
      </c>
      <c r="AQ805" s="62" t="str">
        <f t="shared" si="628"/>
        <v/>
      </c>
      <c r="AR805" s="31">
        <f t="shared" si="629"/>
        <v>0</v>
      </c>
      <c r="AS805" s="21">
        <f t="shared" si="630"/>
        <v>0</v>
      </c>
      <c r="AT805" s="62" t="str">
        <f t="shared" si="631"/>
        <v/>
      </c>
      <c r="AU805" s="84">
        <f t="shared" si="632"/>
        <v>0</v>
      </c>
      <c r="AV805" s="32">
        <f t="shared" si="633"/>
        <v>0</v>
      </c>
      <c r="AW805" s="85" t="str">
        <f t="shared" si="634"/>
        <v/>
      </c>
      <c r="AX805" s="86" t="str">
        <f t="shared" si="635"/>
        <v/>
      </c>
    </row>
    <row r="806" spans="1:50" x14ac:dyDescent="0.2">
      <c r="A806" s="29" t="str">
        <f t="shared" si="593"/>
        <v/>
      </c>
      <c r="B806" s="32" t="str">
        <f t="shared" si="594"/>
        <v/>
      </c>
      <c r="C806" s="35"/>
      <c r="D806" s="33" t="str">
        <f t="shared" si="595"/>
        <v/>
      </c>
      <c r="E806" s="22" t="str">
        <f t="shared" si="596"/>
        <v/>
      </c>
      <c r="F806" s="23" t="str">
        <f t="shared" si="597"/>
        <v/>
      </c>
      <c r="G806" s="23"/>
      <c r="H806" s="22"/>
      <c r="I806" s="23"/>
      <c r="J806" s="18"/>
      <c r="K806" s="13" t="str">
        <f t="shared" si="598"/>
        <v/>
      </c>
      <c r="L806" s="28" t="str">
        <f t="shared" si="599"/>
        <v/>
      </c>
      <c r="M806" s="10" t="str">
        <f t="shared" si="600"/>
        <v/>
      </c>
      <c r="N806" s="17" t="str">
        <f t="shared" si="601"/>
        <v/>
      </c>
      <c r="O806" s="39" t="str">
        <f t="shared" si="602"/>
        <v/>
      </c>
      <c r="P806" s="41" t="str">
        <f t="shared" si="603"/>
        <v/>
      </c>
      <c r="Q806" s="9" t="str">
        <f t="shared" si="604"/>
        <v/>
      </c>
      <c r="R806" s="14">
        <f t="shared" si="605"/>
        <v>0</v>
      </c>
      <c r="S806" s="61" t="str">
        <f t="shared" si="606"/>
        <v/>
      </c>
      <c r="T806" s="14">
        <f t="shared" si="607"/>
        <v>0</v>
      </c>
      <c r="U806" s="58" t="str">
        <f t="shared" si="608"/>
        <v/>
      </c>
      <c r="V806" s="14">
        <f t="shared" si="609"/>
        <v>0</v>
      </c>
      <c r="W806" s="58" t="str">
        <f t="shared" si="610"/>
        <v/>
      </c>
      <c r="X806" s="14">
        <f t="shared" si="611"/>
        <v>0</v>
      </c>
      <c r="Y806" s="58" t="str">
        <f t="shared" si="612"/>
        <v/>
      </c>
      <c r="Z806" s="31">
        <f t="shared" si="613"/>
        <v>0</v>
      </c>
      <c r="AA806" s="21">
        <f t="shared" si="614"/>
        <v>0</v>
      </c>
      <c r="AB806" s="58" t="str">
        <f t="shared" si="615"/>
        <v/>
      </c>
      <c r="AC806" s="630">
        <f t="shared" si="592"/>
        <v>0</v>
      </c>
      <c r="AD806" s="627"/>
      <c r="AE806" s="21">
        <f t="shared" si="616"/>
        <v>0</v>
      </c>
      <c r="AF806" s="58" t="str">
        <f t="shared" si="617"/>
        <v/>
      </c>
      <c r="AG806" s="21">
        <f t="shared" si="618"/>
        <v>0</v>
      </c>
      <c r="AH806" s="58" t="str">
        <f t="shared" si="619"/>
        <v/>
      </c>
      <c r="AI806" s="21">
        <f t="shared" si="620"/>
        <v>0</v>
      </c>
      <c r="AJ806" s="58" t="str">
        <f t="shared" si="621"/>
        <v/>
      </c>
      <c r="AK806" s="31">
        <f t="shared" si="622"/>
        <v>0</v>
      </c>
      <c r="AL806" s="21">
        <f t="shared" si="623"/>
        <v>0</v>
      </c>
      <c r="AM806" s="62" t="str">
        <f t="shared" si="624"/>
        <v/>
      </c>
      <c r="AN806" s="21">
        <f t="shared" si="625"/>
        <v>0</v>
      </c>
      <c r="AO806" s="62" t="str">
        <f t="shared" si="626"/>
        <v/>
      </c>
      <c r="AP806" s="21">
        <f t="shared" si="627"/>
        <v>0</v>
      </c>
      <c r="AQ806" s="62" t="str">
        <f t="shared" si="628"/>
        <v/>
      </c>
      <c r="AR806" s="31">
        <f t="shared" si="629"/>
        <v>0</v>
      </c>
      <c r="AS806" s="21">
        <f t="shared" si="630"/>
        <v>0</v>
      </c>
      <c r="AT806" s="62" t="str">
        <f t="shared" si="631"/>
        <v/>
      </c>
      <c r="AU806" s="84">
        <f t="shared" si="632"/>
        <v>0</v>
      </c>
      <c r="AV806" s="32">
        <f t="shared" si="633"/>
        <v>0</v>
      </c>
      <c r="AW806" s="85" t="str">
        <f t="shared" si="634"/>
        <v/>
      </c>
      <c r="AX806" s="86" t="str">
        <f t="shared" si="635"/>
        <v/>
      </c>
    </row>
    <row r="807" spans="1:50" x14ac:dyDescent="0.2">
      <c r="A807" s="29" t="str">
        <f t="shared" si="593"/>
        <v/>
      </c>
      <c r="B807" s="32" t="str">
        <f t="shared" si="594"/>
        <v/>
      </c>
      <c r="C807" s="35"/>
      <c r="D807" s="33" t="str">
        <f t="shared" si="595"/>
        <v/>
      </c>
      <c r="E807" s="22" t="str">
        <f t="shared" si="596"/>
        <v/>
      </c>
      <c r="F807" s="23" t="str">
        <f t="shared" si="597"/>
        <v/>
      </c>
      <c r="G807" s="23"/>
      <c r="H807" s="22"/>
      <c r="I807" s="23"/>
      <c r="J807" s="18"/>
      <c r="K807" s="13" t="str">
        <f t="shared" si="598"/>
        <v/>
      </c>
      <c r="L807" s="28" t="str">
        <f t="shared" si="599"/>
        <v/>
      </c>
      <c r="M807" s="10" t="str">
        <f t="shared" si="600"/>
        <v/>
      </c>
      <c r="N807" s="17" t="str">
        <f t="shared" si="601"/>
        <v/>
      </c>
      <c r="O807" s="39" t="str">
        <f t="shared" si="602"/>
        <v/>
      </c>
      <c r="P807" s="41" t="str">
        <f t="shared" si="603"/>
        <v/>
      </c>
      <c r="Q807" s="9" t="str">
        <f t="shared" si="604"/>
        <v/>
      </c>
      <c r="R807" s="14">
        <f t="shared" si="605"/>
        <v>0</v>
      </c>
      <c r="S807" s="61" t="str">
        <f t="shared" si="606"/>
        <v/>
      </c>
      <c r="T807" s="14">
        <f t="shared" si="607"/>
        <v>0</v>
      </c>
      <c r="U807" s="58" t="str">
        <f t="shared" si="608"/>
        <v/>
      </c>
      <c r="V807" s="14">
        <f t="shared" si="609"/>
        <v>0</v>
      </c>
      <c r="W807" s="58" t="str">
        <f t="shared" si="610"/>
        <v/>
      </c>
      <c r="X807" s="14">
        <f t="shared" si="611"/>
        <v>0</v>
      </c>
      <c r="Y807" s="58" t="str">
        <f t="shared" si="612"/>
        <v/>
      </c>
      <c r="Z807" s="31">
        <f t="shared" si="613"/>
        <v>0</v>
      </c>
      <c r="AA807" s="21">
        <f t="shared" si="614"/>
        <v>0</v>
      </c>
      <c r="AB807" s="58" t="str">
        <f t="shared" si="615"/>
        <v/>
      </c>
      <c r="AC807" s="630">
        <f t="shared" si="592"/>
        <v>0</v>
      </c>
      <c r="AD807" s="627"/>
      <c r="AE807" s="21">
        <f t="shared" si="616"/>
        <v>0</v>
      </c>
      <c r="AF807" s="58" t="str">
        <f t="shared" si="617"/>
        <v/>
      </c>
      <c r="AG807" s="21">
        <f t="shared" si="618"/>
        <v>0</v>
      </c>
      <c r="AH807" s="58" t="str">
        <f t="shared" si="619"/>
        <v/>
      </c>
      <c r="AI807" s="21">
        <f t="shared" si="620"/>
        <v>0</v>
      </c>
      <c r="AJ807" s="58" t="str">
        <f t="shared" si="621"/>
        <v/>
      </c>
      <c r="AK807" s="31">
        <f t="shared" si="622"/>
        <v>0</v>
      </c>
      <c r="AL807" s="21">
        <f t="shared" si="623"/>
        <v>0</v>
      </c>
      <c r="AM807" s="62" t="str">
        <f t="shared" si="624"/>
        <v/>
      </c>
      <c r="AN807" s="21">
        <f t="shared" si="625"/>
        <v>0</v>
      </c>
      <c r="AO807" s="62" t="str">
        <f t="shared" si="626"/>
        <v/>
      </c>
      <c r="AP807" s="21">
        <f t="shared" si="627"/>
        <v>0</v>
      </c>
      <c r="AQ807" s="62" t="str">
        <f t="shared" si="628"/>
        <v/>
      </c>
      <c r="AR807" s="31">
        <f t="shared" si="629"/>
        <v>0</v>
      </c>
      <c r="AS807" s="21">
        <f t="shared" si="630"/>
        <v>0</v>
      </c>
      <c r="AT807" s="62" t="str">
        <f t="shared" si="631"/>
        <v/>
      </c>
      <c r="AU807" s="84">
        <f t="shared" si="632"/>
        <v>0</v>
      </c>
      <c r="AV807" s="32">
        <f t="shared" si="633"/>
        <v>0</v>
      </c>
      <c r="AW807" s="85" t="str">
        <f t="shared" si="634"/>
        <v/>
      </c>
      <c r="AX807" s="86" t="str">
        <f t="shared" si="635"/>
        <v/>
      </c>
    </row>
    <row r="808" spans="1:50" x14ac:dyDescent="0.2">
      <c r="A808" s="29" t="str">
        <f t="shared" si="593"/>
        <v/>
      </c>
      <c r="B808" s="32" t="str">
        <f t="shared" ref="B808:B865" si="636">IF(B807="","",IF(C808="","",B807))</f>
        <v/>
      </c>
      <c r="C808" s="35"/>
      <c r="D808" s="33" t="str">
        <f t="shared" si="595"/>
        <v/>
      </c>
      <c r="E808" s="22" t="str">
        <f t="shared" si="596"/>
        <v/>
      </c>
      <c r="F808" s="23" t="str">
        <f t="shared" si="597"/>
        <v/>
      </c>
      <c r="G808" s="23"/>
      <c r="H808" s="22"/>
      <c r="I808" s="23"/>
      <c r="J808" s="18"/>
      <c r="K808" s="13" t="str">
        <f t="shared" si="598"/>
        <v/>
      </c>
      <c r="L808" s="28" t="str">
        <f t="shared" si="599"/>
        <v/>
      </c>
      <c r="M808" s="10" t="str">
        <f t="shared" si="600"/>
        <v/>
      </c>
      <c r="N808" s="17" t="str">
        <f t="shared" si="601"/>
        <v/>
      </c>
      <c r="O808" s="39" t="str">
        <f t="shared" si="602"/>
        <v/>
      </c>
      <c r="P808" s="41" t="str">
        <f t="shared" si="603"/>
        <v/>
      </c>
      <c r="Q808" s="9" t="str">
        <f t="shared" si="604"/>
        <v/>
      </c>
      <c r="R808" s="14">
        <f t="shared" si="605"/>
        <v>0</v>
      </c>
      <c r="S808" s="61" t="str">
        <f t="shared" si="606"/>
        <v/>
      </c>
      <c r="T808" s="14">
        <f t="shared" si="607"/>
        <v>0</v>
      </c>
      <c r="U808" s="58" t="str">
        <f t="shared" si="608"/>
        <v/>
      </c>
      <c r="V808" s="14">
        <f t="shared" si="609"/>
        <v>0</v>
      </c>
      <c r="W808" s="58" t="str">
        <f t="shared" si="610"/>
        <v/>
      </c>
      <c r="X808" s="14">
        <f t="shared" si="611"/>
        <v>0</v>
      </c>
      <c r="Y808" s="58" t="str">
        <f t="shared" si="612"/>
        <v/>
      </c>
      <c r="Z808" s="31">
        <f t="shared" si="613"/>
        <v>0</v>
      </c>
      <c r="AA808" s="21">
        <f t="shared" si="614"/>
        <v>0</v>
      </c>
      <c r="AB808" s="58" t="str">
        <f t="shared" si="615"/>
        <v/>
      </c>
      <c r="AC808" s="630">
        <f t="shared" si="592"/>
        <v>0</v>
      </c>
      <c r="AD808" s="627"/>
      <c r="AE808" s="21">
        <f t="shared" si="616"/>
        <v>0</v>
      </c>
      <c r="AF808" s="58" t="str">
        <f t="shared" si="617"/>
        <v/>
      </c>
      <c r="AG808" s="21">
        <f t="shared" si="618"/>
        <v>0</v>
      </c>
      <c r="AH808" s="58" t="str">
        <f t="shared" si="619"/>
        <v/>
      </c>
      <c r="AI808" s="21">
        <f t="shared" si="620"/>
        <v>0</v>
      </c>
      <c r="AJ808" s="58" t="str">
        <f t="shared" si="621"/>
        <v/>
      </c>
      <c r="AK808" s="31">
        <f t="shared" si="622"/>
        <v>0</v>
      </c>
      <c r="AL808" s="21">
        <f t="shared" si="623"/>
        <v>0</v>
      </c>
      <c r="AM808" s="62" t="str">
        <f t="shared" si="624"/>
        <v/>
      </c>
      <c r="AN808" s="21">
        <f t="shared" si="625"/>
        <v>0</v>
      </c>
      <c r="AO808" s="62" t="str">
        <f t="shared" si="626"/>
        <v/>
      </c>
      <c r="AP808" s="21">
        <f t="shared" si="627"/>
        <v>0</v>
      </c>
      <c r="AQ808" s="62" t="str">
        <f t="shared" si="628"/>
        <v/>
      </c>
      <c r="AR808" s="31">
        <f t="shared" si="629"/>
        <v>0</v>
      </c>
      <c r="AS808" s="21">
        <f t="shared" si="630"/>
        <v>0</v>
      </c>
      <c r="AT808" s="62" t="str">
        <f t="shared" si="631"/>
        <v/>
      </c>
      <c r="AU808" s="84">
        <f t="shared" si="632"/>
        <v>0</v>
      </c>
      <c r="AV808" s="32">
        <f t="shared" si="633"/>
        <v>0</v>
      </c>
      <c r="AW808" s="85" t="str">
        <f t="shared" si="634"/>
        <v/>
      </c>
      <c r="AX808" s="86" t="str">
        <f t="shared" si="635"/>
        <v/>
      </c>
    </row>
    <row r="809" spans="1:50" x14ac:dyDescent="0.2">
      <c r="A809" s="29" t="str">
        <f t="shared" si="593"/>
        <v/>
      </c>
      <c r="B809" s="32" t="str">
        <f t="shared" si="636"/>
        <v/>
      </c>
      <c r="C809" s="35"/>
      <c r="D809" s="33" t="str">
        <f t="shared" si="595"/>
        <v/>
      </c>
      <c r="E809" s="22" t="str">
        <f t="shared" si="596"/>
        <v/>
      </c>
      <c r="F809" s="23" t="str">
        <f t="shared" si="597"/>
        <v/>
      </c>
      <c r="G809" s="23"/>
      <c r="H809" s="22"/>
      <c r="I809" s="23"/>
      <c r="J809" s="18"/>
      <c r="K809" s="13" t="str">
        <f t="shared" si="598"/>
        <v/>
      </c>
      <c r="L809" s="28" t="str">
        <f t="shared" si="599"/>
        <v/>
      </c>
      <c r="M809" s="10" t="str">
        <f t="shared" si="600"/>
        <v/>
      </c>
      <c r="N809" s="17" t="str">
        <f t="shared" si="601"/>
        <v/>
      </c>
      <c r="O809" s="39" t="str">
        <f t="shared" si="602"/>
        <v/>
      </c>
      <c r="P809" s="41" t="str">
        <f t="shared" si="603"/>
        <v/>
      </c>
      <c r="Q809" s="9" t="str">
        <f t="shared" si="604"/>
        <v/>
      </c>
      <c r="R809" s="14">
        <f t="shared" si="605"/>
        <v>0</v>
      </c>
      <c r="S809" s="61" t="str">
        <f t="shared" si="606"/>
        <v/>
      </c>
      <c r="T809" s="14">
        <f t="shared" si="607"/>
        <v>0</v>
      </c>
      <c r="U809" s="58" t="str">
        <f t="shared" si="608"/>
        <v/>
      </c>
      <c r="V809" s="14">
        <f t="shared" si="609"/>
        <v>0</v>
      </c>
      <c r="W809" s="58" t="str">
        <f t="shared" si="610"/>
        <v/>
      </c>
      <c r="X809" s="14">
        <f t="shared" si="611"/>
        <v>0</v>
      </c>
      <c r="Y809" s="58" t="str">
        <f t="shared" si="612"/>
        <v/>
      </c>
      <c r="Z809" s="31">
        <f t="shared" si="613"/>
        <v>0</v>
      </c>
      <c r="AA809" s="21">
        <f t="shared" si="614"/>
        <v>0</v>
      </c>
      <c r="AB809" s="58" t="str">
        <f t="shared" si="615"/>
        <v/>
      </c>
      <c r="AC809" s="630">
        <f t="shared" si="592"/>
        <v>0</v>
      </c>
      <c r="AD809" s="627"/>
      <c r="AE809" s="21">
        <f t="shared" si="616"/>
        <v>0</v>
      </c>
      <c r="AF809" s="58" t="str">
        <f t="shared" si="617"/>
        <v/>
      </c>
      <c r="AG809" s="21">
        <f t="shared" si="618"/>
        <v>0</v>
      </c>
      <c r="AH809" s="58" t="str">
        <f t="shared" si="619"/>
        <v/>
      </c>
      <c r="AI809" s="21">
        <f t="shared" si="620"/>
        <v>0</v>
      </c>
      <c r="AJ809" s="58" t="str">
        <f t="shared" si="621"/>
        <v/>
      </c>
      <c r="AK809" s="31">
        <f t="shared" si="622"/>
        <v>0</v>
      </c>
      <c r="AL809" s="21">
        <f t="shared" si="623"/>
        <v>0</v>
      </c>
      <c r="AM809" s="62" t="str">
        <f t="shared" si="624"/>
        <v/>
      </c>
      <c r="AN809" s="21">
        <f t="shared" si="625"/>
        <v>0</v>
      </c>
      <c r="AO809" s="62" t="str">
        <f t="shared" si="626"/>
        <v/>
      </c>
      <c r="AP809" s="21">
        <f t="shared" si="627"/>
        <v>0</v>
      </c>
      <c r="AQ809" s="62" t="str">
        <f t="shared" si="628"/>
        <v/>
      </c>
      <c r="AR809" s="31">
        <f t="shared" si="629"/>
        <v>0</v>
      </c>
      <c r="AS809" s="21">
        <f t="shared" si="630"/>
        <v>0</v>
      </c>
      <c r="AT809" s="62" t="str">
        <f t="shared" si="631"/>
        <v/>
      </c>
      <c r="AU809" s="84">
        <f t="shared" si="632"/>
        <v>0</v>
      </c>
      <c r="AV809" s="32">
        <f t="shared" si="633"/>
        <v>0</v>
      </c>
      <c r="AW809" s="85" t="str">
        <f t="shared" si="634"/>
        <v/>
      </c>
      <c r="AX809" s="86" t="str">
        <f t="shared" si="635"/>
        <v/>
      </c>
    </row>
    <row r="810" spans="1:50" x14ac:dyDescent="0.2">
      <c r="A810" s="29" t="str">
        <f t="shared" si="593"/>
        <v/>
      </c>
      <c r="B810" s="32" t="str">
        <f t="shared" si="636"/>
        <v/>
      </c>
      <c r="C810" s="35"/>
      <c r="D810" s="33" t="str">
        <f t="shared" si="595"/>
        <v/>
      </c>
      <c r="E810" s="22" t="str">
        <f t="shared" si="596"/>
        <v/>
      </c>
      <c r="F810" s="23" t="str">
        <f t="shared" si="597"/>
        <v/>
      </c>
      <c r="G810" s="23"/>
      <c r="H810" s="22"/>
      <c r="I810" s="23"/>
      <c r="J810" s="18"/>
      <c r="K810" s="13" t="str">
        <f t="shared" si="598"/>
        <v/>
      </c>
      <c r="L810" s="28" t="str">
        <f t="shared" si="599"/>
        <v/>
      </c>
      <c r="M810" s="10" t="str">
        <f t="shared" si="600"/>
        <v/>
      </c>
      <c r="N810" s="17" t="str">
        <f t="shared" si="601"/>
        <v/>
      </c>
      <c r="O810" s="39" t="str">
        <f t="shared" si="602"/>
        <v/>
      </c>
      <c r="P810" s="41" t="str">
        <f t="shared" si="603"/>
        <v/>
      </c>
      <c r="Q810" s="9" t="str">
        <f t="shared" si="604"/>
        <v/>
      </c>
      <c r="R810" s="14">
        <f t="shared" si="605"/>
        <v>0</v>
      </c>
      <c r="S810" s="61" t="str">
        <f t="shared" si="606"/>
        <v/>
      </c>
      <c r="T810" s="14">
        <f t="shared" si="607"/>
        <v>0</v>
      </c>
      <c r="U810" s="58" t="str">
        <f t="shared" si="608"/>
        <v/>
      </c>
      <c r="V810" s="14">
        <f t="shared" si="609"/>
        <v>0</v>
      </c>
      <c r="W810" s="58" t="str">
        <f t="shared" si="610"/>
        <v/>
      </c>
      <c r="X810" s="14">
        <f t="shared" si="611"/>
        <v>0</v>
      </c>
      <c r="Y810" s="58" t="str">
        <f t="shared" si="612"/>
        <v/>
      </c>
      <c r="Z810" s="31">
        <f t="shared" si="613"/>
        <v>0</v>
      </c>
      <c r="AA810" s="21">
        <f t="shared" si="614"/>
        <v>0</v>
      </c>
      <c r="AB810" s="58" t="str">
        <f t="shared" si="615"/>
        <v/>
      </c>
      <c r="AC810" s="630">
        <f t="shared" si="592"/>
        <v>0</v>
      </c>
      <c r="AD810" s="627"/>
      <c r="AE810" s="21">
        <f t="shared" si="616"/>
        <v>0</v>
      </c>
      <c r="AF810" s="58" t="str">
        <f t="shared" si="617"/>
        <v/>
      </c>
      <c r="AG810" s="21">
        <f t="shared" si="618"/>
        <v>0</v>
      </c>
      <c r="AH810" s="58" t="str">
        <f t="shared" si="619"/>
        <v/>
      </c>
      <c r="AI810" s="21">
        <f t="shared" si="620"/>
        <v>0</v>
      </c>
      <c r="AJ810" s="58" t="str">
        <f t="shared" si="621"/>
        <v/>
      </c>
      <c r="AK810" s="31">
        <f t="shared" si="622"/>
        <v>0</v>
      </c>
      <c r="AL810" s="21">
        <f t="shared" si="623"/>
        <v>0</v>
      </c>
      <c r="AM810" s="62" t="str">
        <f t="shared" si="624"/>
        <v/>
      </c>
      <c r="AN810" s="21">
        <f t="shared" si="625"/>
        <v>0</v>
      </c>
      <c r="AO810" s="62" t="str">
        <f t="shared" si="626"/>
        <v/>
      </c>
      <c r="AP810" s="21">
        <f t="shared" si="627"/>
        <v>0</v>
      </c>
      <c r="AQ810" s="62" t="str">
        <f t="shared" si="628"/>
        <v/>
      </c>
      <c r="AR810" s="31">
        <f t="shared" si="629"/>
        <v>0</v>
      </c>
      <c r="AS810" s="21">
        <f t="shared" si="630"/>
        <v>0</v>
      </c>
      <c r="AT810" s="62" t="str">
        <f t="shared" si="631"/>
        <v/>
      </c>
      <c r="AU810" s="84">
        <f t="shared" si="632"/>
        <v>0</v>
      </c>
      <c r="AV810" s="32">
        <f t="shared" si="633"/>
        <v>0</v>
      </c>
      <c r="AW810" s="85" t="str">
        <f t="shared" si="634"/>
        <v/>
      </c>
      <c r="AX810" s="86" t="str">
        <f t="shared" si="635"/>
        <v/>
      </c>
    </row>
    <row r="811" spans="1:50" x14ac:dyDescent="0.2">
      <c r="A811" s="29" t="str">
        <f t="shared" si="593"/>
        <v/>
      </c>
      <c r="B811" s="32" t="str">
        <f t="shared" si="636"/>
        <v/>
      </c>
      <c r="C811" s="35"/>
      <c r="D811" s="33" t="str">
        <f t="shared" si="595"/>
        <v/>
      </c>
      <c r="E811" s="22" t="str">
        <f t="shared" si="596"/>
        <v/>
      </c>
      <c r="F811" s="23" t="str">
        <f t="shared" si="597"/>
        <v/>
      </c>
      <c r="G811" s="23"/>
      <c r="H811" s="22"/>
      <c r="I811" s="23"/>
      <c r="J811" s="18"/>
      <c r="K811" s="13" t="str">
        <f t="shared" si="598"/>
        <v/>
      </c>
      <c r="L811" s="28" t="str">
        <f t="shared" si="599"/>
        <v/>
      </c>
      <c r="M811" s="10" t="str">
        <f t="shared" si="600"/>
        <v/>
      </c>
      <c r="N811" s="17" t="str">
        <f t="shared" si="601"/>
        <v/>
      </c>
      <c r="O811" s="39" t="str">
        <f t="shared" si="602"/>
        <v/>
      </c>
      <c r="P811" s="41" t="str">
        <f t="shared" si="603"/>
        <v/>
      </c>
      <c r="Q811" s="9" t="str">
        <f t="shared" si="604"/>
        <v/>
      </c>
      <c r="R811" s="14">
        <f t="shared" si="605"/>
        <v>0</v>
      </c>
      <c r="S811" s="61" t="str">
        <f t="shared" si="606"/>
        <v/>
      </c>
      <c r="T811" s="14">
        <f t="shared" si="607"/>
        <v>0</v>
      </c>
      <c r="U811" s="58" t="str">
        <f t="shared" si="608"/>
        <v/>
      </c>
      <c r="V811" s="14">
        <f t="shared" si="609"/>
        <v>0</v>
      </c>
      <c r="W811" s="58" t="str">
        <f t="shared" si="610"/>
        <v/>
      </c>
      <c r="X811" s="14">
        <f t="shared" si="611"/>
        <v>0</v>
      </c>
      <c r="Y811" s="58" t="str">
        <f t="shared" si="612"/>
        <v/>
      </c>
      <c r="Z811" s="31">
        <f t="shared" si="613"/>
        <v>0</v>
      </c>
      <c r="AA811" s="21">
        <f t="shared" si="614"/>
        <v>0</v>
      </c>
      <c r="AB811" s="58" t="str">
        <f t="shared" si="615"/>
        <v/>
      </c>
      <c r="AC811" s="630">
        <f t="shared" si="592"/>
        <v>0</v>
      </c>
      <c r="AD811" s="627"/>
      <c r="AE811" s="21">
        <f t="shared" si="616"/>
        <v>0</v>
      </c>
      <c r="AF811" s="58" t="str">
        <f t="shared" si="617"/>
        <v/>
      </c>
      <c r="AG811" s="21">
        <f t="shared" si="618"/>
        <v>0</v>
      </c>
      <c r="AH811" s="58" t="str">
        <f t="shared" si="619"/>
        <v/>
      </c>
      <c r="AI811" s="21">
        <f t="shared" si="620"/>
        <v>0</v>
      </c>
      <c r="AJ811" s="58" t="str">
        <f t="shared" si="621"/>
        <v/>
      </c>
      <c r="AK811" s="31">
        <f t="shared" si="622"/>
        <v>0</v>
      </c>
      <c r="AL811" s="21">
        <f t="shared" si="623"/>
        <v>0</v>
      </c>
      <c r="AM811" s="62" t="str">
        <f t="shared" si="624"/>
        <v/>
      </c>
      <c r="AN811" s="21">
        <f t="shared" si="625"/>
        <v>0</v>
      </c>
      <c r="AO811" s="62" t="str">
        <f t="shared" si="626"/>
        <v/>
      </c>
      <c r="AP811" s="21">
        <f t="shared" si="627"/>
        <v>0</v>
      </c>
      <c r="AQ811" s="62" t="str">
        <f t="shared" si="628"/>
        <v/>
      </c>
      <c r="AR811" s="31">
        <f t="shared" si="629"/>
        <v>0</v>
      </c>
      <c r="AS811" s="21">
        <f t="shared" si="630"/>
        <v>0</v>
      </c>
      <c r="AT811" s="62" t="str">
        <f t="shared" si="631"/>
        <v/>
      </c>
      <c r="AU811" s="84">
        <f t="shared" si="632"/>
        <v>0</v>
      </c>
      <c r="AV811" s="32">
        <f t="shared" si="633"/>
        <v>0</v>
      </c>
      <c r="AW811" s="85" t="str">
        <f t="shared" si="634"/>
        <v/>
      </c>
      <c r="AX811" s="86" t="str">
        <f t="shared" si="635"/>
        <v/>
      </c>
    </row>
    <row r="812" spans="1:50" x14ac:dyDescent="0.2">
      <c r="A812" s="29" t="str">
        <f t="shared" si="593"/>
        <v/>
      </c>
      <c r="B812" s="32" t="str">
        <f t="shared" si="636"/>
        <v/>
      </c>
      <c r="C812" s="35"/>
      <c r="D812" s="33" t="str">
        <f t="shared" si="595"/>
        <v/>
      </c>
      <c r="E812" s="22" t="str">
        <f t="shared" si="596"/>
        <v/>
      </c>
      <c r="F812" s="23" t="str">
        <f t="shared" si="597"/>
        <v/>
      </c>
      <c r="G812" s="23"/>
      <c r="H812" s="22"/>
      <c r="I812" s="23"/>
      <c r="J812" s="18"/>
      <c r="K812" s="13" t="str">
        <f t="shared" si="598"/>
        <v/>
      </c>
      <c r="L812" s="28" t="str">
        <f t="shared" si="599"/>
        <v/>
      </c>
      <c r="M812" s="10" t="str">
        <f t="shared" si="600"/>
        <v/>
      </c>
      <c r="N812" s="17" t="str">
        <f t="shared" si="601"/>
        <v/>
      </c>
      <c r="O812" s="39" t="str">
        <f t="shared" si="602"/>
        <v/>
      </c>
      <c r="P812" s="41" t="str">
        <f t="shared" si="603"/>
        <v/>
      </c>
      <c r="Q812" s="9" t="str">
        <f t="shared" si="604"/>
        <v/>
      </c>
      <c r="R812" s="14">
        <f t="shared" si="605"/>
        <v>0</v>
      </c>
      <c r="S812" s="61" t="str">
        <f t="shared" si="606"/>
        <v/>
      </c>
      <c r="T812" s="14">
        <f t="shared" si="607"/>
        <v>0</v>
      </c>
      <c r="U812" s="58" t="str">
        <f t="shared" si="608"/>
        <v/>
      </c>
      <c r="V812" s="14">
        <f t="shared" si="609"/>
        <v>0</v>
      </c>
      <c r="W812" s="58" t="str">
        <f t="shared" si="610"/>
        <v/>
      </c>
      <c r="X812" s="14">
        <f t="shared" si="611"/>
        <v>0</v>
      </c>
      <c r="Y812" s="58" t="str">
        <f t="shared" si="612"/>
        <v/>
      </c>
      <c r="Z812" s="31">
        <f t="shared" si="613"/>
        <v>0</v>
      </c>
      <c r="AA812" s="21">
        <f t="shared" si="614"/>
        <v>0</v>
      </c>
      <c r="AB812" s="58" t="str">
        <f t="shared" si="615"/>
        <v/>
      </c>
      <c r="AC812" s="630">
        <f t="shared" si="592"/>
        <v>0</v>
      </c>
      <c r="AD812" s="627"/>
      <c r="AE812" s="21">
        <f t="shared" si="616"/>
        <v>0</v>
      </c>
      <c r="AF812" s="58" t="str">
        <f t="shared" si="617"/>
        <v/>
      </c>
      <c r="AG812" s="21">
        <f t="shared" si="618"/>
        <v>0</v>
      </c>
      <c r="AH812" s="58" t="str">
        <f t="shared" si="619"/>
        <v/>
      </c>
      <c r="AI812" s="21">
        <f t="shared" si="620"/>
        <v>0</v>
      </c>
      <c r="AJ812" s="58" t="str">
        <f t="shared" si="621"/>
        <v/>
      </c>
      <c r="AK812" s="31">
        <f t="shared" si="622"/>
        <v>0</v>
      </c>
      <c r="AL812" s="21">
        <f t="shared" si="623"/>
        <v>0</v>
      </c>
      <c r="AM812" s="62" t="str">
        <f t="shared" si="624"/>
        <v/>
      </c>
      <c r="AN812" s="21">
        <f t="shared" si="625"/>
        <v>0</v>
      </c>
      <c r="AO812" s="62" t="str">
        <f t="shared" si="626"/>
        <v/>
      </c>
      <c r="AP812" s="21">
        <f t="shared" si="627"/>
        <v>0</v>
      </c>
      <c r="AQ812" s="62" t="str">
        <f t="shared" si="628"/>
        <v/>
      </c>
      <c r="AR812" s="31">
        <f t="shared" si="629"/>
        <v>0</v>
      </c>
      <c r="AS812" s="21">
        <f t="shared" si="630"/>
        <v>0</v>
      </c>
      <c r="AT812" s="62" t="str">
        <f t="shared" si="631"/>
        <v/>
      </c>
      <c r="AU812" s="84">
        <f t="shared" si="632"/>
        <v>0</v>
      </c>
      <c r="AV812" s="32">
        <f t="shared" si="633"/>
        <v>0</v>
      </c>
      <c r="AW812" s="85" t="str">
        <f t="shared" si="634"/>
        <v/>
      </c>
      <c r="AX812" s="86" t="str">
        <f t="shared" si="635"/>
        <v/>
      </c>
    </row>
    <row r="813" spans="1:50" x14ac:dyDescent="0.2">
      <c r="A813" s="29" t="str">
        <f t="shared" ref="A813:A865" si="637">IF(A812="","",IF(C813="","",A812))</f>
        <v/>
      </c>
      <c r="B813" s="32" t="str">
        <f t="shared" si="636"/>
        <v/>
      </c>
      <c r="C813" s="35"/>
      <c r="D813" s="33" t="str">
        <f t="shared" si="595"/>
        <v/>
      </c>
      <c r="E813" s="22" t="str">
        <f t="shared" si="596"/>
        <v/>
      </c>
      <c r="F813" s="23" t="str">
        <f t="shared" si="597"/>
        <v/>
      </c>
      <c r="G813" s="23"/>
      <c r="H813" s="22"/>
      <c r="I813" s="23"/>
      <c r="J813" s="18"/>
      <c r="K813" s="13" t="str">
        <f t="shared" si="598"/>
        <v/>
      </c>
      <c r="L813" s="28" t="str">
        <f t="shared" si="599"/>
        <v/>
      </c>
      <c r="M813" s="10" t="str">
        <f t="shared" si="600"/>
        <v/>
      </c>
      <c r="N813" s="17" t="str">
        <f t="shared" si="601"/>
        <v/>
      </c>
      <c r="O813" s="39" t="str">
        <f t="shared" si="602"/>
        <v/>
      </c>
      <c r="P813" s="41" t="str">
        <f t="shared" si="603"/>
        <v/>
      </c>
      <c r="Q813" s="9" t="str">
        <f t="shared" si="604"/>
        <v/>
      </c>
      <c r="R813" s="14">
        <f t="shared" si="605"/>
        <v>0</v>
      </c>
      <c r="S813" s="61" t="str">
        <f t="shared" si="606"/>
        <v/>
      </c>
      <c r="T813" s="14">
        <f t="shared" si="607"/>
        <v>0</v>
      </c>
      <c r="U813" s="58" t="str">
        <f t="shared" si="608"/>
        <v/>
      </c>
      <c r="V813" s="14">
        <f t="shared" si="609"/>
        <v>0</v>
      </c>
      <c r="W813" s="58" t="str">
        <f t="shared" si="610"/>
        <v/>
      </c>
      <c r="X813" s="14">
        <f t="shared" si="611"/>
        <v>0</v>
      </c>
      <c r="Y813" s="58" t="str">
        <f t="shared" si="612"/>
        <v/>
      </c>
      <c r="Z813" s="31">
        <f t="shared" si="613"/>
        <v>0</v>
      </c>
      <c r="AA813" s="21">
        <f t="shared" si="614"/>
        <v>0</v>
      </c>
      <c r="AB813" s="58" t="str">
        <f t="shared" si="615"/>
        <v/>
      </c>
      <c r="AC813" s="630">
        <f t="shared" si="592"/>
        <v>0</v>
      </c>
      <c r="AD813" s="627"/>
      <c r="AE813" s="21">
        <f t="shared" si="616"/>
        <v>0</v>
      </c>
      <c r="AF813" s="58" t="str">
        <f t="shared" si="617"/>
        <v/>
      </c>
      <c r="AG813" s="21">
        <f t="shared" si="618"/>
        <v>0</v>
      </c>
      <c r="AH813" s="58" t="str">
        <f t="shared" si="619"/>
        <v/>
      </c>
      <c r="AI813" s="21">
        <f t="shared" si="620"/>
        <v>0</v>
      </c>
      <c r="AJ813" s="58" t="str">
        <f t="shared" si="621"/>
        <v/>
      </c>
      <c r="AK813" s="31">
        <f t="shared" si="622"/>
        <v>0</v>
      </c>
      <c r="AL813" s="21">
        <f t="shared" si="623"/>
        <v>0</v>
      </c>
      <c r="AM813" s="62" t="str">
        <f t="shared" si="624"/>
        <v/>
      </c>
      <c r="AN813" s="21">
        <f t="shared" si="625"/>
        <v>0</v>
      </c>
      <c r="AO813" s="62" t="str">
        <f t="shared" si="626"/>
        <v/>
      </c>
      <c r="AP813" s="21">
        <f t="shared" si="627"/>
        <v>0</v>
      </c>
      <c r="AQ813" s="62" t="str">
        <f t="shared" si="628"/>
        <v/>
      </c>
      <c r="AR813" s="31">
        <f t="shared" si="629"/>
        <v>0</v>
      </c>
      <c r="AS813" s="21">
        <f t="shared" si="630"/>
        <v>0</v>
      </c>
      <c r="AT813" s="62" t="str">
        <f t="shared" si="631"/>
        <v/>
      </c>
      <c r="AU813" s="84">
        <f t="shared" si="632"/>
        <v>0</v>
      </c>
      <c r="AV813" s="32">
        <f t="shared" si="633"/>
        <v>0</v>
      </c>
      <c r="AW813" s="85" t="str">
        <f t="shared" si="634"/>
        <v/>
      </c>
      <c r="AX813" s="86" t="str">
        <f t="shared" si="635"/>
        <v/>
      </c>
    </row>
    <row r="814" spans="1:50" x14ac:dyDescent="0.2">
      <c r="A814" s="29" t="str">
        <f t="shared" si="637"/>
        <v/>
      </c>
      <c r="B814" s="32" t="str">
        <f t="shared" si="636"/>
        <v/>
      </c>
      <c r="C814" s="35"/>
      <c r="D814" s="33" t="str">
        <f t="shared" si="595"/>
        <v/>
      </c>
      <c r="E814" s="22" t="str">
        <f t="shared" si="596"/>
        <v/>
      </c>
      <c r="F814" s="23" t="str">
        <f t="shared" si="597"/>
        <v/>
      </c>
      <c r="G814" s="23"/>
      <c r="H814" s="22"/>
      <c r="I814" s="23"/>
      <c r="J814" s="18"/>
      <c r="K814" s="13" t="str">
        <f t="shared" si="598"/>
        <v/>
      </c>
      <c r="L814" s="28" t="str">
        <f t="shared" si="599"/>
        <v/>
      </c>
      <c r="M814" s="10" t="str">
        <f t="shared" si="600"/>
        <v/>
      </c>
      <c r="N814" s="17" t="str">
        <f t="shared" si="601"/>
        <v/>
      </c>
      <c r="O814" s="39" t="str">
        <f t="shared" si="602"/>
        <v/>
      </c>
      <c r="P814" s="41" t="str">
        <f t="shared" si="603"/>
        <v/>
      </c>
      <c r="Q814" s="9" t="str">
        <f t="shared" si="604"/>
        <v/>
      </c>
      <c r="R814" s="14">
        <f t="shared" si="605"/>
        <v>0</v>
      </c>
      <c r="S814" s="61" t="str">
        <f t="shared" si="606"/>
        <v/>
      </c>
      <c r="T814" s="14">
        <f t="shared" si="607"/>
        <v>0</v>
      </c>
      <c r="U814" s="58" t="str">
        <f t="shared" si="608"/>
        <v/>
      </c>
      <c r="V814" s="14">
        <f t="shared" si="609"/>
        <v>0</v>
      </c>
      <c r="W814" s="58" t="str">
        <f t="shared" si="610"/>
        <v/>
      </c>
      <c r="X814" s="14">
        <f t="shared" si="611"/>
        <v>0</v>
      </c>
      <c r="Y814" s="58" t="str">
        <f t="shared" si="612"/>
        <v/>
      </c>
      <c r="Z814" s="31">
        <f t="shared" si="613"/>
        <v>0</v>
      </c>
      <c r="AA814" s="21">
        <f t="shared" si="614"/>
        <v>0</v>
      </c>
      <c r="AB814" s="58" t="str">
        <f t="shared" si="615"/>
        <v/>
      </c>
      <c r="AC814" s="630">
        <f t="shared" si="592"/>
        <v>0</v>
      </c>
      <c r="AD814" s="627"/>
      <c r="AE814" s="21">
        <f t="shared" si="616"/>
        <v>0</v>
      </c>
      <c r="AF814" s="58" t="str">
        <f t="shared" si="617"/>
        <v/>
      </c>
      <c r="AG814" s="21">
        <f t="shared" si="618"/>
        <v>0</v>
      </c>
      <c r="AH814" s="58" t="str">
        <f t="shared" si="619"/>
        <v/>
      </c>
      <c r="AI814" s="21">
        <f t="shared" si="620"/>
        <v>0</v>
      </c>
      <c r="AJ814" s="58" t="str">
        <f t="shared" si="621"/>
        <v/>
      </c>
      <c r="AK814" s="31">
        <f t="shared" si="622"/>
        <v>0</v>
      </c>
      <c r="AL814" s="21">
        <f t="shared" si="623"/>
        <v>0</v>
      </c>
      <c r="AM814" s="62" t="str">
        <f t="shared" si="624"/>
        <v/>
      </c>
      <c r="AN814" s="21">
        <f t="shared" si="625"/>
        <v>0</v>
      </c>
      <c r="AO814" s="62" t="str">
        <f t="shared" si="626"/>
        <v/>
      </c>
      <c r="AP814" s="21">
        <f t="shared" si="627"/>
        <v>0</v>
      </c>
      <c r="AQ814" s="62" t="str">
        <f t="shared" si="628"/>
        <v/>
      </c>
      <c r="AR814" s="31">
        <f t="shared" si="629"/>
        <v>0</v>
      </c>
      <c r="AS814" s="21">
        <f t="shared" si="630"/>
        <v>0</v>
      </c>
      <c r="AT814" s="62" t="str">
        <f t="shared" si="631"/>
        <v/>
      </c>
      <c r="AU814" s="84">
        <f t="shared" si="632"/>
        <v>0</v>
      </c>
      <c r="AV814" s="32">
        <f t="shared" si="633"/>
        <v>0</v>
      </c>
      <c r="AW814" s="85" t="str">
        <f t="shared" si="634"/>
        <v/>
      </c>
      <c r="AX814" s="86" t="str">
        <f t="shared" si="635"/>
        <v/>
      </c>
    </row>
    <row r="815" spans="1:50" x14ac:dyDescent="0.2">
      <c r="A815" s="29" t="str">
        <f t="shared" si="637"/>
        <v/>
      </c>
      <c r="B815" s="32" t="str">
        <f t="shared" si="636"/>
        <v/>
      </c>
      <c r="C815" s="35"/>
      <c r="D815" s="33" t="str">
        <f t="shared" si="595"/>
        <v/>
      </c>
      <c r="E815" s="22" t="str">
        <f t="shared" si="596"/>
        <v/>
      </c>
      <c r="F815" s="23" t="str">
        <f t="shared" si="597"/>
        <v/>
      </c>
      <c r="G815" s="23"/>
      <c r="H815" s="22"/>
      <c r="I815" s="23"/>
      <c r="J815" s="18"/>
      <c r="K815" s="13" t="str">
        <f t="shared" si="598"/>
        <v/>
      </c>
      <c r="L815" s="28" t="str">
        <f t="shared" si="599"/>
        <v/>
      </c>
      <c r="M815" s="10" t="str">
        <f t="shared" si="600"/>
        <v/>
      </c>
      <c r="N815" s="17" t="str">
        <f t="shared" si="601"/>
        <v/>
      </c>
      <c r="O815" s="39" t="str">
        <f t="shared" si="602"/>
        <v/>
      </c>
      <c r="P815" s="41" t="str">
        <f t="shared" si="603"/>
        <v/>
      </c>
      <c r="Q815" s="9" t="str">
        <f t="shared" si="604"/>
        <v/>
      </c>
      <c r="R815" s="14">
        <f t="shared" si="605"/>
        <v>0</v>
      </c>
      <c r="S815" s="61" t="str">
        <f t="shared" si="606"/>
        <v/>
      </c>
      <c r="T815" s="14">
        <f t="shared" si="607"/>
        <v>0</v>
      </c>
      <c r="U815" s="58" t="str">
        <f t="shared" si="608"/>
        <v/>
      </c>
      <c r="V815" s="14">
        <f t="shared" si="609"/>
        <v>0</v>
      </c>
      <c r="W815" s="58" t="str">
        <f t="shared" si="610"/>
        <v/>
      </c>
      <c r="X815" s="14">
        <f t="shared" si="611"/>
        <v>0</v>
      </c>
      <c r="Y815" s="58" t="str">
        <f t="shared" si="612"/>
        <v/>
      </c>
      <c r="Z815" s="31">
        <f t="shared" si="613"/>
        <v>0</v>
      </c>
      <c r="AA815" s="21">
        <f t="shared" si="614"/>
        <v>0</v>
      </c>
      <c r="AB815" s="58" t="str">
        <f t="shared" si="615"/>
        <v/>
      </c>
      <c r="AC815" s="630">
        <f t="shared" si="592"/>
        <v>0</v>
      </c>
      <c r="AD815" s="627"/>
      <c r="AE815" s="21">
        <f t="shared" si="616"/>
        <v>0</v>
      </c>
      <c r="AF815" s="58" t="str">
        <f t="shared" si="617"/>
        <v/>
      </c>
      <c r="AG815" s="21">
        <f t="shared" si="618"/>
        <v>0</v>
      </c>
      <c r="AH815" s="58" t="str">
        <f t="shared" si="619"/>
        <v/>
      </c>
      <c r="AI815" s="21">
        <f t="shared" si="620"/>
        <v>0</v>
      </c>
      <c r="AJ815" s="58" t="str">
        <f t="shared" si="621"/>
        <v/>
      </c>
      <c r="AK815" s="31">
        <f t="shared" si="622"/>
        <v>0</v>
      </c>
      <c r="AL815" s="21">
        <f t="shared" si="623"/>
        <v>0</v>
      </c>
      <c r="AM815" s="62" t="str">
        <f t="shared" si="624"/>
        <v/>
      </c>
      <c r="AN815" s="21">
        <f t="shared" si="625"/>
        <v>0</v>
      </c>
      <c r="AO815" s="62" t="str">
        <f t="shared" si="626"/>
        <v/>
      </c>
      <c r="AP815" s="21">
        <f t="shared" si="627"/>
        <v>0</v>
      </c>
      <c r="AQ815" s="62" t="str">
        <f t="shared" si="628"/>
        <v/>
      </c>
      <c r="AR815" s="31">
        <f t="shared" si="629"/>
        <v>0</v>
      </c>
      <c r="AS815" s="21">
        <f t="shared" si="630"/>
        <v>0</v>
      </c>
      <c r="AT815" s="62" t="str">
        <f t="shared" si="631"/>
        <v/>
      </c>
      <c r="AU815" s="84">
        <f t="shared" si="632"/>
        <v>0</v>
      </c>
      <c r="AV815" s="32">
        <f t="shared" si="633"/>
        <v>0</v>
      </c>
      <c r="AW815" s="85" t="str">
        <f t="shared" si="634"/>
        <v/>
      </c>
      <c r="AX815" s="86" t="str">
        <f t="shared" si="635"/>
        <v/>
      </c>
    </row>
    <row r="816" spans="1:50" x14ac:dyDescent="0.2">
      <c r="A816" s="29" t="str">
        <f t="shared" si="637"/>
        <v/>
      </c>
      <c r="B816" s="32" t="str">
        <f t="shared" si="636"/>
        <v/>
      </c>
      <c r="C816" s="35"/>
      <c r="D816" s="33" t="str">
        <f t="shared" si="595"/>
        <v/>
      </c>
      <c r="E816" s="22" t="str">
        <f t="shared" si="596"/>
        <v/>
      </c>
      <c r="F816" s="23" t="str">
        <f t="shared" si="597"/>
        <v/>
      </c>
      <c r="G816" s="23"/>
      <c r="H816" s="22"/>
      <c r="I816" s="23"/>
      <c r="J816" s="18"/>
      <c r="K816" s="13" t="str">
        <f t="shared" si="598"/>
        <v/>
      </c>
      <c r="L816" s="28" t="str">
        <f t="shared" si="599"/>
        <v/>
      </c>
      <c r="M816" s="10" t="str">
        <f t="shared" si="600"/>
        <v/>
      </c>
      <c r="N816" s="17" t="str">
        <f t="shared" si="601"/>
        <v/>
      </c>
      <c r="O816" s="39" t="str">
        <f t="shared" si="602"/>
        <v/>
      </c>
      <c r="P816" s="41" t="str">
        <f t="shared" si="603"/>
        <v/>
      </c>
      <c r="Q816" s="9" t="str">
        <f t="shared" si="604"/>
        <v/>
      </c>
      <c r="R816" s="14">
        <f t="shared" si="605"/>
        <v>0</v>
      </c>
      <c r="S816" s="61" t="str">
        <f t="shared" si="606"/>
        <v/>
      </c>
      <c r="T816" s="14">
        <f t="shared" si="607"/>
        <v>0</v>
      </c>
      <c r="U816" s="58" t="str">
        <f t="shared" si="608"/>
        <v/>
      </c>
      <c r="V816" s="14">
        <f t="shared" si="609"/>
        <v>0</v>
      </c>
      <c r="W816" s="58" t="str">
        <f t="shared" si="610"/>
        <v/>
      </c>
      <c r="X816" s="14">
        <f t="shared" si="611"/>
        <v>0</v>
      </c>
      <c r="Y816" s="58" t="str">
        <f t="shared" si="612"/>
        <v/>
      </c>
      <c r="Z816" s="31">
        <f t="shared" si="613"/>
        <v>0</v>
      </c>
      <c r="AA816" s="21">
        <f t="shared" si="614"/>
        <v>0</v>
      </c>
      <c r="AB816" s="58" t="str">
        <f t="shared" si="615"/>
        <v/>
      </c>
      <c r="AC816" s="630">
        <f t="shared" si="592"/>
        <v>0</v>
      </c>
      <c r="AD816" s="627"/>
      <c r="AE816" s="21">
        <f t="shared" si="616"/>
        <v>0</v>
      </c>
      <c r="AF816" s="58" t="str">
        <f t="shared" si="617"/>
        <v/>
      </c>
      <c r="AG816" s="21">
        <f t="shared" si="618"/>
        <v>0</v>
      </c>
      <c r="AH816" s="58" t="str">
        <f t="shared" si="619"/>
        <v/>
      </c>
      <c r="AI816" s="21">
        <f t="shared" si="620"/>
        <v>0</v>
      </c>
      <c r="AJ816" s="58" t="str">
        <f t="shared" si="621"/>
        <v/>
      </c>
      <c r="AK816" s="31">
        <f t="shared" si="622"/>
        <v>0</v>
      </c>
      <c r="AL816" s="21">
        <f t="shared" si="623"/>
        <v>0</v>
      </c>
      <c r="AM816" s="62" t="str">
        <f t="shared" si="624"/>
        <v/>
      </c>
      <c r="AN816" s="21">
        <f t="shared" si="625"/>
        <v>0</v>
      </c>
      <c r="AO816" s="62" t="str">
        <f t="shared" si="626"/>
        <v/>
      </c>
      <c r="AP816" s="21">
        <f t="shared" si="627"/>
        <v>0</v>
      </c>
      <c r="AQ816" s="62" t="str">
        <f t="shared" si="628"/>
        <v/>
      </c>
      <c r="AR816" s="31">
        <f t="shared" si="629"/>
        <v>0</v>
      </c>
      <c r="AS816" s="21">
        <f t="shared" si="630"/>
        <v>0</v>
      </c>
      <c r="AT816" s="62" t="str">
        <f t="shared" si="631"/>
        <v/>
      </c>
      <c r="AU816" s="84">
        <f t="shared" si="632"/>
        <v>0</v>
      </c>
      <c r="AV816" s="32">
        <f t="shared" si="633"/>
        <v>0</v>
      </c>
      <c r="AW816" s="85" t="str">
        <f t="shared" si="634"/>
        <v/>
      </c>
      <c r="AX816" s="86" t="str">
        <f t="shared" si="635"/>
        <v/>
      </c>
    </row>
    <row r="817" spans="1:50" x14ac:dyDescent="0.2">
      <c r="A817" s="29" t="str">
        <f t="shared" si="637"/>
        <v/>
      </c>
      <c r="B817" s="32" t="str">
        <f t="shared" si="636"/>
        <v/>
      </c>
      <c r="C817" s="35"/>
      <c r="D817" s="33" t="str">
        <f t="shared" si="595"/>
        <v/>
      </c>
      <c r="E817" s="22" t="str">
        <f t="shared" si="596"/>
        <v/>
      </c>
      <c r="F817" s="23" t="str">
        <f t="shared" si="597"/>
        <v/>
      </c>
      <c r="G817" s="23"/>
      <c r="H817" s="22"/>
      <c r="I817" s="23"/>
      <c r="J817" s="18"/>
      <c r="K817" s="13" t="str">
        <f t="shared" si="598"/>
        <v/>
      </c>
      <c r="L817" s="28" t="str">
        <f t="shared" si="599"/>
        <v/>
      </c>
      <c r="M817" s="10" t="str">
        <f t="shared" si="600"/>
        <v/>
      </c>
      <c r="N817" s="17" t="str">
        <f t="shared" si="601"/>
        <v/>
      </c>
      <c r="O817" s="39" t="str">
        <f t="shared" si="602"/>
        <v/>
      </c>
      <c r="P817" s="41" t="str">
        <f t="shared" si="603"/>
        <v/>
      </c>
      <c r="Q817" s="9" t="str">
        <f t="shared" si="604"/>
        <v/>
      </c>
      <c r="R817" s="14">
        <f t="shared" si="605"/>
        <v>0</v>
      </c>
      <c r="S817" s="61" t="str">
        <f t="shared" si="606"/>
        <v/>
      </c>
      <c r="T817" s="14">
        <f t="shared" si="607"/>
        <v>0</v>
      </c>
      <c r="U817" s="58" t="str">
        <f t="shared" si="608"/>
        <v/>
      </c>
      <c r="V817" s="14">
        <f t="shared" si="609"/>
        <v>0</v>
      </c>
      <c r="W817" s="58" t="str">
        <f t="shared" si="610"/>
        <v/>
      </c>
      <c r="X817" s="14">
        <f t="shared" si="611"/>
        <v>0</v>
      </c>
      <c r="Y817" s="58" t="str">
        <f t="shared" si="612"/>
        <v/>
      </c>
      <c r="Z817" s="31">
        <f t="shared" si="613"/>
        <v>0</v>
      </c>
      <c r="AA817" s="21">
        <f t="shared" si="614"/>
        <v>0</v>
      </c>
      <c r="AB817" s="58" t="str">
        <f t="shared" si="615"/>
        <v/>
      </c>
      <c r="AC817" s="630">
        <f t="shared" si="592"/>
        <v>0</v>
      </c>
      <c r="AD817" s="627"/>
      <c r="AE817" s="21">
        <f t="shared" si="616"/>
        <v>0</v>
      </c>
      <c r="AF817" s="58" t="str">
        <f t="shared" si="617"/>
        <v/>
      </c>
      <c r="AG817" s="21">
        <f t="shared" si="618"/>
        <v>0</v>
      </c>
      <c r="AH817" s="58" t="str">
        <f t="shared" si="619"/>
        <v/>
      </c>
      <c r="AI817" s="21">
        <f t="shared" si="620"/>
        <v>0</v>
      </c>
      <c r="AJ817" s="58" t="str">
        <f t="shared" si="621"/>
        <v/>
      </c>
      <c r="AK817" s="31">
        <f t="shared" si="622"/>
        <v>0</v>
      </c>
      <c r="AL817" s="21">
        <f t="shared" si="623"/>
        <v>0</v>
      </c>
      <c r="AM817" s="62" t="str">
        <f t="shared" si="624"/>
        <v/>
      </c>
      <c r="AN817" s="21">
        <f t="shared" si="625"/>
        <v>0</v>
      </c>
      <c r="AO817" s="62" t="str">
        <f t="shared" si="626"/>
        <v/>
      </c>
      <c r="AP817" s="21">
        <f t="shared" si="627"/>
        <v>0</v>
      </c>
      <c r="AQ817" s="62" t="str">
        <f t="shared" si="628"/>
        <v/>
      </c>
      <c r="AR817" s="31">
        <f t="shared" si="629"/>
        <v>0</v>
      </c>
      <c r="AS817" s="21">
        <f t="shared" si="630"/>
        <v>0</v>
      </c>
      <c r="AT817" s="62" t="str">
        <f t="shared" si="631"/>
        <v/>
      </c>
      <c r="AU817" s="84">
        <f t="shared" si="632"/>
        <v>0</v>
      </c>
      <c r="AV817" s="32">
        <f t="shared" si="633"/>
        <v>0</v>
      </c>
      <c r="AW817" s="85" t="str">
        <f t="shared" si="634"/>
        <v/>
      </c>
      <c r="AX817" s="86" t="str">
        <f t="shared" si="635"/>
        <v/>
      </c>
    </row>
    <row r="818" spans="1:50" x14ac:dyDescent="0.2">
      <c r="A818" s="29" t="str">
        <f t="shared" si="637"/>
        <v/>
      </c>
      <c r="B818" s="32" t="str">
        <f t="shared" si="636"/>
        <v/>
      </c>
      <c r="C818" s="35"/>
      <c r="D818" s="33" t="str">
        <f t="shared" si="595"/>
        <v/>
      </c>
      <c r="E818" s="22" t="str">
        <f t="shared" si="596"/>
        <v/>
      </c>
      <c r="F818" s="23" t="str">
        <f t="shared" si="597"/>
        <v/>
      </c>
      <c r="G818" s="23"/>
      <c r="H818" s="22"/>
      <c r="I818" s="23"/>
      <c r="J818" s="18"/>
      <c r="K818" s="13" t="str">
        <f t="shared" si="598"/>
        <v/>
      </c>
      <c r="L818" s="28" t="str">
        <f t="shared" si="599"/>
        <v/>
      </c>
      <c r="M818" s="10" t="str">
        <f t="shared" si="600"/>
        <v/>
      </c>
      <c r="N818" s="17" t="str">
        <f t="shared" si="601"/>
        <v/>
      </c>
      <c r="O818" s="39" t="str">
        <f t="shared" si="602"/>
        <v/>
      </c>
      <c r="P818" s="41" t="str">
        <f t="shared" si="603"/>
        <v/>
      </c>
      <c r="Q818" s="9" t="str">
        <f t="shared" si="604"/>
        <v/>
      </c>
      <c r="R818" s="14">
        <f t="shared" si="605"/>
        <v>0</v>
      </c>
      <c r="S818" s="61" t="str">
        <f t="shared" si="606"/>
        <v/>
      </c>
      <c r="T818" s="14">
        <f t="shared" si="607"/>
        <v>0</v>
      </c>
      <c r="U818" s="58" t="str">
        <f t="shared" si="608"/>
        <v/>
      </c>
      <c r="V818" s="14">
        <f t="shared" si="609"/>
        <v>0</v>
      </c>
      <c r="W818" s="58" t="str">
        <f t="shared" si="610"/>
        <v/>
      </c>
      <c r="X818" s="14">
        <f t="shared" si="611"/>
        <v>0</v>
      </c>
      <c r="Y818" s="58" t="str">
        <f t="shared" si="612"/>
        <v/>
      </c>
      <c r="Z818" s="31">
        <f t="shared" si="613"/>
        <v>0</v>
      </c>
      <c r="AA818" s="21">
        <f t="shared" si="614"/>
        <v>0</v>
      </c>
      <c r="AB818" s="58" t="str">
        <f t="shared" si="615"/>
        <v/>
      </c>
      <c r="AC818" s="630">
        <f t="shared" si="592"/>
        <v>0</v>
      </c>
      <c r="AD818" s="627"/>
      <c r="AE818" s="21">
        <f t="shared" si="616"/>
        <v>0</v>
      </c>
      <c r="AF818" s="58" t="str">
        <f t="shared" si="617"/>
        <v/>
      </c>
      <c r="AG818" s="21">
        <f t="shared" si="618"/>
        <v>0</v>
      </c>
      <c r="AH818" s="58" t="str">
        <f t="shared" si="619"/>
        <v/>
      </c>
      <c r="AI818" s="21">
        <f t="shared" si="620"/>
        <v>0</v>
      </c>
      <c r="AJ818" s="58" t="str">
        <f t="shared" si="621"/>
        <v/>
      </c>
      <c r="AK818" s="31">
        <f t="shared" si="622"/>
        <v>0</v>
      </c>
      <c r="AL818" s="21">
        <f t="shared" si="623"/>
        <v>0</v>
      </c>
      <c r="AM818" s="62" t="str">
        <f t="shared" si="624"/>
        <v/>
      </c>
      <c r="AN818" s="21">
        <f t="shared" si="625"/>
        <v>0</v>
      </c>
      <c r="AO818" s="62" t="str">
        <f t="shared" si="626"/>
        <v/>
      </c>
      <c r="AP818" s="21">
        <f t="shared" si="627"/>
        <v>0</v>
      </c>
      <c r="AQ818" s="62" t="str">
        <f t="shared" si="628"/>
        <v/>
      </c>
      <c r="AR818" s="31">
        <f t="shared" si="629"/>
        <v>0</v>
      </c>
      <c r="AS818" s="21">
        <f t="shared" si="630"/>
        <v>0</v>
      </c>
      <c r="AT818" s="62" t="str">
        <f t="shared" si="631"/>
        <v/>
      </c>
      <c r="AU818" s="84">
        <f t="shared" si="632"/>
        <v>0</v>
      </c>
      <c r="AV818" s="32">
        <f t="shared" si="633"/>
        <v>0</v>
      </c>
      <c r="AW818" s="85" t="str">
        <f t="shared" si="634"/>
        <v/>
      </c>
      <c r="AX818" s="86" t="str">
        <f t="shared" si="635"/>
        <v/>
      </c>
    </row>
    <row r="819" spans="1:50" x14ac:dyDescent="0.2">
      <c r="A819" s="29" t="str">
        <f t="shared" si="637"/>
        <v/>
      </c>
      <c r="B819" s="32" t="str">
        <f t="shared" si="636"/>
        <v/>
      </c>
      <c r="C819" s="35"/>
      <c r="D819" s="33" t="str">
        <f t="shared" si="595"/>
        <v/>
      </c>
      <c r="E819" s="22" t="str">
        <f t="shared" si="596"/>
        <v/>
      </c>
      <c r="F819" s="23" t="str">
        <f t="shared" si="597"/>
        <v/>
      </c>
      <c r="G819" s="23"/>
      <c r="H819" s="22"/>
      <c r="I819" s="23"/>
      <c r="J819" s="18"/>
      <c r="K819" s="13" t="str">
        <f t="shared" si="598"/>
        <v/>
      </c>
      <c r="L819" s="28" t="str">
        <f t="shared" si="599"/>
        <v/>
      </c>
      <c r="M819" s="10" t="str">
        <f t="shared" si="600"/>
        <v/>
      </c>
      <c r="N819" s="17" t="str">
        <f t="shared" si="601"/>
        <v/>
      </c>
      <c r="O819" s="39" t="str">
        <f t="shared" si="602"/>
        <v/>
      </c>
      <c r="P819" s="41" t="str">
        <f t="shared" si="603"/>
        <v/>
      </c>
      <c r="Q819" s="9" t="str">
        <f t="shared" si="604"/>
        <v/>
      </c>
      <c r="R819" s="14">
        <f t="shared" si="605"/>
        <v>0</v>
      </c>
      <c r="S819" s="61" t="str">
        <f t="shared" si="606"/>
        <v/>
      </c>
      <c r="T819" s="14">
        <f t="shared" si="607"/>
        <v>0</v>
      </c>
      <c r="U819" s="58" t="str">
        <f t="shared" si="608"/>
        <v/>
      </c>
      <c r="V819" s="14">
        <f t="shared" si="609"/>
        <v>0</v>
      </c>
      <c r="W819" s="58" t="str">
        <f t="shared" si="610"/>
        <v/>
      </c>
      <c r="X819" s="14">
        <f t="shared" si="611"/>
        <v>0</v>
      </c>
      <c r="Y819" s="58" t="str">
        <f t="shared" si="612"/>
        <v/>
      </c>
      <c r="Z819" s="31">
        <f t="shared" si="613"/>
        <v>0</v>
      </c>
      <c r="AA819" s="21">
        <f t="shared" si="614"/>
        <v>0</v>
      </c>
      <c r="AB819" s="58" t="str">
        <f t="shared" si="615"/>
        <v/>
      </c>
      <c r="AC819" s="630">
        <f t="shared" si="592"/>
        <v>0</v>
      </c>
      <c r="AD819" s="627"/>
      <c r="AE819" s="21">
        <f t="shared" si="616"/>
        <v>0</v>
      </c>
      <c r="AF819" s="58" t="str">
        <f t="shared" si="617"/>
        <v/>
      </c>
      <c r="AG819" s="21">
        <f t="shared" si="618"/>
        <v>0</v>
      </c>
      <c r="AH819" s="58" t="str">
        <f t="shared" si="619"/>
        <v/>
      </c>
      <c r="AI819" s="21">
        <f t="shared" si="620"/>
        <v>0</v>
      </c>
      <c r="AJ819" s="58" t="str">
        <f t="shared" si="621"/>
        <v/>
      </c>
      <c r="AK819" s="31">
        <f t="shared" si="622"/>
        <v>0</v>
      </c>
      <c r="AL819" s="21">
        <f t="shared" si="623"/>
        <v>0</v>
      </c>
      <c r="AM819" s="62" t="str">
        <f t="shared" si="624"/>
        <v/>
      </c>
      <c r="AN819" s="21">
        <f t="shared" si="625"/>
        <v>0</v>
      </c>
      <c r="AO819" s="62" t="str">
        <f t="shared" si="626"/>
        <v/>
      </c>
      <c r="AP819" s="21">
        <f t="shared" si="627"/>
        <v>0</v>
      </c>
      <c r="AQ819" s="62" t="str">
        <f t="shared" si="628"/>
        <v/>
      </c>
      <c r="AR819" s="31">
        <f t="shared" si="629"/>
        <v>0</v>
      </c>
      <c r="AS819" s="21">
        <f t="shared" si="630"/>
        <v>0</v>
      </c>
      <c r="AT819" s="62" t="str">
        <f t="shared" si="631"/>
        <v/>
      </c>
      <c r="AU819" s="84">
        <f t="shared" si="632"/>
        <v>0</v>
      </c>
      <c r="AV819" s="32">
        <f t="shared" si="633"/>
        <v>0</v>
      </c>
      <c r="AW819" s="85" t="str">
        <f t="shared" si="634"/>
        <v/>
      </c>
      <c r="AX819" s="86" t="str">
        <f t="shared" si="635"/>
        <v/>
      </c>
    </row>
    <row r="820" spans="1:50" x14ac:dyDescent="0.2">
      <c r="A820" s="29" t="str">
        <f t="shared" si="637"/>
        <v/>
      </c>
      <c r="B820" s="32" t="str">
        <f t="shared" si="636"/>
        <v/>
      </c>
      <c r="C820" s="35"/>
      <c r="D820" s="33" t="str">
        <f t="shared" si="595"/>
        <v/>
      </c>
      <c r="E820" s="22" t="str">
        <f t="shared" si="596"/>
        <v/>
      </c>
      <c r="F820" s="23" t="str">
        <f t="shared" si="597"/>
        <v/>
      </c>
      <c r="G820" s="23"/>
      <c r="H820" s="22"/>
      <c r="I820" s="23"/>
      <c r="J820" s="18"/>
      <c r="K820" s="13" t="str">
        <f t="shared" si="598"/>
        <v/>
      </c>
      <c r="L820" s="28" t="str">
        <f t="shared" si="599"/>
        <v/>
      </c>
      <c r="M820" s="10" t="str">
        <f t="shared" si="600"/>
        <v/>
      </c>
      <c r="N820" s="17" t="str">
        <f t="shared" si="601"/>
        <v/>
      </c>
      <c r="O820" s="39" t="str">
        <f t="shared" si="602"/>
        <v/>
      </c>
      <c r="P820" s="41" t="str">
        <f t="shared" si="603"/>
        <v/>
      </c>
      <c r="Q820" s="9" t="str">
        <f t="shared" si="604"/>
        <v/>
      </c>
      <c r="R820" s="14">
        <f t="shared" si="605"/>
        <v>0</v>
      </c>
      <c r="S820" s="61" t="str">
        <f t="shared" si="606"/>
        <v/>
      </c>
      <c r="T820" s="14">
        <f t="shared" si="607"/>
        <v>0</v>
      </c>
      <c r="U820" s="58" t="str">
        <f t="shared" si="608"/>
        <v/>
      </c>
      <c r="V820" s="14">
        <f t="shared" si="609"/>
        <v>0</v>
      </c>
      <c r="W820" s="58" t="str">
        <f t="shared" si="610"/>
        <v/>
      </c>
      <c r="X820" s="14">
        <f t="shared" si="611"/>
        <v>0</v>
      </c>
      <c r="Y820" s="58" t="str">
        <f t="shared" si="612"/>
        <v/>
      </c>
      <c r="Z820" s="31">
        <f t="shared" si="613"/>
        <v>0</v>
      </c>
      <c r="AA820" s="21">
        <f t="shared" si="614"/>
        <v>0</v>
      </c>
      <c r="AB820" s="58" t="str">
        <f t="shared" si="615"/>
        <v/>
      </c>
      <c r="AC820" s="630">
        <f t="shared" si="592"/>
        <v>0</v>
      </c>
      <c r="AD820" s="627"/>
      <c r="AE820" s="21">
        <f t="shared" si="616"/>
        <v>0</v>
      </c>
      <c r="AF820" s="58" t="str">
        <f t="shared" si="617"/>
        <v/>
      </c>
      <c r="AG820" s="21">
        <f t="shared" si="618"/>
        <v>0</v>
      </c>
      <c r="AH820" s="58" t="str">
        <f t="shared" si="619"/>
        <v/>
      </c>
      <c r="AI820" s="21">
        <f t="shared" si="620"/>
        <v>0</v>
      </c>
      <c r="AJ820" s="58" t="str">
        <f t="shared" si="621"/>
        <v/>
      </c>
      <c r="AK820" s="31">
        <f t="shared" si="622"/>
        <v>0</v>
      </c>
      <c r="AL820" s="21">
        <f t="shared" si="623"/>
        <v>0</v>
      </c>
      <c r="AM820" s="62" t="str">
        <f t="shared" si="624"/>
        <v/>
      </c>
      <c r="AN820" s="21">
        <f t="shared" si="625"/>
        <v>0</v>
      </c>
      <c r="AO820" s="62" t="str">
        <f t="shared" si="626"/>
        <v/>
      </c>
      <c r="AP820" s="21">
        <f t="shared" si="627"/>
        <v>0</v>
      </c>
      <c r="AQ820" s="62" t="str">
        <f t="shared" si="628"/>
        <v/>
      </c>
      <c r="AR820" s="31">
        <f t="shared" si="629"/>
        <v>0</v>
      </c>
      <c r="AS820" s="21">
        <f t="shared" si="630"/>
        <v>0</v>
      </c>
      <c r="AT820" s="62" t="str">
        <f t="shared" si="631"/>
        <v/>
      </c>
      <c r="AU820" s="84">
        <f t="shared" si="632"/>
        <v>0</v>
      </c>
      <c r="AV820" s="32">
        <f t="shared" si="633"/>
        <v>0</v>
      </c>
      <c r="AW820" s="85" t="str">
        <f t="shared" si="634"/>
        <v/>
      </c>
      <c r="AX820" s="86" t="str">
        <f t="shared" si="635"/>
        <v/>
      </c>
    </row>
    <row r="821" spans="1:50" x14ac:dyDescent="0.2">
      <c r="A821" s="29" t="str">
        <f t="shared" si="637"/>
        <v/>
      </c>
      <c r="B821" s="32" t="str">
        <f t="shared" si="636"/>
        <v/>
      </c>
      <c r="C821" s="35"/>
      <c r="D821" s="33" t="str">
        <f t="shared" si="595"/>
        <v/>
      </c>
      <c r="E821" s="22" t="str">
        <f t="shared" si="596"/>
        <v/>
      </c>
      <c r="F821" s="23" t="str">
        <f t="shared" si="597"/>
        <v/>
      </c>
      <c r="G821" s="23"/>
      <c r="H821" s="22"/>
      <c r="I821" s="23"/>
      <c r="J821" s="18"/>
      <c r="K821" s="13" t="str">
        <f t="shared" si="598"/>
        <v/>
      </c>
      <c r="L821" s="28" t="str">
        <f t="shared" si="599"/>
        <v/>
      </c>
      <c r="M821" s="10" t="str">
        <f t="shared" si="600"/>
        <v/>
      </c>
      <c r="N821" s="17" t="str">
        <f t="shared" si="601"/>
        <v/>
      </c>
      <c r="O821" s="39" t="str">
        <f t="shared" si="602"/>
        <v/>
      </c>
      <c r="P821" s="41" t="str">
        <f t="shared" si="603"/>
        <v/>
      </c>
      <c r="Q821" s="9" t="str">
        <f t="shared" si="604"/>
        <v/>
      </c>
      <c r="R821" s="14">
        <f t="shared" si="605"/>
        <v>0</v>
      </c>
      <c r="S821" s="61" t="str">
        <f t="shared" si="606"/>
        <v/>
      </c>
      <c r="T821" s="14">
        <f t="shared" si="607"/>
        <v>0</v>
      </c>
      <c r="U821" s="58" t="str">
        <f t="shared" si="608"/>
        <v/>
      </c>
      <c r="V821" s="14">
        <f t="shared" si="609"/>
        <v>0</v>
      </c>
      <c r="W821" s="58" t="str">
        <f t="shared" si="610"/>
        <v/>
      </c>
      <c r="X821" s="14">
        <f t="shared" si="611"/>
        <v>0</v>
      </c>
      <c r="Y821" s="58" t="str">
        <f t="shared" si="612"/>
        <v/>
      </c>
      <c r="Z821" s="31">
        <f t="shared" si="613"/>
        <v>0</v>
      </c>
      <c r="AA821" s="21">
        <f t="shared" si="614"/>
        <v>0</v>
      </c>
      <c r="AB821" s="58" t="str">
        <f t="shared" si="615"/>
        <v/>
      </c>
      <c r="AC821" s="630">
        <f t="shared" si="592"/>
        <v>0</v>
      </c>
      <c r="AD821" s="627"/>
      <c r="AE821" s="21">
        <f t="shared" si="616"/>
        <v>0</v>
      </c>
      <c r="AF821" s="58" t="str">
        <f t="shared" si="617"/>
        <v/>
      </c>
      <c r="AG821" s="21">
        <f t="shared" si="618"/>
        <v>0</v>
      </c>
      <c r="AH821" s="58" t="str">
        <f t="shared" si="619"/>
        <v/>
      </c>
      <c r="AI821" s="21">
        <f t="shared" si="620"/>
        <v>0</v>
      </c>
      <c r="AJ821" s="58" t="str">
        <f t="shared" si="621"/>
        <v/>
      </c>
      <c r="AK821" s="31">
        <f t="shared" si="622"/>
        <v>0</v>
      </c>
      <c r="AL821" s="21">
        <f t="shared" si="623"/>
        <v>0</v>
      </c>
      <c r="AM821" s="62" t="str">
        <f t="shared" si="624"/>
        <v/>
      </c>
      <c r="AN821" s="21">
        <f t="shared" si="625"/>
        <v>0</v>
      </c>
      <c r="AO821" s="62" t="str">
        <f t="shared" si="626"/>
        <v/>
      </c>
      <c r="AP821" s="21">
        <f t="shared" si="627"/>
        <v>0</v>
      </c>
      <c r="AQ821" s="62" t="str">
        <f t="shared" si="628"/>
        <v/>
      </c>
      <c r="AR821" s="31">
        <f t="shared" si="629"/>
        <v>0</v>
      </c>
      <c r="AS821" s="21">
        <f t="shared" si="630"/>
        <v>0</v>
      </c>
      <c r="AT821" s="62" t="str">
        <f t="shared" si="631"/>
        <v/>
      </c>
      <c r="AU821" s="84">
        <f t="shared" si="632"/>
        <v>0</v>
      </c>
      <c r="AV821" s="32">
        <f t="shared" si="633"/>
        <v>0</v>
      </c>
      <c r="AW821" s="85" t="str">
        <f t="shared" si="634"/>
        <v/>
      </c>
      <c r="AX821" s="86" t="str">
        <f t="shared" si="635"/>
        <v/>
      </c>
    </row>
    <row r="822" spans="1:50" x14ac:dyDescent="0.2">
      <c r="A822" s="29" t="str">
        <f t="shared" si="637"/>
        <v/>
      </c>
      <c r="B822" s="32" t="str">
        <f t="shared" si="636"/>
        <v/>
      </c>
      <c r="C822" s="35"/>
      <c r="D822" s="33" t="str">
        <f t="shared" si="595"/>
        <v/>
      </c>
      <c r="E822" s="22" t="str">
        <f t="shared" si="596"/>
        <v/>
      </c>
      <c r="F822" s="23" t="str">
        <f t="shared" si="597"/>
        <v/>
      </c>
      <c r="G822" s="23"/>
      <c r="H822" s="22"/>
      <c r="I822" s="23"/>
      <c r="J822" s="18"/>
      <c r="K822" s="13" t="str">
        <f t="shared" si="598"/>
        <v/>
      </c>
      <c r="L822" s="28" t="str">
        <f t="shared" si="599"/>
        <v/>
      </c>
      <c r="M822" s="10" t="str">
        <f t="shared" si="600"/>
        <v/>
      </c>
      <c r="N822" s="17" t="str">
        <f t="shared" si="601"/>
        <v/>
      </c>
      <c r="O822" s="39" t="str">
        <f t="shared" si="602"/>
        <v/>
      </c>
      <c r="P822" s="41" t="str">
        <f t="shared" si="603"/>
        <v/>
      </c>
      <c r="Q822" s="9" t="str">
        <f t="shared" si="604"/>
        <v/>
      </c>
      <c r="R822" s="14">
        <f t="shared" si="605"/>
        <v>0</v>
      </c>
      <c r="S822" s="61" t="str">
        <f t="shared" si="606"/>
        <v/>
      </c>
      <c r="T822" s="14">
        <f t="shared" si="607"/>
        <v>0</v>
      </c>
      <c r="U822" s="58" t="str">
        <f t="shared" si="608"/>
        <v/>
      </c>
      <c r="V822" s="14">
        <f t="shared" si="609"/>
        <v>0</v>
      </c>
      <c r="W822" s="58" t="str">
        <f t="shared" si="610"/>
        <v/>
      </c>
      <c r="X822" s="14">
        <f t="shared" si="611"/>
        <v>0</v>
      </c>
      <c r="Y822" s="58" t="str">
        <f t="shared" si="612"/>
        <v/>
      </c>
      <c r="Z822" s="31">
        <f t="shared" si="613"/>
        <v>0</v>
      </c>
      <c r="AA822" s="21">
        <f t="shared" si="614"/>
        <v>0</v>
      </c>
      <c r="AB822" s="58" t="str">
        <f t="shared" si="615"/>
        <v/>
      </c>
      <c r="AC822" s="630">
        <f t="shared" si="592"/>
        <v>0</v>
      </c>
      <c r="AD822" s="627"/>
      <c r="AE822" s="21">
        <f t="shared" si="616"/>
        <v>0</v>
      </c>
      <c r="AF822" s="58" t="str">
        <f t="shared" si="617"/>
        <v/>
      </c>
      <c r="AG822" s="21">
        <f t="shared" si="618"/>
        <v>0</v>
      </c>
      <c r="AH822" s="58" t="str">
        <f t="shared" si="619"/>
        <v/>
      </c>
      <c r="AI822" s="21">
        <f t="shared" si="620"/>
        <v>0</v>
      </c>
      <c r="AJ822" s="58" t="str">
        <f t="shared" si="621"/>
        <v/>
      </c>
      <c r="AK822" s="31">
        <f t="shared" si="622"/>
        <v>0</v>
      </c>
      <c r="AL822" s="21">
        <f t="shared" si="623"/>
        <v>0</v>
      </c>
      <c r="AM822" s="62" t="str">
        <f t="shared" si="624"/>
        <v/>
      </c>
      <c r="AN822" s="21">
        <f t="shared" si="625"/>
        <v>0</v>
      </c>
      <c r="AO822" s="62" t="str">
        <f t="shared" si="626"/>
        <v/>
      </c>
      <c r="AP822" s="21">
        <f t="shared" si="627"/>
        <v>0</v>
      </c>
      <c r="AQ822" s="62" t="str">
        <f t="shared" si="628"/>
        <v/>
      </c>
      <c r="AR822" s="31">
        <f t="shared" si="629"/>
        <v>0</v>
      </c>
      <c r="AS822" s="21">
        <f t="shared" si="630"/>
        <v>0</v>
      </c>
      <c r="AT822" s="62" t="str">
        <f t="shared" si="631"/>
        <v/>
      </c>
      <c r="AU822" s="84">
        <f t="shared" si="632"/>
        <v>0</v>
      </c>
      <c r="AV822" s="32">
        <f t="shared" si="633"/>
        <v>0</v>
      </c>
      <c r="AW822" s="85" t="str">
        <f t="shared" si="634"/>
        <v/>
      </c>
      <c r="AX822" s="86" t="str">
        <f t="shared" si="635"/>
        <v/>
      </c>
    </row>
    <row r="823" spans="1:50" x14ac:dyDescent="0.2">
      <c r="A823" s="29" t="str">
        <f t="shared" si="637"/>
        <v/>
      </c>
      <c r="B823" s="32" t="str">
        <f t="shared" si="636"/>
        <v/>
      </c>
      <c r="C823" s="35"/>
      <c r="D823" s="33" t="str">
        <f t="shared" si="595"/>
        <v/>
      </c>
      <c r="E823" s="22" t="str">
        <f t="shared" si="596"/>
        <v/>
      </c>
      <c r="F823" s="23" t="str">
        <f t="shared" si="597"/>
        <v/>
      </c>
      <c r="G823" s="23"/>
      <c r="H823" s="22"/>
      <c r="I823" s="23"/>
      <c r="J823" s="18"/>
      <c r="K823" s="13" t="str">
        <f t="shared" si="598"/>
        <v/>
      </c>
      <c r="L823" s="28" t="str">
        <f t="shared" si="599"/>
        <v/>
      </c>
      <c r="M823" s="10" t="str">
        <f t="shared" si="600"/>
        <v/>
      </c>
      <c r="N823" s="17" t="str">
        <f t="shared" si="601"/>
        <v/>
      </c>
      <c r="O823" s="39" t="str">
        <f t="shared" si="602"/>
        <v/>
      </c>
      <c r="P823" s="41" t="str">
        <f t="shared" si="603"/>
        <v/>
      </c>
      <c r="Q823" s="9" t="str">
        <f t="shared" si="604"/>
        <v/>
      </c>
      <c r="R823" s="14">
        <f t="shared" si="605"/>
        <v>0</v>
      </c>
      <c r="S823" s="61" t="str">
        <f t="shared" si="606"/>
        <v/>
      </c>
      <c r="T823" s="14">
        <f t="shared" si="607"/>
        <v>0</v>
      </c>
      <c r="U823" s="58" t="str">
        <f t="shared" si="608"/>
        <v/>
      </c>
      <c r="V823" s="14">
        <f t="shared" si="609"/>
        <v>0</v>
      </c>
      <c r="W823" s="58" t="str">
        <f t="shared" si="610"/>
        <v/>
      </c>
      <c r="X823" s="14">
        <f t="shared" si="611"/>
        <v>0</v>
      </c>
      <c r="Y823" s="58" t="str">
        <f t="shared" si="612"/>
        <v/>
      </c>
      <c r="Z823" s="31">
        <f t="shared" si="613"/>
        <v>0</v>
      </c>
      <c r="AA823" s="21">
        <f t="shared" si="614"/>
        <v>0</v>
      </c>
      <c r="AB823" s="58" t="str">
        <f t="shared" si="615"/>
        <v/>
      </c>
      <c r="AC823" s="630">
        <f t="shared" si="592"/>
        <v>0</v>
      </c>
      <c r="AD823" s="627"/>
      <c r="AE823" s="21">
        <f t="shared" si="616"/>
        <v>0</v>
      </c>
      <c r="AF823" s="58" t="str">
        <f t="shared" si="617"/>
        <v/>
      </c>
      <c r="AG823" s="21">
        <f t="shared" si="618"/>
        <v>0</v>
      </c>
      <c r="AH823" s="58" t="str">
        <f t="shared" si="619"/>
        <v/>
      </c>
      <c r="AI823" s="21">
        <f t="shared" si="620"/>
        <v>0</v>
      </c>
      <c r="AJ823" s="58" t="str">
        <f t="shared" si="621"/>
        <v/>
      </c>
      <c r="AK823" s="31">
        <f t="shared" si="622"/>
        <v>0</v>
      </c>
      <c r="AL823" s="21">
        <f t="shared" si="623"/>
        <v>0</v>
      </c>
      <c r="AM823" s="62" t="str">
        <f t="shared" si="624"/>
        <v/>
      </c>
      <c r="AN823" s="21">
        <f t="shared" si="625"/>
        <v>0</v>
      </c>
      <c r="AO823" s="62" t="str">
        <f t="shared" si="626"/>
        <v/>
      </c>
      <c r="AP823" s="21">
        <f t="shared" si="627"/>
        <v>0</v>
      </c>
      <c r="AQ823" s="62" t="str">
        <f t="shared" si="628"/>
        <v/>
      </c>
      <c r="AR823" s="31">
        <f t="shared" si="629"/>
        <v>0</v>
      </c>
      <c r="AS823" s="21">
        <f t="shared" si="630"/>
        <v>0</v>
      </c>
      <c r="AT823" s="62" t="str">
        <f t="shared" si="631"/>
        <v/>
      </c>
      <c r="AU823" s="84">
        <f t="shared" si="632"/>
        <v>0</v>
      </c>
      <c r="AV823" s="32">
        <f t="shared" si="633"/>
        <v>0</v>
      </c>
      <c r="AW823" s="85" t="str">
        <f t="shared" si="634"/>
        <v/>
      </c>
      <c r="AX823" s="86" t="str">
        <f t="shared" si="635"/>
        <v/>
      </c>
    </row>
    <row r="824" spans="1:50" x14ac:dyDescent="0.2">
      <c r="A824" s="29" t="str">
        <f t="shared" si="637"/>
        <v/>
      </c>
      <c r="B824" s="32" t="str">
        <f t="shared" si="636"/>
        <v/>
      </c>
      <c r="C824" s="35"/>
      <c r="D824" s="33" t="str">
        <f t="shared" si="595"/>
        <v/>
      </c>
      <c r="E824" s="22" t="str">
        <f t="shared" si="596"/>
        <v/>
      </c>
      <c r="F824" s="23" t="str">
        <f t="shared" si="597"/>
        <v/>
      </c>
      <c r="G824" s="23"/>
      <c r="H824" s="22"/>
      <c r="I824" s="23"/>
      <c r="J824" s="18"/>
      <c r="K824" s="13" t="str">
        <f t="shared" si="598"/>
        <v/>
      </c>
      <c r="L824" s="28" t="str">
        <f t="shared" si="599"/>
        <v/>
      </c>
      <c r="M824" s="10" t="str">
        <f t="shared" si="600"/>
        <v/>
      </c>
      <c r="N824" s="17" t="str">
        <f t="shared" si="601"/>
        <v/>
      </c>
      <c r="O824" s="39" t="str">
        <f t="shared" si="602"/>
        <v/>
      </c>
      <c r="P824" s="41" t="str">
        <f t="shared" si="603"/>
        <v/>
      </c>
      <c r="Q824" s="9" t="str">
        <f t="shared" si="604"/>
        <v/>
      </c>
      <c r="R824" s="14">
        <f t="shared" si="605"/>
        <v>0</v>
      </c>
      <c r="S824" s="61" t="str">
        <f t="shared" si="606"/>
        <v/>
      </c>
      <c r="T824" s="14">
        <f t="shared" si="607"/>
        <v>0</v>
      </c>
      <c r="U824" s="58" t="str">
        <f t="shared" si="608"/>
        <v/>
      </c>
      <c r="V824" s="14">
        <f t="shared" si="609"/>
        <v>0</v>
      </c>
      <c r="W824" s="58" t="str">
        <f t="shared" si="610"/>
        <v/>
      </c>
      <c r="X824" s="14">
        <f t="shared" si="611"/>
        <v>0</v>
      </c>
      <c r="Y824" s="58" t="str">
        <f t="shared" si="612"/>
        <v/>
      </c>
      <c r="Z824" s="31">
        <f t="shared" si="613"/>
        <v>0</v>
      </c>
      <c r="AA824" s="21">
        <f t="shared" si="614"/>
        <v>0</v>
      </c>
      <c r="AB824" s="58" t="str">
        <f t="shared" si="615"/>
        <v/>
      </c>
      <c r="AC824" s="630">
        <f t="shared" si="592"/>
        <v>0</v>
      </c>
      <c r="AD824" s="627"/>
      <c r="AE824" s="21">
        <f t="shared" si="616"/>
        <v>0</v>
      </c>
      <c r="AF824" s="58" t="str">
        <f t="shared" si="617"/>
        <v/>
      </c>
      <c r="AG824" s="21">
        <f t="shared" si="618"/>
        <v>0</v>
      </c>
      <c r="AH824" s="58" t="str">
        <f t="shared" si="619"/>
        <v/>
      </c>
      <c r="AI824" s="21">
        <f t="shared" si="620"/>
        <v>0</v>
      </c>
      <c r="AJ824" s="58" t="str">
        <f t="shared" si="621"/>
        <v/>
      </c>
      <c r="AK824" s="31">
        <f t="shared" si="622"/>
        <v>0</v>
      </c>
      <c r="AL824" s="21">
        <f t="shared" si="623"/>
        <v>0</v>
      </c>
      <c r="AM824" s="62" t="str">
        <f t="shared" si="624"/>
        <v/>
      </c>
      <c r="AN824" s="21">
        <f t="shared" si="625"/>
        <v>0</v>
      </c>
      <c r="AO824" s="62" t="str">
        <f t="shared" si="626"/>
        <v/>
      </c>
      <c r="AP824" s="21">
        <f t="shared" si="627"/>
        <v>0</v>
      </c>
      <c r="AQ824" s="62" t="str">
        <f t="shared" si="628"/>
        <v/>
      </c>
      <c r="AR824" s="31">
        <f t="shared" si="629"/>
        <v>0</v>
      </c>
      <c r="AS824" s="21">
        <f t="shared" si="630"/>
        <v>0</v>
      </c>
      <c r="AT824" s="62" t="str">
        <f t="shared" si="631"/>
        <v/>
      </c>
      <c r="AU824" s="84">
        <f t="shared" si="632"/>
        <v>0</v>
      </c>
      <c r="AV824" s="32">
        <f t="shared" si="633"/>
        <v>0</v>
      </c>
      <c r="AW824" s="85" t="str">
        <f t="shared" si="634"/>
        <v/>
      </c>
      <c r="AX824" s="86" t="str">
        <f t="shared" si="635"/>
        <v/>
      </c>
    </row>
    <row r="825" spans="1:50" x14ac:dyDescent="0.2">
      <c r="A825" s="29" t="str">
        <f t="shared" si="637"/>
        <v/>
      </c>
      <c r="B825" s="32" t="str">
        <f t="shared" si="636"/>
        <v/>
      </c>
      <c r="C825" s="35"/>
      <c r="D825" s="33" t="str">
        <f t="shared" si="595"/>
        <v/>
      </c>
      <c r="E825" s="22" t="str">
        <f t="shared" si="596"/>
        <v/>
      </c>
      <c r="F825" s="23" t="str">
        <f t="shared" si="597"/>
        <v/>
      </c>
      <c r="G825" s="23"/>
      <c r="H825" s="22"/>
      <c r="I825" s="23"/>
      <c r="J825" s="18"/>
      <c r="K825" s="13" t="str">
        <f t="shared" si="598"/>
        <v/>
      </c>
      <c r="L825" s="28" t="str">
        <f t="shared" si="599"/>
        <v/>
      </c>
      <c r="M825" s="10" t="str">
        <f t="shared" si="600"/>
        <v/>
      </c>
      <c r="N825" s="17" t="str">
        <f t="shared" si="601"/>
        <v/>
      </c>
      <c r="O825" s="39" t="str">
        <f t="shared" si="602"/>
        <v/>
      </c>
      <c r="P825" s="41" t="str">
        <f t="shared" si="603"/>
        <v/>
      </c>
      <c r="Q825" s="9" t="str">
        <f t="shared" si="604"/>
        <v/>
      </c>
      <c r="R825" s="14">
        <f t="shared" si="605"/>
        <v>0</v>
      </c>
      <c r="S825" s="61" t="str">
        <f t="shared" si="606"/>
        <v/>
      </c>
      <c r="T825" s="14">
        <f t="shared" si="607"/>
        <v>0</v>
      </c>
      <c r="U825" s="58" t="str">
        <f t="shared" si="608"/>
        <v/>
      </c>
      <c r="V825" s="14">
        <f t="shared" si="609"/>
        <v>0</v>
      </c>
      <c r="W825" s="58" t="str">
        <f t="shared" si="610"/>
        <v/>
      </c>
      <c r="X825" s="14">
        <f t="shared" si="611"/>
        <v>0</v>
      </c>
      <c r="Y825" s="58" t="str">
        <f t="shared" si="612"/>
        <v/>
      </c>
      <c r="Z825" s="31">
        <f t="shared" si="613"/>
        <v>0</v>
      </c>
      <c r="AA825" s="21">
        <f t="shared" si="614"/>
        <v>0</v>
      </c>
      <c r="AB825" s="58" t="str">
        <f t="shared" si="615"/>
        <v/>
      </c>
      <c r="AC825" s="630">
        <f t="shared" si="592"/>
        <v>0</v>
      </c>
      <c r="AD825" s="627"/>
      <c r="AE825" s="21">
        <f t="shared" si="616"/>
        <v>0</v>
      </c>
      <c r="AF825" s="58" t="str">
        <f t="shared" si="617"/>
        <v/>
      </c>
      <c r="AG825" s="21">
        <f t="shared" si="618"/>
        <v>0</v>
      </c>
      <c r="AH825" s="58" t="str">
        <f t="shared" si="619"/>
        <v/>
      </c>
      <c r="AI825" s="21">
        <f t="shared" si="620"/>
        <v>0</v>
      </c>
      <c r="AJ825" s="58" t="str">
        <f t="shared" si="621"/>
        <v/>
      </c>
      <c r="AK825" s="31">
        <f t="shared" si="622"/>
        <v>0</v>
      </c>
      <c r="AL825" s="21">
        <f t="shared" si="623"/>
        <v>0</v>
      </c>
      <c r="AM825" s="62" t="str">
        <f t="shared" si="624"/>
        <v/>
      </c>
      <c r="AN825" s="21">
        <f t="shared" si="625"/>
        <v>0</v>
      </c>
      <c r="AO825" s="62" t="str">
        <f t="shared" si="626"/>
        <v/>
      </c>
      <c r="AP825" s="21">
        <f t="shared" si="627"/>
        <v>0</v>
      </c>
      <c r="AQ825" s="62" t="str">
        <f t="shared" si="628"/>
        <v/>
      </c>
      <c r="AR825" s="31">
        <f t="shared" si="629"/>
        <v>0</v>
      </c>
      <c r="AS825" s="21">
        <f t="shared" si="630"/>
        <v>0</v>
      </c>
      <c r="AT825" s="62" t="str">
        <f t="shared" si="631"/>
        <v/>
      </c>
      <c r="AU825" s="84">
        <f t="shared" si="632"/>
        <v>0</v>
      </c>
      <c r="AV825" s="32">
        <f t="shared" si="633"/>
        <v>0</v>
      </c>
      <c r="AW825" s="85" t="str">
        <f t="shared" si="634"/>
        <v/>
      </c>
      <c r="AX825" s="86" t="str">
        <f t="shared" si="635"/>
        <v/>
      </c>
    </row>
    <row r="826" spans="1:50" x14ac:dyDescent="0.2">
      <c r="A826" s="29" t="str">
        <f t="shared" si="637"/>
        <v/>
      </c>
      <c r="B826" s="32" t="str">
        <f t="shared" si="636"/>
        <v/>
      </c>
      <c r="C826" s="35"/>
      <c r="D826" s="33" t="str">
        <f t="shared" si="595"/>
        <v/>
      </c>
      <c r="E826" s="22" t="str">
        <f t="shared" si="596"/>
        <v/>
      </c>
      <c r="F826" s="23" t="str">
        <f t="shared" si="597"/>
        <v/>
      </c>
      <c r="G826" s="23"/>
      <c r="H826" s="22"/>
      <c r="I826" s="23"/>
      <c r="J826" s="18"/>
      <c r="K826" s="13" t="str">
        <f t="shared" si="598"/>
        <v/>
      </c>
      <c r="L826" s="28" t="str">
        <f t="shared" si="599"/>
        <v/>
      </c>
      <c r="M826" s="10" t="str">
        <f t="shared" si="600"/>
        <v/>
      </c>
      <c r="N826" s="17" t="str">
        <f t="shared" si="601"/>
        <v/>
      </c>
      <c r="O826" s="39" t="str">
        <f t="shared" si="602"/>
        <v/>
      </c>
      <c r="P826" s="41" t="str">
        <f t="shared" si="603"/>
        <v/>
      </c>
      <c r="Q826" s="9" t="str">
        <f t="shared" si="604"/>
        <v/>
      </c>
      <c r="R826" s="14">
        <f t="shared" si="605"/>
        <v>0</v>
      </c>
      <c r="S826" s="61" t="str">
        <f t="shared" si="606"/>
        <v/>
      </c>
      <c r="T826" s="14">
        <f t="shared" si="607"/>
        <v>0</v>
      </c>
      <c r="U826" s="58" t="str">
        <f t="shared" si="608"/>
        <v/>
      </c>
      <c r="V826" s="14">
        <f t="shared" si="609"/>
        <v>0</v>
      </c>
      <c r="W826" s="58" t="str">
        <f t="shared" si="610"/>
        <v/>
      </c>
      <c r="X826" s="14">
        <f t="shared" si="611"/>
        <v>0</v>
      </c>
      <c r="Y826" s="58" t="str">
        <f t="shared" si="612"/>
        <v/>
      </c>
      <c r="Z826" s="31">
        <f t="shared" si="613"/>
        <v>0</v>
      </c>
      <c r="AA826" s="21">
        <f t="shared" si="614"/>
        <v>0</v>
      </c>
      <c r="AB826" s="58" t="str">
        <f t="shared" si="615"/>
        <v/>
      </c>
      <c r="AC826" s="630">
        <f t="shared" si="592"/>
        <v>0</v>
      </c>
      <c r="AD826" s="627"/>
      <c r="AE826" s="21">
        <f t="shared" si="616"/>
        <v>0</v>
      </c>
      <c r="AF826" s="58" t="str">
        <f t="shared" si="617"/>
        <v/>
      </c>
      <c r="AG826" s="21">
        <f t="shared" si="618"/>
        <v>0</v>
      </c>
      <c r="AH826" s="58" t="str">
        <f t="shared" si="619"/>
        <v/>
      </c>
      <c r="AI826" s="21">
        <f t="shared" si="620"/>
        <v>0</v>
      </c>
      <c r="AJ826" s="58" t="str">
        <f t="shared" si="621"/>
        <v/>
      </c>
      <c r="AK826" s="31">
        <f t="shared" si="622"/>
        <v>0</v>
      </c>
      <c r="AL826" s="21">
        <f t="shared" si="623"/>
        <v>0</v>
      </c>
      <c r="AM826" s="62" t="str">
        <f t="shared" si="624"/>
        <v/>
      </c>
      <c r="AN826" s="21">
        <f t="shared" si="625"/>
        <v>0</v>
      </c>
      <c r="AO826" s="62" t="str">
        <f t="shared" si="626"/>
        <v/>
      </c>
      <c r="AP826" s="21">
        <f t="shared" si="627"/>
        <v>0</v>
      </c>
      <c r="AQ826" s="62" t="str">
        <f t="shared" si="628"/>
        <v/>
      </c>
      <c r="AR826" s="31">
        <f t="shared" si="629"/>
        <v>0</v>
      </c>
      <c r="AS826" s="21">
        <f t="shared" si="630"/>
        <v>0</v>
      </c>
      <c r="AT826" s="62" t="str">
        <f t="shared" si="631"/>
        <v/>
      </c>
      <c r="AU826" s="84">
        <f t="shared" si="632"/>
        <v>0</v>
      </c>
      <c r="AV826" s="32">
        <f t="shared" si="633"/>
        <v>0</v>
      </c>
      <c r="AW826" s="85" t="str">
        <f t="shared" si="634"/>
        <v/>
      </c>
      <c r="AX826" s="86" t="str">
        <f t="shared" si="635"/>
        <v/>
      </c>
    </row>
    <row r="827" spans="1:50" x14ac:dyDescent="0.2">
      <c r="A827" s="29" t="str">
        <f t="shared" si="637"/>
        <v/>
      </c>
      <c r="B827" s="32" t="str">
        <f t="shared" si="636"/>
        <v/>
      </c>
      <c r="C827" s="35"/>
      <c r="D827" s="33" t="str">
        <f t="shared" si="595"/>
        <v/>
      </c>
      <c r="E827" s="22" t="str">
        <f t="shared" si="596"/>
        <v/>
      </c>
      <c r="F827" s="23" t="str">
        <f t="shared" si="597"/>
        <v/>
      </c>
      <c r="G827" s="23"/>
      <c r="H827" s="22"/>
      <c r="I827" s="23"/>
      <c r="J827" s="18"/>
      <c r="K827" s="13" t="str">
        <f t="shared" si="598"/>
        <v/>
      </c>
      <c r="L827" s="28" t="str">
        <f t="shared" si="599"/>
        <v/>
      </c>
      <c r="M827" s="10" t="str">
        <f t="shared" si="600"/>
        <v/>
      </c>
      <c r="N827" s="17" t="str">
        <f t="shared" si="601"/>
        <v/>
      </c>
      <c r="O827" s="39" t="str">
        <f t="shared" si="602"/>
        <v/>
      </c>
      <c r="P827" s="41" t="str">
        <f t="shared" si="603"/>
        <v/>
      </c>
      <c r="Q827" s="9" t="str">
        <f t="shared" si="604"/>
        <v/>
      </c>
      <c r="R827" s="14">
        <f t="shared" si="605"/>
        <v>0</v>
      </c>
      <c r="S827" s="61" t="str">
        <f t="shared" si="606"/>
        <v/>
      </c>
      <c r="T827" s="14">
        <f t="shared" si="607"/>
        <v>0</v>
      </c>
      <c r="U827" s="58" t="str">
        <f t="shared" si="608"/>
        <v/>
      </c>
      <c r="V827" s="14">
        <f t="shared" si="609"/>
        <v>0</v>
      </c>
      <c r="W827" s="58" t="str">
        <f t="shared" si="610"/>
        <v/>
      </c>
      <c r="X827" s="14">
        <f t="shared" si="611"/>
        <v>0</v>
      </c>
      <c r="Y827" s="58" t="str">
        <f t="shared" si="612"/>
        <v/>
      </c>
      <c r="Z827" s="31">
        <f t="shared" si="613"/>
        <v>0</v>
      </c>
      <c r="AA827" s="21">
        <f t="shared" si="614"/>
        <v>0</v>
      </c>
      <c r="AB827" s="58" t="str">
        <f t="shared" si="615"/>
        <v/>
      </c>
      <c r="AC827" s="630">
        <f t="shared" si="592"/>
        <v>0</v>
      </c>
      <c r="AD827" s="627"/>
      <c r="AE827" s="21">
        <f t="shared" si="616"/>
        <v>0</v>
      </c>
      <c r="AF827" s="58" t="str">
        <f t="shared" si="617"/>
        <v/>
      </c>
      <c r="AG827" s="21">
        <f t="shared" si="618"/>
        <v>0</v>
      </c>
      <c r="AH827" s="58" t="str">
        <f t="shared" si="619"/>
        <v/>
      </c>
      <c r="AI827" s="21">
        <f t="shared" si="620"/>
        <v>0</v>
      </c>
      <c r="AJ827" s="58" t="str">
        <f t="shared" si="621"/>
        <v/>
      </c>
      <c r="AK827" s="31">
        <f t="shared" si="622"/>
        <v>0</v>
      </c>
      <c r="AL827" s="21">
        <f t="shared" si="623"/>
        <v>0</v>
      </c>
      <c r="AM827" s="62" t="str">
        <f t="shared" si="624"/>
        <v/>
      </c>
      <c r="AN827" s="21">
        <f t="shared" si="625"/>
        <v>0</v>
      </c>
      <c r="AO827" s="62" t="str">
        <f t="shared" si="626"/>
        <v/>
      </c>
      <c r="AP827" s="21">
        <f t="shared" si="627"/>
        <v>0</v>
      </c>
      <c r="AQ827" s="62" t="str">
        <f t="shared" si="628"/>
        <v/>
      </c>
      <c r="AR827" s="31">
        <f t="shared" si="629"/>
        <v>0</v>
      </c>
      <c r="AS827" s="21">
        <f t="shared" si="630"/>
        <v>0</v>
      </c>
      <c r="AT827" s="62" t="str">
        <f t="shared" si="631"/>
        <v/>
      </c>
      <c r="AU827" s="84">
        <f t="shared" si="632"/>
        <v>0</v>
      </c>
      <c r="AV827" s="32">
        <f t="shared" si="633"/>
        <v>0</v>
      </c>
      <c r="AW827" s="85" t="str">
        <f t="shared" si="634"/>
        <v/>
      </c>
      <c r="AX827" s="86" t="str">
        <f t="shared" si="635"/>
        <v/>
      </c>
    </row>
    <row r="828" spans="1:50" x14ac:dyDescent="0.2">
      <c r="A828" s="29" t="str">
        <f t="shared" si="637"/>
        <v/>
      </c>
      <c r="B828" s="32" t="str">
        <f t="shared" si="636"/>
        <v/>
      </c>
      <c r="C828" s="35"/>
      <c r="D828" s="33" t="str">
        <f t="shared" si="595"/>
        <v/>
      </c>
      <c r="E828" s="22" t="str">
        <f t="shared" si="596"/>
        <v/>
      </c>
      <c r="F828" s="23" t="str">
        <f t="shared" si="597"/>
        <v/>
      </c>
      <c r="G828" s="23"/>
      <c r="H828" s="22"/>
      <c r="I828" s="23"/>
      <c r="J828" s="18"/>
      <c r="K828" s="13" t="str">
        <f t="shared" si="598"/>
        <v/>
      </c>
      <c r="L828" s="28" t="str">
        <f t="shared" si="599"/>
        <v/>
      </c>
      <c r="M828" s="10" t="str">
        <f t="shared" si="600"/>
        <v/>
      </c>
      <c r="N828" s="17" t="str">
        <f t="shared" si="601"/>
        <v/>
      </c>
      <c r="O828" s="39" t="str">
        <f t="shared" si="602"/>
        <v/>
      </c>
      <c r="P828" s="41" t="str">
        <f t="shared" si="603"/>
        <v/>
      </c>
      <c r="Q828" s="9" t="str">
        <f t="shared" si="604"/>
        <v/>
      </c>
      <c r="R828" s="14">
        <f t="shared" si="605"/>
        <v>0</v>
      </c>
      <c r="S828" s="61" t="str">
        <f t="shared" si="606"/>
        <v/>
      </c>
      <c r="T828" s="14">
        <f t="shared" si="607"/>
        <v>0</v>
      </c>
      <c r="U828" s="58" t="str">
        <f t="shared" si="608"/>
        <v/>
      </c>
      <c r="V828" s="14">
        <f t="shared" si="609"/>
        <v>0</v>
      </c>
      <c r="W828" s="58" t="str">
        <f t="shared" si="610"/>
        <v/>
      </c>
      <c r="X828" s="14">
        <f t="shared" si="611"/>
        <v>0</v>
      </c>
      <c r="Y828" s="58" t="str">
        <f t="shared" si="612"/>
        <v/>
      </c>
      <c r="Z828" s="31">
        <f t="shared" si="613"/>
        <v>0</v>
      </c>
      <c r="AA828" s="21">
        <f t="shared" si="614"/>
        <v>0</v>
      </c>
      <c r="AB828" s="58" t="str">
        <f t="shared" si="615"/>
        <v/>
      </c>
      <c r="AC828" s="630">
        <f t="shared" si="592"/>
        <v>0</v>
      </c>
      <c r="AD828" s="627"/>
      <c r="AE828" s="21">
        <f t="shared" si="616"/>
        <v>0</v>
      </c>
      <c r="AF828" s="58" t="str">
        <f t="shared" si="617"/>
        <v/>
      </c>
      <c r="AG828" s="21">
        <f t="shared" si="618"/>
        <v>0</v>
      </c>
      <c r="AH828" s="58" t="str">
        <f t="shared" si="619"/>
        <v/>
      </c>
      <c r="AI828" s="21">
        <f t="shared" si="620"/>
        <v>0</v>
      </c>
      <c r="AJ828" s="58" t="str">
        <f t="shared" si="621"/>
        <v/>
      </c>
      <c r="AK828" s="31">
        <f t="shared" si="622"/>
        <v>0</v>
      </c>
      <c r="AL828" s="21">
        <f t="shared" si="623"/>
        <v>0</v>
      </c>
      <c r="AM828" s="62" t="str">
        <f t="shared" si="624"/>
        <v/>
      </c>
      <c r="AN828" s="21">
        <f t="shared" si="625"/>
        <v>0</v>
      </c>
      <c r="AO828" s="62" t="str">
        <f t="shared" si="626"/>
        <v/>
      </c>
      <c r="AP828" s="21">
        <f t="shared" si="627"/>
        <v>0</v>
      </c>
      <c r="AQ828" s="62" t="str">
        <f t="shared" si="628"/>
        <v/>
      </c>
      <c r="AR828" s="31">
        <f t="shared" si="629"/>
        <v>0</v>
      </c>
      <c r="AS828" s="21">
        <f t="shared" si="630"/>
        <v>0</v>
      </c>
      <c r="AT828" s="62" t="str">
        <f t="shared" si="631"/>
        <v/>
      </c>
      <c r="AU828" s="84">
        <f t="shared" si="632"/>
        <v>0</v>
      </c>
      <c r="AV828" s="32">
        <f t="shared" si="633"/>
        <v>0</v>
      </c>
      <c r="AW828" s="85" t="str">
        <f t="shared" si="634"/>
        <v/>
      </c>
      <c r="AX828" s="86" t="str">
        <f t="shared" si="635"/>
        <v/>
      </c>
    </row>
    <row r="829" spans="1:50" x14ac:dyDescent="0.2">
      <c r="A829" s="29" t="str">
        <f t="shared" si="637"/>
        <v/>
      </c>
      <c r="B829" s="32" t="str">
        <f t="shared" si="636"/>
        <v/>
      </c>
      <c r="C829" s="35"/>
      <c r="D829" s="33" t="str">
        <f t="shared" si="595"/>
        <v/>
      </c>
      <c r="E829" s="22" t="str">
        <f t="shared" si="596"/>
        <v/>
      </c>
      <c r="F829" s="23" t="str">
        <f t="shared" si="597"/>
        <v/>
      </c>
      <c r="G829" s="23"/>
      <c r="H829" s="22"/>
      <c r="I829" s="23"/>
      <c r="J829" s="18"/>
      <c r="K829" s="13" t="str">
        <f t="shared" si="598"/>
        <v/>
      </c>
      <c r="L829" s="28" t="str">
        <f t="shared" si="599"/>
        <v/>
      </c>
      <c r="M829" s="10" t="str">
        <f t="shared" si="600"/>
        <v/>
      </c>
      <c r="N829" s="17" t="str">
        <f t="shared" si="601"/>
        <v/>
      </c>
      <c r="O829" s="39" t="str">
        <f t="shared" si="602"/>
        <v/>
      </c>
      <c r="P829" s="41" t="str">
        <f t="shared" si="603"/>
        <v/>
      </c>
      <c r="Q829" s="9" t="str">
        <f t="shared" si="604"/>
        <v/>
      </c>
      <c r="R829" s="14">
        <f t="shared" si="605"/>
        <v>0</v>
      </c>
      <c r="S829" s="61" t="str">
        <f t="shared" si="606"/>
        <v/>
      </c>
      <c r="T829" s="14">
        <f t="shared" si="607"/>
        <v>0</v>
      </c>
      <c r="U829" s="58" t="str">
        <f t="shared" si="608"/>
        <v/>
      </c>
      <c r="V829" s="14">
        <f t="shared" si="609"/>
        <v>0</v>
      </c>
      <c r="W829" s="58" t="str">
        <f t="shared" si="610"/>
        <v/>
      </c>
      <c r="X829" s="14">
        <f t="shared" si="611"/>
        <v>0</v>
      </c>
      <c r="Y829" s="58" t="str">
        <f t="shared" si="612"/>
        <v/>
      </c>
      <c r="Z829" s="31">
        <f t="shared" si="613"/>
        <v>0</v>
      </c>
      <c r="AA829" s="21">
        <f t="shared" si="614"/>
        <v>0</v>
      </c>
      <c r="AB829" s="58" t="str">
        <f t="shared" si="615"/>
        <v/>
      </c>
      <c r="AC829" s="630">
        <f t="shared" si="592"/>
        <v>0</v>
      </c>
      <c r="AD829" s="627"/>
      <c r="AE829" s="21">
        <f t="shared" si="616"/>
        <v>0</v>
      </c>
      <c r="AF829" s="58" t="str">
        <f t="shared" si="617"/>
        <v/>
      </c>
      <c r="AG829" s="21">
        <f t="shared" si="618"/>
        <v>0</v>
      </c>
      <c r="AH829" s="58" t="str">
        <f t="shared" si="619"/>
        <v/>
      </c>
      <c r="AI829" s="21">
        <f t="shared" si="620"/>
        <v>0</v>
      </c>
      <c r="AJ829" s="58" t="str">
        <f t="shared" si="621"/>
        <v/>
      </c>
      <c r="AK829" s="31">
        <f t="shared" si="622"/>
        <v>0</v>
      </c>
      <c r="AL829" s="21">
        <f t="shared" si="623"/>
        <v>0</v>
      </c>
      <c r="AM829" s="62" t="str">
        <f t="shared" si="624"/>
        <v/>
      </c>
      <c r="AN829" s="21">
        <f t="shared" si="625"/>
        <v>0</v>
      </c>
      <c r="AO829" s="62" t="str">
        <f t="shared" si="626"/>
        <v/>
      </c>
      <c r="AP829" s="21">
        <f t="shared" si="627"/>
        <v>0</v>
      </c>
      <c r="AQ829" s="62" t="str">
        <f t="shared" si="628"/>
        <v/>
      </c>
      <c r="AR829" s="31">
        <f t="shared" si="629"/>
        <v>0</v>
      </c>
      <c r="AS829" s="21">
        <f t="shared" si="630"/>
        <v>0</v>
      </c>
      <c r="AT829" s="62" t="str">
        <f t="shared" si="631"/>
        <v/>
      </c>
      <c r="AU829" s="84">
        <f t="shared" si="632"/>
        <v>0</v>
      </c>
      <c r="AV829" s="32">
        <f t="shared" si="633"/>
        <v>0</v>
      </c>
      <c r="AW829" s="85" t="str">
        <f t="shared" si="634"/>
        <v/>
      </c>
      <c r="AX829" s="86" t="str">
        <f t="shared" si="635"/>
        <v/>
      </c>
    </row>
    <row r="830" spans="1:50" x14ac:dyDescent="0.2">
      <c r="A830" s="29" t="str">
        <f t="shared" si="637"/>
        <v/>
      </c>
      <c r="B830" s="32" t="str">
        <f t="shared" si="636"/>
        <v/>
      </c>
      <c r="C830" s="35"/>
      <c r="D830" s="33" t="str">
        <f t="shared" si="595"/>
        <v/>
      </c>
      <c r="E830" s="22" t="str">
        <f t="shared" si="596"/>
        <v/>
      </c>
      <c r="F830" s="23" t="str">
        <f t="shared" si="597"/>
        <v/>
      </c>
      <c r="G830" s="23"/>
      <c r="H830" s="22"/>
      <c r="I830" s="23"/>
      <c r="J830" s="18"/>
      <c r="K830" s="13" t="str">
        <f t="shared" si="598"/>
        <v/>
      </c>
      <c r="L830" s="28" t="str">
        <f t="shared" si="599"/>
        <v/>
      </c>
      <c r="M830" s="10" t="str">
        <f t="shared" si="600"/>
        <v/>
      </c>
      <c r="N830" s="17" t="str">
        <f t="shared" si="601"/>
        <v/>
      </c>
      <c r="O830" s="39" t="str">
        <f t="shared" si="602"/>
        <v/>
      </c>
      <c r="P830" s="41" t="str">
        <f t="shared" si="603"/>
        <v/>
      </c>
      <c r="Q830" s="9" t="str">
        <f t="shared" si="604"/>
        <v/>
      </c>
      <c r="R830" s="14">
        <f t="shared" si="605"/>
        <v>0</v>
      </c>
      <c r="S830" s="61" t="str">
        <f t="shared" si="606"/>
        <v/>
      </c>
      <c r="T830" s="14">
        <f t="shared" si="607"/>
        <v>0</v>
      </c>
      <c r="U830" s="58" t="str">
        <f t="shared" si="608"/>
        <v/>
      </c>
      <c r="V830" s="14">
        <f t="shared" si="609"/>
        <v>0</v>
      </c>
      <c r="W830" s="58" t="str">
        <f t="shared" si="610"/>
        <v/>
      </c>
      <c r="X830" s="14">
        <f t="shared" si="611"/>
        <v>0</v>
      </c>
      <c r="Y830" s="58" t="str">
        <f t="shared" si="612"/>
        <v/>
      </c>
      <c r="Z830" s="31">
        <f t="shared" si="613"/>
        <v>0</v>
      </c>
      <c r="AA830" s="21">
        <f t="shared" si="614"/>
        <v>0</v>
      </c>
      <c r="AB830" s="58" t="str">
        <f t="shared" si="615"/>
        <v/>
      </c>
      <c r="AC830" s="630">
        <f t="shared" si="592"/>
        <v>0</v>
      </c>
      <c r="AD830" s="627"/>
      <c r="AE830" s="21">
        <f t="shared" si="616"/>
        <v>0</v>
      </c>
      <c r="AF830" s="58" t="str">
        <f t="shared" si="617"/>
        <v/>
      </c>
      <c r="AG830" s="21">
        <f t="shared" si="618"/>
        <v>0</v>
      </c>
      <c r="AH830" s="58" t="str">
        <f t="shared" si="619"/>
        <v/>
      </c>
      <c r="AI830" s="21">
        <f t="shared" si="620"/>
        <v>0</v>
      </c>
      <c r="AJ830" s="58" t="str">
        <f t="shared" si="621"/>
        <v/>
      </c>
      <c r="AK830" s="31">
        <f t="shared" si="622"/>
        <v>0</v>
      </c>
      <c r="AL830" s="21">
        <f t="shared" si="623"/>
        <v>0</v>
      </c>
      <c r="AM830" s="62" t="str">
        <f t="shared" si="624"/>
        <v/>
      </c>
      <c r="AN830" s="21">
        <f t="shared" si="625"/>
        <v>0</v>
      </c>
      <c r="AO830" s="62" t="str">
        <f t="shared" si="626"/>
        <v/>
      </c>
      <c r="AP830" s="21">
        <f t="shared" si="627"/>
        <v>0</v>
      </c>
      <c r="AQ830" s="62" t="str">
        <f t="shared" si="628"/>
        <v/>
      </c>
      <c r="AR830" s="31">
        <f t="shared" si="629"/>
        <v>0</v>
      </c>
      <c r="AS830" s="21">
        <f t="shared" si="630"/>
        <v>0</v>
      </c>
      <c r="AT830" s="62" t="str">
        <f t="shared" si="631"/>
        <v/>
      </c>
      <c r="AU830" s="84">
        <f t="shared" si="632"/>
        <v>0</v>
      </c>
      <c r="AV830" s="32">
        <f t="shared" si="633"/>
        <v>0</v>
      </c>
      <c r="AW830" s="85" t="str">
        <f t="shared" si="634"/>
        <v/>
      </c>
      <c r="AX830" s="86" t="str">
        <f t="shared" si="635"/>
        <v/>
      </c>
    </row>
    <row r="831" spans="1:50" x14ac:dyDescent="0.2">
      <c r="A831" s="29" t="str">
        <f t="shared" si="637"/>
        <v/>
      </c>
      <c r="B831" s="32" t="str">
        <f t="shared" si="636"/>
        <v/>
      </c>
      <c r="C831" s="35"/>
      <c r="D831" s="33" t="str">
        <f t="shared" si="595"/>
        <v/>
      </c>
      <c r="E831" s="22" t="str">
        <f t="shared" si="596"/>
        <v/>
      </c>
      <c r="F831" s="23" t="str">
        <f t="shared" si="597"/>
        <v/>
      </c>
      <c r="G831" s="23"/>
      <c r="H831" s="22"/>
      <c r="I831" s="23"/>
      <c r="J831" s="18"/>
      <c r="K831" s="13" t="str">
        <f t="shared" si="598"/>
        <v/>
      </c>
      <c r="L831" s="28" t="str">
        <f t="shared" si="599"/>
        <v/>
      </c>
      <c r="M831" s="10" t="str">
        <f t="shared" si="600"/>
        <v/>
      </c>
      <c r="N831" s="17" t="str">
        <f t="shared" si="601"/>
        <v/>
      </c>
      <c r="O831" s="39" t="str">
        <f t="shared" si="602"/>
        <v/>
      </c>
      <c r="P831" s="41" t="str">
        <f t="shared" si="603"/>
        <v/>
      </c>
      <c r="Q831" s="9" t="str">
        <f t="shared" si="604"/>
        <v/>
      </c>
      <c r="R831" s="14">
        <f t="shared" si="605"/>
        <v>0</v>
      </c>
      <c r="S831" s="61" t="str">
        <f t="shared" si="606"/>
        <v/>
      </c>
      <c r="T831" s="14">
        <f t="shared" si="607"/>
        <v>0</v>
      </c>
      <c r="U831" s="58" t="str">
        <f t="shared" si="608"/>
        <v/>
      </c>
      <c r="V831" s="14">
        <f t="shared" si="609"/>
        <v>0</v>
      </c>
      <c r="W831" s="58" t="str">
        <f t="shared" si="610"/>
        <v/>
      </c>
      <c r="X831" s="14">
        <f t="shared" si="611"/>
        <v>0</v>
      </c>
      <c r="Y831" s="58" t="str">
        <f t="shared" si="612"/>
        <v/>
      </c>
      <c r="Z831" s="31">
        <f t="shared" si="613"/>
        <v>0</v>
      </c>
      <c r="AA831" s="21">
        <f t="shared" si="614"/>
        <v>0</v>
      </c>
      <c r="AB831" s="58" t="str">
        <f t="shared" si="615"/>
        <v/>
      </c>
      <c r="AC831" s="630">
        <f t="shared" si="592"/>
        <v>0</v>
      </c>
      <c r="AD831" s="627"/>
      <c r="AE831" s="21">
        <f t="shared" si="616"/>
        <v>0</v>
      </c>
      <c r="AF831" s="58" t="str">
        <f t="shared" si="617"/>
        <v/>
      </c>
      <c r="AG831" s="21">
        <f t="shared" si="618"/>
        <v>0</v>
      </c>
      <c r="AH831" s="58" t="str">
        <f t="shared" si="619"/>
        <v/>
      </c>
      <c r="AI831" s="21">
        <f t="shared" si="620"/>
        <v>0</v>
      </c>
      <c r="AJ831" s="58" t="str">
        <f t="shared" si="621"/>
        <v/>
      </c>
      <c r="AK831" s="31">
        <f t="shared" si="622"/>
        <v>0</v>
      </c>
      <c r="AL831" s="21">
        <f t="shared" si="623"/>
        <v>0</v>
      </c>
      <c r="AM831" s="62" t="str">
        <f t="shared" si="624"/>
        <v/>
      </c>
      <c r="AN831" s="21">
        <f t="shared" si="625"/>
        <v>0</v>
      </c>
      <c r="AO831" s="62" t="str">
        <f t="shared" si="626"/>
        <v/>
      </c>
      <c r="AP831" s="21">
        <f t="shared" si="627"/>
        <v>0</v>
      </c>
      <c r="AQ831" s="62" t="str">
        <f t="shared" si="628"/>
        <v/>
      </c>
      <c r="AR831" s="31">
        <f t="shared" si="629"/>
        <v>0</v>
      </c>
      <c r="AS831" s="21">
        <f t="shared" si="630"/>
        <v>0</v>
      </c>
      <c r="AT831" s="62" t="str">
        <f t="shared" si="631"/>
        <v/>
      </c>
      <c r="AU831" s="84">
        <f t="shared" si="632"/>
        <v>0</v>
      </c>
      <c r="AV831" s="32">
        <f t="shared" si="633"/>
        <v>0</v>
      </c>
      <c r="AW831" s="85" t="str">
        <f t="shared" si="634"/>
        <v/>
      </c>
      <c r="AX831" s="86" t="str">
        <f t="shared" si="635"/>
        <v/>
      </c>
    </row>
    <row r="832" spans="1:50" x14ac:dyDescent="0.2">
      <c r="A832" s="29" t="str">
        <f t="shared" si="637"/>
        <v/>
      </c>
      <c r="B832" s="32" t="str">
        <f t="shared" si="636"/>
        <v/>
      </c>
      <c r="C832" s="35"/>
      <c r="D832" s="33" t="str">
        <f t="shared" si="595"/>
        <v/>
      </c>
      <c r="E832" s="22" t="str">
        <f t="shared" si="596"/>
        <v/>
      </c>
      <c r="F832" s="23" t="str">
        <f t="shared" si="597"/>
        <v/>
      </c>
      <c r="G832" s="23"/>
      <c r="H832" s="22"/>
      <c r="I832" s="23"/>
      <c r="J832" s="18"/>
      <c r="K832" s="13" t="str">
        <f t="shared" si="598"/>
        <v/>
      </c>
      <c r="L832" s="28" t="str">
        <f t="shared" si="599"/>
        <v/>
      </c>
      <c r="M832" s="10" t="str">
        <f t="shared" si="600"/>
        <v/>
      </c>
      <c r="N832" s="17" t="str">
        <f t="shared" si="601"/>
        <v/>
      </c>
      <c r="O832" s="39" t="str">
        <f t="shared" si="602"/>
        <v/>
      </c>
      <c r="P832" s="41" t="str">
        <f t="shared" si="603"/>
        <v/>
      </c>
      <c r="Q832" s="9" t="str">
        <f t="shared" si="604"/>
        <v/>
      </c>
      <c r="R832" s="14">
        <f t="shared" si="605"/>
        <v>0</v>
      </c>
      <c r="S832" s="61" t="str">
        <f t="shared" si="606"/>
        <v/>
      </c>
      <c r="T832" s="14">
        <f t="shared" si="607"/>
        <v>0</v>
      </c>
      <c r="U832" s="58" t="str">
        <f t="shared" si="608"/>
        <v/>
      </c>
      <c r="V832" s="14">
        <f t="shared" si="609"/>
        <v>0</v>
      </c>
      <c r="W832" s="58" t="str">
        <f t="shared" si="610"/>
        <v/>
      </c>
      <c r="X832" s="14">
        <f t="shared" si="611"/>
        <v>0</v>
      </c>
      <c r="Y832" s="58" t="str">
        <f t="shared" si="612"/>
        <v/>
      </c>
      <c r="Z832" s="31">
        <f t="shared" si="613"/>
        <v>0</v>
      </c>
      <c r="AA832" s="21">
        <f t="shared" si="614"/>
        <v>0</v>
      </c>
      <c r="AB832" s="58" t="str">
        <f t="shared" si="615"/>
        <v/>
      </c>
      <c r="AC832" s="630">
        <f t="shared" si="592"/>
        <v>0</v>
      </c>
      <c r="AD832" s="627"/>
      <c r="AE832" s="21">
        <f t="shared" si="616"/>
        <v>0</v>
      </c>
      <c r="AF832" s="58" t="str">
        <f t="shared" si="617"/>
        <v/>
      </c>
      <c r="AG832" s="21">
        <f t="shared" si="618"/>
        <v>0</v>
      </c>
      <c r="AH832" s="58" t="str">
        <f t="shared" si="619"/>
        <v/>
      </c>
      <c r="AI832" s="21">
        <f t="shared" si="620"/>
        <v>0</v>
      </c>
      <c r="AJ832" s="58" t="str">
        <f t="shared" si="621"/>
        <v/>
      </c>
      <c r="AK832" s="31">
        <f t="shared" si="622"/>
        <v>0</v>
      </c>
      <c r="AL832" s="21">
        <f t="shared" si="623"/>
        <v>0</v>
      </c>
      <c r="AM832" s="62" t="str">
        <f t="shared" si="624"/>
        <v/>
      </c>
      <c r="AN832" s="21">
        <f t="shared" si="625"/>
        <v>0</v>
      </c>
      <c r="AO832" s="62" t="str">
        <f t="shared" si="626"/>
        <v/>
      </c>
      <c r="AP832" s="21">
        <f t="shared" si="627"/>
        <v>0</v>
      </c>
      <c r="AQ832" s="62" t="str">
        <f t="shared" si="628"/>
        <v/>
      </c>
      <c r="AR832" s="31">
        <f t="shared" si="629"/>
        <v>0</v>
      </c>
      <c r="AS832" s="21">
        <f t="shared" si="630"/>
        <v>0</v>
      </c>
      <c r="AT832" s="62" t="str">
        <f t="shared" si="631"/>
        <v/>
      </c>
      <c r="AU832" s="84">
        <f t="shared" si="632"/>
        <v>0</v>
      </c>
      <c r="AV832" s="32">
        <f t="shared" si="633"/>
        <v>0</v>
      </c>
      <c r="AW832" s="85" t="str">
        <f t="shared" si="634"/>
        <v/>
      </c>
      <c r="AX832" s="86" t="str">
        <f t="shared" si="635"/>
        <v/>
      </c>
    </row>
    <row r="833" spans="1:50" x14ac:dyDescent="0.2">
      <c r="A833" s="29" t="str">
        <f t="shared" si="637"/>
        <v/>
      </c>
      <c r="B833" s="32" t="str">
        <f t="shared" si="636"/>
        <v/>
      </c>
      <c r="C833" s="35"/>
      <c r="D833" s="33" t="str">
        <f t="shared" si="595"/>
        <v/>
      </c>
      <c r="E833" s="22" t="str">
        <f t="shared" si="596"/>
        <v/>
      </c>
      <c r="F833" s="23" t="str">
        <f t="shared" si="597"/>
        <v/>
      </c>
      <c r="G833" s="23"/>
      <c r="H833" s="22"/>
      <c r="I833" s="23"/>
      <c r="J833" s="18"/>
      <c r="K833" s="13" t="str">
        <f t="shared" si="598"/>
        <v/>
      </c>
      <c r="L833" s="28" t="str">
        <f t="shared" si="599"/>
        <v/>
      </c>
      <c r="M833" s="10" t="str">
        <f t="shared" si="600"/>
        <v/>
      </c>
      <c r="N833" s="17" t="str">
        <f t="shared" si="601"/>
        <v/>
      </c>
      <c r="O833" s="39" t="str">
        <f t="shared" si="602"/>
        <v/>
      </c>
      <c r="P833" s="41" t="str">
        <f t="shared" si="603"/>
        <v/>
      </c>
      <c r="Q833" s="9" t="str">
        <f t="shared" si="604"/>
        <v/>
      </c>
      <c r="R833" s="14">
        <f t="shared" si="605"/>
        <v>0</v>
      </c>
      <c r="S833" s="61" t="str">
        <f t="shared" si="606"/>
        <v/>
      </c>
      <c r="T833" s="14">
        <f t="shared" si="607"/>
        <v>0</v>
      </c>
      <c r="U833" s="58" t="str">
        <f t="shared" si="608"/>
        <v/>
      </c>
      <c r="V833" s="14">
        <f t="shared" si="609"/>
        <v>0</v>
      </c>
      <c r="W833" s="58" t="str">
        <f t="shared" si="610"/>
        <v/>
      </c>
      <c r="X833" s="14">
        <f t="shared" si="611"/>
        <v>0</v>
      </c>
      <c r="Y833" s="58" t="str">
        <f t="shared" si="612"/>
        <v/>
      </c>
      <c r="Z833" s="31">
        <f t="shared" si="613"/>
        <v>0</v>
      </c>
      <c r="AA833" s="21">
        <f t="shared" si="614"/>
        <v>0</v>
      </c>
      <c r="AB833" s="58" t="str">
        <f t="shared" si="615"/>
        <v/>
      </c>
      <c r="AC833" s="630">
        <f t="shared" si="592"/>
        <v>0</v>
      </c>
      <c r="AD833" s="627"/>
      <c r="AE833" s="21">
        <f t="shared" si="616"/>
        <v>0</v>
      </c>
      <c r="AF833" s="58" t="str">
        <f t="shared" si="617"/>
        <v/>
      </c>
      <c r="AG833" s="21">
        <f t="shared" si="618"/>
        <v>0</v>
      </c>
      <c r="AH833" s="58" t="str">
        <f t="shared" si="619"/>
        <v/>
      </c>
      <c r="AI833" s="21">
        <f t="shared" si="620"/>
        <v>0</v>
      </c>
      <c r="AJ833" s="58" t="str">
        <f t="shared" si="621"/>
        <v/>
      </c>
      <c r="AK833" s="31">
        <f t="shared" si="622"/>
        <v>0</v>
      </c>
      <c r="AL833" s="21">
        <f t="shared" si="623"/>
        <v>0</v>
      </c>
      <c r="AM833" s="62" t="str">
        <f t="shared" si="624"/>
        <v/>
      </c>
      <c r="AN833" s="21">
        <f t="shared" si="625"/>
        <v>0</v>
      </c>
      <c r="AO833" s="62" t="str">
        <f t="shared" si="626"/>
        <v/>
      </c>
      <c r="AP833" s="21">
        <f t="shared" si="627"/>
        <v>0</v>
      </c>
      <c r="AQ833" s="62" t="str">
        <f t="shared" si="628"/>
        <v/>
      </c>
      <c r="AR833" s="31">
        <f t="shared" si="629"/>
        <v>0</v>
      </c>
      <c r="AS833" s="21">
        <f t="shared" si="630"/>
        <v>0</v>
      </c>
      <c r="AT833" s="62" t="str">
        <f t="shared" si="631"/>
        <v/>
      </c>
      <c r="AU833" s="84">
        <f t="shared" si="632"/>
        <v>0</v>
      </c>
      <c r="AV833" s="32">
        <f t="shared" si="633"/>
        <v>0</v>
      </c>
      <c r="AW833" s="85" t="str">
        <f t="shared" si="634"/>
        <v/>
      </c>
      <c r="AX833" s="86" t="str">
        <f t="shared" si="635"/>
        <v/>
      </c>
    </row>
    <row r="834" spans="1:50" x14ac:dyDescent="0.2">
      <c r="A834" s="29" t="str">
        <f t="shared" si="637"/>
        <v/>
      </c>
      <c r="B834" s="32" t="str">
        <f t="shared" si="636"/>
        <v/>
      </c>
      <c r="C834" s="35"/>
      <c r="D834" s="33" t="str">
        <f t="shared" si="595"/>
        <v/>
      </c>
      <c r="E834" s="22" t="str">
        <f t="shared" si="596"/>
        <v/>
      </c>
      <c r="F834" s="23" t="str">
        <f t="shared" si="597"/>
        <v/>
      </c>
      <c r="G834" s="23"/>
      <c r="H834" s="22"/>
      <c r="I834" s="23"/>
      <c r="J834" s="18"/>
      <c r="K834" s="13" t="str">
        <f t="shared" si="598"/>
        <v/>
      </c>
      <c r="L834" s="28" t="str">
        <f t="shared" si="599"/>
        <v/>
      </c>
      <c r="M834" s="10" t="str">
        <f t="shared" si="600"/>
        <v/>
      </c>
      <c r="N834" s="17" t="str">
        <f t="shared" si="601"/>
        <v/>
      </c>
      <c r="O834" s="39" t="str">
        <f t="shared" si="602"/>
        <v/>
      </c>
      <c r="P834" s="41" t="str">
        <f t="shared" si="603"/>
        <v/>
      </c>
      <c r="Q834" s="9" t="str">
        <f t="shared" si="604"/>
        <v/>
      </c>
      <c r="R834" s="14">
        <f t="shared" si="605"/>
        <v>0</v>
      </c>
      <c r="S834" s="61" t="str">
        <f t="shared" si="606"/>
        <v/>
      </c>
      <c r="T834" s="14">
        <f t="shared" si="607"/>
        <v>0</v>
      </c>
      <c r="U834" s="58" t="str">
        <f t="shared" si="608"/>
        <v/>
      </c>
      <c r="V834" s="14">
        <f t="shared" si="609"/>
        <v>0</v>
      </c>
      <c r="W834" s="58" t="str">
        <f t="shared" si="610"/>
        <v/>
      </c>
      <c r="X834" s="14">
        <f t="shared" si="611"/>
        <v>0</v>
      </c>
      <c r="Y834" s="58" t="str">
        <f t="shared" si="612"/>
        <v/>
      </c>
      <c r="Z834" s="31">
        <f t="shared" si="613"/>
        <v>0</v>
      </c>
      <c r="AA834" s="21">
        <f t="shared" si="614"/>
        <v>0</v>
      </c>
      <c r="AB834" s="58" t="str">
        <f t="shared" si="615"/>
        <v/>
      </c>
      <c r="AC834" s="630">
        <f t="shared" si="592"/>
        <v>0</v>
      </c>
      <c r="AD834" s="627"/>
      <c r="AE834" s="21">
        <f t="shared" si="616"/>
        <v>0</v>
      </c>
      <c r="AF834" s="58" t="str">
        <f t="shared" si="617"/>
        <v/>
      </c>
      <c r="AG834" s="21">
        <f t="shared" si="618"/>
        <v>0</v>
      </c>
      <c r="AH834" s="58" t="str">
        <f t="shared" si="619"/>
        <v/>
      </c>
      <c r="AI834" s="21">
        <f t="shared" si="620"/>
        <v>0</v>
      </c>
      <c r="AJ834" s="58" t="str">
        <f t="shared" si="621"/>
        <v/>
      </c>
      <c r="AK834" s="31">
        <f t="shared" si="622"/>
        <v>0</v>
      </c>
      <c r="AL834" s="21">
        <f t="shared" si="623"/>
        <v>0</v>
      </c>
      <c r="AM834" s="62" t="str">
        <f t="shared" si="624"/>
        <v/>
      </c>
      <c r="AN834" s="21">
        <f t="shared" si="625"/>
        <v>0</v>
      </c>
      <c r="AO834" s="62" t="str">
        <f t="shared" si="626"/>
        <v/>
      </c>
      <c r="AP834" s="21">
        <f t="shared" si="627"/>
        <v>0</v>
      </c>
      <c r="AQ834" s="62" t="str">
        <f t="shared" si="628"/>
        <v/>
      </c>
      <c r="AR834" s="31">
        <f t="shared" si="629"/>
        <v>0</v>
      </c>
      <c r="AS834" s="21">
        <f t="shared" si="630"/>
        <v>0</v>
      </c>
      <c r="AT834" s="62" t="str">
        <f t="shared" si="631"/>
        <v/>
      </c>
      <c r="AU834" s="84">
        <f t="shared" si="632"/>
        <v>0</v>
      </c>
      <c r="AV834" s="32">
        <f t="shared" si="633"/>
        <v>0</v>
      </c>
      <c r="AW834" s="85" t="str">
        <f t="shared" si="634"/>
        <v/>
      </c>
      <c r="AX834" s="86" t="str">
        <f t="shared" si="635"/>
        <v/>
      </c>
    </row>
    <row r="835" spans="1:50" x14ac:dyDescent="0.2">
      <c r="A835" s="29" t="str">
        <f t="shared" si="637"/>
        <v/>
      </c>
      <c r="B835" s="32" t="str">
        <f t="shared" si="636"/>
        <v/>
      </c>
      <c r="C835" s="35"/>
      <c r="D835" s="33" t="str">
        <f t="shared" si="595"/>
        <v/>
      </c>
      <c r="E835" s="22" t="str">
        <f t="shared" si="596"/>
        <v/>
      </c>
      <c r="F835" s="23" t="str">
        <f t="shared" si="597"/>
        <v/>
      </c>
      <c r="G835" s="23"/>
      <c r="H835" s="22"/>
      <c r="I835" s="23"/>
      <c r="J835" s="18"/>
      <c r="K835" s="13" t="str">
        <f t="shared" si="598"/>
        <v/>
      </c>
      <c r="L835" s="28" t="str">
        <f t="shared" si="599"/>
        <v/>
      </c>
      <c r="M835" s="10" t="str">
        <f t="shared" si="600"/>
        <v/>
      </c>
      <c r="N835" s="17" t="str">
        <f t="shared" si="601"/>
        <v/>
      </c>
      <c r="O835" s="39" t="str">
        <f t="shared" si="602"/>
        <v/>
      </c>
      <c r="P835" s="41" t="str">
        <f t="shared" si="603"/>
        <v/>
      </c>
      <c r="Q835" s="9" t="str">
        <f t="shared" si="604"/>
        <v/>
      </c>
      <c r="R835" s="14">
        <f t="shared" si="605"/>
        <v>0</v>
      </c>
      <c r="S835" s="61" t="str">
        <f t="shared" si="606"/>
        <v/>
      </c>
      <c r="T835" s="14">
        <f t="shared" si="607"/>
        <v>0</v>
      </c>
      <c r="U835" s="58" t="str">
        <f t="shared" si="608"/>
        <v/>
      </c>
      <c r="V835" s="14">
        <f t="shared" si="609"/>
        <v>0</v>
      </c>
      <c r="W835" s="58" t="str">
        <f t="shared" si="610"/>
        <v/>
      </c>
      <c r="X835" s="14">
        <f t="shared" si="611"/>
        <v>0</v>
      </c>
      <c r="Y835" s="58" t="str">
        <f t="shared" si="612"/>
        <v/>
      </c>
      <c r="Z835" s="31">
        <f t="shared" si="613"/>
        <v>0</v>
      </c>
      <c r="AA835" s="21">
        <f t="shared" si="614"/>
        <v>0</v>
      </c>
      <c r="AB835" s="58" t="str">
        <f t="shared" si="615"/>
        <v/>
      </c>
      <c r="AC835" s="630">
        <f t="shared" si="592"/>
        <v>0</v>
      </c>
      <c r="AD835" s="627"/>
      <c r="AE835" s="21">
        <f t="shared" si="616"/>
        <v>0</v>
      </c>
      <c r="AF835" s="58" t="str">
        <f t="shared" si="617"/>
        <v/>
      </c>
      <c r="AG835" s="21">
        <f t="shared" si="618"/>
        <v>0</v>
      </c>
      <c r="AH835" s="58" t="str">
        <f t="shared" si="619"/>
        <v/>
      </c>
      <c r="AI835" s="21">
        <f t="shared" si="620"/>
        <v>0</v>
      </c>
      <c r="AJ835" s="58" t="str">
        <f t="shared" si="621"/>
        <v/>
      </c>
      <c r="AK835" s="31">
        <f t="shared" si="622"/>
        <v>0</v>
      </c>
      <c r="AL835" s="21">
        <f t="shared" si="623"/>
        <v>0</v>
      </c>
      <c r="AM835" s="62" t="str">
        <f t="shared" si="624"/>
        <v/>
      </c>
      <c r="AN835" s="21">
        <f t="shared" si="625"/>
        <v>0</v>
      </c>
      <c r="AO835" s="62" t="str">
        <f t="shared" si="626"/>
        <v/>
      </c>
      <c r="AP835" s="21">
        <f t="shared" si="627"/>
        <v>0</v>
      </c>
      <c r="AQ835" s="62" t="str">
        <f t="shared" si="628"/>
        <v/>
      </c>
      <c r="AR835" s="31">
        <f t="shared" si="629"/>
        <v>0</v>
      </c>
      <c r="AS835" s="21">
        <f t="shared" si="630"/>
        <v>0</v>
      </c>
      <c r="AT835" s="62" t="str">
        <f t="shared" si="631"/>
        <v/>
      </c>
      <c r="AU835" s="84">
        <f t="shared" si="632"/>
        <v>0</v>
      </c>
      <c r="AV835" s="32">
        <f t="shared" si="633"/>
        <v>0</v>
      </c>
      <c r="AW835" s="85" t="str">
        <f t="shared" si="634"/>
        <v/>
      </c>
      <c r="AX835" s="86" t="str">
        <f t="shared" si="635"/>
        <v/>
      </c>
    </row>
    <row r="836" spans="1:50" x14ac:dyDescent="0.2">
      <c r="A836" s="29" t="str">
        <f t="shared" si="637"/>
        <v/>
      </c>
      <c r="B836" s="32" t="str">
        <f t="shared" si="636"/>
        <v/>
      </c>
      <c r="C836" s="35"/>
      <c r="D836" s="33" t="str">
        <f t="shared" si="595"/>
        <v/>
      </c>
      <c r="E836" s="22" t="str">
        <f t="shared" si="596"/>
        <v/>
      </c>
      <c r="F836" s="23" t="str">
        <f t="shared" si="597"/>
        <v/>
      </c>
      <c r="G836" s="23"/>
      <c r="H836" s="22"/>
      <c r="I836" s="23"/>
      <c r="J836" s="18"/>
      <c r="K836" s="13" t="str">
        <f t="shared" si="598"/>
        <v/>
      </c>
      <c r="L836" s="28" t="str">
        <f t="shared" si="599"/>
        <v/>
      </c>
      <c r="M836" s="10" t="str">
        <f t="shared" si="600"/>
        <v/>
      </c>
      <c r="N836" s="17" t="str">
        <f t="shared" si="601"/>
        <v/>
      </c>
      <c r="O836" s="39" t="str">
        <f t="shared" si="602"/>
        <v/>
      </c>
      <c r="P836" s="41" t="str">
        <f t="shared" si="603"/>
        <v/>
      </c>
      <c r="Q836" s="9" t="str">
        <f t="shared" si="604"/>
        <v/>
      </c>
      <c r="R836" s="14">
        <f t="shared" si="605"/>
        <v>0</v>
      </c>
      <c r="S836" s="61" t="str">
        <f t="shared" si="606"/>
        <v/>
      </c>
      <c r="T836" s="14">
        <f t="shared" si="607"/>
        <v>0</v>
      </c>
      <c r="U836" s="58" t="str">
        <f t="shared" si="608"/>
        <v/>
      </c>
      <c r="V836" s="14">
        <f t="shared" si="609"/>
        <v>0</v>
      </c>
      <c r="W836" s="58" t="str">
        <f t="shared" si="610"/>
        <v/>
      </c>
      <c r="X836" s="14">
        <f t="shared" si="611"/>
        <v>0</v>
      </c>
      <c r="Y836" s="58" t="str">
        <f t="shared" si="612"/>
        <v/>
      </c>
      <c r="Z836" s="31">
        <f t="shared" si="613"/>
        <v>0</v>
      </c>
      <c r="AA836" s="21">
        <f t="shared" si="614"/>
        <v>0</v>
      </c>
      <c r="AB836" s="58" t="str">
        <f t="shared" si="615"/>
        <v/>
      </c>
      <c r="AC836" s="630">
        <f t="shared" si="592"/>
        <v>0</v>
      </c>
      <c r="AD836" s="627"/>
      <c r="AE836" s="21">
        <f t="shared" si="616"/>
        <v>0</v>
      </c>
      <c r="AF836" s="58" t="str">
        <f t="shared" si="617"/>
        <v/>
      </c>
      <c r="AG836" s="21">
        <f t="shared" si="618"/>
        <v>0</v>
      </c>
      <c r="AH836" s="58" t="str">
        <f t="shared" si="619"/>
        <v/>
      </c>
      <c r="AI836" s="21">
        <f t="shared" si="620"/>
        <v>0</v>
      </c>
      <c r="AJ836" s="58" t="str">
        <f t="shared" si="621"/>
        <v/>
      </c>
      <c r="AK836" s="31">
        <f t="shared" si="622"/>
        <v>0</v>
      </c>
      <c r="AL836" s="21">
        <f t="shared" si="623"/>
        <v>0</v>
      </c>
      <c r="AM836" s="62" t="str">
        <f t="shared" si="624"/>
        <v/>
      </c>
      <c r="AN836" s="21">
        <f t="shared" si="625"/>
        <v>0</v>
      </c>
      <c r="AO836" s="62" t="str">
        <f t="shared" si="626"/>
        <v/>
      </c>
      <c r="AP836" s="21">
        <f t="shared" si="627"/>
        <v>0</v>
      </c>
      <c r="AQ836" s="62" t="str">
        <f t="shared" si="628"/>
        <v/>
      </c>
      <c r="AR836" s="31">
        <f t="shared" si="629"/>
        <v>0</v>
      </c>
      <c r="AS836" s="21">
        <f t="shared" si="630"/>
        <v>0</v>
      </c>
      <c r="AT836" s="62" t="str">
        <f t="shared" si="631"/>
        <v/>
      </c>
      <c r="AU836" s="84">
        <f t="shared" si="632"/>
        <v>0</v>
      </c>
      <c r="AV836" s="32">
        <f t="shared" si="633"/>
        <v>0</v>
      </c>
      <c r="AW836" s="85" t="str">
        <f t="shared" si="634"/>
        <v/>
      </c>
      <c r="AX836" s="86" t="str">
        <f t="shared" si="635"/>
        <v/>
      </c>
    </row>
    <row r="837" spans="1:50" x14ac:dyDescent="0.2">
      <c r="A837" s="29" t="str">
        <f t="shared" si="637"/>
        <v/>
      </c>
      <c r="B837" s="32" t="str">
        <f t="shared" si="636"/>
        <v/>
      </c>
      <c r="C837" s="35"/>
      <c r="D837" s="33" t="str">
        <f t="shared" si="595"/>
        <v/>
      </c>
      <c r="E837" s="22" t="str">
        <f t="shared" si="596"/>
        <v/>
      </c>
      <c r="F837" s="23" t="str">
        <f t="shared" si="597"/>
        <v/>
      </c>
      <c r="G837" s="23"/>
      <c r="H837" s="22"/>
      <c r="I837" s="23"/>
      <c r="J837" s="18"/>
      <c r="K837" s="13" t="str">
        <f t="shared" si="598"/>
        <v/>
      </c>
      <c r="L837" s="28" t="str">
        <f t="shared" si="599"/>
        <v/>
      </c>
      <c r="M837" s="10" t="str">
        <f t="shared" si="600"/>
        <v/>
      </c>
      <c r="N837" s="17" t="str">
        <f t="shared" si="601"/>
        <v/>
      </c>
      <c r="O837" s="39" t="str">
        <f t="shared" si="602"/>
        <v/>
      </c>
      <c r="P837" s="41" t="str">
        <f t="shared" si="603"/>
        <v/>
      </c>
      <c r="Q837" s="9" t="str">
        <f t="shared" si="604"/>
        <v/>
      </c>
      <c r="R837" s="14">
        <f t="shared" si="605"/>
        <v>0</v>
      </c>
      <c r="S837" s="61" t="str">
        <f t="shared" si="606"/>
        <v/>
      </c>
      <c r="T837" s="14">
        <f t="shared" si="607"/>
        <v>0</v>
      </c>
      <c r="U837" s="58" t="str">
        <f t="shared" si="608"/>
        <v/>
      </c>
      <c r="V837" s="14">
        <f t="shared" si="609"/>
        <v>0</v>
      </c>
      <c r="W837" s="58" t="str">
        <f t="shared" si="610"/>
        <v/>
      </c>
      <c r="X837" s="14">
        <f t="shared" si="611"/>
        <v>0</v>
      </c>
      <c r="Y837" s="58" t="str">
        <f t="shared" si="612"/>
        <v/>
      </c>
      <c r="Z837" s="31">
        <f t="shared" si="613"/>
        <v>0</v>
      </c>
      <c r="AA837" s="21">
        <f t="shared" si="614"/>
        <v>0</v>
      </c>
      <c r="AB837" s="58" t="str">
        <f t="shared" si="615"/>
        <v/>
      </c>
      <c r="AC837" s="630">
        <f t="shared" si="592"/>
        <v>0</v>
      </c>
      <c r="AD837" s="627"/>
      <c r="AE837" s="21">
        <f t="shared" si="616"/>
        <v>0</v>
      </c>
      <c r="AF837" s="58" t="str">
        <f t="shared" si="617"/>
        <v/>
      </c>
      <c r="AG837" s="21">
        <f t="shared" si="618"/>
        <v>0</v>
      </c>
      <c r="AH837" s="58" t="str">
        <f t="shared" si="619"/>
        <v/>
      </c>
      <c r="AI837" s="21">
        <f t="shared" si="620"/>
        <v>0</v>
      </c>
      <c r="AJ837" s="58" t="str">
        <f t="shared" si="621"/>
        <v/>
      </c>
      <c r="AK837" s="31">
        <f t="shared" si="622"/>
        <v>0</v>
      </c>
      <c r="AL837" s="21">
        <f t="shared" si="623"/>
        <v>0</v>
      </c>
      <c r="AM837" s="62" t="str">
        <f t="shared" si="624"/>
        <v/>
      </c>
      <c r="AN837" s="21">
        <f t="shared" si="625"/>
        <v>0</v>
      </c>
      <c r="AO837" s="62" t="str">
        <f t="shared" si="626"/>
        <v/>
      </c>
      <c r="AP837" s="21">
        <f t="shared" si="627"/>
        <v>0</v>
      </c>
      <c r="AQ837" s="62" t="str">
        <f t="shared" si="628"/>
        <v/>
      </c>
      <c r="AR837" s="31">
        <f t="shared" si="629"/>
        <v>0</v>
      </c>
      <c r="AS837" s="21">
        <f t="shared" si="630"/>
        <v>0</v>
      </c>
      <c r="AT837" s="62" t="str">
        <f t="shared" si="631"/>
        <v/>
      </c>
      <c r="AU837" s="84">
        <f t="shared" si="632"/>
        <v>0</v>
      </c>
      <c r="AV837" s="32">
        <f t="shared" si="633"/>
        <v>0</v>
      </c>
      <c r="AW837" s="85" t="str">
        <f t="shared" si="634"/>
        <v/>
      </c>
      <c r="AX837" s="86" t="str">
        <f t="shared" si="635"/>
        <v/>
      </c>
    </row>
    <row r="838" spans="1:50" x14ac:dyDescent="0.2">
      <c r="A838" s="29" t="str">
        <f t="shared" si="637"/>
        <v/>
      </c>
      <c r="B838" s="32" t="str">
        <f t="shared" si="636"/>
        <v/>
      </c>
      <c r="C838" s="35"/>
      <c r="D838" s="33" t="str">
        <f t="shared" si="595"/>
        <v/>
      </c>
      <c r="E838" s="22" t="str">
        <f t="shared" si="596"/>
        <v/>
      </c>
      <c r="F838" s="23" t="str">
        <f t="shared" si="597"/>
        <v/>
      </c>
      <c r="G838" s="23"/>
      <c r="H838" s="22"/>
      <c r="I838" s="23"/>
      <c r="J838" s="18"/>
      <c r="K838" s="13" t="str">
        <f t="shared" si="598"/>
        <v/>
      </c>
      <c r="L838" s="28" t="str">
        <f t="shared" si="599"/>
        <v/>
      </c>
      <c r="M838" s="10" t="str">
        <f t="shared" si="600"/>
        <v/>
      </c>
      <c r="N838" s="17" t="str">
        <f t="shared" si="601"/>
        <v/>
      </c>
      <c r="O838" s="39" t="str">
        <f t="shared" si="602"/>
        <v/>
      </c>
      <c r="P838" s="41" t="str">
        <f t="shared" si="603"/>
        <v/>
      </c>
      <c r="Q838" s="9" t="str">
        <f t="shared" si="604"/>
        <v/>
      </c>
      <c r="R838" s="14">
        <f t="shared" si="605"/>
        <v>0</v>
      </c>
      <c r="S838" s="61" t="str">
        <f t="shared" si="606"/>
        <v/>
      </c>
      <c r="T838" s="14">
        <f t="shared" si="607"/>
        <v>0</v>
      </c>
      <c r="U838" s="58" t="str">
        <f t="shared" si="608"/>
        <v/>
      </c>
      <c r="V838" s="14">
        <f t="shared" si="609"/>
        <v>0</v>
      </c>
      <c r="W838" s="58" t="str">
        <f t="shared" si="610"/>
        <v/>
      </c>
      <c r="X838" s="14">
        <f t="shared" si="611"/>
        <v>0</v>
      </c>
      <c r="Y838" s="58" t="str">
        <f t="shared" si="612"/>
        <v/>
      </c>
      <c r="Z838" s="31">
        <f t="shared" si="613"/>
        <v>0</v>
      </c>
      <c r="AA838" s="21">
        <f t="shared" si="614"/>
        <v>0</v>
      </c>
      <c r="AB838" s="58" t="str">
        <f t="shared" si="615"/>
        <v/>
      </c>
      <c r="AC838" s="630">
        <f t="shared" si="592"/>
        <v>0</v>
      </c>
      <c r="AD838" s="627"/>
      <c r="AE838" s="21">
        <f t="shared" si="616"/>
        <v>0</v>
      </c>
      <c r="AF838" s="58" t="str">
        <f t="shared" si="617"/>
        <v/>
      </c>
      <c r="AG838" s="21">
        <f t="shared" si="618"/>
        <v>0</v>
      </c>
      <c r="AH838" s="58" t="str">
        <f t="shared" si="619"/>
        <v/>
      </c>
      <c r="AI838" s="21">
        <f t="shared" si="620"/>
        <v>0</v>
      </c>
      <c r="AJ838" s="58" t="str">
        <f t="shared" si="621"/>
        <v/>
      </c>
      <c r="AK838" s="31">
        <f t="shared" si="622"/>
        <v>0</v>
      </c>
      <c r="AL838" s="21">
        <f t="shared" si="623"/>
        <v>0</v>
      </c>
      <c r="AM838" s="62" t="str">
        <f t="shared" si="624"/>
        <v/>
      </c>
      <c r="AN838" s="21">
        <f t="shared" si="625"/>
        <v>0</v>
      </c>
      <c r="AO838" s="62" t="str">
        <f t="shared" si="626"/>
        <v/>
      </c>
      <c r="AP838" s="21">
        <f t="shared" si="627"/>
        <v>0</v>
      </c>
      <c r="AQ838" s="62" t="str">
        <f t="shared" si="628"/>
        <v/>
      </c>
      <c r="AR838" s="31">
        <f t="shared" si="629"/>
        <v>0</v>
      </c>
      <c r="AS838" s="21">
        <f t="shared" si="630"/>
        <v>0</v>
      </c>
      <c r="AT838" s="62" t="str">
        <f t="shared" si="631"/>
        <v/>
      </c>
      <c r="AU838" s="84">
        <f t="shared" si="632"/>
        <v>0</v>
      </c>
      <c r="AV838" s="32">
        <f t="shared" si="633"/>
        <v>0</v>
      </c>
      <c r="AW838" s="85" t="str">
        <f t="shared" si="634"/>
        <v/>
      </c>
      <c r="AX838" s="86" t="str">
        <f t="shared" si="635"/>
        <v/>
      </c>
    </row>
    <row r="839" spans="1:50" x14ac:dyDescent="0.2">
      <c r="A839" s="29" t="str">
        <f t="shared" si="637"/>
        <v/>
      </c>
      <c r="B839" s="32" t="str">
        <f t="shared" si="636"/>
        <v/>
      </c>
      <c r="C839" s="35"/>
      <c r="D839" s="33" t="str">
        <f t="shared" si="595"/>
        <v/>
      </c>
      <c r="E839" s="22" t="str">
        <f t="shared" si="596"/>
        <v/>
      </c>
      <c r="F839" s="23" t="str">
        <f t="shared" si="597"/>
        <v/>
      </c>
      <c r="G839" s="23"/>
      <c r="H839" s="22"/>
      <c r="I839" s="23"/>
      <c r="J839" s="18"/>
      <c r="K839" s="13" t="str">
        <f t="shared" si="598"/>
        <v/>
      </c>
      <c r="L839" s="28" t="str">
        <f t="shared" si="599"/>
        <v/>
      </c>
      <c r="M839" s="10" t="str">
        <f t="shared" si="600"/>
        <v/>
      </c>
      <c r="N839" s="17" t="str">
        <f t="shared" si="601"/>
        <v/>
      </c>
      <c r="O839" s="39" t="str">
        <f t="shared" si="602"/>
        <v/>
      </c>
      <c r="P839" s="41" t="str">
        <f t="shared" si="603"/>
        <v/>
      </c>
      <c r="Q839" s="9" t="str">
        <f t="shared" si="604"/>
        <v/>
      </c>
      <c r="R839" s="14">
        <f t="shared" si="605"/>
        <v>0</v>
      </c>
      <c r="S839" s="61" t="str">
        <f t="shared" si="606"/>
        <v/>
      </c>
      <c r="T839" s="14">
        <f t="shared" si="607"/>
        <v>0</v>
      </c>
      <c r="U839" s="58" t="str">
        <f t="shared" si="608"/>
        <v/>
      </c>
      <c r="V839" s="14">
        <f t="shared" si="609"/>
        <v>0</v>
      </c>
      <c r="W839" s="58" t="str">
        <f t="shared" si="610"/>
        <v/>
      </c>
      <c r="X839" s="14">
        <f t="shared" si="611"/>
        <v>0</v>
      </c>
      <c r="Y839" s="58" t="str">
        <f t="shared" si="612"/>
        <v/>
      </c>
      <c r="Z839" s="31">
        <f t="shared" si="613"/>
        <v>0</v>
      </c>
      <c r="AA839" s="21">
        <f t="shared" si="614"/>
        <v>0</v>
      </c>
      <c r="AB839" s="58" t="str">
        <f t="shared" si="615"/>
        <v/>
      </c>
      <c r="AC839" s="630">
        <f t="shared" si="592"/>
        <v>0</v>
      </c>
      <c r="AD839" s="627"/>
      <c r="AE839" s="21">
        <f t="shared" si="616"/>
        <v>0</v>
      </c>
      <c r="AF839" s="58" t="str">
        <f t="shared" si="617"/>
        <v/>
      </c>
      <c r="AG839" s="21">
        <f t="shared" si="618"/>
        <v>0</v>
      </c>
      <c r="AH839" s="58" t="str">
        <f t="shared" si="619"/>
        <v/>
      </c>
      <c r="AI839" s="21">
        <f t="shared" si="620"/>
        <v>0</v>
      </c>
      <c r="AJ839" s="58" t="str">
        <f t="shared" si="621"/>
        <v/>
      </c>
      <c r="AK839" s="31">
        <f t="shared" si="622"/>
        <v>0</v>
      </c>
      <c r="AL839" s="21">
        <f t="shared" si="623"/>
        <v>0</v>
      </c>
      <c r="AM839" s="62" t="str">
        <f t="shared" si="624"/>
        <v/>
      </c>
      <c r="AN839" s="21">
        <f t="shared" si="625"/>
        <v>0</v>
      </c>
      <c r="AO839" s="62" t="str">
        <f t="shared" si="626"/>
        <v/>
      </c>
      <c r="AP839" s="21">
        <f t="shared" si="627"/>
        <v>0</v>
      </c>
      <c r="AQ839" s="62" t="str">
        <f t="shared" si="628"/>
        <v/>
      </c>
      <c r="AR839" s="31">
        <f t="shared" si="629"/>
        <v>0</v>
      </c>
      <c r="AS839" s="21">
        <f t="shared" si="630"/>
        <v>0</v>
      </c>
      <c r="AT839" s="62" t="str">
        <f t="shared" si="631"/>
        <v/>
      </c>
      <c r="AU839" s="84">
        <f t="shared" si="632"/>
        <v>0</v>
      </c>
      <c r="AV839" s="32">
        <f t="shared" si="633"/>
        <v>0</v>
      </c>
      <c r="AW839" s="85" t="str">
        <f t="shared" si="634"/>
        <v/>
      </c>
      <c r="AX839" s="86" t="str">
        <f t="shared" si="635"/>
        <v/>
      </c>
    </row>
    <row r="840" spans="1:50" x14ac:dyDescent="0.2">
      <c r="A840" s="29" t="str">
        <f t="shared" si="637"/>
        <v/>
      </c>
      <c r="B840" s="32" t="str">
        <f t="shared" si="636"/>
        <v/>
      </c>
      <c r="C840" s="35"/>
      <c r="D840" s="33" t="str">
        <f t="shared" si="595"/>
        <v/>
      </c>
      <c r="E840" s="22" t="str">
        <f t="shared" si="596"/>
        <v/>
      </c>
      <c r="F840" s="23" t="str">
        <f t="shared" si="597"/>
        <v/>
      </c>
      <c r="G840" s="23"/>
      <c r="H840" s="22"/>
      <c r="I840" s="23"/>
      <c r="J840" s="18"/>
      <c r="K840" s="13" t="str">
        <f t="shared" si="598"/>
        <v/>
      </c>
      <c r="L840" s="28" t="str">
        <f t="shared" si="599"/>
        <v/>
      </c>
      <c r="M840" s="10" t="str">
        <f t="shared" si="600"/>
        <v/>
      </c>
      <c r="N840" s="17" t="str">
        <f t="shared" si="601"/>
        <v/>
      </c>
      <c r="O840" s="39" t="str">
        <f t="shared" si="602"/>
        <v/>
      </c>
      <c r="P840" s="41" t="str">
        <f t="shared" si="603"/>
        <v/>
      </c>
      <c r="Q840" s="9" t="str">
        <f t="shared" si="604"/>
        <v/>
      </c>
      <c r="R840" s="14">
        <f t="shared" si="605"/>
        <v>0</v>
      </c>
      <c r="S840" s="61" t="str">
        <f t="shared" si="606"/>
        <v/>
      </c>
      <c r="T840" s="14">
        <f t="shared" si="607"/>
        <v>0</v>
      </c>
      <c r="U840" s="58" t="str">
        <f t="shared" si="608"/>
        <v/>
      </c>
      <c r="V840" s="14">
        <f t="shared" si="609"/>
        <v>0</v>
      </c>
      <c r="W840" s="58" t="str">
        <f t="shared" si="610"/>
        <v/>
      </c>
      <c r="X840" s="14">
        <f t="shared" si="611"/>
        <v>0</v>
      </c>
      <c r="Y840" s="58" t="str">
        <f t="shared" si="612"/>
        <v/>
      </c>
      <c r="Z840" s="31">
        <f t="shared" si="613"/>
        <v>0</v>
      </c>
      <c r="AA840" s="21">
        <f t="shared" si="614"/>
        <v>0</v>
      </c>
      <c r="AB840" s="58" t="str">
        <f t="shared" si="615"/>
        <v/>
      </c>
      <c r="AC840" s="630">
        <f t="shared" si="592"/>
        <v>0</v>
      </c>
      <c r="AD840" s="627"/>
      <c r="AE840" s="21">
        <f t="shared" si="616"/>
        <v>0</v>
      </c>
      <c r="AF840" s="58" t="str">
        <f t="shared" si="617"/>
        <v/>
      </c>
      <c r="AG840" s="21">
        <f t="shared" si="618"/>
        <v>0</v>
      </c>
      <c r="AH840" s="58" t="str">
        <f t="shared" si="619"/>
        <v/>
      </c>
      <c r="AI840" s="21">
        <f t="shared" si="620"/>
        <v>0</v>
      </c>
      <c r="AJ840" s="58" t="str">
        <f t="shared" si="621"/>
        <v/>
      </c>
      <c r="AK840" s="31">
        <f t="shared" si="622"/>
        <v>0</v>
      </c>
      <c r="AL840" s="21">
        <f t="shared" si="623"/>
        <v>0</v>
      </c>
      <c r="AM840" s="62" t="str">
        <f t="shared" si="624"/>
        <v/>
      </c>
      <c r="AN840" s="21">
        <f t="shared" si="625"/>
        <v>0</v>
      </c>
      <c r="AO840" s="62" t="str">
        <f t="shared" si="626"/>
        <v/>
      </c>
      <c r="AP840" s="21">
        <f t="shared" si="627"/>
        <v>0</v>
      </c>
      <c r="AQ840" s="62" t="str">
        <f t="shared" si="628"/>
        <v/>
      </c>
      <c r="AR840" s="31">
        <f t="shared" si="629"/>
        <v>0</v>
      </c>
      <c r="AS840" s="21">
        <f t="shared" si="630"/>
        <v>0</v>
      </c>
      <c r="AT840" s="62" t="str">
        <f t="shared" si="631"/>
        <v/>
      </c>
      <c r="AU840" s="84">
        <f t="shared" si="632"/>
        <v>0</v>
      </c>
      <c r="AV840" s="32">
        <f t="shared" si="633"/>
        <v>0</v>
      </c>
      <c r="AW840" s="85" t="str">
        <f t="shared" si="634"/>
        <v/>
      </c>
      <c r="AX840" s="86" t="str">
        <f t="shared" si="635"/>
        <v/>
      </c>
    </row>
    <row r="841" spans="1:50" x14ac:dyDescent="0.2">
      <c r="A841" s="29" t="str">
        <f t="shared" si="637"/>
        <v/>
      </c>
      <c r="B841" s="32" t="str">
        <f t="shared" si="636"/>
        <v/>
      </c>
      <c r="C841" s="35"/>
      <c r="D841" s="33" t="str">
        <f t="shared" si="595"/>
        <v/>
      </c>
      <c r="E841" s="22" t="str">
        <f t="shared" si="596"/>
        <v/>
      </c>
      <c r="F841" s="23" t="str">
        <f t="shared" si="597"/>
        <v/>
      </c>
      <c r="G841" s="23"/>
      <c r="H841" s="22"/>
      <c r="I841" s="23"/>
      <c r="J841" s="18"/>
      <c r="K841" s="13" t="str">
        <f t="shared" si="598"/>
        <v/>
      </c>
      <c r="L841" s="28" t="str">
        <f t="shared" si="599"/>
        <v/>
      </c>
      <c r="M841" s="10" t="str">
        <f t="shared" si="600"/>
        <v/>
      </c>
      <c r="N841" s="17" t="str">
        <f t="shared" si="601"/>
        <v/>
      </c>
      <c r="O841" s="39" t="str">
        <f t="shared" si="602"/>
        <v/>
      </c>
      <c r="P841" s="41" t="str">
        <f t="shared" si="603"/>
        <v/>
      </c>
      <c r="Q841" s="9" t="str">
        <f t="shared" si="604"/>
        <v/>
      </c>
      <c r="R841" s="14">
        <f t="shared" si="605"/>
        <v>0</v>
      </c>
      <c r="S841" s="61" t="str">
        <f t="shared" si="606"/>
        <v/>
      </c>
      <c r="T841" s="14">
        <f t="shared" si="607"/>
        <v>0</v>
      </c>
      <c r="U841" s="58" t="str">
        <f t="shared" si="608"/>
        <v/>
      </c>
      <c r="V841" s="14">
        <f t="shared" si="609"/>
        <v>0</v>
      </c>
      <c r="W841" s="58" t="str">
        <f t="shared" si="610"/>
        <v/>
      </c>
      <c r="X841" s="14">
        <f t="shared" si="611"/>
        <v>0</v>
      </c>
      <c r="Y841" s="58" t="str">
        <f t="shared" si="612"/>
        <v/>
      </c>
      <c r="Z841" s="31">
        <f t="shared" si="613"/>
        <v>0</v>
      </c>
      <c r="AA841" s="21">
        <f t="shared" si="614"/>
        <v>0</v>
      </c>
      <c r="AB841" s="58" t="str">
        <f t="shared" si="615"/>
        <v/>
      </c>
      <c r="AC841" s="630">
        <f t="shared" si="592"/>
        <v>0</v>
      </c>
      <c r="AD841" s="627"/>
      <c r="AE841" s="21">
        <f t="shared" si="616"/>
        <v>0</v>
      </c>
      <c r="AF841" s="58" t="str">
        <f t="shared" si="617"/>
        <v/>
      </c>
      <c r="AG841" s="21">
        <f t="shared" si="618"/>
        <v>0</v>
      </c>
      <c r="AH841" s="58" t="str">
        <f t="shared" si="619"/>
        <v/>
      </c>
      <c r="AI841" s="21">
        <f t="shared" si="620"/>
        <v>0</v>
      </c>
      <c r="AJ841" s="58" t="str">
        <f t="shared" si="621"/>
        <v/>
      </c>
      <c r="AK841" s="31">
        <f t="shared" si="622"/>
        <v>0</v>
      </c>
      <c r="AL841" s="21">
        <f t="shared" si="623"/>
        <v>0</v>
      </c>
      <c r="AM841" s="62" t="str">
        <f t="shared" si="624"/>
        <v/>
      </c>
      <c r="AN841" s="21">
        <f t="shared" si="625"/>
        <v>0</v>
      </c>
      <c r="AO841" s="62" t="str">
        <f t="shared" si="626"/>
        <v/>
      </c>
      <c r="AP841" s="21">
        <f t="shared" si="627"/>
        <v>0</v>
      </c>
      <c r="AQ841" s="62" t="str">
        <f t="shared" si="628"/>
        <v/>
      </c>
      <c r="AR841" s="31">
        <f t="shared" si="629"/>
        <v>0</v>
      </c>
      <c r="AS841" s="21">
        <f t="shared" si="630"/>
        <v>0</v>
      </c>
      <c r="AT841" s="62" t="str">
        <f t="shared" si="631"/>
        <v/>
      </c>
      <c r="AU841" s="84">
        <f t="shared" si="632"/>
        <v>0</v>
      </c>
      <c r="AV841" s="32">
        <f t="shared" si="633"/>
        <v>0</v>
      </c>
      <c r="AW841" s="85" t="str">
        <f t="shared" si="634"/>
        <v/>
      </c>
      <c r="AX841" s="86" t="str">
        <f t="shared" si="635"/>
        <v/>
      </c>
    </row>
    <row r="842" spans="1:50" x14ac:dyDescent="0.2">
      <c r="A842" s="29" t="str">
        <f t="shared" si="637"/>
        <v/>
      </c>
      <c r="B842" s="32" t="str">
        <f t="shared" si="636"/>
        <v/>
      </c>
      <c r="C842" s="35"/>
      <c r="D842" s="33" t="str">
        <f t="shared" si="595"/>
        <v/>
      </c>
      <c r="E842" s="22" t="str">
        <f t="shared" si="596"/>
        <v/>
      </c>
      <c r="F842" s="23" t="str">
        <f t="shared" si="597"/>
        <v/>
      </c>
      <c r="G842" s="23"/>
      <c r="H842" s="22"/>
      <c r="I842" s="23"/>
      <c r="J842" s="18"/>
      <c r="K842" s="13" t="str">
        <f t="shared" si="598"/>
        <v/>
      </c>
      <c r="L842" s="28" t="str">
        <f t="shared" si="599"/>
        <v/>
      </c>
      <c r="M842" s="10" t="str">
        <f t="shared" si="600"/>
        <v/>
      </c>
      <c r="N842" s="17" t="str">
        <f t="shared" si="601"/>
        <v/>
      </c>
      <c r="O842" s="39" t="str">
        <f t="shared" si="602"/>
        <v/>
      </c>
      <c r="P842" s="41" t="str">
        <f t="shared" si="603"/>
        <v/>
      </c>
      <c r="Q842" s="9" t="str">
        <f t="shared" si="604"/>
        <v/>
      </c>
      <c r="R842" s="14">
        <f t="shared" si="605"/>
        <v>0</v>
      </c>
      <c r="S842" s="61" t="str">
        <f t="shared" si="606"/>
        <v/>
      </c>
      <c r="T842" s="14">
        <f t="shared" si="607"/>
        <v>0</v>
      </c>
      <c r="U842" s="58" t="str">
        <f t="shared" si="608"/>
        <v/>
      </c>
      <c r="V842" s="14">
        <f t="shared" si="609"/>
        <v>0</v>
      </c>
      <c r="W842" s="58" t="str">
        <f t="shared" si="610"/>
        <v/>
      </c>
      <c r="X842" s="14">
        <f t="shared" si="611"/>
        <v>0</v>
      </c>
      <c r="Y842" s="58" t="str">
        <f t="shared" si="612"/>
        <v/>
      </c>
      <c r="Z842" s="31">
        <f t="shared" si="613"/>
        <v>0</v>
      </c>
      <c r="AA842" s="21">
        <f t="shared" si="614"/>
        <v>0</v>
      </c>
      <c r="AB842" s="58" t="str">
        <f t="shared" si="615"/>
        <v/>
      </c>
      <c r="AC842" s="630">
        <f t="shared" si="592"/>
        <v>0</v>
      </c>
      <c r="AD842" s="627"/>
      <c r="AE842" s="21">
        <f t="shared" si="616"/>
        <v>0</v>
      </c>
      <c r="AF842" s="58" t="str">
        <f t="shared" si="617"/>
        <v/>
      </c>
      <c r="AG842" s="21">
        <f t="shared" si="618"/>
        <v>0</v>
      </c>
      <c r="AH842" s="58" t="str">
        <f t="shared" si="619"/>
        <v/>
      </c>
      <c r="AI842" s="21">
        <f t="shared" si="620"/>
        <v>0</v>
      </c>
      <c r="AJ842" s="58" t="str">
        <f t="shared" si="621"/>
        <v/>
      </c>
      <c r="AK842" s="31">
        <f t="shared" si="622"/>
        <v>0</v>
      </c>
      <c r="AL842" s="21">
        <f t="shared" si="623"/>
        <v>0</v>
      </c>
      <c r="AM842" s="62" t="str">
        <f t="shared" si="624"/>
        <v/>
      </c>
      <c r="AN842" s="21">
        <f t="shared" si="625"/>
        <v>0</v>
      </c>
      <c r="AO842" s="62" t="str">
        <f t="shared" si="626"/>
        <v/>
      </c>
      <c r="AP842" s="21">
        <f t="shared" si="627"/>
        <v>0</v>
      </c>
      <c r="AQ842" s="62" t="str">
        <f t="shared" si="628"/>
        <v/>
      </c>
      <c r="AR842" s="31">
        <f t="shared" si="629"/>
        <v>0</v>
      </c>
      <c r="AS842" s="21">
        <f t="shared" si="630"/>
        <v>0</v>
      </c>
      <c r="AT842" s="62" t="str">
        <f t="shared" si="631"/>
        <v/>
      </c>
      <c r="AU842" s="84">
        <f t="shared" si="632"/>
        <v>0</v>
      </c>
      <c r="AV842" s="32">
        <f t="shared" si="633"/>
        <v>0</v>
      </c>
      <c r="AW842" s="85" t="str">
        <f t="shared" si="634"/>
        <v/>
      </c>
      <c r="AX842" s="86" t="str">
        <f t="shared" si="635"/>
        <v/>
      </c>
    </row>
    <row r="843" spans="1:50" x14ac:dyDescent="0.2">
      <c r="A843" s="29" t="str">
        <f t="shared" si="637"/>
        <v/>
      </c>
      <c r="B843" s="32" t="str">
        <f t="shared" si="636"/>
        <v/>
      </c>
      <c r="C843" s="35"/>
      <c r="D843" s="33" t="str">
        <f t="shared" si="595"/>
        <v/>
      </c>
      <c r="E843" s="22" t="str">
        <f t="shared" si="596"/>
        <v/>
      </c>
      <c r="F843" s="23" t="str">
        <f t="shared" si="597"/>
        <v/>
      </c>
      <c r="G843" s="23"/>
      <c r="H843" s="22"/>
      <c r="I843" s="23"/>
      <c r="J843" s="18"/>
      <c r="K843" s="13" t="str">
        <f t="shared" si="598"/>
        <v/>
      </c>
      <c r="L843" s="28" t="str">
        <f t="shared" si="599"/>
        <v/>
      </c>
      <c r="M843" s="10" t="str">
        <f t="shared" si="600"/>
        <v/>
      </c>
      <c r="N843" s="17" t="str">
        <f t="shared" si="601"/>
        <v/>
      </c>
      <c r="O843" s="39" t="str">
        <f t="shared" si="602"/>
        <v/>
      </c>
      <c r="P843" s="41" t="str">
        <f t="shared" si="603"/>
        <v/>
      </c>
      <c r="Q843" s="9" t="str">
        <f t="shared" si="604"/>
        <v/>
      </c>
      <c r="R843" s="14">
        <f t="shared" si="605"/>
        <v>0</v>
      </c>
      <c r="S843" s="61" t="str">
        <f t="shared" si="606"/>
        <v/>
      </c>
      <c r="T843" s="14">
        <f t="shared" si="607"/>
        <v>0</v>
      </c>
      <c r="U843" s="58" t="str">
        <f t="shared" si="608"/>
        <v/>
      </c>
      <c r="V843" s="14">
        <f t="shared" si="609"/>
        <v>0</v>
      </c>
      <c r="W843" s="58" t="str">
        <f t="shared" si="610"/>
        <v/>
      </c>
      <c r="X843" s="14">
        <f t="shared" si="611"/>
        <v>0</v>
      </c>
      <c r="Y843" s="58" t="str">
        <f t="shared" si="612"/>
        <v/>
      </c>
      <c r="Z843" s="31">
        <f t="shared" si="613"/>
        <v>0</v>
      </c>
      <c r="AA843" s="21">
        <f t="shared" si="614"/>
        <v>0</v>
      </c>
      <c r="AB843" s="58" t="str">
        <f t="shared" si="615"/>
        <v/>
      </c>
      <c r="AC843" s="630">
        <f t="shared" si="592"/>
        <v>0</v>
      </c>
      <c r="AD843" s="627"/>
      <c r="AE843" s="21">
        <f t="shared" si="616"/>
        <v>0</v>
      </c>
      <c r="AF843" s="58" t="str">
        <f t="shared" si="617"/>
        <v/>
      </c>
      <c r="AG843" s="21">
        <f t="shared" si="618"/>
        <v>0</v>
      </c>
      <c r="AH843" s="58" t="str">
        <f t="shared" si="619"/>
        <v/>
      </c>
      <c r="AI843" s="21">
        <f t="shared" si="620"/>
        <v>0</v>
      </c>
      <c r="AJ843" s="58" t="str">
        <f t="shared" si="621"/>
        <v/>
      </c>
      <c r="AK843" s="31">
        <f t="shared" si="622"/>
        <v>0</v>
      </c>
      <c r="AL843" s="21">
        <f t="shared" si="623"/>
        <v>0</v>
      </c>
      <c r="AM843" s="62" t="str">
        <f t="shared" si="624"/>
        <v/>
      </c>
      <c r="AN843" s="21">
        <f t="shared" si="625"/>
        <v>0</v>
      </c>
      <c r="AO843" s="62" t="str">
        <f t="shared" si="626"/>
        <v/>
      </c>
      <c r="AP843" s="21">
        <f t="shared" si="627"/>
        <v>0</v>
      </c>
      <c r="AQ843" s="62" t="str">
        <f t="shared" si="628"/>
        <v/>
      </c>
      <c r="AR843" s="31">
        <f t="shared" si="629"/>
        <v>0</v>
      </c>
      <c r="AS843" s="21">
        <f t="shared" si="630"/>
        <v>0</v>
      </c>
      <c r="AT843" s="62" t="str">
        <f t="shared" si="631"/>
        <v/>
      </c>
      <c r="AU843" s="84">
        <f t="shared" si="632"/>
        <v>0</v>
      </c>
      <c r="AV843" s="32">
        <f t="shared" si="633"/>
        <v>0</v>
      </c>
      <c r="AW843" s="85" t="str">
        <f t="shared" si="634"/>
        <v/>
      </c>
      <c r="AX843" s="86" t="str">
        <f t="shared" si="635"/>
        <v/>
      </c>
    </row>
    <row r="844" spans="1:50" x14ac:dyDescent="0.2">
      <c r="A844" s="29" t="str">
        <f t="shared" si="637"/>
        <v/>
      </c>
      <c r="B844" s="32" t="str">
        <f t="shared" si="636"/>
        <v/>
      </c>
      <c r="C844" s="35"/>
      <c r="D844" s="33" t="str">
        <f t="shared" si="595"/>
        <v/>
      </c>
      <c r="E844" s="22" t="str">
        <f t="shared" si="596"/>
        <v/>
      </c>
      <c r="F844" s="23" t="str">
        <f t="shared" si="597"/>
        <v/>
      </c>
      <c r="G844" s="23"/>
      <c r="H844" s="22"/>
      <c r="I844" s="23"/>
      <c r="J844" s="18"/>
      <c r="K844" s="13" t="str">
        <f t="shared" si="598"/>
        <v/>
      </c>
      <c r="L844" s="28" t="str">
        <f t="shared" si="599"/>
        <v/>
      </c>
      <c r="M844" s="10" t="str">
        <f t="shared" si="600"/>
        <v/>
      </c>
      <c r="N844" s="17" t="str">
        <f t="shared" si="601"/>
        <v/>
      </c>
      <c r="O844" s="39" t="str">
        <f t="shared" si="602"/>
        <v/>
      </c>
      <c r="P844" s="41" t="str">
        <f t="shared" si="603"/>
        <v/>
      </c>
      <c r="Q844" s="9" t="str">
        <f t="shared" si="604"/>
        <v/>
      </c>
      <c r="R844" s="14">
        <f t="shared" si="605"/>
        <v>0</v>
      </c>
      <c r="S844" s="61" t="str">
        <f t="shared" si="606"/>
        <v/>
      </c>
      <c r="T844" s="14">
        <f t="shared" si="607"/>
        <v>0</v>
      </c>
      <c r="U844" s="58" t="str">
        <f t="shared" si="608"/>
        <v/>
      </c>
      <c r="V844" s="14">
        <f t="shared" si="609"/>
        <v>0</v>
      </c>
      <c r="W844" s="58" t="str">
        <f t="shared" si="610"/>
        <v/>
      </c>
      <c r="X844" s="14">
        <f t="shared" si="611"/>
        <v>0</v>
      </c>
      <c r="Y844" s="58" t="str">
        <f t="shared" si="612"/>
        <v/>
      </c>
      <c r="Z844" s="31">
        <f t="shared" si="613"/>
        <v>0</v>
      </c>
      <c r="AA844" s="21">
        <f t="shared" si="614"/>
        <v>0</v>
      </c>
      <c r="AB844" s="58" t="str">
        <f t="shared" si="615"/>
        <v/>
      </c>
      <c r="AC844" s="630">
        <f t="shared" si="592"/>
        <v>0</v>
      </c>
      <c r="AD844" s="627"/>
      <c r="AE844" s="21">
        <f t="shared" si="616"/>
        <v>0</v>
      </c>
      <c r="AF844" s="58" t="str">
        <f t="shared" si="617"/>
        <v/>
      </c>
      <c r="AG844" s="21">
        <f t="shared" si="618"/>
        <v>0</v>
      </c>
      <c r="AH844" s="58" t="str">
        <f t="shared" si="619"/>
        <v/>
      </c>
      <c r="AI844" s="21">
        <f t="shared" si="620"/>
        <v>0</v>
      </c>
      <c r="AJ844" s="58" t="str">
        <f t="shared" si="621"/>
        <v/>
      </c>
      <c r="AK844" s="31">
        <f t="shared" si="622"/>
        <v>0</v>
      </c>
      <c r="AL844" s="21">
        <f t="shared" si="623"/>
        <v>0</v>
      </c>
      <c r="AM844" s="62" t="str">
        <f t="shared" si="624"/>
        <v/>
      </c>
      <c r="AN844" s="21">
        <f t="shared" si="625"/>
        <v>0</v>
      </c>
      <c r="AO844" s="62" t="str">
        <f t="shared" si="626"/>
        <v/>
      </c>
      <c r="AP844" s="21">
        <f t="shared" si="627"/>
        <v>0</v>
      </c>
      <c r="AQ844" s="62" t="str">
        <f t="shared" si="628"/>
        <v/>
      </c>
      <c r="AR844" s="31">
        <f t="shared" si="629"/>
        <v>0</v>
      </c>
      <c r="AS844" s="21">
        <f t="shared" si="630"/>
        <v>0</v>
      </c>
      <c r="AT844" s="62" t="str">
        <f t="shared" si="631"/>
        <v/>
      </c>
      <c r="AU844" s="84">
        <f t="shared" si="632"/>
        <v>0</v>
      </c>
      <c r="AV844" s="32">
        <f t="shared" si="633"/>
        <v>0</v>
      </c>
      <c r="AW844" s="85" t="str">
        <f t="shared" si="634"/>
        <v/>
      </c>
      <c r="AX844" s="86" t="str">
        <f t="shared" si="635"/>
        <v/>
      </c>
    </row>
    <row r="845" spans="1:50" x14ac:dyDescent="0.2">
      <c r="A845" s="29" t="str">
        <f t="shared" si="637"/>
        <v/>
      </c>
      <c r="B845" s="32" t="str">
        <f t="shared" si="636"/>
        <v/>
      </c>
      <c r="C845" s="35"/>
      <c r="D845" s="33" t="str">
        <f t="shared" si="595"/>
        <v/>
      </c>
      <c r="E845" s="22" t="str">
        <f t="shared" si="596"/>
        <v/>
      </c>
      <c r="F845" s="23" t="str">
        <f t="shared" si="597"/>
        <v/>
      </c>
      <c r="G845" s="23"/>
      <c r="H845" s="22"/>
      <c r="I845" s="23"/>
      <c r="J845" s="18"/>
      <c r="K845" s="13" t="str">
        <f t="shared" si="598"/>
        <v/>
      </c>
      <c r="L845" s="28" t="str">
        <f t="shared" si="599"/>
        <v/>
      </c>
      <c r="M845" s="10" t="str">
        <f t="shared" si="600"/>
        <v/>
      </c>
      <c r="N845" s="17" t="str">
        <f t="shared" si="601"/>
        <v/>
      </c>
      <c r="O845" s="39" t="str">
        <f t="shared" si="602"/>
        <v/>
      </c>
      <c r="P845" s="41" t="str">
        <f t="shared" si="603"/>
        <v/>
      </c>
      <c r="Q845" s="9" t="str">
        <f t="shared" si="604"/>
        <v/>
      </c>
      <c r="R845" s="14">
        <f t="shared" si="605"/>
        <v>0</v>
      </c>
      <c r="S845" s="61" t="str">
        <f t="shared" si="606"/>
        <v/>
      </c>
      <c r="T845" s="14">
        <f t="shared" si="607"/>
        <v>0</v>
      </c>
      <c r="U845" s="58" t="str">
        <f t="shared" si="608"/>
        <v/>
      </c>
      <c r="V845" s="14">
        <f t="shared" si="609"/>
        <v>0</v>
      </c>
      <c r="W845" s="58" t="str">
        <f t="shared" si="610"/>
        <v/>
      </c>
      <c r="X845" s="14">
        <f t="shared" si="611"/>
        <v>0</v>
      </c>
      <c r="Y845" s="58" t="str">
        <f t="shared" si="612"/>
        <v/>
      </c>
      <c r="Z845" s="31">
        <f t="shared" si="613"/>
        <v>0</v>
      </c>
      <c r="AA845" s="21">
        <f t="shared" si="614"/>
        <v>0</v>
      </c>
      <c r="AB845" s="58" t="str">
        <f t="shared" si="615"/>
        <v/>
      </c>
      <c r="AC845" s="630">
        <f t="shared" si="592"/>
        <v>0</v>
      </c>
      <c r="AD845" s="627"/>
      <c r="AE845" s="21">
        <f t="shared" si="616"/>
        <v>0</v>
      </c>
      <c r="AF845" s="58" t="str">
        <f t="shared" si="617"/>
        <v/>
      </c>
      <c r="AG845" s="21">
        <f t="shared" si="618"/>
        <v>0</v>
      </c>
      <c r="AH845" s="58" t="str">
        <f t="shared" si="619"/>
        <v/>
      </c>
      <c r="AI845" s="21">
        <f t="shared" si="620"/>
        <v>0</v>
      </c>
      <c r="AJ845" s="58" t="str">
        <f t="shared" si="621"/>
        <v/>
      </c>
      <c r="AK845" s="31">
        <f t="shared" si="622"/>
        <v>0</v>
      </c>
      <c r="AL845" s="21">
        <f t="shared" si="623"/>
        <v>0</v>
      </c>
      <c r="AM845" s="62" t="str">
        <f t="shared" si="624"/>
        <v/>
      </c>
      <c r="AN845" s="21">
        <f t="shared" si="625"/>
        <v>0</v>
      </c>
      <c r="AO845" s="62" t="str">
        <f t="shared" si="626"/>
        <v/>
      </c>
      <c r="AP845" s="21">
        <f t="shared" si="627"/>
        <v>0</v>
      </c>
      <c r="AQ845" s="62" t="str">
        <f t="shared" si="628"/>
        <v/>
      </c>
      <c r="AR845" s="31">
        <f t="shared" si="629"/>
        <v>0</v>
      </c>
      <c r="AS845" s="21">
        <f t="shared" si="630"/>
        <v>0</v>
      </c>
      <c r="AT845" s="62" t="str">
        <f t="shared" si="631"/>
        <v/>
      </c>
      <c r="AU845" s="84">
        <f t="shared" si="632"/>
        <v>0</v>
      </c>
      <c r="AV845" s="32">
        <f t="shared" si="633"/>
        <v>0</v>
      </c>
      <c r="AW845" s="85" t="str">
        <f t="shared" si="634"/>
        <v/>
      </c>
      <c r="AX845" s="86" t="str">
        <f t="shared" si="635"/>
        <v/>
      </c>
    </row>
    <row r="846" spans="1:50" x14ac:dyDescent="0.2">
      <c r="A846" s="29" t="str">
        <f t="shared" si="637"/>
        <v/>
      </c>
      <c r="B846" s="32" t="str">
        <f t="shared" si="636"/>
        <v/>
      </c>
      <c r="C846" s="35"/>
      <c r="D846" s="33" t="str">
        <f t="shared" si="595"/>
        <v/>
      </c>
      <c r="E846" s="22" t="str">
        <f t="shared" si="596"/>
        <v/>
      </c>
      <c r="F846" s="23" t="str">
        <f t="shared" si="597"/>
        <v/>
      </c>
      <c r="G846" s="23"/>
      <c r="H846" s="22"/>
      <c r="I846" s="23"/>
      <c r="J846" s="18"/>
      <c r="K846" s="13" t="str">
        <f t="shared" si="598"/>
        <v/>
      </c>
      <c r="L846" s="28" t="str">
        <f t="shared" si="599"/>
        <v/>
      </c>
      <c r="M846" s="10" t="str">
        <f t="shared" si="600"/>
        <v/>
      </c>
      <c r="N846" s="17" t="str">
        <f t="shared" si="601"/>
        <v/>
      </c>
      <c r="O846" s="39" t="str">
        <f t="shared" si="602"/>
        <v/>
      </c>
      <c r="P846" s="41" t="str">
        <f t="shared" si="603"/>
        <v/>
      </c>
      <c r="Q846" s="9" t="str">
        <f t="shared" si="604"/>
        <v/>
      </c>
      <c r="R846" s="14">
        <f t="shared" si="605"/>
        <v>0</v>
      </c>
      <c r="S846" s="61" t="str">
        <f t="shared" si="606"/>
        <v/>
      </c>
      <c r="T846" s="14">
        <f t="shared" si="607"/>
        <v>0</v>
      </c>
      <c r="U846" s="58" t="str">
        <f t="shared" si="608"/>
        <v/>
      </c>
      <c r="V846" s="14">
        <f t="shared" si="609"/>
        <v>0</v>
      </c>
      <c r="W846" s="58" t="str">
        <f t="shared" si="610"/>
        <v/>
      </c>
      <c r="X846" s="14">
        <f t="shared" si="611"/>
        <v>0</v>
      </c>
      <c r="Y846" s="58" t="str">
        <f t="shared" si="612"/>
        <v/>
      </c>
      <c r="Z846" s="31">
        <f t="shared" si="613"/>
        <v>0</v>
      </c>
      <c r="AA846" s="21">
        <f t="shared" si="614"/>
        <v>0</v>
      </c>
      <c r="AB846" s="58" t="str">
        <f t="shared" si="615"/>
        <v/>
      </c>
      <c r="AC846" s="630">
        <f t="shared" si="592"/>
        <v>0</v>
      </c>
      <c r="AD846" s="627"/>
      <c r="AE846" s="21">
        <f t="shared" si="616"/>
        <v>0</v>
      </c>
      <c r="AF846" s="58" t="str">
        <f t="shared" si="617"/>
        <v/>
      </c>
      <c r="AG846" s="21">
        <f t="shared" si="618"/>
        <v>0</v>
      </c>
      <c r="AH846" s="58" t="str">
        <f t="shared" si="619"/>
        <v/>
      </c>
      <c r="AI846" s="21">
        <f t="shared" si="620"/>
        <v>0</v>
      </c>
      <c r="AJ846" s="58" t="str">
        <f t="shared" si="621"/>
        <v/>
      </c>
      <c r="AK846" s="31">
        <f t="shared" si="622"/>
        <v>0</v>
      </c>
      <c r="AL846" s="21">
        <f t="shared" si="623"/>
        <v>0</v>
      </c>
      <c r="AM846" s="62" t="str">
        <f t="shared" si="624"/>
        <v/>
      </c>
      <c r="AN846" s="21">
        <f t="shared" si="625"/>
        <v>0</v>
      </c>
      <c r="AO846" s="62" t="str">
        <f t="shared" si="626"/>
        <v/>
      </c>
      <c r="AP846" s="21">
        <f t="shared" si="627"/>
        <v>0</v>
      </c>
      <c r="AQ846" s="62" t="str">
        <f t="shared" si="628"/>
        <v/>
      </c>
      <c r="AR846" s="31">
        <f t="shared" si="629"/>
        <v>0</v>
      </c>
      <c r="AS846" s="21">
        <f t="shared" si="630"/>
        <v>0</v>
      </c>
      <c r="AT846" s="62" t="str">
        <f t="shared" si="631"/>
        <v/>
      </c>
      <c r="AU846" s="84">
        <f t="shared" si="632"/>
        <v>0</v>
      </c>
      <c r="AV846" s="32">
        <f t="shared" si="633"/>
        <v>0</v>
      </c>
      <c r="AW846" s="85" t="str">
        <f t="shared" si="634"/>
        <v/>
      </c>
      <c r="AX846" s="86" t="str">
        <f t="shared" si="635"/>
        <v/>
      </c>
    </row>
    <row r="847" spans="1:50" x14ac:dyDescent="0.2">
      <c r="A847" s="29" t="str">
        <f t="shared" si="637"/>
        <v/>
      </c>
      <c r="B847" s="32" t="str">
        <f t="shared" si="636"/>
        <v/>
      </c>
      <c r="C847" s="35"/>
      <c r="D847" s="33" t="str">
        <f t="shared" si="595"/>
        <v/>
      </c>
      <c r="E847" s="22" t="str">
        <f t="shared" si="596"/>
        <v/>
      </c>
      <c r="F847" s="23" t="str">
        <f t="shared" si="597"/>
        <v/>
      </c>
      <c r="G847" s="23"/>
      <c r="H847" s="22"/>
      <c r="I847" s="23"/>
      <c r="J847" s="18"/>
      <c r="K847" s="13" t="str">
        <f t="shared" si="598"/>
        <v/>
      </c>
      <c r="L847" s="28" t="str">
        <f t="shared" si="599"/>
        <v/>
      </c>
      <c r="M847" s="10" t="str">
        <f t="shared" si="600"/>
        <v/>
      </c>
      <c r="N847" s="17" t="str">
        <f t="shared" si="601"/>
        <v/>
      </c>
      <c r="O847" s="39" t="str">
        <f t="shared" si="602"/>
        <v/>
      </c>
      <c r="P847" s="41" t="str">
        <f t="shared" si="603"/>
        <v/>
      </c>
      <c r="Q847" s="9" t="str">
        <f t="shared" si="604"/>
        <v/>
      </c>
      <c r="R847" s="14">
        <f t="shared" si="605"/>
        <v>0</v>
      </c>
      <c r="S847" s="61" t="str">
        <f t="shared" si="606"/>
        <v/>
      </c>
      <c r="T847" s="14">
        <f t="shared" si="607"/>
        <v>0</v>
      </c>
      <c r="U847" s="58" t="str">
        <f t="shared" si="608"/>
        <v/>
      </c>
      <c r="V847" s="14">
        <f t="shared" si="609"/>
        <v>0</v>
      </c>
      <c r="W847" s="58" t="str">
        <f t="shared" si="610"/>
        <v/>
      </c>
      <c r="X847" s="14">
        <f t="shared" si="611"/>
        <v>0</v>
      </c>
      <c r="Y847" s="58" t="str">
        <f t="shared" si="612"/>
        <v/>
      </c>
      <c r="Z847" s="31">
        <f t="shared" si="613"/>
        <v>0</v>
      </c>
      <c r="AA847" s="21">
        <f t="shared" si="614"/>
        <v>0</v>
      </c>
      <c r="AB847" s="58" t="str">
        <f t="shared" si="615"/>
        <v/>
      </c>
      <c r="AC847" s="630">
        <f t="shared" si="592"/>
        <v>0</v>
      </c>
      <c r="AD847" s="627"/>
      <c r="AE847" s="21">
        <f t="shared" si="616"/>
        <v>0</v>
      </c>
      <c r="AF847" s="58" t="str">
        <f t="shared" si="617"/>
        <v/>
      </c>
      <c r="AG847" s="21">
        <f t="shared" si="618"/>
        <v>0</v>
      </c>
      <c r="AH847" s="58" t="str">
        <f t="shared" si="619"/>
        <v/>
      </c>
      <c r="AI847" s="21">
        <f t="shared" si="620"/>
        <v>0</v>
      </c>
      <c r="AJ847" s="58" t="str">
        <f t="shared" si="621"/>
        <v/>
      </c>
      <c r="AK847" s="31">
        <f t="shared" si="622"/>
        <v>0</v>
      </c>
      <c r="AL847" s="21">
        <f t="shared" si="623"/>
        <v>0</v>
      </c>
      <c r="AM847" s="62" t="str">
        <f t="shared" si="624"/>
        <v/>
      </c>
      <c r="AN847" s="21">
        <f t="shared" si="625"/>
        <v>0</v>
      </c>
      <c r="AO847" s="62" t="str">
        <f t="shared" si="626"/>
        <v/>
      </c>
      <c r="AP847" s="21">
        <f t="shared" si="627"/>
        <v>0</v>
      </c>
      <c r="AQ847" s="62" t="str">
        <f t="shared" si="628"/>
        <v/>
      </c>
      <c r="AR847" s="31">
        <f t="shared" si="629"/>
        <v>0</v>
      </c>
      <c r="AS847" s="21">
        <f t="shared" si="630"/>
        <v>0</v>
      </c>
      <c r="AT847" s="62" t="str">
        <f t="shared" si="631"/>
        <v/>
      </c>
      <c r="AU847" s="84">
        <f t="shared" si="632"/>
        <v>0</v>
      </c>
      <c r="AV847" s="32">
        <f t="shared" si="633"/>
        <v>0</v>
      </c>
      <c r="AW847" s="85" t="str">
        <f t="shared" si="634"/>
        <v/>
      </c>
      <c r="AX847" s="86" t="str">
        <f t="shared" si="635"/>
        <v/>
      </c>
    </row>
    <row r="848" spans="1:50" x14ac:dyDescent="0.2">
      <c r="A848" s="29" t="str">
        <f t="shared" si="637"/>
        <v/>
      </c>
      <c r="B848" s="32" t="str">
        <f t="shared" si="636"/>
        <v/>
      </c>
      <c r="C848" s="35"/>
      <c r="D848" s="33" t="str">
        <f t="shared" si="595"/>
        <v/>
      </c>
      <c r="E848" s="22" t="str">
        <f t="shared" si="596"/>
        <v/>
      </c>
      <c r="F848" s="23" t="str">
        <f t="shared" si="597"/>
        <v/>
      </c>
      <c r="G848" s="23"/>
      <c r="H848" s="22"/>
      <c r="I848" s="23"/>
      <c r="J848" s="18"/>
      <c r="K848" s="13" t="str">
        <f t="shared" si="598"/>
        <v/>
      </c>
      <c r="L848" s="28" t="str">
        <f t="shared" si="599"/>
        <v/>
      </c>
      <c r="M848" s="10" t="str">
        <f t="shared" si="600"/>
        <v/>
      </c>
      <c r="N848" s="17" t="str">
        <f t="shared" si="601"/>
        <v/>
      </c>
      <c r="O848" s="39" t="str">
        <f t="shared" si="602"/>
        <v/>
      </c>
      <c r="P848" s="41" t="str">
        <f t="shared" si="603"/>
        <v/>
      </c>
      <c r="Q848" s="9" t="str">
        <f t="shared" si="604"/>
        <v/>
      </c>
      <c r="R848" s="14">
        <f t="shared" si="605"/>
        <v>0</v>
      </c>
      <c r="S848" s="61" t="str">
        <f t="shared" si="606"/>
        <v/>
      </c>
      <c r="T848" s="14">
        <f t="shared" si="607"/>
        <v>0</v>
      </c>
      <c r="U848" s="58" t="str">
        <f t="shared" si="608"/>
        <v/>
      </c>
      <c r="V848" s="14">
        <f t="shared" si="609"/>
        <v>0</v>
      </c>
      <c r="W848" s="58" t="str">
        <f t="shared" si="610"/>
        <v/>
      </c>
      <c r="X848" s="14">
        <f t="shared" si="611"/>
        <v>0</v>
      </c>
      <c r="Y848" s="58" t="str">
        <f t="shared" si="612"/>
        <v/>
      </c>
      <c r="Z848" s="31">
        <f t="shared" si="613"/>
        <v>0</v>
      </c>
      <c r="AA848" s="21">
        <f t="shared" si="614"/>
        <v>0</v>
      </c>
      <c r="AB848" s="58" t="str">
        <f t="shared" si="615"/>
        <v/>
      </c>
      <c r="AC848" s="630">
        <f t="shared" si="592"/>
        <v>0</v>
      </c>
      <c r="AD848" s="627"/>
      <c r="AE848" s="21">
        <f t="shared" si="616"/>
        <v>0</v>
      </c>
      <c r="AF848" s="58" t="str">
        <f t="shared" si="617"/>
        <v/>
      </c>
      <c r="AG848" s="21">
        <f t="shared" si="618"/>
        <v>0</v>
      </c>
      <c r="AH848" s="58" t="str">
        <f t="shared" si="619"/>
        <v/>
      </c>
      <c r="AI848" s="21">
        <f t="shared" si="620"/>
        <v>0</v>
      </c>
      <c r="AJ848" s="58" t="str">
        <f t="shared" si="621"/>
        <v/>
      </c>
      <c r="AK848" s="31">
        <f t="shared" si="622"/>
        <v>0</v>
      </c>
      <c r="AL848" s="21">
        <f t="shared" si="623"/>
        <v>0</v>
      </c>
      <c r="AM848" s="62" t="str">
        <f t="shared" si="624"/>
        <v/>
      </c>
      <c r="AN848" s="21">
        <f t="shared" si="625"/>
        <v>0</v>
      </c>
      <c r="AO848" s="62" t="str">
        <f t="shared" si="626"/>
        <v/>
      </c>
      <c r="AP848" s="21">
        <f t="shared" si="627"/>
        <v>0</v>
      </c>
      <c r="AQ848" s="62" t="str">
        <f t="shared" si="628"/>
        <v/>
      </c>
      <c r="AR848" s="31">
        <f t="shared" si="629"/>
        <v>0</v>
      </c>
      <c r="AS848" s="21">
        <f t="shared" si="630"/>
        <v>0</v>
      </c>
      <c r="AT848" s="62" t="str">
        <f t="shared" si="631"/>
        <v/>
      </c>
      <c r="AU848" s="84">
        <f t="shared" si="632"/>
        <v>0</v>
      </c>
      <c r="AV848" s="32">
        <f t="shared" si="633"/>
        <v>0</v>
      </c>
      <c r="AW848" s="85" t="str">
        <f t="shared" si="634"/>
        <v/>
      </c>
      <c r="AX848" s="86" t="str">
        <f t="shared" si="635"/>
        <v/>
      </c>
    </row>
    <row r="849" spans="1:50" x14ac:dyDescent="0.2">
      <c r="A849" s="29" t="str">
        <f t="shared" si="637"/>
        <v/>
      </c>
      <c r="B849" s="32" t="str">
        <f t="shared" si="636"/>
        <v/>
      </c>
      <c r="C849" s="35"/>
      <c r="D849" s="33" t="str">
        <f t="shared" si="595"/>
        <v/>
      </c>
      <c r="E849" s="22" t="str">
        <f t="shared" si="596"/>
        <v/>
      </c>
      <c r="F849" s="23" t="str">
        <f t="shared" si="597"/>
        <v/>
      </c>
      <c r="G849" s="23"/>
      <c r="H849" s="22"/>
      <c r="I849" s="23"/>
      <c r="J849" s="18"/>
      <c r="K849" s="13" t="str">
        <f t="shared" si="598"/>
        <v/>
      </c>
      <c r="L849" s="28" t="str">
        <f t="shared" si="599"/>
        <v/>
      </c>
      <c r="M849" s="10" t="str">
        <f t="shared" si="600"/>
        <v/>
      </c>
      <c r="N849" s="17" t="str">
        <f t="shared" si="601"/>
        <v/>
      </c>
      <c r="O849" s="39" t="str">
        <f t="shared" si="602"/>
        <v/>
      </c>
      <c r="P849" s="41" t="str">
        <f t="shared" si="603"/>
        <v/>
      </c>
      <c r="Q849" s="9" t="str">
        <f t="shared" si="604"/>
        <v/>
      </c>
      <c r="R849" s="14">
        <f t="shared" si="605"/>
        <v>0</v>
      </c>
      <c r="S849" s="61" t="str">
        <f t="shared" si="606"/>
        <v/>
      </c>
      <c r="T849" s="14">
        <f t="shared" si="607"/>
        <v>0</v>
      </c>
      <c r="U849" s="58" t="str">
        <f t="shared" si="608"/>
        <v/>
      </c>
      <c r="V849" s="14">
        <f t="shared" si="609"/>
        <v>0</v>
      </c>
      <c r="W849" s="58" t="str">
        <f t="shared" si="610"/>
        <v/>
      </c>
      <c r="X849" s="14">
        <f t="shared" si="611"/>
        <v>0</v>
      </c>
      <c r="Y849" s="58" t="str">
        <f t="shared" si="612"/>
        <v/>
      </c>
      <c r="Z849" s="31">
        <f t="shared" si="613"/>
        <v>0</v>
      </c>
      <c r="AA849" s="21">
        <f t="shared" si="614"/>
        <v>0</v>
      </c>
      <c r="AB849" s="58" t="str">
        <f t="shared" si="615"/>
        <v/>
      </c>
      <c r="AC849" s="630">
        <f t="shared" si="592"/>
        <v>0</v>
      </c>
      <c r="AD849" s="627"/>
      <c r="AE849" s="21">
        <f t="shared" si="616"/>
        <v>0</v>
      </c>
      <c r="AF849" s="58" t="str">
        <f t="shared" si="617"/>
        <v/>
      </c>
      <c r="AG849" s="21">
        <f t="shared" si="618"/>
        <v>0</v>
      </c>
      <c r="AH849" s="58" t="str">
        <f t="shared" si="619"/>
        <v/>
      </c>
      <c r="AI849" s="21">
        <f t="shared" si="620"/>
        <v>0</v>
      </c>
      <c r="AJ849" s="58" t="str">
        <f t="shared" si="621"/>
        <v/>
      </c>
      <c r="AK849" s="31">
        <f t="shared" si="622"/>
        <v>0</v>
      </c>
      <c r="AL849" s="21">
        <f t="shared" si="623"/>
        <v>0</v>
      </c>
      <c r="AM849" s="62" t="str">
        <f t="shared" si="624"/>
        <v/>
      </c>
      <c r="AN849" s="21">
        <f t="shared" si="625"/>
        <v>0</v>
      </c>
      <c r="AO849" s="62" t="str">
        <f t="shared" si="626"/>
        <v/>
      </c>
      <c r="AP849" s="21">
        <f t="shared" si="627"/>
        <v>0</v>
      </c>
      <c r="AQ849" s="62" t="str">
        <f t="shared" si="628"/>
        <v/>
      </c>
      <c r="AR849" s="31">
        <f t="shared" si="629"/>
        <v>0</v>
      </c>
      <c r="AS849" s="21">
        <f t="shared" si="630"/>
        <v>0</v>
      </c>
      <c r="AT849" s="62" t="str">
        <f t="shared" si="631"/>
        <v/>
      </c>
      <c r="AU849" s="84">
        <f t="shared" si="632"/>
        <v>0</v>
      </c>
      <c r="AV849" s="32">
        <f t="shared" si="633"/>
        <v>0</v>
      </c>
      <c r="AW849" s="85" t="str">
        <f t="shared" si="634"/>
        <v/>
      </c>
      <c r="AX849" s="86" t="str">
        <f t="shared" si="635"/>
        <v/>
      </c>
    </row>
    <row r="850" spans="1:50" x14ac:dyDescent="0.2">
      <c r="A850" s="29" t="str">
        <f t="shared" si="637"/>
        <v/>
      </c>
      <c r="B850" s="32" t="str">
        <f t="shared" si="636"/>
        <v/>
      </c>
      <c r="C850" s="35"/>
      <c r="D850" s="33" t="str">
        <f t="shared" si="595"/>
        <v/>
      </c>
      <c r="E850" s="22" t="str">
        <f t="shared" si="596"/>
        <v/>
      </c>
      <c r="F850" s="23" t="str">
        <f t="shared" si="597"/>
        <v/>
      </c>
      <c r="G850" s="23"/>
      <c r="H850" s="22"/>
      <c r="I850" s="23"/>
      <c r="J850" s="18"/>
      <c r="K850" s="13" t="str">
        <f t="shared" si="598"/>
        <v/>
      </c>
      <c r="L850" s="28" t="str">
        <f t="shared" si="599"/>
        <v/>
      </c>
      <c r="M850" s="10" t="str">
        <f t="shared" si="600"/>
        <v/>
      </c>
      <c r="N850" s="17" t="str">
        <f t="shared" si="601"/>
        <v/>
      </c>
      <c r="O850" s="39" t="str">
        <f t="shared" si="602"/>
        <v/>
      </c>
      <c r="P850" s="41" t="str">
        <f t="shared" si="603"/>
        <v/>
      </c>
      <c r="Q850" s="9" t="str">
        <f t="shared" si="604"/>
        <v/>
      </c>
      <c r="R850" s="14">
        <f t="shared" si="605"/>
        <v>0</v>
      </c>
      <c r="S850" s="61" t="str">
        <f t="shared" si="606"/>
        <v/>
      </c>
      <c r="T850" s="14">
        <f t="shared" si="607"/>
        <v>0</v>
      </c>
      <c r="U850" s="58" t="str">
        <f t="shared" si="608"/>
        <v/>
      </c>
      <c r="V850" s="14">
        <f t="shared" si="609"/>
        <v>0</v>
      </c>
      <c r="W850" s="58" t="str">
        <f t="shared" si="610"/>
        <v/>
      </c>
      <c r="X850" s="14">
        <f t="shared" si="611"/>
        <v>0</v>
      </c>
      <c r="Y850" s="58" t="str">
        <f t="shared" si="612"/>
        <v/>
      </c>
      <c r="Z850" s="31">
        <f t="shared" si="613"/>
        <v>0</v>
      </c>
      <c r="AA850" s="21">
        <f t="shared" si="614"/>
        <v>0</v>
      </c>
      <c r="AB850" s="58" t="str">
        <f t="shared" si="615"/>
        <v/>
      </c>
      <c r="AC850" s="630">
        <f t="shared" si="592"/>
        <v>0</v>
      </c>
      <c r="AD850" s="627"/>
      <c r="AE850" s="21">
        <f t="shared" si="616"/>
        <v>0</v>
      </c>
      <c r="AF850" s="58" t="str">
        <f t="shared" si="617"/>
        <v/>
      </c>
      <c r="AG850" s="21">
        <f t="shared" si="618"/>
        <v>0</v>
      </c>
      <c r="AH850" s="58" t="str">
        <f t="shared" si="619"/>
        <v/>
      </c>
      <c r="AI850" s="21">
        <f t="shared" si="620"/>
        <v>0</v>
      </c>
      <c r="AJ850" s="58" t="str">
        <f t="shared" si="621"/>
        <v/>
      </c>
      <c r="AK850" s="31">
        <f t="shared" si="622"/>
        <v>0</v>
      </c>
      <c r="AL850" s="21">
        <f t="shared" si="623"/>
        <v>0</v>
      </c>
      <c r="AM850" s="62" t="str">
        <f t="shared" si="624"/>
        <v/>
      </c>
      <c r="AN850" s="21">
        <f t="shared" si="625"/>
        <v>0</v>
      </c>
      <c r="AO850" s="62" t="str">
        <f t="shared" si="626"/>
        <v/>
      </c>
      <c r="AP850" s="21">
        <f t="shared" si="627"/>
        <v>0</v>
      </c>
      <c r="AQ850" s="62" t="str">
        <f t="shared" si="628"/>
        <v/>
      </c>
      <c r="AR850" s="31">
        <f t="shared" si="629"/>
        <v>0</v>
      </c>
      <c r="AS850" s="21">
        <f t="shared" si="630"/>
        <v>0</v>
      </c>
      <c r="AT850" s="62" t="str">
        <f t="shared" si="631"/>
        <v/>
      </c>
      <c r="AU850" s="84">
        <f t="shared" si="632"/>
        <v>0</v>
      </c>
      <c r="AV850" s="32">
        <f t="shared" si="633"/>
        <v>0</v>
      </c>
      <c r="AW850" s="85" t="str">
        <f t="shared" si="634"/>
        <v/>
      </c>
      <c r="AX850" s="86" t="str">
        <f t="shared" si="635"/>
        <v/>
      </c>
    </row>
    <row r="851" spans="1:50" x14ac:dyDescent="0.2">
      <c r="A851" s="29" t="str">
        <f t="shared" si="637"/>
        <v/>
      </c>
      <c r="B851" s="32" t="str">
        <f t="shared" si="636"/>
        <v/>
      </c>
      <c r="C851" s="35"/>
      <c r="D851" s="33" t="str">
        <f t="shared" si="595"/>
        <v/>
      </c>
      <c r="E851" s="22" t="str">
        <f t="shared" si="596"/>
        <v/>
      </c>
      <c r="F851" s="23" t="str">
        <f t="shared" si="597"/>
        <v/>
      </c>
      <c r="G851" s="23"/>
      <c r="H851" s="22"/>
      <c r="I851" s="23"/>
      <c r="J851" s="18"/>
      <c r="K851" s="13" t="str">
        <f t="shared" si="598"/>
        <v/>
      </c>
      <c r="L851" s="28" t="str">
        <f t="shared" si="599"/>
        <v/>
      </c>
      <c r="M851" s="10" t="str">
        <f t="shared" si="600"/>
        <v/>
      </c>
      <c r="N851" s="17" t="str">
        <f t="shared" si="601"/>
        <v/>
      </c>
      <c r="O851" s="39" t="str">
        <f t="shared" si="602"/>
        <v/>
      </c>
      <c r="P851" s="41" t="str">
        <f t="shared" si="603"/>
        <v/>
      </c>
      <c r="Q851" s="9" t="str">
        <f t="shared" si="604"/>
        <v/>
      </c>
      <c r="R851" s="14">
        <f t="shared" si="605"/>
        <v>0</v>
      </c>
      <c r="S851" s="61" t="str">
        <f t="shared" si="606"/>
        <v/>
      </c>
      <c r="T851" s="14">
        <f t="shared" si="607"/>
        <v>0</v>
      </c>
      <c r="U851" s="58" t="str">
        <f t="shared" si="608"/>
        <v/>
      </c>
      <c r="V851" s="14">
        <f t="shared" si="609"/>
        <v>0</v>
      </c>
      <c r="W851" s="58" t="str">
        <f t="shared" si="610"/>
        <v/>
      </c>
      <c r="X851" s="14">
        <f t="shared" si="611"/>
        <v>0</v>
      </c>
      <c r="Y851" s="58" t="str">
        <f t="shared" si="612"/>
        <v/>
      </c>
      <c r="Z851" s="31">
        <f t="shared" si="613"/>
        <v>0</v>
      </c>
      <c r="AA851" s="21">
        <f t="shared" si="614"/>
        <v>0</v>
      </c>
      <c r="AB851" s="58" t="str">
        <f t="shared" si="615"/>
        <v/>
      </c>
      <c r="AC851" s="630">
        <f t="shared" si="592"/>
        <v>0</v>
      </c>
      <c r="AD851" s="627"/>
      <c r="AE851" s="21">
        <f t="shared" si="616"/>
        <v>0</v>
      </c>
      <c r="AF851" s="58" t="str">
        <f t="shared" si="617"/>
        <v/>
      </c>
      <c r="AG851" s="21">
        <f t="shared" si="618"/>
        <v>0</v>
      </c>
      <c r="AH851" s="58" t="str">
        <f t="shared" si="619"/>
        <v/>
      </c>
      <c r="AI851" s="21">
        <f t="shared" si="620"/>
        <v>0</v>
      </c>
      <c r="AJ851" s="58" t="str">
        <f t="shared" si="621"/>
        <v/>
      </c>
      <c r="AK851" s="31">
        <f t="shared" si="622"/>
        <v>0</v>
      </c>
      <c r="AL851" s="21">
        <f t="shared" si="623"/>
        <v>0</v>
      </c>
      <c r="AM851" s="62" t="str">
        <f t="shared" si="624"/>
        <v/>
      </c>
      <c r="AN851" s="21">
        <f t="shared" si="625"/>
        <v>0</v>
      </c>
      <c r="AO851" s="62" t="str">
        <f t="shared" si="626"/>
        <v/>
      </c>
      <c r="AP851" s="21">
        <f t="shared" si="627"/>
        <v>0</v>
      </c>
      <c r="AQ851" s="62" t="str">
        <f t="shared" si="628"/>
        <v/>
      </c>
      <c r="AR851" s="31">
        <f t="shared" si="629"/>
        <v>0</v>
      </c>
      <c r="AS851" s="21">
        <f t="shared" si="630"/>
        <v>0</v>
      </c>
      <c r="AT851" s="62" t="str">
        <f t="shared" si="631"/>
        <v/>
      </c>
      <c r="AU851" s="84">
        <f t="shared" si="632"/>
        <v>0</v>
      </c>
      <c r="AV851" s="32">
        <f t="shared" si="633"/>
        <v>0</v>
      </c>
      <c r="AW851" s="85" t="str">
        <f t="shared" si="634"/>
        <v/>
      </c>
      <c r="AX851" s="86" t="str">
        <f t="shared" si="635"/>
        <v/>
      </c>
    </row>
    <row r="852" spans="1:50" x14ac:dyDescent="0.2">
      <c r="A852" s="29" t="str">
        <f t="shared" si="637"/>
        <v/>
      </c>
      <c r="B852" s="32" t="str">
        <f t="shared" si="636"/>
        <v/>
      </c>
      <c r="C852" s="35"/>
      <c r="D852" s="33" t="str">
        <f t="shared" si="595"/>
        <v/>
      </c>
      <c r="E852" s="22" t="str">
        <f t="shared" si="596"/>
        <v/>
      </c>
      <c r="F852" s="23" t="str">
        <f t="shared" si="597"/>
        <v/>
      </c>
      <c r="G852" s="23"/>
      <c r="H852" s="22"/>
      <c r="I852" s="23"/>
      <c r="J852" s="18"/>
      <c r="K852" s="13" t="str">
        <f t="shared" si="598"/>
        <v/>
      </c>
      <c r="L852" s="28" t="str">
        <f t="shared" si="599"/>
        <v/>
      </c>
      <c r="M852" s="10" t="str">
        <f t="shared" si="600"/>
        <v/>
      </c>
      <c r="N852" s="17" t="str">
        <f t="shared" si="601"/>
        <v/>
      </c>
      <c r="O852" s="39" t="str">
        <f t="shared" si="602"/>
        <v/>
      </c>
      <c r="P852" s="41" t="str">
        <f t="shared" si="603"/>
        <v/>
      </c>
      <c r="Q852" s="9" t="str">
        <f t="shared" si="604"/>
        <v/>
      </c>
      <c r="R852" s="14">
        <f t="shared" si="605"/>
        <v>0</v>
      </c>
      <c r="S852" s="61" t="str">
        <f t="shared" si="606"/>
        <v/>
      </c>
      <c r="T852" s="14">
        <f t="shared" si="607"/>
        <v>0</v>
      </c>
      <c r="U852" s="58" t="str">
        <f t="shared" si="608"/>
        <v/>
      </c>
      <c r="V852" s="14">
        <f t="shared" si="609"/>
        <v>0</v>
      </c>
      <c r="W852" s="58" t="str">
        <f t="shared" si="610"/>
        <v/>
      </c>
      <c r="X852" s="14">
        <f t="shared" si="611"/>
        <v>0</v>
      </c>
      <c r="Y852" s="58" t="str">
        <f t="shared" si="612"/>
        <v/>
      </c>
      <c r="Z852" s="31">
        <f t="shared" si="613"/>
        <v>0</v>
      </c>
      <c r="AA852" s="21">
        <f t="shared" si="614"/>
        <v>0</v>
      </c>
      <c r="AB852" s="58" t="str">
        <f t="shared" si="615"/>
        <v/>
      </c>
      <c r="AC852" s="630">
        <f t="shared" si="592"/>
        <v>0</v>
      </c>
      <c r="AD852" s="627"/>
      <c r="AE852" s="21">
        <f t="shared" si="616"/>
        <v>0</v>
      </c>
      <c r="AF852" s="58" t="str">
        <f t="shared" si="617"/>
        <v/>
      </c>
      <c r="AG852" s="21">
        <f t="shared" si="618"/>
        <v>0</v>
      </c>
      <c r="AH852" s="58" t="str">
        <f t="shared" si="619"/>
        <v/>
      </c>
      <c r="AI852" s="21">
        <f t="shared" si="620"/>
        <v>0</v>
      </c>
      <c r="AJ852" s="58" t="str">
        <f t="shared" si="621"/>
        <v/>
      </c>
      <c r="AK852" s="31">
        <f t="shared" si="622"/>
        <v>0</v>
      </c>
      <c r="AL852" s="21">
        <f t="shared" si="623"/>
        <v>0</v>
      </c>
      <c r="AM852" s="62" t="str">
        <f t="shared" si="624"/>
        <v/>
      </c>
      <c r="AN852" s="21">
        <f t="shared" si="625"/>
        <v>0</v>
      </c>
      <c r="AO852" s="62" t="str">
        <f t="shared" si="626"/>
        <v/>
      </c>
      <c r="AP852" s="21">
        <f t="shared" si="627"/>
        <v>0</v>
      </c>
      <c r="AQ852" s="62" t="str">
        <f t="shared" si="628"/>
        <v/>
      </c>
      <c r="AR852" s="31">
        <f t="shared" si="629"/>
        <v>0</v>
      </c>
      <c r="AS852" s="21">
        <f t="shared" si="630"/>
        <v>0</v>
      </c>
      <c r="AT852" s="62" t="str">
        <f t="shared" si="631"/>
        <v/>
      </c>
      <c r="AU852" s="84">
        <f t="shared" si="632"/>
        <v>0</v>
      </c>
      <c r="AV852" s="32">
        <f t="shared" si="633"/>
        <v>0</v>
      </c>
      <c r="AW852" s="85" t="str">
        <f t="shared" si="634"/>
        <v/>
      </c>
      <c r="AX852" s="86" t="str">
        <f t="shared" si="635"/>
        <v/>
      </c>
    </row>
    <row r="853" spans="1:50" x14ac:dyDescent="0.2">
      <c r="A853" s="29" t="str">
        <f t="shared" si="637"/>
        <v/>
      </c>
      <c r="B853" s="32" t="str">
        <f t="shared" si="636"/>
        <v/>
      </c>
      <c r="C853" s="35"/>
      <c r="D853" s="33" t="str">
        <f t="shared" si="595"/>
        <v/>
      </c>
      <c r="E853" s="22" t="str">
        <f t="shared" si="596"/>
        <v/>
      </c>
      <c r="F853" s="23" t="str">
        <f t="shared" si="597"/>
        <v/>
      </c>
      <c r="G853" s="23"/>
      <c r="H853" s="22"/>
      <c r="I853" s="23"/>
      <c r="J853" s="18"/>
      <c r="K853" s="13" t="str">
        <f t="shared" si="598"/>
        <v/>
      </c>
      <c r="L853" s="28" t="str">
        <f t="shared" si="599"/>
        <v/>
      </c>
      <c r="M853" s="10" t="str">
        <f t="shared" si="600"/>
        <v/>
      </c>
      <c r="N853" s="17" t="str">
        <f t="shared" si="601"/>
        <v/>
      </c>
      <c r="O853" s="39" t="str">
        <f t="shared" si="602"/>
        <v/>
      </c>
      <c r="P853" s="41" t="str">
        <f t="shared" si="603"/>
        <v/>
      </c>
      <c r="Q853" s="9" t="str">
        <f t="shared" si="604"/>
        <v/>
      </c>
      <c r="R853" s="14">
        <f t="shared" si="605"/>
        <v>0</v>
      </c>
      <c r="S853" s="61" t="str">
        <f t="shared" si="606"/>
        <v/>
      </c>
      <c r="T853" s="14">
        <f t="shared" si="607"/>
        <v>0</v>
      </c>
      <c r="U853" s="58" t="str">
        <f t="shared" si="608"/>
        <v/>
      </c>
      <c r="V853" s="14">
        <f t="shared" si="609"/>
        <v>0</v>
      </c>
      <c r="W853" s="58" t="str">
        <f t="shared" si="610"/>
        <v/>
      </c>
      <c r="X853" s="14">
        <f t="shared" si="611"/>
        <v>0</v>
      </c>
      <c r="Y853" s="58" t="str">
        <f t="shared" si="612"/>
        <v/>
      </c>
      <c r="Z853" s="31">
        <f t="shared" si="613"/>
        <v>0</v>
      </c>
      <c r="AA853" s="21">
        <f t="shared" si="614"/>
        <v>0</v>
      </c>
      <c r="AB853" s="58" t="str">
        <f t="shared" si="615"/>
        <v/>
      </c>
      <c r="AC853" s="630">
        <f t="shared" ref="AC853:AC916" si="638">COUNTIF(G853:J853,100)</f>
        <v>0</v>
      </c>
      <c r="AD853" s="627"/>
      <c r="AE853" s="21">
        <f t="shared" si="616"/>
        <v>0</v>
      </c>
      <c r="AF853" s="58" t="str">
        <f t="shared" si="617"/>
        <v/>
      </c>
      <c r="AG853" s="21">
        <f t="shared" si="618"/>
        <v>0</v>
      </c>
      <c r="AH853" s="58" t="str">
        <f t="shared" si="619"/>
        <v/>
      </c>
      <c r="AI853" s="21">
        <f t="shared" si="620"/>
        <v>0</v>
      </c>
      <c r="AJ853" s="58" t="str">
        <f t="shared" si="621"/>
        <v/>
      </c>
      <c r="AK853" s="31">
        <f t="shared" si="622"/>
        <v>0</v>
      </c>
      <c r="AL853" s="21">
        <f t="shared" si="623"/>
        <v>0</v>
      </c>
      <c r="AM853" s="62" t="str">
        <f t="shared" si="624"/>
        <v/>
      </c>
      <c r="AN853" s="21">
        <f t="shared" si="625"/>
        <v>0</v>
      </c>
      <c r="AO853" s="62" t="str">
        <f t="shared" si="626"/>
        <v/>
      </c>
      <c r="AP853" s="21">
        <f t="shared" si="627"/>
        <v>0</v>
      </c>
      <c r="AQ853" s="62" t="str">
        <f t="shared" si="628"/>
        <v/>
      </c>
      <c r="AR853" s="31">
        <f t="shared" si="629"/>
        <v>0</v>
      </c>
      <c r="AS853" s="21">
        <f t="shared" si="630"/>
        <v>0</v>
      </c>
      <c r="AT853" s="62" t="str">
        <f t="shared" si="631"/>
        <v/>
      </c>
      <c r="AU853" s="84">
        <f t="shared" si="632"/>
        <v>0</v>
      </c>
      <c r="AV853" s="32">
        <f t="shared" si="633"/>
        <v>0</v>
      </c>
      <c r="AW853" s="85" t="str">
        <f t="shared" si="634"/>
        <v/>
      </c>
      <c r="AX853" s="86" t="str">
        <f t="shared" si="635"/>
        <v/>
      </c>
    </row>
    <row r="854" spans="1:50" x14ac:dyDescent="0.2">
      <c r="A854" s="29" t="str">
        <f t="shared" si="637"/>
        <v/>
      </c>
      <c r="B854" s="32" t="str">
        <f t="shared" si="636"/>
        <v/>
      </c>
      <c r="C854" s="35"/>
      <c r="D854" s="33" t="str">
        <f t="shared" si="595"/>
        <v/>
      </c>
      <c r="E854" s="22" t="str">
        <f t="shared" si="596"/>
        <v/>
      </c>
      <c r="F854" s="23" t="str">
        <f t="shared" si="597"/>
        <v/>
      </c>
      <c r="G854" s="23"/>
      <c r="H854" s="22"/>
      <c r="I854" s="23"/>
      <c r="J854" s="18"/>
      <c r="K854" s="13" t="str">
        <f t="shared" si="598"/>
        <v/>
      </c>
      <c r="L854" s="28" t="str">
        <f t="shared" si="599"/>
        <v/>
      </c>
      <c r="M854" s="10" t="str">
        <f t="shared" si="600"/>
        <v/>
      </c>
      <c r="N854" s="17" t="str">
        <f t="shared" si="601"/>
        <v/>
      </c>
      <c r="O854" s="39" t="str">
        <f t="shared" si="602"/>
        <v/>
      </c>
      <c r="P854" s="41" t="str">
        <f t="shared" si="603"/>
        <v/>
      </c>
      <c r="Q854" s="9" t="str">
        <f t="shared" si="604"/>
        <v/>
      </c>
      <c r="R854" s="14">
        <f t="shared" si="605"/>
        <v>0</v>
      </c>
      <c r="S854" s="61" t="str">
        <f t="shared" si="606"/>
        <v/>
      </c>
      <c r="T854" s="14">
        <f t="shared" si="607"/>
        <v>0</v>
      </c>
      <c r="U854" s="58" t="str">
        <f t="shared" si="608"/>
        <v/>
      </c>
      <c r="V854" s="14">
        <f t="shared" si="609"/>
        <v>0</v>
      </c>
      <c r="W854" s="58" t="str">
        <f t="shared" si="610"/>
        <v/>
      </c>
      <c r="X854" s="14">
        <f t="shared" si="611"/>
        <v>0</v>
      </c>
      <c r="Y854" s="58" t="str">
        <f t="shared" si="612"/>
        <v/>
      </c>
      <c r="Z854" s="31">
        <f t="shared" si="613"/>
        <v>0</v>
      </c>
      <c r="AA854" s="21">
        <f t="shared" si="614"/>
        <v>0</v>
      </c>
      <c r="AB854" s="58" t="str">
        <f t="shared" si="615"/>
        <v/>
      </c>
      <c r="AC854" s="630">
        <f t="shared" si="638"/>
        <v>0</v>
      </c>
      <c r="AD854" s="627"/>
      <c r="AE854" s="21">
        <f t="shared" si="616"/>
        <v>0</v>
      </c>
      <c r="AF854" s="58" t="str">
        <f t="shared" si="617"/>
        <v/>
      </c>
      <c r="AG854" s="21">
        <f t="shared" si="618"/>
        <v>0</v>
      </c>
      <c r="AH854" s="58" t="str">
        <f t="shared" si="619"/>
        <v/>
      </c>
      <c r="AI854" s="21">
        <f t="shared" si="620"/>
        <v>0</v>
      </c>
      <c r="AJ854" s="58" t="str">
        <f t="shared" si="621"/>
        <v/>
      </c>
      <c r="AK854" s="31">
        <f t="shared" si="622"/>
        <v>0</v>
      </c>
      <c r="AL854" s="21">
        <f t="shared" si="623"/>
        <v>0</v>
      </c>
      <c r="AM854" s="62" t="str">
        <f t="shared" si="624"/>
        <v/>
      </c>
      <c r="AN854" s="21">
        <f t="shared" si="625"/>
        <v>0</v>
      </c>
      <c r="AO854" s="62" t="str">
        <f t="shared" si="626"/>
        <v/>
      </c>
      <c r="AP854" s="21">
        <f t="shared" si="627"/>
        <v>0</v>
      </c>
      <c r="AQ854" s="62" t="str">
        <f t="shared" si="628"/>
        <v/>
      </c>
      <c r="AR854" s="31">
        <f t="shared" si="629"/>
        <v>0</v>
      </c>
      <c r="AS854" s="21">
        <f t="shared" si="630"/>
        <v>0</v>
      </c>
      <c r="AT854" s="62" t="str">
        <f t="shared" si="631"/>
        <v/>
      </c>
      <c r="AU854" s="84">
        <f t="shared" si="632"/>
        <v>0</v>
      </c>
      <c r="AV854" s="32">
        <f t="shared" si="633"/>
        <v>0</v>
      </c>
      <c r="AW854" s="85" t="str">
        <f t="shared" si="634"/>
        <v/>
      </c>
      <c r="AX854" s="86" t="str">
        <f t="shared" si="635"/>
        <v/>
      </c>
    </row>
    <row r="855" spans="1:50" x14ac:dyDescent="0.2">
      <c r="A855" s="29" t="str">
        <f t="shared" si="637"/>
        <v/>
      </c>
      <c r="B855" s="32" t="str">
        <f t="shared" si="636"/>
        <v/>
      </c>
      <c r="C855" s="35"/>
      <c r="D855" s="33" t="str">
        <f t="shared" si="595"/>
        <v/>
      </c>
      <c r="E855" s="22" t="str">
        <f t="shared" si="596"/>
        <v/>
      </c>
      <c r="F855" s="23" t="str">
        <f t="shared" si="597"/>
        <v/>
      </c>
      <c r="G855" s="23"/>
      <c r="H855" s="22"/>
      <c r="I855" s="23"/>
      <c r="J855" s="18"/>
      <c r="K855" s="13" t="str">
        <f t="shared" si="598"/>
        <v/>
      </c>
      <c r="L855" s="28" t="str">
        <f t="shared" si="599"/>
        <v/>
      </c>
      <c r="M855" s="10" t="str">
        <f t="shared" si="600"/>
        <v/>
      </c>
      <c r="N855" s="17" t="str">
        <f t="shared" si="601"/>
        <v/>
      </c>
      <c r="O855" s="39" t="str">
        <f t="shared" si="602"/>
        <v/>
      </c>
      <c r="P855" s="41" t="str">
        <f t="shared" si="603"/>
        <v/>
      </c>
      <c r="Q855" s="9" t="str">
        <f t="shared" si="604"/>
        <v/>
      </c>
      <c r="R855" s="14">
        <f t="shared" si="605"/>
        <v>0</v>
      </c>
      <c r="S855" s="61" t="str">
        <f t="shared" si="606"/>
        <v/>
      </c>
      <c r="T855" s="14">
        <f t="shared" si="607"/>
        <v>0</v>
      </c>
      <c r="U855" s="58" t="str">
        <f t="shared" si="608"/>
        <v/>
      </c>
      <c r="V855" s="14">
        <f t="shared" si="609"/>
        <v>0</v>
      </c>
      <c r="W855" s="58" t="str">
        <f t="shared" si="610"/>
        <v/>
      </c>
      <c r="X855" s="14">
        <f t="shared" si="611"/>
        <v>0</v>
      </c>
      <c r="Y855" s="58" t="str">
        <f t="shared" si="612"/>
        <v/>
      </c>
      <c r="Z855" s="31">
        <f t="shared" si="613"/>
        <v>0</v>
      </c>
      <c r="AA855" s="21">
        <f t="shared" si="614"/>
        <v>0</v>
      </c>
      <c r="AB855" s="58" t="str">
        <f t="shared" si="615"/>
        <v/>
      </c>
      <c r="AC855" s="630">
        <f t="shared" si="638"/>
        <v>0</v>
      </c>
      <c r="AD855" s="627"/>
      <c r="AE855" s="21">
        <f t="shared" si="616"/>
        <v>0</v>
      </c>
      <c r="AF855" s="58" t="str">
        <f t="shared" si="617"/>
        <v/>
      </c>
      <c r="AG855" s="21">
        <f t="shared" si="618"/>
        <v>0</v>
      </c>
      <c r="AH855" s="58" t="str">
        <f t="shared" si="619"/>
        <v/>
      </c>
      <c r="AI855" s="21">
        <f t="shared" si="620"/>
        <v>0</v>
      </c>
      <c r="AJ855" s="58" t="str">
        <f t="shared" si="621"/>
        <v/>
      </c>
      <c r="AK855" s="31">
        <f t="shared" si="622"/>
        <v>0</v>
      </c>
      <c r="AL855" s="21">
        <f t="shared" si="623"/>
        <v>0</v>
      </c>
      <c r="AM855" s="62" t="str">
        <f t="shared" si="624"/>
        <v/>
      </c>
      <c r="AN855" s="21">
        <f t="shared" si="625"/>
        <v>0</v>
      </c>
      <c r="AO855" s="62" t="str">
        <f t="shared" si="626"/>
        <v/>
      </c>
      <c r="AP855" s="21">
        <f t="shared" si="627"/>
        <v>0</v>
      </c>
      <c r="AQ855" s="62" t="str">
        <f t="shared" si="628"/>
        <v/>
      </c>
      <c r="AR855" s="31">
        <f t="shared" si="629"/>
        <v>0</v>
      </c>
      <c r="AS855" s="21">
        <f t="shared" si="630"/>
        <v>0</v>
      </c>
      <c r="AT855" s="62" t="str">
        <f t="shared" si="631"/>
        <v/>
      </c>
      <c r="AU855" s="84">
        <f t="shared" si="632"/>
        <v>0</v>
      </c>
      <c r="AV855" s="32">
        <f t="shared" si="633"/>
        <v>0</v>
      </c>
      <c r="AW855" s="85" t="str">
        <f t="shared" si="634"/>
        <v/>
      </c>
      <c r="AX855" s="86" t="str">
        <f t="shared" si="635"/>
        <v/>
      </c>
    </row>
    <row r="856" spans="1:50" x14ac:dyDescent="0.2">
      <c r="A856" s="29" t="str">
        <f t="shared" si="637"/>
        <v/>
      </c>
      <c r="B856" s="32" t="str">
        <f t="shared" si="636"/>
        <v/>
      </c>
      <c r="C856" s="35"/>
      <c r="D856" s="33" t="str">
        <f t="shared" si="595"/>
        <v/>
      </c>
      <c r="E856" s="22" t="str">
        <f t="shared" si="596"/>
        <v/>
      </c>
      <c r="F856" s="23" t="str">
        <f t="shared" si="597"/>
        <v/>
      </c>
      <c r="G856" s="23"/>
      <c r="H856" s="22"/>
      <c r="I856" s="23"/>
      <c r="J856" s="18"/>
      <c r="K856" s="13" t="str">
        <f t="shared" si="598"/>
        <v/>
      </c>
      <c r="L856" s="28" t="str">
        <f t="shared" si="599"/>
        <v/>
      </c>
      <c r="M856" s="10" t="str">
        <f t="shared" si="600"/>
        <v/>
      </c>
      <c r="N856" s="17" t="str">
        <f t="shared" si="601"/>
        <v/>
      </c>
      <c r="O856" s="39" t="str">
        <f t="shared" si="602"/>
        <v/>
      </c>
      <c r="P856" s="41" t="str">
        <f t="shared" si="603"/>
        <v/>
      </c>
      <c r="Q856" s="9" t="str">
        <f t="shared" si="604"/>
        <v/>
      </c>
      <c r="R856" s="14">
        <f t="shared" si="605"/>
        <v>0</v>
      </c>
      <c r="S856" s="61" t="str">
        <f t="shared" si="606"/>
        <v/>
      </c>
      <c r="T856" s="14">
        <f t="shared" si="607"/>
        <v>0</v>
      </c>
      <c r="U856" s="58" t="str">
        <f t="shared" si="608"/>
        <v/>
      </c>
      <c r="V856" s="14">
        <f t="shared" si="609"/>
        <v>0</v>
      </c>
      <c r="W856" s="58" t="str">
        <f t="shared" si="610"/>
        <v/>
      </c>
      <c r="X856" s="14">
        <f t="shared" si="611"/>
        <v>0</v>
      </c>
      <c r="Y856" s="58" t="str">
        <f t="shared" si="612"/>
        <v/>
      </c>
      <c r="Z856" s="31">
        <f t="shared" si="613"/>
        <v>0</v>
      </c>
      <c r="AA856" s="21">
        <f t="shared" si="614"/>
        <v>0</v>
      </c>
      <c r="AB856" s="58" t="str">
        <f t="shared" si="615"/>
        <v/>
      </c>
      <c r="AC856" s="630">
        <f t="shared" si="638"/>
        <v>0</v>
      </c>
      <c r="AD856" s="627"/>
      <c r="AE856" s="21">
        <f t="shared" si="616"/>
        <v>0</v>
      </c>
      <c r="AF856" s="58" t="str">
        <f t="shared" si="617"/>
        <v/>
      </c>
      <c r="AG856" s="21">
        <f t="shared" si="618"/>
        <v>0</v>
      </c>
      <c r="AH856" s="58" t="str">
        <f t="shared" si="619"/>
        <v/>
      </c>
      <c r="AI856" s="21">
        <f t="shared" si="620"/>
        <v>0</v>
      </c>
      <c r="AJ856" s="58" t="str">
        <f t="shared" si="621"/>
        <v/>
      </c>
      <c r="AK856" s="31">
        <f t="shared" si="622"/>
        <v>0</v>
      </c>
      <c r="AL856" s="21">
        <f t="shared" si="623"/>
        <v>0</v>
      </c>
      <c r="AM856" s="62" t="str">
        <f t="shared" si="624"/>
        <v/>
      </c>
      <c r="AN856" s="21">
        <f t="shared" si="625"/>
        <v>0</v>
      </c>
      <c r="AO856" s="62" t="str">
        <f t="shared" si="626"/>
        <v/>
      </c>
      <c r="AP856" s="21">
        <f t="shared" si="627"/>
        <v>0</v>
      </c>
      <c r="AQ856" s="62" t="str">
        <f t="shared" si="628"/>
        <v/>
      </c>
      <c r="AR856" s="31">
        <f t="shared" si="629"/>
        <v>0</v>
      </c>
      <c r="AS856" s="21">
        <f t="shared" si="630"/>
        <v>0</v>
      </c>
      <c r="AT856" s="62" t="str">
        <f t="shared" si="631"/>
        <v/>
      </c>
      <c r="AU856" s="84">
        <f t="shared" si="632"/>
        <v>0</v>
      </c>
      <c r="AV856" s="32">
        <f t="shared" si="633"/>
        <v>0</v>
      </c>
      <c r="AW856" s="85" t="str">
        <f t="shared" si="634"/>
        <v/>
      </c>
      <c r="AX856" s="86" t="str">
        <f t="shared" si="635"/>
        <v/>
      </c>
    </row>
    <row r="857" spans="1:50" x14ac:dyDescent="0.2">
      <c r="A857" s="29" t="str">
        <f t="shared" si="637"/>
        <v/>
      </c>
      <c r="B857" s="32" t="str">
        <f t="shared" si="636"/>
        <v/>
      </c>
      <c r="C857" s="35"/>
      <c r="D857" s="33" t="str">
        <f t="shared" si="595"/>
        <v/>
      </c>
      <c r="E857" s="22" t="str">
        <f t="shared" si="596"/>
        <v/>
      </c>
      <c r="F857" s="23" t="str">
        <f t="shared" si="597"/>
        <v/>
      </c>
      <c r="G857" s="23"/>
      <c r="H857" s="22"/>
      <c r="I857" s="23"/>
      <c r="J857" s="18"/>
      <c r="K857" s="13" t="str">
        <f t="shared" si="598"/>
        <v/>
      </c>
      <c r="L857" s="28" t="str">
        <f t="shared" si="599"/>
        <v/>
      </c>
      <c r="M857" s="10" t="str">
        <f t="shared" si="600"/>
        <v/>
      </c>
      <c r="N857" s="17" t="str">
        <f t="shared" si="601"/>
        <v/>
      </c>
      <c r="O857" s="39" t="str">
        <f t="shared" si="602"/>
        <v/>
      </c>
      <c r="P857" s="41" t="str">
        <f t="shared" si="603"/>
        <v/>
      </c>
      <c r="Q857" s="9" t="str">
        <f t="shared" si="604"/>
        <v/>
      </c>
      <c r="R857" s="14">
        <f t="shared" si="605"/>
        <v>0</v>
      </c>
      <c r="S857" s="61" t="str">
        <f t="shared" si="606"/>
        <v/>
      </c>
      <c r="T857" s="14">
        <f t="shared" si="607"/>
        <v>0</v>
      </c>
      <c r="U857" s="58" t="str">
        <f t="shared" si="608"/>
        <v/>
      </c>
      <c r="V857" s="14">
        <f t="shared" si="609"/>
        <v>0</v>
      </c>
      <c r="W857" s="58" t="str">
        <f t="shared" si="610"/>
        <v/>
      </c>
      <c r="X857" s="14">
        <f t="shared" si="611"/>
        <v>0</v>
      </c>
      <c r="Y857" s="58" t="str">
        <f t="shared" si="612"/>
        <v/>
      </c>
      <c r="Z857" s="31">
        <f t="shared" si="613"/>
        <v>0</v>
      </c>
      <c r="AA857" s="21">
        <f t="shared" si="614"/>
        <v>0</v>
      </c>
      <c r="AB857" s="58" t="str">
        <f t="shared" si="615"/>
        <v/>
      </c>
      <c r="AC857" s="630">
        <f t="shared" si="638"/>
        <v>0</v>
      </c>
      <c r="AD857" s="627"/>
      <c r="AE857" s="21">
        <f t="shared" si="616"/>
        <v>0</v>
      </c>
      <c r="AF857" s="58" t="str">
        <f t="shared" si="617"/>
        <v/>
      </c>
      <c r="AG857" s="21">
        <f t="shared" si="618"/>
        <v>0</v>
      </c>
      <c r="AH857" s="58" t="str">
        <f t="shared" si="619"/>
        <v/>
      </c>
      <c r="AI857" s="21">
        <f t="shared" si="620"/>
        <v>0</v>
      </c>
      <c r="AJ857" s="58" t="str">
        <f t="shared" si="621"/>
        <v/>
      </c>
      <c r="AK857" s="31">
        <f t="shared" si="622"/>
        <v>0</v>
      </c>
      <c r="AL857" s="21">
        <f t="shared" si="623"/>
        <v>0</v>
      </c>
      <c r="AM857" s="62" t="str">
        <f t="shared" si="624"/>
        <v/>
      </c>
      <c r="AN857" s="21">
        <f t="shared" si="625"/>
        <v>0</v>
      </c>
      <c r="AO857" s="62" t="str">
        <f t="shared" si="626"/>
        <v/>
      </c>
      <c r="AP857" s="21">
        <f t="shared" si="627"/>
        <v>0</v>
      </c>
      <c r="AQ857" s="62" t="str">
        <f t="shared" si="628"/>
        <v/>
      </c>
      <c r="AR857" s="31">
        <f t="shared" si="629"/>
        <v>0</v>
      </c>
      <c r="AS857" s="21">
        <f t="shared" si="630"/>
        <v>0</v>
      </c>
      <c r="AT857" s="62" t="str">
        <f t="shared" si="631"/>
        <v/>
      </c>
      <c r="AU857" s="84">
        <f t="shared" si="632"/>
        <v>0</v>
      </c>
      <c r="AV857" s="32">
        <f t="shared" si="633"/>
        <v>0</v>
      </c>
      <c r="AW857" s="85" t="str">
        <f t="shared" si="634"/>
        <v/>
      </c>
      <c r="AX857" s="86" t="str">
        <f t="shared" si="635"/>
        <v/>
      </c>
    </row>
    <row r="858" spans="1:50" x14ac:dyDescent="0.2">
      <c r="A858" s="29" t="str">
        <f t="shared" si="637"/>
        <v/>
      </c>
      <c r="B858" s="32" t="str">
        <f t="shared" si="636"/>
        <v/>
      </c>
      <c r="C858" s="35"/>
      <c r="D858" s="33" t="str">
        <f t="shared" si="595"/>
        <v/>
      </c>
      <c r="E858" s="22" t="str">
        <f t="shared" si="596"/>
        <v/>
      </c>
      <c r="F858" s="23" t="str">
        <f t="shared" si="597"/>
        <v/>
      </c>
      <c r="G858" s="23"/>
      <c r="H858" s="22"/>
      <c r="I858" s="23"/>
      <c r="J858" s="18"/>
      <c r="K858" s="13" t="str">
        <f t="shared" si="598"/>
        <v/>
      </c>
      <c r="L858" s="28" t="str">
        <f t="shared" si="599"/>
        <v/>
      </c>
      <c r="M858" s="10" t="str">
        <f t="shared" si="600"/>
        <v/>
      </c>
      <c r="N858" s="17" t="str">
        <f t="shared" si="601"/>
        <v/>
      </c>
      <c r="O858" s="39" t="str">
        <f t="shared" si="602"/>
        <v/>
      </c>
      <c r="P858" s="41" t="str">
        <f t="shared" si="603"/>
        <v/>
      </c>
      <c r="Q858" s="9" t="str">
        <f t="shared" si="604"/>
        <v/>
      </c>
      <c r="R858" s="14">
        <f t="shared" si="605"/>
        <v>0</v>
      </c>
      <c r="S858" s="61" t="str">
        <f t="shared" si="606"/>
        <v/>
      </c>
      <c r="T858" s="14">
        <f t="shared" si="607"/>
        <v>0</v>
      </c>
      <c r="U858" s="58" t="str">
        <f t="shared" si="608"/>
        <v/>
      </c>
      <c r="V858" s="14">
        <f t="shared" si="609"/>
        <v>0</v>
      </c>
      <c r="W858" s="58" t="str">
        <f t="shared" si="610"/>
        <v/>
      </c>
      <c r="X858" s="14">
        <f t="shared" si="611"/>
        <v>0</v>
      </c>
      <c r="Y858" s="58" t="str">
        <f t="shared" si="612"/>
        <v/>
      </c>
      <c r="Z858" s="31">
        <f t="shared" si="613"/>
        <v>0</v>
      </c>
      <c r="AA858" s="21">
        <f t="shared" si="614"/>
        <v>0</v>
      </c>
      <c r="AB858" s="58" t="str">
        <f t="shared" si="615"/>
        <v/>
      </c>
      <c r="AC858" s="630">
        <f t="shared" si="638"/>
        <v>0</v>
      </c>
      <c r="AD858" s="627"/>
      <c r="AE858" s="21">
        <f t="shared" si="616"/>
        <v>0</v>
      </c>
      <c r="AF858" s="58" t="str">
        <f t="shared" si="617"/>
        <v/>
      </c>
      <c r="AG858" s="21">
        <f t="shared" si="618"/>
        <v>0</v>
      </c>
      <c r="AH858" s="58" t="str">
        <f t="shared" si="619"/>
        <v/>
      </c>
      <c r="AI858" s="21">
        <f t="shared" si="620"/>
        <v>0</v>
      </c>
      <c r="AJ858" s="58" t="str">
        <f t="shared" si="621"/>
        <v/>
      </c>
      <c r="AK858" s="31">
        <f t="shared" si="622"/>
        <v>0</v>
      </c>
      <c r="AL858" s="21">
        <f t="shared" si="623"/>
        <v>0</v>
      </c>
      <c r="AM858" s="62" t="str">
        <f t="shared" si="624"/>
        <v/>
      </c>
      <c r="AN858" s="21">
        <f t="shared" si="625"/>
        <v>0</v>
      </c>
      <c r="AO858" s="62" t="str">
        <f t="shared" si="626"/>
        <v/>
      </c>
      <c r="AP858" s="21">
        <f t="shared" si="627"/>
        <v>0</v>
      </c>
      <c r="AQ858" s="62" t="str">
        <f t="shared" si="628"/>
        <v/>
      </c>
      <c r="AR858" s="31">
        <f t="shared" si="629"/>
        <v>0</v>
      </c>
      <c r="AS858" s="21">
        <f t="shared" si="630"/>
        <v>0</v>
      </c>
      <c r="AT858" s="62" t="str">
        <f t="shared" si="631"/>
        <v/>
      </c>
      <c r="AU858" s="84">
        <f t="shared" si="632"/>
        <v>0</v>
      </c>
      <c r="AV858" s="32">
        <f t="shared" si="633"/>
        <v>0</v>
      </c>
      <c r="AW858" s="85" t="str">
        <f t="shared" si="634"/>
        <v/>
      </c>
      <c r="AX858" s="86" t="str">
        <f t="shared" si="635"/>
        <v/>
      </c>
    </row>
    <row r="859" spans="1:50" x14ac:dyDescent="0.2">
      <c r="A859" s="29" t="str">
        <f t="shared" si="637"/>
        <v/>
      </c>
      <c r="B859" s="32" t="str">
        <f t="shared" si="636"/>
        <v/>
      </c>
      <c r="C859" s="35"/>
      <c r="D859" s="33" t="str">
        <f t="shared" si="595"/>
        <v/>
      </c>
      <c r="E859" s="22" t="str">
        <f t="shared" si="596"/>
        <v/>
      </c>
      <c r="F859" s="23" t="str">
        <f t="shared" si="597"/>
        <v/>
      </c>
      <c r="G859" s="23"/>
      <c r="H859" s="22"/>
      <c r="I859" s="23"/>
      <c r="J859" s="18"/>
      <c r="K859" s="13" t="str">
        <f t="shared" si="598"/>
        <v/>
      </c>
      <c r="L859" s="28" t="str">
        <f t="shared" si="599"/>
        <v/>
      </c>
      <c r="M859" s="10" t="str">
        <f t="shared" si="600"/>
        <v/>
      </c>
      <c r="N859" s="17" t="str">
        <f t="shared" si="601"/>
        <v/>
      </c>
      <c r="O859" s="39" t="str">
        <f t="shared" si="602"/>
        <v/>
      </c>
      <c r="P859" s="41" t="str">
        <f t="shared" si="603"/>
        <v/>
      </c>
      <c r="Q859" s="9" t="str">
        <f t="shared" si="604"/>
        <v/>
      </c>
      <c r="R859" s="14">
        <f t="shared" si="605"/>
        <v>0</v>
      </c>
      <c r="S859" s="61" t="str">
        <f t="shared" si="606"/>
        <v/>
      </c>
      <c r="T859" s="14">
        <f t="shared" si="607"/>
        <v>0</v>
      </c>
      <c r="U859" s="58" t="str">
        <f t="shared" si="608"/>
        <v/>
      </c>
      <c r="V859" s="14">
        <f t="shared" si="609"/>
        <v>0</v>
      </c>
      <c r="W859" s="58" t="str">
        <f t="shared" si="610"/>
        <v/>
      </c>
      <c r="X859" s="14">
        <f t="shared" si="611"/>
        <v>0</v>
      </c>
      <c r="Y859" s="58" t="str">
        <f t="shared" si="612"/>
        <v/>
      </c>
      <c r="Z859" s="31">
        <f t="shared" si="613"/>
        <v>0</v>
      </c>
      <c r="AA859" s="21">
        <f t="shared" si="614"/>
        <v>0</v>
      </c>
      <c r="AB859" s="58" t="str">
        <f t="shared" si="615"/>
        <v/>
      </c>
      <c r="AC859" s="630">
        <f t="shared" si="638"/>
        <v>0</v>
      </c>
      <c r="AD859" s="627"/>
      <c r="AE859" s="21">
        <f t="shared" si="616"/>
        <v>0</v>
      </c>
      <c r="AF859" s="58" t="str">
        <f t="shared" si="617"/>
        <v/>
      </c>
      <c r="AG859" s="21">
        <f t="shared" si="618"/>
        <v>0</v>
      </c>
      <c r="AH859" s="58" t="str">
        <f t="shared" si="619"/>
        <v/>
      </c>
      <c r="AI859" s="21">
        <f t="shared" si="620"/>
        <v>0</v>
      </c>
      <c r="AJ859" s="58" t="str">
        <f t="shared" si="621"/>
        <v/>
      </c>
      <c r="AK859" s="31">
        <f t="shared" si="622"/>
        <v>0</v>
      </c>
      <c r="AL859" s="21">
        <f t="shared" si="623"/>
        <v>0</v>
      </c>
      <c r="AM859" s="62" t="str">
        <f t="shared" si="624"/>
        <v/>
      </c>
      <c r="AN859" s="21">
        <f t="shared" si="625"/>
        <v>0</v>
      </c>
      <c r="AO859" s="62" t="str">
        <f t="shared" si="626"/>
        <v/>
      </c>
      <c r="AP859" s="21">
        <f t="shared" si="627"/>
        <v>0</v>
      </c>
      <c r="AQ859" s="62" t="str">
        <f t="shared" si="628"/>
        <v/>
      </c>
      <c r="AR859" s="31">
        <f t="shared" si="629"/>
        <v>0</v>
      </c>
      <c r="AS859" s="21">
        <f t="shared" si="630"/>
        <v>0</v>
      </c>
      <c r="AT859" s="62" t="str">
        <f t="shared" si="631"/>
        <v/>
      </c>
      <c r="AU859" s="84">
        <f t="shared" si="632"/>
        <v>0</v>
      </c>
      <c r="AV859" s="32">
        <f t="shared" si="633"/>
        <v>0</v>
      </c>
      <c r="AW859" s="85" t="str">
        <f t="shared" si="634"/>
        <v/>
      </c>
      <c r="AX859" s="86" t="str">
        <f t="shared" si="635"/>
        <v/>
      </c>
    </row>
    <row r="860" spans="1:50" x14ac:dyDescent="0.2">
      <c r="A860" s="29" t="str">
        <f t="shared" si="637"/>
        <v/>
      </c>
      <c r="B860" s="32" t="str">
        <f t="shared" si="636"/>
        <v/>
      </c>
      <c r="C860" s="35"/>
      <c r="D860" s="33" t="str">
        <f t="shared" si="595"/>
        <v/>
      </c>
      <c r="E860" s="22" t="str">
        <f t="shared" si="596"/>
        <v/>
      </c>
      <c r="F860" s="23" t="str">
        <f t="shared" si="597"/>
        <v/>
      </c>
      <c r="G860" s="23"/>
      <c r="H860" s="22"/>
      <c r="I860" s="23"/>
      <c r="J860" s="18"/>
      <c r="K860" s="13" t="str">
        <f t="shared" si="598"/>
        <v/>
      </c>
      <c r="L860" s="28" t="str">
        <f t="shared" si="599"/>
        <v/>
      </c>
      <c r="M860" s="10" t="str">
        <f t="shared" si="600"/>
        <v/>
      </c>
      <c r="N860" s="17" t="str">
        <f t="shared" si="601"/>
        <v/>
      </c>
      <c r="O860" s="39" t="str">
        <f t="shared" si="602"/>
        <v/>
      </c>
      <c r="P860" s="41" t="str">
        <f t="shared" si="603"/>
        <v/>
      </c>
      <c r="Q860" s="9" t="str">
        <f t="shared" si="604"/>
        <v/>
      </c>
      <c r="R860" s="14">
        <f t="shared" si="605"/>
        <v>0</v>
      </c>
      <c r="S860" s="61" t="str">
        <f t="shared" si="606"/>
        <v/>
      </c>
      <c r="T860" s="14">
        <f t="shared" si="607"/>
        <v>0</v>
      </c>
      <c r="U860" s="58" t="str">
        <f t="shared" si="608"/>
        <v/>
      </c>
      <c r="V860" s="14">
        <f t="shared" si="609"/>
        <v>0</v>
      </c>
      <c r="W860" s="58" t="str">
        <f t="shared" si="610"/>
        <v/>
      </c>
      <c r="X860" s="14">
        <f t="shared" si="611"/>
        <v>0</v>
      </c>
      <c r="Y860" s="58" t="str">
        <f t="shared" si="612"/>
        <v/>
      </c>
      <c r="Z860" s="31">
        <f t="shared" si="613"/>
        <v>0</v>
      </c>
      <c r="AA860" s="21">
        <f t="shared" si="614"/>
        <v>0</v>
      </c>
      <c r="AB860" s="58" t="str">
        <f t="shared" si="615"/>
        <v/>
      </c>
      <c r="AC860" s="630">
        <f t="shared" si="638"/>
        <v>0</v>
      </c>
      <c r="AD860" s="627"/>
      <c r="AE860" s="21">
        <f t="shared" si="616"/>
        <v>0</v>
      </c>
      <c r="AF860" s="58" t="str">
        <f t="shared" si="617"/>
        <v/>
      </c>
      <c r="AG860" s="21">
        <f t="shared" si="618"/>
        <v>0</v>
      </c>
      <c r="AH860" s="58" t="str">
        <f t="shared" si="619"/>
        <v/>
      </c>
      <c r="AI860" s="21">
        <f t="shared" si="620"/>
        <v>0</v>
      </c>
      <c r="AJ860" s="58" t="str">
        <f t="shared" si="621"/>
        <v/>
      </c>
      <c r="AK860" s="31">
        <f t="shared" si="622"/>
        <v>0</v>
      </c>
      <c r="AL860" s="21">
        <f t="shared" si="623"/>
        <v>0</v>
      </c>
      <c r="AM860" s="62" t="str">
        <f t="shared" si="624"/>
        <v/>
      </c>
      <c r="AN860" s="21">
        <f t="shared" si="625"/>
        <v>0</v>
      </c>
      <c r="AO860" s="62" t="str">
        <f t="shared" si="626"/>
        <v/>
      </c>
      <c r="AP860" s="21">
        <f t="shared" si="627"/>
        <v>0</v>
      </c>
      <c r="AQ860" s="62" t="str">
        <f t="shared" si="628"/>
        <v/>
      </c>
      <c r="AR860" s="31">
        <f t="shared" si="629"/>
        <v>0</v>
      </c>
      <c r="AS860" s="21">
        <f t="shared" si="630"/>
        <v>0</v>
      </c>
      <c r="AT860" s="62" t="str">
        <f t="shared" si="631"/>
        <v/>
      </c>
      <c r="AU860" s="84">
        <f t="shared" si="632"/>
        <v>0</v>
      </c>
      <c r="AV860" s="32">
        <f t="shared" si="633"/>
        <v>0</v>
      </c>
      <c r="AW860" s="85" t="str">
        <f t="shared" si="634"/>
        <v/>
      </c>
      <c r="AX860" s="86" t="str">
        <f t="shared" si="635"/>
        <v/>
      </c>
    </row>
    <row r="861" spans="1:50" x14ac:dyDescent="0.2">
      <c r="A861" s="29" t="str">
        <f t="shared" si="637"/>
        <v/>
      </c>
      <c r="B861" s="32" t="str">
        <f t="shared" si="636"/>
        <v/>
      </c>
      <c r="C861" s="35"/>
      <c r="D861" s="33" t="str">
        <f t="shared" si="595"/>
        <v/>
      </c>
      <c r="E861" s="22" t="str">
        <f t="shared" si="596"/>
        <v/>
      </c>
      <c r="F861" s="23" t="str">
        <f t="shared" si="597"/>
        <v/>
      </c>
      <c r="G861" s="23"/>
      <c r="H861" s="22"/>
      <c r="I861" s="23"/>
      <c r="J861" s="18"/>
      <c r="K861" s="13" t="str">
        <f t="shared" si="598"/>
        <v/>
      </c>
      <c r="L861" s="28" t="str">
        <f t="shared" si="599"/>
        <v/>
      </c>
      <c r="M861" s="10" t="str">
        <f t="shared" si="600"/>
        <v/>
      </c>
      <c r="N861" s="17" t="str">
        <f t="shared" si="601"/>
        <v/>
      </c>
      <c r="O861" s="39" t="str">
        <f t="shared" si="602"/>
        <v/>
      </c>
      <c r="P861" s="41" t="str">
        <f t="shared" si="603"/>
        <v/>
      </c>
      <c r="Q861" s="9" t="str">
        <f t="shared" si="604"/>
        <v/>
      </c>
      <c r="R861" s="14">
        <f t="shared" si="605"/>
        <v>0</v>
      </c>
      <c r="S861" s="61" t="str">
        <f t="shared" si="606"/>
        <v/>
      </c>
      <c r="T861" s="14">
        <f t="shared" si="607"/>
        <v>0</v>
      </c>
      <c r="U861" s="58" t="str">
        <f t="shared" si="608"/>
        <v/>
      </c>
      <c r="V861" s="14">
        <f t="shared" si="609"/>
        <v>0</v>
      </c>
      <c r="W861" s="58" t="str">
        <f t="shared" si="610"/>
        <v/>
      </c>
      <c r="X861" s="14">
        <f t="shared" si="611"/>
        <v>0</v>
      </c>
      <c r="Y861" s="58" t="str">
        <f t="shared" si="612"/>
        <v/>
      </c>
      <c r="Z861" s="31">
        <f t="shared" si="613"/>
        <v>0</v>
      </c>
      <c r="AA861" s="21">
        <f t="shared" si="614"/>
        <v>0</v>
      </c>
      <c r="AB861" s="58" t="str">
        <f t="shared" si="615"/>
        <v/>
      </c>
      <c r="AC861" s="630">
        <f t="shared" si="638"/>
        <v>0</v>
      </c>
      <c r="AD861" s="627"/>
      <c r="AE861" s="21">
        <f t="shared" si="616"/>
        <v>0</v>
      </c>
      <c r="AF861" s="58" t="str">
        <f t="shared" si="617"/>
        <v/>
      </c>
      <c r="AG861" s="21">
        <f t="shared" si="618"/>
        <v>0</v>
      </c>
      <c r="AH861" s="58" t="str">
        <f t="shared" si="619"/>
        <v/>
      </c>
      <c r="AI861" s="21">
        <f t="shared" si="620"/>
        <v>0</v>
      </c>
      <c r="AJ861" s="58" t="str">
        <f t="shared" si="621"/>
        <v/>
      </c>
      <c r="AK861" s="31">
        <f t="shared" si="622"/>
        <v>0</v>
      </c>
      <c r="AL861" s="21">
        <f t="shared" si="623"/>
        <v>0</v>
      </c>
      <c r="AM861" s="62" t="str">
        <f t="shared" si="624"/>
        <v/>
      </c>
      <c r="AN861" s="21">
        <f t="shared" si="625"/>
        <v>0</v>
      </c>
      <c r="AO861" s="62" t="str">
        <f t="shared" si="626"/>
        <v/>
      </c>
      <c r="AP861" s="21">
        <f t="shared" si="627"/>
        <v>0</v>
      </c>
      <c r="AQ861" s="62" t="str">
        <f t="shared" si="628"/>
        <v/>
      </c>
      <c r="AR861" s="31">
        <f t="shared" si="629"/>
        <v>0</v>
      </c>
      <c r="AS861" s="21">
        <f t="shared" si="630"/>
        <v>0</v>
      </c>
      <c r="AT861" s="62" t="str">
        <f t="shared" si="631"/>
        <v/>
      </c>
      <c r="AU861" s="84">
        <f t="shared" si="632"/>
        <v>0</v>
      </c>
      <c r="AV861" s="32">
        <f t="shared" si="633"/>
        <v>0</v>
      </c>
      <c r="AW861" s="85" t="str">
        <f t="shared" si="634"/>
        <v/>
      </c>
      <c r="AX861" s="86" t="str">
        <f t="shared" si="635"/>
        <v/>
      </c>
    </row>
    <row r="862" spans="1:50" x14ac:dyDescent="0.2">
      <c r="A862" s="29" t="str">
        <f t="shared" si="637"/>
        <v/>
      </c>
      <c r="B862" s="32" t="str">
        <f t="shared" si="636"/>
        <v/>
      </c>
      <c r="C862" s="35"/>
      <c r="D862" s="33" t="str">
        <f t="shared" si="595"/>
        <v/>
      </c>
      <c r="E862" s="22" t="str">
        <f t="shared" si="596"/>
        <v/>
      </c>
      <c r="F862" s="23" t="str">
        <f t="shared" si="597"/>
        <v/>
      </c>
      <c r="G862" s="23"/>
      <c r="H862" s="22"/>
      <c r="I862" s="23"/>
      <c r="J862" s="18"/>
      <c r="K862" s="13" t="str">
        <f t="shared" si="598"/>
        <v/>
      </c>
      <c r="L862" s="28" t="str">
        <f t="shared" si="599"/>
        <v/>
      </c>
      <c r="M862" s="10" t="str">
        <f t="shared" si="600"/>
        <v/>
      </c>
      <c r="N862" s="17" t="str">
        <f t="shared" si="601"/>
        <v/>
      </c>
      <c r="O862" s="39" t="str">
        <f t="shared" si="602"/>
        <v/>
      </c>
      <c r="P862" s="41" t="str">
        <f t="shared" si="603"/>
        <v/>
      </c>
      <c r="Q862" s="9" t="str">
        <f t="shared" si="604"/>
        <v/>
      </c>
      <c r="R862" s="14">
        <f t="shared" si="605"/>
        <v>0</v>
      </c>
      <c r="S862" s="61" t="str">
        <f t="shared" si="606"/>
        <v/>
      </c>
      <c r="T862" s="14">
        <f t="shared" si="607"/>
        <v>0</v>
      </c>
      <c r="U862" s="58" t="str">
        <f t="shared" si="608"/>
        <v/>
      </c>
      <c r="V862" s="14">
        <f t="shared" si="609"/>
        <v>0</v>
      </c>
      <c r="W862" s="58" t="str">
        <f t="shared" si="610"/>
        <v/>
      </c>
      <c r="X862" s="14">
        <f t="shared" si="611"/>
        <v>0</v>
      </c>
      <c r="Y862" s="58" t="str">
        <f t="shared" si="612"/>
        <v/>
      </c>
      <c r="Z862" s="31">
        <f t="shared" si="613"/>
        <v>0</v>
      </c>
      <c r="AA862" s="21">
        <f t="shared" si="614"/>
        <v>0</v>
      </c>
      <c r="AB862" s="58" t="str">
        <f t="shared" si="615"/>
        <v/>
      </c>
      <c r="AC862" s="630">
        <f t="shared" si="638"/>
        <v>0</v>
      </c>
      <c r="AD862" s="627"/>
      <c r="AE862" s="21">
        <f t="shared" si="616"/>
        <v>0</v>
      </c>
      <c r="AF862" s="58" t="str">
        <f t="shared" si="617"/>
        <v/>
      </c>
      <c r="AG862" s="21">
        <f t="shared" si="618"/>
        <v>0</v>
      </c>
      <c r="AH862" s="58" t="str">
        <f t="shared" si="619"/>
        <v/>
      </c>
      <c r="AI862" s="21">
        <f t="shared" si="620"/>
        <v>0</v>
      </c>
      <c r="AJ862" s="58" t="str">
        <f t="shared" si="621"/>
        <v/>
      </c>
      <c r="AK862" s="31">
        <f t="shared" si="622"/>
        <v>0</v>
      </c>
      <c r="AL862" s="21">
        <f t="shared" si="623"/>
        <v>0</v>
      </c>
      <c r="AM862" s="62" t="str">
        <f t="shared" si="624"/>
        <v/>
      </c>
      <c r="AN862" s="21">
        <f t="shared" si="625"/>
        <v>0</v>
      </c>
      <c r="AO862" s="62" t="str">
        <f t="shared" si="626"/>
        <v/>
      </c>
      <c r="AP862" s="21">
        <f t="shared" si="627"/>
        <v>0</v>
      </c>
      <c r="AQ862" s="62" t="str">
        <f t="shared" si="628"/>
        <v/>
      </c>
      <c r="AR862" s="31">
        <f t="shared" si="629"/>
        <v>0</v>
      </c>
      <c r="AS862" s="21">
        <f t="shared" si="630"/>
        <v>0</v>
      </c>
      <c r="AT862" s="62" t="str">
        <f t="shared" si="631"/>
        <v/>
      </c>
      <c r="AU862" s="84">
        <f t="shared" si="632"/>
        <v>0</v>
      </c>
      <c r="AV862" s="32">
        <f t="shared" si="633"/>
        <v>0</v>
      </c>
      <c r="AW862" s="85" t="str">
        <f t="shared" si="634"/>
        <v/>
      </c>
      <c r="AX862" s="86" t="str">
        <f t="shared" si="635"/>
        <v/>
      </c>
    </row>
    <row r="863" spans="1:50" x14ac:dyDescent="0.2">
      <c r="A863" s="29" t="str">
        <f t="shared" si="637"/>
        <v/>
      </c>
      <c r="B863" s="32" t="str">
        <f t="shared" si="636"/>
        <v/>
      </c>
      <c r="C863" s="35"/>
      <c r="D863" s="33" t="str">
        <f t="shared" si="595"/>
        <v/>
      </c>
      <c r="E863" s="22" t="str">
        <f t="shared" si="596"/>
        <v/>
      </c>
      <c r="F863" s="23" t="str">
        <f t="shared" si="597"/>
        <v/>
      </c>
      <c r="G863" s="23"/>
      <c r="H863" s="22"/>
      <c r="I863" s="23"/>
      <c r="J863" s="18"/>
      <c r="K863" s="13" t="str">
        <f t="shared" si="598"/>
        <v/>
      </c>
      <c r="L863" s="28" t="str">
        <f t="shared" si="599"/>
        <v/>
      </c>
      <c r="M863" s="10" t="str">
        <f t="shared" si="600"/>
        <v/>
      </c>
      <c r="N863" s="17" t="str">
        <f t="shared" si="601"/>
        <v/>
      </c>
      <c r="O863" s="39" t="str">
        <f t="shared" si="602"/>
        <v/>
      </c>
      <c r="P863" s="41" t="str">
        <f t="shared" si="603"/>
        <v/>
      </c>
      <c r="Q863" s="9" t="str">
        <f t="shared" si="604"/>
        <v/>
      </c>
      <c r="R863" s="14">
        <f t="shared" si="605"/>
        <v>0</v>
      </c>
      <c r="S863" s="61" t="str">
        <f t="shared" si="606"/>
        <v/>
      </c>
      <c r="T863" s="14">
        <f t="shared" si="607"/>
        <v>0</v>
      </c>
      <c r="U863" s="58" t="str">
        <f t="shared" si="608"/>
        <v/>
      </c>
      <c r="V863" s="14">
        <f t="shared" si="609"/>
        <v>0</v>
      </c>
      <c r="W863" s="58" t="str">
        <f t="shared" si="610"/>
        <v/>
      </c>
      <c r="X863" s="14">
        <f t="shared" si="611"/>
        <v>0</v>
      </c>
      <c r="Y863" s="58" t="str">
        <f t="shared" si="612"/>
        <v/>
      </c>
      <c r="Z863" s="31">
        <f t="shared" si="613"/>
        <v>0</v>
      </c>
      <c r="AA863" s="21">
        <f t="shared" si="614"/>
        <v>0</v>
      </c>
      <c r="AB863" s="58" t="str">
        <f t="shared" si="615"/>
        <v/>
      </c>
      <c r="AC863" s="630">
        <f t="shared" si="638"/>
        <v>0</v>
      </c>
      <c r="AD863" s="627"/>
      <c r="AE863" s="21">
        <f t="shared" si="616"/>
        <v>0</v>
      </c>
      <c r="AF863" s="58" t="str">
        <f t="shared" si="617"/>
        <v/>
      </c>
      <c r="AG863" s="21">
        <f t="shared" si="618"/>
        <v>0</v>
      </c>
      <c r="AH863" s="58" t="str">
        <f t="shared" si="619"/>
        <v/>
      </c>
      <c r="AI863" s="21">
        <f t="shared" si="620"/>
        <v>0</v>
      </c>
      <c r="AJ863" s="58" t="str">
        <f t="shared" si="621"/>
        <v/>
      </c>
      <c r="AK863" s="31">
        <f t="shared" si="622"/>
        <v>0</v>
      </c>
      <c r="AL863" s="21">
        <f t="shared" si="623"/>
        <v>0</v>
      </c>
      <c r="AM863" s="62" t="str">
        <f t="shared" si="624"/>
        <v/>
      </c>
      <c r="AN863" s="21">
        <f t="shared" si="625"/>
        <v>0</v>
      </c>
      <c r="AO863" s="62" t="str">
        <f t="shared" si="626"/>
        <v/>
      </c>
      <c r="AP863" s="21">
        <f t="shared" si="627"/>
        <v>0</v>
      </c>
      <c r="AQ863" s="62" t="str">
        <f t="shared" si="628"/>
        <v/>
      </c>
      <c r="AR863" s="31">
        <f t="shared" si="629"/>
        <v>0</v>
      </c>
      <c r="AS863" s="21">
        <f t="shared" si="630"/>
        <v>0</v>
      </c>
      <c r="AT863" s="62" t="str">
        <f t="shared" si="631"/>
        <v/>
      </c>
      <c r="AU863" s="84">
        <f t="shared" si="632"/>
        <v>0</v>
      </c>
      <c r="AV863" s="32">
        <f t="shared" si="633"/>
        <v>0</v>
      </c>
      <c r="AW863" s="85" t="str">
        <f t="shared" si="634"/>
        <v/>
      </c>
      <c r="AX863" s="86" t="str">
        <f t="shared" si="635"/>
        <v/>
      </c>
    </row>
    <row r="864" spans="1:50" x14ac:dyDescent="0.2">
      <c r="A864" s="29" t="str">
        <f t="shared" si="637"/>
        <v/>
      </c>
      <c r="B864" s="32" t="str">
        <f t="shared" si="636"/>
        <v/>
      </c>
      <c r="C864" s="35"/>
      <c r="D864" s="33" t="str">
        <f t="shared" si="595"/>
        <v/>
      </c>
      <c r="E864" s="22" t="str">
        <f t="shared" si="596"/>
        <v/>
      </c>
      <c r="F864" s="23" t="str">
        <f t="shared" si="597"/>
        <v/>
      </c>
      <c r="G864" s="23"/>
      <c r="H864" s="22"/>
      <c r="I864" s="23"/>
      <c r="J864" s="18"/>
      <c r="K864" s="13" t="str">
        <f t="shared" si="598"/>
        <v/>
      </c>
      <c r="L864" s="28" t="str">
        <f t="shared" si="599"/>
        <v/>
      </c>
      <c r="M864" s="10" t="str">
        <f t="shared" si="600"/>
        <v/>
      </c>
      <c r="N864" s="17" t="str">
        <f t="shared" si="601"/>
        <v/>
      </c>
      <c r="O864" s="39" t="str">
        <f t="shared" si="602"/>
        <v/>
      </c>
      <c r="P864" s="41" t="str">
        <f t="shared" si="603"/>
        <v/>
      </c>
      <c r="Q864" s="9" t="str">
        <f t="shared" si="604"/>
        <v/>
      </c>
      <c r="R864" s="14">
        <f t="shared" si="605"/>
        <v>0</v>
      </c>
      <c r="S864" s="61" t="str">
        <f t="shared" si="606"/>
        <v/>
      </c>
      <c r="T864" s="14">
        <f t="shared" si="607"/>
        <v>0</v>
      </c>
      <c r="U864" s="58" t="str">
        <f t="shared" si="608"/>
        <v/>
      </c>
      <c r="V864" s="14">
        <f t="shared" si="609"/>
        <v>0</v>
      </c>
      <c r="W864" s="58" t="str">
        <f t="shared" si="610"/>
        <v/>
      </c>
      <c r="X864" s="14">
        <f t="shared" si="611"/>
        <v>0</v>
      </c>
      <c r="Y864" s="58" t="str">
        <f t="shared" si="612"/>
        <v/>
      </c>
      <c r="Z864" s="31">
        <f t="shared" si="613"/>
        <v>0</v>
      </c>
      <c r="AA864" s="21">
        <f t="shared" si="614"/>
        <v>0</v>
      </c>
      <c r="AB864" s="58" t="str">
        <f t="shared" si="615"/>
        <v/>
      </c>
      <c r="AC864" s="630">
        <f t="shared" si="638"/>
        <v>0</v>
      </c>
      <c r="AD864" s="627"/>
      <c r="AE864" s="21">
        <f t="shared" si="616"/>
        <v>0</v>
      </c>
      <c r="AF864" s="58" t="str">
        <f t="shared" si="617"/>
        <v/>
      </c>
      <c r="AG864" s="21">
        <f t="shared" si="618"/>
        <v>0</v>
      </c>
      <c r="AH864" s="58" t="str">
        <f t="shared" si="619"/>
        <v/>
      </c>
      <c r="AI864" s="21">
        <f t="shared" si="620"/>
        <v>0</v>
      </c>
      <c r="AJ864" s="58" t="str">
        <f t="shared" si="621"/>
        <v/>
      </c>
      <c r="AK864" s="31">
        <f t="shared" si="622"/>
        <v>0</v>
      </c>
      <c r="AL864" s="21">
        <f t="shared" si="623"/>
        <v>0</v>
      </c>
      <c r="AM864" s="62" t="str">
        <f t="shared" si="624"/>
        <v/>
      </c>
      <c r="AN864" s="21">
        <f t="shared" si="625"/>
        <v>0</v>
      </c>
      <c r="AO864" s="62" t="str">
        <f t="shared" si="626"/>
        <v/>
      </c>
      <c r="AP864" s="21">
        <f t="shared" si="627"/>
        <v>0</v>
      </c>
      <c r="AQ864" s="62" t="str">
        <f t="shared" si="628"/>
        <v/>
      </c>
      <c r="AR864" s="31">
        <f t="shared" si="629"/>
        <v>0</v>
      </c>
      <c r="AS864" s="21">
        <f t="shared" si="630"/>
        <v>0</v>
      </c>
      <c r="AT864" s="62" t="str">
        <f t="shared" si="631"/>
        <v/>
      </c>
      <c r="AU864" s="84">
        <f t="shared" si="632"/>
        <v>0</v>
      </c>
      <c r="AV864" s="32">
        <f t="shared" si="633"/>
        <v>0</v>
      </c>
      <c r="AW864" s="85" t="str">
        <f t="shared" si="634"/>
        <v/>
      </c>
      <c r="AX864" s="86" t="str">
        <f t="shared" si="635"/>
        <v/>
      </c>
    </row>
    <row r="865" spans="1:50" x14ac:dyDescent="0.2">
      <c r="A865" s="29" t="str">
        <f t="shared" si="637"/>
        <v/>
      </c>
      <c r="B865" s="32" t="str">
        <f t="shared" si="636"/>
        <v/>
      </c>
      <c r="C865" s="35"/>
      <c r="D865" s="33" t="str">
        <f t="shared" si="595"/>
        <v/>
      </c>
      <c r="E865" s="22" t="str">
        <f t="shared" si="596"/>
        <v/>
      </c>
      <c r="F865" s="23" t="str">
        <f t="shared" si="597"/>
        <v/>
      </c>
      <c r="G865" s="23"/>
      <c r="H865" s="22"/>
      <c r="I865" s="23"/>
      <c r="J865" s="18"/>
      <c r="K865" s="13" t="str">
        <f t="shared" si="598"/>
        <v/>
      </c>
      <c r="L865" s="28" t="str">
        <f t="shared" si="599"/>
        <v/>
      </c>
      <c r="M865" s="10" t="str">
        <f t="shared" si="600"/>
        <v/>
      </c>
      <c r="N865" s="17" t="str">
        <f t="shared" si="601"/>
        <v/>
      </c>
      <c r="O865" s="39" t="str">
        <f t="shared" si="602"/>
        <v/>
      </c>
      <c r="P865" s="41" t="str">
        <f t="shared" si="603"/>
        <v/>
      </c>
      <c r="Q865" s="9" t="str">
        <f t="shared" si="604"/>
        <v/>
      </c>
      <c r="R865" s="14">
        <f t="shared" si="605"/>
        <v>0</v>
      </c>
      <c r="S865" s="61" t="str">
        <f t="shared" si="606"/>
        <v/>
      </c>
      <c r="T865" s="14">
        <f t="shared" si="607"/>
        <v>0</v>
      </c>
      <c r="U865" s="58" t="str">
        <f t="shared" si="608"/>
        <v/>
      </c>
      <c r="V865" s="14">
        <f t="shared" si="609"/>
        <v>0</v>
      </c>
      <c r="W865" s="58" t="str">
        <f t="shared" si="610"/>
        <v/>
      </c>
      <c r="X865" s="14">
        <f t="shared" si="611"/>
        <v>0</v>
      </c>
      <c r="Y865" s="58" t="str">
        <f t="shared" si="612"/>
        <v/>
      </c>
      <c r="Z865" s="31">
        <f t="shared" si="613"/>
        <v>0</v>
      </c>
      <c r="AA865" s="21">
        <f t="shared" si="614"/>
        <v>0</v>
      </c>
      <c r="AB865" s="58" t="str">
        <f t="shared" si="615"/>
        <v/>
      </c>
      <c r="AC865" s="630">
        <f t="shared" si="638"/>
        <v>0</v>
      </c>
      <c r="AD865" s="627"/>
      <c r="AE865" s="21">
        <f t="shared" si="616"/>
        <v>0</v>
      </c>
      <c r="AF865" s="58" t="str">
        <f t="shared" si="617"/>
        <v/>
      </c>
      <c r="AG865" s="21">
        <f t="shared" si="618"/>
        <v>0</v>
      </c>
      <c r="AH865" s="58" t="str">
        <f t="shared" si="619"/>
        <v/>
      </c>
      <c r="AI865" s="21">
        <f t="shared" si="620"/>
        <v>0</v>
      </c>
      <c r="AJ865" s="58" t="str">
        <f t="shared" si="621"/>
        <v/>
      </c>
      <c r="AK865" s="31">
        <f t="shared" si="622"/>
        <v>0</v>
      </c>
      <c r="AL865" s="21">
        <f t="shared" si="623"/>
        <v>0</v>
      </c>
      <c r="AM865" s="62" t="str">
        <f t="shared" si="624"/>
        <v/>
      </c>
      <c r="AN865" s="21">
        <f t="shared" si="625"/>
        <v>0</v>
      </c>
      <c r="AO865" s="62" t="str">
        <f t="shared" si="626"/>
        <v/>
      </c>
      <c r="AP865" s="21">
        <f t="shared" si="627"/>
        <v>0</v>
      </c>
      <c r="AQ865" s="62" t="str">
        <f t="shared" si="628"/>
        <v/>
      </c>
      <c r="AR865" s="31">
        <f t="shared" si="629"/>
        <v>0</v>
      </c>
      <c r="AS865" s="21">
        <f t="shared" si="630"/>
        <v>0</v>
      </c>
      <c r="AT865" s="62" t="str">
        <f t="shared" si="631"/>
        <v/>
      </c>
      <c r="AU865" s="84">
        <f t="shared" si="632"/>
        <v>0</v>
      </c>
      <c r="AV865" s="32">
        <f t="shared" si="633"/>
        <v>0</v>
      </c>
      <c r="AW865" s="85" t="str">
        <f t="shared" si="634"/>
        <v/>
      </c>
      <c r="AX865" s="86" t="str">
        <f t="shared" si="635"/>
        <v/>
      </c>
    </row>
    <row r="866" spans="1:50" x14ac:dyDescent="0.2">
      <c r="A866" s="29" t="str">
        <f t="shared" ref="A866:A929" si="639">IF(A865="","",IF(C866="","",A865))</f>
        <v/>
      </c>
      <c r="B866" s="32" t="str">
        <f t="shared" ref="B866:B929" si="640">IF(B865="","",IF(C866="","",B865))</f>
        <v/>
      </c>
      <c r="C866" s="35"/>
      <c r="D866" s="33" t="str">
        <f t="shared" ref="D866:D929" si="641">IF(A866="","",IF(D865="","",D865))</f>
        <v/>
      </c>
      <c r="E866" s="22" t="str">
        <f t="shared" ref="E866:E929" si="642">IF(A866="","",IF(E865="","",E865))</f>
        <v/>
      </c>
      <c r="F866" s="23" t="str">
        <f t="shared" ref="F866:F929" si="643">IF(A866="","",IF(F865="","",F865))</f>
        <v/>
      </c>
      <c r="G866" s="23"/>
      <c r="H866" s="22"/>
      <c r="I866" s="23"/>
      <c r="J866" s="18"/>
      <c r="K866" s="13" t="str">
        <f t="shared" ref="K866:K929" si="644">IF($N$4="M",IF(A866="","",IF(D866=6,16,IF(A866&lt;=$M$5,26,IF(A866&lt;=$M$6,24,IF(A866&lt;=$M$7,22,IF(A866&lt;=$M$8,20,18)))))),IF(A866="","",IF(D866=6,16,IF(A866&lt;=$P$5,26,IF(A866&lt;=$P$6,24,IF(A866&lt;=$P$7,22,IF(A866&lt;=$P$8,20,18)))))))</f>
        <v/>
      </c>
      <c r="L866" s="28" t="str">
        <f t="shared" ref="L866:L929" si="645">IF($N$4="M",IF(A866="","",IF(K866=26,(A866+B866+Q866)*C866*0.02739,IF(K866=24,(A866+B866+Q866)*C866*0.02739,IF(K866=22,(A866+B866+Q866)*C866*0.0333,IF(K866=20,(A866+B866+Q866)*C866*0.0393,IF(K866=18,(A866+B866+Q866)*C866*0.0511,IF(K866=16,(A866+B866+Q866)*C866*0.0628))))))),IF(A866="","",IF(K866=26,(A866+B866+Q866)*C866*0.211,IF(K866=24,(A866+B866+Q866)*C866*0.211,IF(K866=22,(A866+B866+Q866)*C866*0.258,IF(K866=20,(A866+B866+Q866)*C866*0.304,IF(K866=18,(A866+B866+Q866)*C866*0.395,IF(K866=16,(A866+B866+Q866)*C866*0.487))))))))</f>
        <v/>
      </c>
      <c r="M866" s="10" t="str">
        <f t="shared" ref="M866:M929" si="646">IF(D866=1,0.5,IF(D866=2,"1 F",IF(D866=21,"1 R",IF(D866=3,2,""))))</f>
        <v/>
      </c>
      <c r="N866" s="17" t="str">
        <f t="shared" ref="N866:N929" si="647">IF(M866="","",IF($N$4="M",(A866+B866+Q866)*C866*0.022,(A866+B866+Q866)*C866*0.17))</f>
        <v/>
      </c>
      <c r="O866" s="39" t="str">
        <f t="shared" ref="O866:O929" si="648">IF(D866=4,1,IF(D866=5,2,""))</f>
        <v/>
      </c>
      <c r="P866" s="41" t="str">
        <f t="shared" ref="P866:P929" si="649">IF(O866="","",IF($N$4="M",IF(O866=1,(A866+B866+Q866)*C866*0.022*1.1,(A866+B866+Q866)*C866*0.022*1.15),IF(O866=1,(A866+B866+Q866)*C866*0.17*1.1,(A866+B866+Q866)*C866*0.17*1.15)))</f>
        <v/>
      </c>
      <c r="Q866" s="9" t="str">
        <f t="shared" ref="Q866:Q929" si="650">IF($N$4="M",IF(A866="","",IF(D866=1,50,IF(D866=2,100,IF(D866=21,100,IF(D866=3,200,0))))),IF(A866="","",IF(D866=1,2,IF(D866=2,4,IF(D866=21,4,IF(D866=3,8,0))))))</f>
        <v/>
      </c>
      <c r="R866" s="14">
        <f t="shared" ref="R866:R929" si="651">COUNTIF(G866:J866,7)</f>
        <v>0</v>
      </c>
      <c r="S866" s="61" t="str">
        <f t="shared" ref="S866:S929" si="652">IF(A866="","",IF($N$4="M",A866*B866*0.000011111*R866*1.5,A866*B866/144*R866*1.5))</f>
        <v/>
      </c>
      <c r="T866" s="14">
        <f t="shared" ref="T866:T929" si="653">COUNTIF(G866:J866,71)</f>
        <v>0</v>
      </c>
      <c r="U866" s="58" t="str">
        <f t="shared" ref="U866:U929" si="654">IF(A866="","",IF($N$4="M",A866*B866*0.000011111*T866*1.5,A866*B866/144*T866*1.5))</f>
        <v/>
      </c>
      <c r="V866" s="14">
        <f t="shared" ref="V866:V929" si="655">COUNTIF(G866:J866,8)</f>
        <v>0</v>
      </c>
      <c r="W866" s="58" t="str">
        <f t="shared" ref="W866:W929" si="656">IF(A866="","",IF($N$4="M",(A866+B866)*2*0.0032808*V866,(A866+B866)*2*V866/12))</f>
        <v/>
      </c>
      <c r="X866" s="14">
        <f t="shared" ref="X866:X929" si="657">COUNTIF(G866:J866,81)</f>
        <v>0</v>
      </c>
      <c r="Y866" s="58" t="str">
        <f t="shared" ref="Y866:Y929" si="658">IF(A866="","",IF($N$4="M",(A866+B866)*2*0.0032808*X866,(A866+B866)*2*X866/12))</f>
        <v/>
      </c>
      <c r="Z866" s="31">
        <f t="shared" ref="Z866:Z929" si="659">COUNTIF(G866:J866,9)</f>
        <v>0</v>
      </c>
      <c r="AA866" s="21">
        <f t="shared" ref="AA866:AA929" si="660">COUNTIF(G866:J866,10)</f>
        <v>0</v>
      </c>
      <c r="AB866" s="58" t="str">
        <f t="shared" ref="AB866:AB929" si="661">IF(A866="","",IF($N$4="M",(A866+B866)*2*0.0032808*AA866,(A866+B866)*2*AA866/12))</f>
        <v/>
      </c>
      <c r="AC866" s="630">
        <f t="shared" si="638"/>
        <v>0</v>
      </c>
      <c r="AD866" s="627"/>
      <c r="AE866" s="21">
        <f t="shared" ref="AE866:AE929" si="662">COUNTIF(G866:J866,11)</f>
        <v>0</v>
      </c>
      <c r="AF866" s="58" t="str">
        <f t="shared" ref="AF866:AF929" si="663">IF(A866="","",IF($N$4="M",A866*B866*0.000011111*AE866,A866*B866/144*AE866))</f>
        <v/>
      </c>
      <c r="AG866" s="21">
        <f t="shared" ref="AG866:AG929" si="664">COUNTIF(G866:J866,111)</f>
        <v>0</v>
      </c>
      <c r="AH866" s="58" t="str">
        <f t="shared" ref="AH866:AH929" si="665">IF(A866="","",IF($N$4="M",A866*B866*0.000011111*AG866,A866*B866/144*AG866))</f>
        <v/>
      </c>
      <c r="AI866" s="21">
        <f t="shared" ref="AI866:AI929" si="666">COUNTIF(G866:J866,12)</f>
        <v>0</v>
      </c>
      <c r="AJ866" s="58" t="str">
        <f t="shared" ref="AJ866:AJ929" si="667">IF(A866="","",IF($N$4="M",A866*B866*0.000011111*AI866,A866*B866/144*AI866))</f>
        <v/>
      </c>
      <c r="AK866" s="31">
        <f t="shared" ref="AK866:AK929" si="668">COUNTIF(G866:J866,13)</f>
        <v>0</v>
      </c>
      <c r="AL866" s="21">
        <f t="shared" ref="AL866:AL929" si="669">COUNTIF(G866:J866,131)</f>
        <v>0</v>
      </c>
      <c r="AM866" s="62" t="str">
        <f t="shared" ref="AM866:AM929" si="670">IF(A866="","",IF($N$4="M",A866*B866*0.000011111*AL866,A866*B866/144*AL866))</f>
        <v/>
      </c>
      <c r="AN866" s="21">
        <f t="shared" ref="AN866:AN929" si="671">COUNTIF(G866:J866,14)</f>
        <v>0</v>
      </c>
      <c r="AO866" s="62" t="str">
        <f t="shared" ref="AO866:AO929" si="672">IF(A866="","",IF($N$4="M",A866*B866*0.000011111*AN866,A866*B866/144*AN866))</f>
        <v/>
      </c>
      <c r="AP866" s="21">
        <f t="shared" ref="AP866:AP929" si="673">COUNTIF(G866:J866,141)</f>
        <v>0</v>
      </c>
      <c r="AQ866" s="62" t="str">
        <f t="shared" ref="AQ866:AQ929" si="674">IF(A866="","",IF($N$4="M",A866*B866*0.000011111*AP866,A866*B866/144*AP866))</f>
        <v/>
      </c>
      <c r="AR866" s="31">
        <f t="shared" ref="AR866:AR929" si="675">COUNTIF(G866:J866,15)</f>
        <v>0</v>
      </c>
      <c r="AS866" s="21">
        <f t="shared" ref="AS866:AS929" si="676">COUNTIF(G866:J866,16)</f>
        <v>0</v>
      </c>
      <c r="AT866" s="62" t="str">
        <f t="shared" ref="AT866:AT929" si="677">IF(A866="","",IF($N$4="M",A866*B866*0.000011111*AS866,A866*B866/144*AS866))</f>
        <v/>
      </c>
      <c r="AU866" s="84">
        <f t="shared" ref="AU866:AU929" si="678">IF(D866=61,C866,0)</f>
        <v>0</v>
      </c>
      <c r="AV866" s="32">
        <f t="shared" ref="AV866:AV929" si="679">IF(D866=61,L866,0)</f>
        <v>0</v>
      </c>
      <c r="AW866" s="85" t="str">
        <f t="shared" ref="AW866:AW929" si="680">IF(A866="","",(C866-AU866))</f>
        <v/>
      </c>
      <c r="AX866" s="86" t="str">
        <f t="shared" ref="AX866:AX929" si="681">IF(A866="","",(L866-AV866))</f>
        <v/>
      </c>
    </row>
    <row r="867" spans="1:50" x14ac:dyDescent="0.2">
      <c r="A867" s="29" t="str">
        <f t="shared" si="639"/>
        <v/>
      </c>
      <c r="B867" s="32" t="str">
        <f t="shared" si="640"/>
        <v/>
      </c>
      <c r="C867" s="35"/>
      <c r="D867" s="33" t="str">
        <f t="shared" si="641"/>
        <v/>
      </c>
      <c r="E867" s="22" t="str">
        <f t="shared" si="642"/>
        <v/>
      </c>
      <c r="F867" s="23" t="str">
        <f t="shared" si="643"/>
        <v/>
      </c>
      <c r="G867" s="23"/>
      <c r="H867" s="22"/>
      <c r="I867" s="23"/>
      <c r="J867" s="18"/>
      <c r="K867" s="13" t="str">
        <f t="shared" si="644"/>
        <v/>
      </c>
      <c r="L867" s="28" t="str">
        <f t="shared" si="645"/>
        <v/>
      </c>
      <c r="M867" s="10" t="str">
        <f t="shared" si="646"/>
        <v/>
      </c>
      <c r="N867" s="17" t="str">
        <f t="shared" si="647"/>
        <v/>
      </c>
      <c r="O867" s="39" t="str">
        <f t="shared" si="648"/>
        <v/>
      </c>
      <c r="P867" s="41" t="str">
        <f t="shared" si="649"/>
        <v/>
      </c>
      <c r="Q867" s="9" t="str">
        <f t="shared" si="650"/>
        <v/>
      </c>
      <c r="R867" s="14">
        <f t="shared" si="651"/>
        <v>0</v>
      </c>
      <c r="S867" s="61" t="str">
        <f t="shared" si="652"/>
        <v/>
      </c>
      <c r="T867" s="14">
        <f t="shared" si="653"/>
        <v>0</v>
      </c>
      <c r="U867" s="58" t="str">
        <f t="shared" si="654"/>
        <v/>
      </c>
      <c r="V867" s="14">
        <f t="shared" si="655"/>
        <v>0</v>
      </c>
      <c r="W867" s="58" t="str">
        <f t="shared" si="656"/>
        <v/>
      </c>
      <c r="X867" s="14">
        <f t="shared" si="657"/>
        <v>0</v>
      </c>
      <c r="Y867" s="58" t="str">
        <f t="shared" si="658"/>
        <v/>
      </c>
      <c r="Z867" s="31">
        <f t="shared" si="659"/>
        <v>0</v>
      </c>
      <c r="AA867" s="21">
        <f t="shared" si="660"/>
        <v>0</v>
      </c>
      <c r="AB867" s="58" t="str">
        <f t="shared" si="661"/>
        <v/>
      </c>
      <c r="AC867" s="630">
        <f t="shared" si="638"/>
        <v>0</v>
      </c>
      <c r="AD867" s="627"/>
      <c r="AE867" s="21">
        <f t="shared" si="662"/>
        <v>0</v>
      </c>
      <c r="AF867" s="58" t="str">
        <f t="shared" si="663"/>
        <v/>
      </c>
      <c r="AG867" s="21">
        <f t="shared" si="664"/>
        <v>0</v>
      </c>
      <c r="AH867" s="58" t="str">
        <f t="shared" si="665"/>
        <v/>
      </c>
      <c r="AI867" s="21">
        <f t="shared" si="666"/>
        <v>0</v>
      </c>
      <c r="AJ867" s="58" t="str">
        <f t="shared" si="667"/>
        <v/>
      </c>
      <c r="AK867" s="31">
        <f t="shared" si="668"/>
        <v>0</v>
      </c>
      <c r="AL867" s="21">
        <f t="shared" si="669"/>
        <v>0</v>
      </c>
      <c r="AM867" s="62" t="str">
        <f t="shared" si="670"/>
        <v/>
      </c>
      <c r="AN867" s="21">
        <f t="shared" si="671"/>
        <v>0</v>
      </c>
      <c r="AO867" s="62" t="str">
        <f t="shared" si="672"/>
        <v/>
      </c>
      <c r="AP867" s="21">
        <f t="shared" si="673"/>
        <v>0</v>
      </c>
      <c r="AQ867" s="62" t="str">
        <f t="shared" si="674"/>
        <v/>
      </c>
      <c r="AR867" s="31">
        <f t="shared" si="675"/>
        <v>0</v>
      </c>
      <c r="AS867" s="21">
        <f t="shared" si="676"/>
        <v>0</v>
      </c>
      <c r="AT867" s="62" t="str">
        <f t="shared" si="677"/>
        <v/>
      </c>
      <c r="AU867" s="84">
        <f t="shared" si="678"/>
        <v>0</v>
      </c>
      <c r="AV867" s="32">
        <f t="shared" si="679"/>
        <v>0</v>
      </c>
      <c r="AW867" s="85" t="str">
        <f t="shared" si="680"/>
        <v/>
      </c>
      <c r="AX867" s="86" t="str">
        <f t="shared" si="681"/>
        <v/>
      </c>
    </row>
    <row r="868" spans="1:50" x14ac:dyDescent="0.2">
      <c r="A868" s="29" t="str">
        <f t="shared" si="639"/>
        <v/>
      </c>
      <c r="B868" s="32" t="str">
        <f t="shared" si="640"/>
        <v/>
      </c>
      <c r="C868" s="35"/>
      <c r="D868" s="33" t="str">
        <f t="shared" si="641"/>
        <v/>
      </c>
      <c r="E868" s="22" t="str">
        <f t="shared" si="642"/>
        <v/>
      </c>
      <c r="F868" s="23" t="str">
        <f t="shared" si="643"/>
        <v/>
      </c>
      <c r="G868" s="23"/>
      <c r="H868" s="22"/>
      <c r="I868" s="23"/>
      <c r="J868" s="18"/>
      <c r="K868" s="13" t="str">
        <f t="shared" si="644"/>
        <v/>
      </c>
      <c r="L868" s="28" t="str">
        <f t="shared" si="645"/>
        <v/>
      </c>
      <c r="M868" s="10" t="str">
        <f t="shared" si="646"/>
        <v/>
      </c>
      <c r="N868" s="17" t="str">
        <f t="shared" si="647"/>
        <v/>
      </c>
      <c r="O868" s="39" t="str">
        <f t="shared" si="648"/>
        <v/>
      </c>
      <c r="P868" s="41" t="str">
        <f t="shared" si="649"/>
        <v/>
      </c>
      <c r="Q868" s="9" t="str">
        <f t="shared" si="650"/>
        <v/>
      </c>
      <c r="R868" s="14">
        <f t="shared" si="651"/>
        <v>0</v>
      </c>
      <c r="S868" s="61" t="str">
        <f t="shared" si="652"/>
        <v/>
      </c>
      <c r="T868" s="14">
        <f t="shared" si="653"/>
        <v>0</v>
      </c>
      <c r="U868" s="58" t="str">
        <f t="shared" si="654"/>
        <v/>
      </c>
      <c r="V868" s="14">
        <f t="shared" si="655"/>
        <v>0</v>
      </c>
      <c r="W868" s="58" t="str">
        <f t="shared" si="656"/>
        <v/>
      </c>
      <c r="X868" s="14">
        <f t="shared" si="657"/>
        <v>0</v>
      </c>
      <c r="Y868" s="58" t="str">
        <f t="shared" si="658"/>
        <v/>
      </c>
      <c r="Z868" s="31">
        <f t="shared" si="659"/>
        <v>0</v>
      </c>
      <c r="AA868" s="21">
        <f t="shared" si="660"/>
        <v>0</v>
      </c>
      <c r="AB868" s="58" t="str">
        <f t="shared" si="661"/>
        <v/>
      </c>
      <c r="AC868" s="630">
        <f t="shared" si="638"/>
        <v>0</v>
      </c>
      <c r="AD868" s="627"/>
      <c r="AE868" s="21">
        <f t="shared" si="662"/>
        <v>0</v>
      </c>
      <c r="AF868" s="58" t="str">
        <f t="shared" si="663"/>
        <v/>
      </c>
      <c r="AG868" s="21">
        <f t="shared" si="664"/>
        <v>0</v>
      </c>
      <c r="AH868" s="58" t="str">
        <f t="shared" si="665"/>
        <v/>
      </c>
      <c r="AI868" s="21">
        <f t="shared" si="666"/>
        <v>0</v>
      </c>
      <c r="AJ868" s="58" t="str">
        <f t="shared" si="667"/>
        <v/>
      </c>
      <c r="AK868" s="31">
        <f t="shared" si="668"/>
        <v>0</v>
      </c>
      <c r="AL868" s="21">
        <f t="shared" si="669"/>
        <v>0</v>
      </c>
      <c r="AM868" s="62" t="str">
        <f t="shared" si="670"/>
        <v/>
      </c>
      <c r="AN868" s="21">
        <f t="shared" si="671"/>
        <v>0</v>
      </c>
      <c r="AO868" s="62" t="str">
        <f t="shared" si="672"/>
        <v/>
      </c>
      <c r="AP868" s="21">
        <f t="shared" si="673"/>
        <v>0</v>
      </c>
      <c r="AQ868" s="62" t="str">
        <f t="shared" si="674"/>
        <v/>
      </c>
      <c r="AR868" s="31">
        <f t="shared" si="675"/>
        <v>0</v>
      </c>
      <c r="AS868" s="21">
        <f t="shared" si="676"/>
        <v>0</v>
      </c>
      <c r="AT868" s="62" t="str">
        <f t="shared" si="677"/>
        <v/>
      </c>
      <c r="AU868" s="84">
        <f t="shared" si="678"/>
        <v>0</v>
      </c>
      <c r="AV868" s="32">
        <f t="shared" si="679"/>
        <v>0</v>
      </c>
      <c r="AW868" s="85" t="str">
        <f t="shared" si="680"/>
        <v/>
      </c>
      <c r="AX868" s="86" t="str">
        <f t="shared" si="681"/>
        <v/>
      </c>
    </row>
    <row r="869" spans="1:50" x14ac:dyDescent="0.2">
      <c r="A869" s="29" t="str">
        <f t="shared" si="639"/>
        <v/>
      </c>
      <c r="B869" s="32" t="str">
        <f t="shared" si="640"/>
        <v/>
      </c>
      <c r="C869" s="35"/>
      <c r="D869" s="33" t="str">
        <f t="shared" si="641"/>
        <v/>
      </c>
      <c r="E869" s="22" t="str">
        <f t="shared" si="642"/>
        <v/>
      </c>
      <c r="F869" s="23" t="str">
        <f t="shared" si="643"/>
        <v/>
      </c>
      <c r="G869" s="23"/>
      <c r="H869" s="22"/>
      <c r="I869" s="23"/>
      <c r="J869" s="18"/>
      <c r="K869" s="13" t="str">
        <f t="shared" si="644"/>
        <v/>
      </c>
      <c r="L869" s="28" t="str">
        <f t="shared" si="645"/>
        <v/>
      </c>
      <c r="M869" s="10" t="str">
        <f t="shared" si="646"/>
        <v/>
      </c>
      <c r="N869" s="17" t="str">
        <f t="shared" si="647"/>
        <v/>
      </c>
      <c r="O869" s="39" t="str">
        <f t="shared" si="648"/>
        <v/>
      </c>
      <c r="P869" s="41" t="str">
        <f t="shared" si="649"/>
        <v/>
      </c>
      <c r="Q869" s="9" t="str">
        <f t="shared" si="650"/>
        <v/>
      </c>
      <c r="R869" s="14">
        <f t="shared" si="651"/>
        <v>0</v>
      </c>
      <c r="S869" s="61" t="str">
        <f t="shared" si="652"/>
        <v/>
      </c>
      <c r="T869" s="14">
        <f t="shared" si="653"/>
        <v>0</v>
      </c>
      <c r="U869" s="58" t="str">
        <f t="shared" si="654"/>
        <v/>
      </c>
      <c r="V869" s="14">
        <f t="shared" si="655"/>
        <v>0</v>
      </c>
      <c r="W869" s="58" t="str">
        <f t="shared" si="656"/>
        <v/>
      </c>
      <c r="X869" s="14">
        <f t="shared" si="657"/>
        <v>0</v>
      </c>
      <c r="Y869" s="58" t="str">
        <f t="shared" si="658"/>
        <v/>
      </c>
      <c r="Z869" s="31">
        <f t="shared" si="659"/>
        <v>0</v>
      </c>
      <c r="AA869" s="21">
        <f t="shared" si="660"/>
        <v>0</v>
      </c>
      <c r="AB869" s="58" t="str">
        <f t="shared" si="661"/>
        <v/>
      </c>
      <c r="AC869" s="630">
        <f t="shared" si="638"/>
        <v>0</v>
      </c>
      <c r="AD869" s="627"/>
      <c r="AE869" s="21">
        <f t="shared" si="662"/>
        <v>0</v>
      </c>
      <c r="AF869" s="58" t="str">
        <f t="shared" si="663"/>
        <v/>
      </c>
      <c r="AG869" s="21">
        <f t="shared" si="664"/>
        <v>0</v>
      </c>
      <c r="AH869" s="58" t="str">
        <f t="shared" si="665"/>
        <v/>
      </c>
      <c r="AI869" s="21">
        <f t="shared" si="666"/>
        <v>0</v>
      </c>
      <c r="AJ869" s="58" t="str">
        <f t="shared" si="667"/>
        <v/>
      </c>
      <c r="AK869" s="31">
        <f t="shared" si="668"/>
        <v>0</v>
      </c>
      <c r="AL869" s="21">
        <f t="shared" si="669"/>
        <v>0</v>
      </c>
      <c r="AM869" s="62" t="str">
        <f t="shared" si="670"/>
        <v/>
      </c>
      <c r="AN869" s="21">
        <f t="shared" si="671"/>
        <v>0</v>
      </c>
      <c r="AO869" s="62" t="str">
        <f t="shared" si="672"/>
        <v/>
      </c>
      <c r="AP869" s="21">
        <f t="shared" si="673"/>
        <v>0</v>
      </c>
      <c r="AQ869" s="62" t="str">
        <f t="shared" si="674"/>
        <v/>
      </c>
      <c r="AR869" s="31">
        <f t="shared" si="675"/>
        <v>0</v>
      </c>
      <c r="AS869" s="21">
        <f t="shared" si="676"/>
        <v>0</v>
      </c>
      <c r="AT869" s="62" t="str">
        <f t="shared" si="677"/>
        <v/>
      </c>
      <c r="AU869" s="84">
        <f t="shared" si="678"/>
        <v>0</v>
      </c>
      <c r="AV869" s="32">
        <f t="shared" si="679"/>
        <v>0</v>
      </c>
      <c r="AW869" s="85" t="str">
        <f t="shared" si="680"/>
        <v/>
      </c>
      <c r="AX869" s="86" t="str">
        <f t="shared" si="681"/>
        <v/>
      </c>
    </row>
    <row r="870" spans="1:50" x14ac:dyDescent="0.2">
      <c r="A870" s="29" t="str">
        <f t="shared" si="639"/>
        <v/>
      </c>
      <c r="B870" s="32" t="str">
        <f t="shared" si="640"/>
        <v/>
      </c>
      <c r="C870" s="35"/>
      <c r="D870" s="33" t="str">
        <f t="shared" si="641"/>
        <v/>
      </c>
      <c r="E870" s="22" t="str">
        <f t="shared" si="642"/>
        <v/>
      </c>
      <c r="F870" s="23" t="str">
        <f t="shared" si="643"/>
        <v/>
      </c>
      <c r="G870" s="23"/>
      <c r="H870" s="22"/>
      <c r="I870" s="23"/>
      <c r="J870" s="18"/>
      <c r="K870" s="13" t="str">
        <f t="shared" si="644"/>
        <v/>
      </c>
      <c r="L870" s="28" t="str">
        <f t="shared" si="645"/>
        <v/>
      </c>
      <c r="M870" s="10" t="str">
        <f t="shared" si="646"/>
        <v/>
      </c>
      <c r="N870" s="17" t="str">
        <f t="shared" si="647"/>
        <v/>
      </c>
      <c r="O870" s="39" t="str">
        <f t="shared" si="648"/>
        <v/>
      </c>
      <c r="P870" s="41" t="str">
        <f t="shared" si="649"/>
        <v/>
      </c>
      <c r="Q870" s="9" t="str">
        <f t="shared" si="650"/>
        <v/>
      </c>
      <c r="R870" s="14">
        <f t="shared" si="651"/>
        <v>0</v>
      </c>
      <c r="S870" s="61" t="str">
        <f t="shared" si="652"/>
        <v/>
      </c>
      <c r="T870" s="14">
        <f t="shared" si="653"/>
        <v>0</v>
      </c>
      <c r="U870" s="58" t="str">
        <f t="shared" si="654"/>
        <v/>
      </c>
      <c r="V870" s="14">
        <f t="shared" si="655"/>
        <v>0</v>
      </c>
      <c r="W870" s="58" t="str">
        <f t="shared" si="656"/>
        <v/>
      </c>
      <c r="X870" s="14">
        <f t="shared" si="657"/>
        <v>0</v>
      </c>
      <c r="Y870" s="58" t="str">
        <f t="shared" si="658"/>
        <v/>
      </c>
      <c r="Z870" s="31">
        <f t="shared" si="659"/>
        <v>0</v>
      </c>
      <c r="AA870" s="21">
        <f t="shared" si="660"/>
        <v>0</v>
      </c>
      <c r="AB870" s="58" t="str">
        <f t="shared" si="661"/>
        <v/>
      </c>
      <c r="AC870" s="630">
        <f t="shared" si="638"/>
        <v>0</v>
      </c>
      <c r="AD870" s="627"/>
      <c r="AE870" s="21">
        <f t="shared" si="662"/>
        <v>0</v>
      </c>
      <c r="AF870" s="58" t="str">
        <f t="shared" si="663"/>
        <v/>
      </c>
      <c r="AG870" s="21">
        <f t="shared" si="664"/>
        <v>0</v>
      </c>
      <c r="AH870" s="58" t="str">
        <f t="shared" si="665"/>
        <v/>
      </c>
      <c r="AI870" s="21">
        <f t="shared" si="666"/>
        <v>0</v>
      </c>
      <c r="AJ870" s="58" t="str">
        <f t="shared" si="667"/>
        <v/>
      </c>
      <c r="AK870" s="31">
        <f t="shared" si="668"/>
        <v>0</v>
      </c>
      <c r="AL870" s="21">
        <f t="shared" si="669"/>
        <v>0</v>
      </c>
      <c r="AM870" s="62" t="str">
        <f t="shared" si="670"/>
        <v/>
      </c>
      <c r="AN870" s="21">
        <f t="shared" si="671"/>
        <v>0</v>
      </c>
      <c r="AO870" s="62" t="str">
        <f t="shared" si="672"/>
        <v/>
      </c>
      <c r="AP870" s="21">
        <f t="shared" si="673"/>
        <v>0</v>
      </c>
      <c r="AQ870" s="62" t="str">
        <f t="shared" si="674"/>
        <v/>
      </c>
      <c r="AR870" s="31">
        <f t="shared" si="675"/>
        <v>0</v>
      </c>
      <c r="AS870" s="21">
        <f t="shared" si="676"/>
        <v>0</v>
      </c>
      <c r="AT870" s="62" t="str">
        <f t="shared" si="677"/>
        <v/>
      </c>
      <c r="AU870" s="84">
        <f t="shared" si="678"/>
        <v>0</v>
      </c>
      <c r="AV870" s="32">
        <f t="shared" si="679"/>
        <v>0</v>
      </c>
      <c r="AW870" s="85" t="str">
        <f t="shared" si="680"/>
        <v/>
      </c>
      <c r="AX870" s="86" t="str">
        <f t="shared" si="681"/>
        <v/>
      </c>
    </row>
    <row r="871" spans="1:50" x14ac:dyDescent="0.2">
      <c r="A871" s="29" t="str">
        <f t="shared" si="639"/>
        <v/>
      </c>
      <c r="B871" s="32" t="str">
        <f t="shared" si="640"/>
        <v/>
      </c>
      <c r="C871" s="35"/>
      <c r="D871" s="33" t="str">
        <f t="shared" si="641"/>
        <v/>
      </c>
      <c r="E871" s="22" t="str">
        <f t="shared" si="642"/>
        <v/>
      </c>
      <c r="F871" s="23" t="str">
        <f t="shared" si="643"/>
        <v/>
      </c>
      <c r="G871" s="23"/>
      <c r="H871" s="22"/>
      <c r="I871" s="23"/>
      <c r="J871" s="18"/>
      <c r="K871" s="13" t="str">
        <f t="shared" si="644"/>
        <v/>
      </c>
      <c r="L871" s="28" t="str">
        <f t="shared" si="645"/>
        <v/>
      </c>
      <c r="M871" s="10" t="str">
        <f t="shared" si="646"/>
        <v/>
      </c>
      <c r="N871" s="17" t="str">
        <f t="shared" si="647"/>
        <v/>
      </c>
      <c r="O871" s="39" t="str">
        <f t="shared" si="648"/>
        <v/>
      </c>
      <c r="P871" s="41" t="str">
        <f t="shared" si="649"/>
        <v/>
      </c>
      <c r="Q871" s="9" t="str">
        <f t="shared" si="650"/>
        <v/>
      </c>
      <c r="R871" s="14">
        <f t="shared" si="651"/>
        <v>0</v>
      </c>
      <c r="S871" s="61" t="str">
        <f t="shared" si="652"/>
        <v/>
      </c>
      <c r="T871" s="14">
        <f t="shared" si="653"/>
        <v>0</v>
      </c>
      <c r="U871" s="58" t="str">
        <f t="shared" si="654"/>
        <v/>
      </c>
      <c r="V871" s="14">
        <f t="shared" si="655"/>
        <v>0</v>
      </c>
      <c r="W871" s="58" t="str">
        <f t="shared" si="656"/>
        <v/>
      </c>
      <c r="X871" s="14">
        <f t="shared" si="657"/>
        <v>0</v>
      </c>
      <c r="Y871" s="58" t="str">
        <f t="shared" si="658"/>
        <v/>
      </c>
      <c r="Z871" s="31">
        <f t="shared" si="659"/>
        <v>0</v>
      </c>
      <c r="AA871" s="21">
        <f t="shared" si="660"/>
        <v>0</v>
      </c>
      <c r="AB871" s="58" t="str">
        <f t="shared" si="661"/>
        <v/>
      </c>
      <c r="AC871" s="630">
        <f t="shared" si="638"/>
        <v>0</v>
      </c>
      <c r="AD871" s="627"/>
      <c r="AE871" s="21">
        <f t="shared" si="662"/>
        <v>0</v>
      </c>
      <c r="AF871" s="58" t="str">
        <f t="shared" si="663"/>
        <v/>
      </c>
      <c r="AG871" s="21">
        <f t="shared" si="664"/>
        <v>0</v>
      </c>
      <c r="AH871" s="58" t="str">
        <f t="shared" si="665"/>
        <v/>
      </c>
      <c r="AI871" s="21">
        <f t="shared" si="666"/>
        <v>0</v>
      </c>
      <c r="AJ871" s="58" t="str">
        <f t="shared" si="667"/>
        <v/>
      </c>
      <c r="AK871" s="31">
        <f t="shared" si="668"/>
        <v>0</v>
      </c>
      <c r="AL871" s="21">
        <f t="shared" si="669"/>
        <v>0</v>
      </c>
      <c r="AM871" s="62" t="str">
        <f t="shared" si="670"/>
        <v/>
      </c>
      <c r="AN871" s="21">
        <f t="shared" si="671"/>
        <v>0</v>
      </c>
      <c r="AO871" s="62" t="str">
        <f t="shared" si="672"/>
        <v/>
      </c>
      <c r="AP871" s="21">
        <f t="shared" si="673"/>
        <v>0</v>
      </c>
      <c r="AQ871" s="62" t="str">
        <f t="shared" si="674"/>
        <v/>
      </c>
      <c r="AR871" s="31">
        <f t="shared" si="675"/>
        <v>0</v>
      </c>
      <c r="AS871" s="21">
        <f t="shared" si="676"/>
        <v>0</v>
      </c>
      <c r="AT871" s="62" t="str">
        <f t="shared" si="677"/>
        <v/>
      </c>
      <c r="AU871" s="84">
        <f t="shared" si="678"/>
        <v>0</v>
      </c>
      <c r="AV871" s="32">
        <f t="shared" si="679"/>
        <v>0</v>
      </c>
      <c r="AW871" s="85" t="str">
        <f t="shared" si="680"/>
        <v/>
      </c>
      <c r="AX871" s="86" t="str">
        <f t="shared" si="681"/>
        <v/>
      </c>
    </row>
    <row r="872" spans="1:50" x14ac:dyDescent="0.2">
      <c r="A872" s="29" t="str">
        <f t="shared" si="639"/>
        <v/>
      </c>
      <c r="B872" s="32" t="str">
        <f t="shared" si="640"/>
        <v/>
      </c>
      <c r="C872" s="35"/>
      <c r="D872" s="33" t="str">
        <f t="shared" si="641"/>
        <v/>
      </c>
      <c r="E872" s="22" t="str">
        <f t="shared" si="642"/>
        <v/>
      </c>
      <c r="F872" s="23" t="str">
        <f t="shared" si="643"/>
        <v/>
      </c>
      <c r="G872" s="23"/>
      <c r="H872" s="22"/>
      <c r="I872" s="23"/>
      <c r="J872" s="18"/>
      <c r="K872" s="13" t="str">
        <f t="shared" si="644"/>
        <v/>
      </c>
      <c r="L872" s="28" t="str">
        <f t="shared" si="645"/>
        <v/>
      </c>
      <c r="M872" s="10" t="str">
        <f t="shared" si="646"/>
        <v/>
      </c>
      <c r="N872" s="17" t="str">
        <f t="shared" si="647"/>
        <v/>
      </c>
      <c r="O872" s="39" t="str">
        <f t="shared" si="648"/>
        <v/>
      </c>
      <c r="P872" s="41" t="str">
        <f t="shared" si="649"/>
        <v/>
      </c>
      <c r="Q872" s="9" t="str">
        <f t="shared" si="650"/>
        <v/>
      </c>
      <c r="R872" s="14">
        <f t="shared" si="651"/>
        <v>0</v>
      </c>
      <c r="S872" s="61" t="str">
        <f t="shared" si="652"/>
        <v/>
      </c>
      <c r="T872" s="14">
        <f t="shared" si="653"/>
        <v>0</v>
      </c>
      <c r="U872" s="58" t="str">
        <f t="shared" si="654"/>
        <v/>
      </c>
      <c r="V872" s="14">
        <f t="shared" si="655"/>
        <v>0</v>
      </c>
      <c r="W872" s="58" t="str">
        <f t="shared" si="656"/>
        <v/>
      </c>
      <c r="X872" s="14">
        <f t="shared" si="657"/>
        <v>0</v>
      </c>
      <c r="Y872" s="58" t="str">
        <f t="shared" si="658"/>
        <v/>
      </c>
      <c r="Z872" s="31">
        <f t="shared" si="659"/>
        <v>0</v>
      </c>
      <c r="AA872" s="21">
        <f t="shared" si="660"/>
        <v>0</v>
      </c>
      <c r="AB872" s="58" t="str">
        <f t="shared" si="661"/>
        <v/>
      </c>
      <c r="AC872" s="630">
        <f t="shared" si="638"/>
        <v>0</v>
      </c>
      <c r="AD872" s="627"/>
      <c r="AE872" s="21">
        <f t="shared" si="662"/>
        <v>0</v>
      </c>
      <c r="AF872" s="58" t="str">
        <f t="shared" si="663"/>
        <v/>
      </c>
      <c r="AG872" s="21">
        <f t="shared" si="664"/>
        <v>0</v>
      </c>
      <c r="AH872" s="58" t="str">
        <f t="shared" si="665"/>
        <v/>
      </c>
      <c r="AI872" s="21">
        <f t="shared" si="666"/>
        <v>0</v>
      </c>
      <c r="AJ872" s="58" t="str">
        <f t="shared" si="667"/>
        <v/>
      </c>
      <c r="AK872" s="31">
        <f t="shared" si="668"/>
        <v>0</v>
      </c>
      <c r="AL872" s="21">
        <f t="shared" si="669"/>
        <v>0</v>
      </c>
      <c r="AM872" s="62" t="str">
        <f t="shared" si="670"/>
        <v/>
      </c>
      <c r="AN872" s="21">
        <f t="shared" si="671"/>
        <v>0</v>
      </c>
      <c r="AO872" s="62" t="str">
        <f t="shared" si="672"/>
        <v/>
      </c>
      <c r="AP872" s="21">
        <f t="shared" si="673"/>
        <v>0</v>
      </c>
      <c r="AQ872" s="62" t="str">
        <f t="shared" si="674"/>
        <v/>
      </c>
      <c r="AR872" s="31">
        <f t="shared" si="675"/>
        <v>0</v>
      </c>
      <c r="AS872" s="21">
        <f t="shared" si="676"/>
        <v>0</v>
      </c>
      <c r="AT872" s="62" t="str">
        <f t="shared" si="677"/>
        <v/>
      </c>
      <c r="AU872" s="84">
        <f t="shared" si="678"/>
        <v>0</v>
      </c>
      <c r="AV872" s="32">
        <f t="shared" si="679"/>
        <v>0</v>
      </c>
      <c r="AW872" s="85" t="str">
        <f t="shared" si="680"/>
        <v/>
      </c>
      <c r="AX872" s="86" t="str">
        <f t="shared" si="681"/>
        <v/>
      </c>
    </row>
    <row r="873" spans="1:50" x14ac:dyDescent="0.2">
      <c r="A873" s="29" t="str">
        <f t="shared" si="639"/>
        <v/>
      </c>
      <c r="B873" s="32" t="str">
        <f t="shared" si="640"/>
        <v/>
      </c>
      <c r="C873" s="35"/>
      <c r="D873" s="33" t="str">
        <f t="shared" si="641"/>
        <v/>
      </c>
      <c r="E873" s="22" t="str">
        <f t="shared" si="642"/>
        <v/>
      </c>
      <c r="F873" s="23" t="str">
        <f t="shared" si="643"/>
        <v/>
      </c>
      <c r="G873" s="23"/>
      <c r="H873" s="22"/>
      <c r="I873" s="23"/>
      <c r="J873" s="18"/>
      <c r="K873" s="13" t="str">
        <f t="shared" si="644"/>
        <v/>
      </c>
      <c r="L873" s="28" t="str">
        <f t="shared" si="645"/>
        <v/>
      </c>
      <c r="M873" s="10" t="str">
        <f t="shared" si="646"/>
        <v/>
      </c>
      <c r="N873" s="17" t="str">
        <f t="shared" si="647"/>
        <v/>
      </c>
      <c r="O873" s="39" t="str">
        <f t="shared" si="648"/>
        <v/>
      </c>
      <c r="P873" s="41" t="str">
        <f t="shared" si="649"/>
        <v/>
      </c>
      <c r="Q873" s="9" t="str">
        <f t="shared" si="650"/>
        <v/>
      </c>
      <c r="R873" s="14">
        <f t="shared" si="651"/>
        <v>0</v>
      </c>
      <c r="S873" s="61" t="str">
        <f t="shared" si="652"/>
        <v/>
      </c>
      <c r="T873" s="14">
        <f t="shared" si="653"/>
        <v>0</v>
      </c>
      <c r="U873" s="58" t="str">
        <f t="shared" si="654"/>
        <v/>
      </c>
      <c r="V873" s="14">
        <f t="shared" si="655"/>
        <v>0</v>
      </c>
      <c r="W873" s="58" t="str">
        <f t="shared" si="656"/>
        <v/>
      </c>
      <c r="X873" s="14">
        <f t="shared" si="657"/>
        <v>0</v>
      </c>
      <c r="Y873" s="58" t="str">
        <f t="shared" si="658"/>
        <v/>
      </c>
      <c r="Z873" s="31">
        <f t="shared" si="659"/>
        <v>0</v>
      </c>
      <c r="AA873" s="21">
        <f t="shared" si="660"/>
        <v>0</v>
      </c>
      <c r="AB873" s="58" t="str">
        <f t="shared" si="661"/>
        <v/>
      </c>
      <c r="AC873" s="630">
        <f t="shared" si="638"/>
        <v>0</v>
      </c>
      <c r="AD873" s="627"/>
      <c r="AE873" s="21">
        <f t="shared" si="662"/>
        <v>0</v>
      </c>
      <c r="AF873" s="58" t="str">
        <f t="shared" si="663"/>
        <v/>
      </c>
      <c r="AG873" s="21">
        <f t="shared" si="664"/>
        <v>0</v>
      </c>
      <c r="AH873" s="58" t="str">
        <f t="shared" si="665"/>
        <v/>
      </c>
      <c r="AI873" s="21">
        <f t="shared" si="666"/>
        <v>0</v>
      </c>
      <c r="AJ873" s="58" t="str">
        <f t="shared" si="667"/>
        <v/>
      </c>
      <c r="AK873" s="31">
        <f t="shared" si="668"/>
        <v>0</v>
      </c>
      <c r="AL873" s="21">
        <f t="shared" si="669"/>
        <v>0</v>
      </c>
      <c r="AM873" s="62" t="str">
        <f t="shared" si="670"/>
        <v/>
      </c>
      <c r="AN873" s="21">
        <f t="shared" si="671"/>
        <v>0</v>
      </c>
      <c r="AO873" s="62" t="str">
        <f t="shared" si="672"/>
        <v/>
      </c>
      <c r="AP873" s="21">
        <f t="shared" si="673"/>
        <v>0</v>
      </c>
      <c r="AQ873" s="62" t="str">
        <f t="shared" si="674"/>
        <v/>
      </c>
      <c r="AR873" s="31">
        <f t="shared" si="675"/>
        <v>0</v>
      </c>
      <c r="AS873" s="21">
        <f t="shared" si="676"/>
        <v>0</v>
      </c>
      <c r="AT873" s="62" t="str">
        <f t="shared" si="677"/>
        <v/>
      </c>
      <c r="AU873" s="84">
        <f t="shared" si="678"/>
        <v>0</v>
      </c>
      <c r="AV873" s="32">
        <f t="shared" si="679"/>
        <v>0</v>
      </c>
      <c r="AW873" s="85" t="str">
        <f t="shared" si="680"/>
        <v/>
      </c>
      <c r="AX873" s="86" t="str">
        <f t="shared" si="681"/>
        <v/>
      </c>
    </row>
    <row r="874" spans="1:50" x14ac:dyDescent="0.2">
      <c r="A874" s="29" t="str">
        <f t="shared" si="639"/>
        <v/>
      </c>
      <c r="B874" s="32" t="str">
        <f t="shared" si="640"/>
        <v/>
      </c>
      <c r="C874" s="35"/>
      <c r="D874" s="33" t="str">
        <f t="shared" si="641"/>
        <v/>
      </c>
      <c r="E874" s="22" t="str">
        <f t="shared" si="642"/>
        <v/>
      </c>
      <c r="F874" s="23" t="str">
        <f t="shared" si="643"/>
        <v/>
      </c>
      <c r="G874" s="23"/>
      <c r="H874" s="22"/>
      <c r="I874" s="23"/>
      <c r="J874" s="18"/>
      <c r="K874" s="13" t="str">
        <f t="shared" si="644"/>
        <v/>
      </c>
      <c r="L874" s="28" t="str">
        <f t="shared" si="645"/>
        <v/>
      </c>
      <c r="M874" s="10" t="str">
        <f t="shared" si="646"/>
        <v/>
      </c>
      <c r="N874" s="17" t="str">
        <f t="shared" si="647"/>
        <v/>
      </c>
      <c r="O874" s="39" t="str">
        <f t="shared" si="648"/>
        <v/>
      </c>
      <c r="P874" s="41" t="str">
        <f t="shared" si="649"/>
        <v/>
      </c>
      <c r="Q874" s="9" t="str">
        <f t="shared" si="650"/>
        <v/>
      </c>
      <c r="R874" s="14">
        <f t="shared" si="651"/>
        <v>0</v>
      </c>
      <c r="S874" s="61" t="str">
        <f t="shared" si="652"/>
        <v/>
      </c>
      <c r="T874" s="14">
        <f t="shared" si="653"/>
        <v>0</v>
      </c>
      <c r="U874" s="58" t="str">
        <f t="shared" si="654"/>
        <v/>
      </c>
      <c r="V874" s="14">
        <f t="shared" si="655"/>
        <v>0</v>
      </c>
      <c r="W874" s="58" t="str">
        <f t="shared" si="656"/>
        <v/>
      </c>
      <c r="X874" s="14">
        <f t="shared" si="657"/>
        <v>0</v>
      </c>
      <c r="Y874" s="58" t="str">
        <f t="shared" si="658"/>
        <v/>
      </c>
      <c r="Z874" s="31">
        <f t="shared" si="659"/>
        <v>0</v>
      </c>
      <c r="AA874" s="21">
        <f t="shared" si="660"/>
        <v>0</v>
      </c>
      <c r="AB874" s="58" t="str">
        <f t="shared" si="661"/>
        <v/>
      </c>
      <c r="AC874" s="630">
        <f t="shared" si="638"/>
        <v>0</v>
      </c>
      <c r="AD874" s="627"/>
      <c r="AE874" s="21">
        <f t="shared" si="662"/>
        <v>0</v>
      </c>
      <c r="AF874" s="58" t="str">
        <f t="shared" si="663"/>
        <v/>
      </c>
      <c r="AG874" s="21">
        <f t="shared" si="664"/>
        <v>0</v>
      </c>
      <c r="AH874" s="58" t="str">
        <f t="shared" si="665"/>
        <v/>
      </c>
      <c r="AI874" s="21">
        <f t="shared" si="666"/>
        <v>0</v>
      </c>
      <c r="AJ874" s="58" t="str">
        <f t="shared" si="667"/>
        <v/>
      </c>
      <c r="AK874" s="31">
        <f t="shared" si="668"/>
        <v>0</v>
      </c>
      <c r="AL874" s="21">
        <f t="shared" si="669"/>
        <v>0</v>
      </c>
      <c r="AM874" s="62" t="str">
        <f t="shared" si="670"/>
        <v/>
      </c>
      <c r="AN874" s="21">
        <f t="shared" si="671"/>
        <v>0</v>
      </c>
      <c r="AO874" s="62" t="str">
        <f t="shared" si="672"/>
        <v/>
      </c>
      <c r="AP874" s="21">
        <f t="shared" si="673"/>
        <v>0</v>
      </c>
      <c r="AQ874" s="62" t="str">
        <f t="shared" si="674"/>
        <v/>
      </c>
      <c r="AR874" s="31">
        <f t="shared" si="675"/>
        <v>0</v>
      </c>
      <c r="AS874" s="21">
        <f t="shared" si="676"/>
        <v>0</v>
      </c>
      <c r="AT874" s="62" t="str">
        <f t="shared" si="677"/>
        <v/>
      </c>
      <c r="AU874" s="84">
        <f t="shared" si="678"/>
        <v>0</v>
      </c>
      <c r="AV874" s="32">
        <f t="shared" si="679"/>
        <v>0</v>
      </c>
      <c r="AW874" s="85" t="str">
        <f t="shared" si="680"/>
        <v/>
      </c>
      <c r="AX874" s="86" t="str">
        <f t="shared" si="681"/>
        <v/>
      </c>
    </row>
    <row r="875" spans="1:50" x14ac:dyDescent="0.2">
      <c r="A875" s="29" t="str">
        <f t="shared" si="639"/>
        <v/>
      </c>
      <c r="B875" s="32" t="str">
        <f t="shared" si="640"/>
        <v/>
      </c>
      <c r="C875" s="35"/>
      <c r="D875" s="33" t="str">
        <f t="shared" si="641"/>
        <v/>
      </c>
      <c r="E875" s="22" t="str">
        <f t="shared" si="642"/>
        <v/>
      </c>
      <c r="F875" s="23" t="str">
        <f t="shared" si="643"/>
        <v/>
      </c>
      <c r="G875" s="23"/>
      <c r="H875" s="22"/>
      <c r="I875" s="23"/>
      <c r="J875" s="18"/>
      <c r="K875" s="13" t="str">
        <f t="shared" si="644"/>
        <v/>
      </c>
      <c r="L875" s="28" t="str">
        <f t="shared" si="645"/>
        <v/>
      </c>
      <c r="M875" s="10" t="str">
        <f t="shared" si="646"/>
        <v/>
      </c>
      <c r="N875" s="17" t="str">
        <f t="shared" si="647"/>
        <v/>
      </c>
      <c r="O875" s="39" t="str">
        <f t="shared" si="648"/>
        <v/>
      </c>
      <c r="P875" s="41" t="str">
        <f t="shared" si="649"/>
        <v/>
      </c>
      <c r="Q875" s="9" t="str">
        <f t="shared" si="650"/>
        <v/>
      </c>
      <c r="R875" s="14">
        <f t="shared" si="651"/>
        <v>0</v>
      </c>
      <c r="S875" s="61" t="str">
        <f t="shared" si="652"/>
        <v/>
      </c>
      <c r="T875" s="14">
        <f t="shared" si="653"/>
        <v>0</v>
      </c>
      <c r="U875" s="58" t="str">
        <f t="shared" si="654"/>
        <v/>
      </c>
      <c r="V875" s="14">
        <f t="shared" si="655"/>
        <v>0</v>
      </c>
      <c r="W875" s="58" t="str">
        <f t="shared" si="656"/>
        <v/>
      </c>
      <c r="X875" s="14">
        <f t="shared" si="657"/>
        <v>0</v>
      </c>
      <c r="Y875" s="58" t="str">
        <f t="shared" si="658"/>
        <v/>
      </c>
      <c r="Z875" s="31">
        <f t="shared" si="659"/>
        <v>0</v>
      </c>
      <c r="AA875" s="21">
        <f t="shared" si="660"/>
        <v>0</v>
      </c>
      <c r="AB875" s="58" t="str">
        <f t="shared" si="661"/>
        <v/>
      </c>
      <c r="AC875" s="630">
        <f t="shared" si="638"/>
        <v>0</v>
      </c>
      <c r="AD875" s="627"/>
      <c r="AE875" s="21">
        <f t="shared" si="662"/>
        <v>0</v>
      </c>
      <c r="AF875" s="58" t="str">
        <f t="shared" si="663"/>
        <v/>
      </c>
      <c r="AG875" s="21">
        <f t="shared" si="664"/>
        <v>0</v>
      </c>
      <c r="AH875" s="58" t="str">
        <f t="shared" si="665"/>
        <v/>
      </c>
      <c r="AI875" s="21">
        <f t="shared" si="666"/>
        <v>0</v>
      </c>
      <c r="AJ875" s="58" t="str">
        <f t="shared" si="667"/>
        <v/>
      </c>
      <c r="AK875" s="31">
        <f t="shared" si="668"/>
        <v>0</v>
      </c>
      <c r="AL875" s="21">
        <f t="shared" si="669"/>
        <v>0</v>
      </c>
      <c r="AM875" s="62" t="str">
        <f t="shared" si="670"/>
        <v/>
      </c>
      <c r="AN875" s="21">
        <f t="shared" si="671"/>
        <v>0</v>
      </c>
      <c r="AO875" s="62" t="str">
        <f t="shared" si="672"/>
        <v/>
      </c>
      <c r="AP875" s="21">
        <f t="shared" si="673"/>
        <v>0</v>
      </c>
      <c r="AQ875" s="62" t="str">
        <f t="shared" si="674"/>
        <v/>
      </c>
      <c r="AR875" s="31">
        <f t="shared" si="675"/>
        <v>0</v>
      </c>
      <c r="AS875" s="21">
        <f t="shared" si="676"/>
        <v>0</v>
      </c>
      <c r="AT875" s="62" t="str">
        <f t="shared" si="677"/>
        <v/>
      </c>
      <c r="AU875" s="84">
        <f t="shared" si="678"/>
        <v>0</v>
      </c>
      <c r="AV875" s="32">
        <f t="shared" si="679"/>
        <v>0</v>
      </c>
      <c r="AW875" s="85" t="str">
        <f t="shared" si="680"/>
        <v/>
      </c>
      <c r="AX875" s="86" t="str">
        <f t="shared" si="681"/>
        <v/>
      </c>
    </row>
    <row r="876" spans="1:50" x14ac:dyDescent="0.2">
      <c r="A876" s="29" t="str">
        <f t="shared" si="639"/>
        <v/>
      </c>
      <c r="B876" s="32" t="str">
        <f t="shared" si="640"/>
        <v/>
      </c>
      <c r="C876" s="35"/>
      <c r="D876" s="33" t="str">
        <f t="shared" si="641"/>
        <v/>
      </c>
      <c r="E876" s="22" t="str">
        <f t="shared" si="642"/>
        <v/>
      </c>
      <c r="F876" s="23" t="str">
        <f t="shared" si="643"/>
        <v/>
      </c>
      <c r="G876" s="23"/>
      <c r="H876" s="22"/>
      <c r="I876" s="23"/>
      <c r="J876" s="18"/>
      <c r="K876" s="13" t="str">
        <f t="shared" si="644"/>
        <v/>
      </c>
      <c r="L876" s="28" t="str">
        <f t="shared" si="645"/>
        <v/>
      </c>
      <c r="M876" s="10" t="str">
        <f t="shared" si="646"/>
        <v/>
      </c>
      <c r="N876" s="17" t="str">
        <f t="shared" si="647"/>
        <v/>
      </c>
      <c r="O876" s="39" t="str">
        <f t="shared" si="648"/>
        <v/>
      </c>
      <c r="P876" s="41" t="str">
        <f t="shared" si="649"/>
        <v/>
      </c>
      <c r="Q876" s="9" t="str">
        <f t="shared" si="650"/>
        <v/>
      </c>
      <c r="R876" s="14">
        <f t="shared" si="651"/>
        <v>0</v>
      </c>
      <c r="S876" s="61" t="str">
        <f t="shared" si="652"/>
        <v/>
      </c>
      <c r="T876" s="14">
        <f t="shared" si="653"/>
        <v>0</v>
      </c>
      <c r="U876" s="58" t="str">
        <f t="shared" si="654"/>
        <v/>
      </c>
      <c r="V876" s="14">
        <f t="shared" si="655"/>
        <v>0</v>
      </c>
      <c r="W876" s="58" t="str">
        <f t="shared" si="656"/>
        <v/>
      </c>
      <c r="X876" s="14">
        <f t="shared" si="657"/>
        <v>0</v>
      </c>
      <c r="Y876" s="58" t="str">
        <f t="shared" si="658"/>
        <v/>
      </c>
      <c r="Z876" s="31">
        <f t="shared" si="659"/>
        <v>0</v>
      </c>
      <c r="AA876" s="21">
        <f t="shared" si="660"/>
        <v>0</v>
      </c>
      <c r="AB876" s="58" t="str">
        <f t="shared" si="661"/>
        <v/>
      </c>
      <c r="AC876" s="630">
        <f t="shared" si="638"/>
        <v>0</v>
      </c>
      <c r="AD876" s="627"/>
      <c r="AE876" s="21">
        <f t="shared" si="662"/>
        <v>0</v>
      </c>
      <c r="AF876" s="58" t="str">
        <f t="shared" si="663"/>
        <v/>
      </c>
      <c r="AG876" s="21">
        <f t="shared" si="664"/>
        <v>0</v>
      </c>
      <c r="AH876" s="58" t="str">
        <f t="shared" si="665"/>
        <v/>
      </c>
      <c r="AI876" s="21">
        <f t="shared" si="666"/>
        <v>0</v>
      </c>
      <c r="AJ876" s="58" t="str">
        <f t="shared" si="667"/>
        <v/>
      </c>
      <c r="AK876" s="31">
        <f t="shared" si="668"/>
        <v>0</v>
      </c>
      <c r="AL876" s="21">
        <f t="shared" si="669"/>
        <v>0</v>
      </c>
      <c r="AM876" s="62" t="str">
        <f t="shared" si="670"/>
        <v/>
      </c>
      <c r="AN876" s="21">
        <f t="shared" si="671"/>
        <v>0</v>
      </c>
      <c r="AO876" s="62" t="str">
        <f t="shared" si="672"/>
        <v/>
      </c>
      <c r="AP876" s="21">
        <f t="shared" si="673"/>
        <v>0</v>
      </c>
      <c r="AQ876" s="62" t="str">
        <f t="shared" si="674"/>
        <v/>
      </c>
      <c r="AR876" s="31">
        <f t="shared" si="675"/>
        <v>0</v>
      </c>
      <c r="AS876" s="21">
        <f t="shared" si="676"/>
        <v>0</v>
      </c>
      <c r="AT876" s="62" t="str">
        <f t="shared" si="677"/>
        <v/>
      </c>
      <c r="AU876" s="84">
        <f t="shared" si="678"/>
        <v>0</v>
      </c>
      <c r="AV876" s="32">
        <f t="shared" si="679"/>
        <v>0</v>
      </c>
      <c r="AW876" s="85" t="str">
        <f t="shared" si="680"/>
        <v/>
      </c>
      <c r="AX876" s="86" t="str">
        <f t="shared" si="681"/>
        <v/>
      </c>
    </row>
    <row r="877" spans="1:50" x14ac:dyDescent="0.2">
      <c r="A877" s="29" t="str">
        <f t="shared" si="639"/>
        <v/>
      </c>
      <c r="B877" s="32" t="str">
        <f t="shared" si="640"/>
        <v/>
      </c>
      <c r="C877" s="35"/>
      <c r="D877" s="33" t="str">
        <f t="shared" si="641"/>
        <v/>
      </c>
      <c r="E877" s="22" t="str">
        <f t="shared" si="642"/>
        <v/>
      </c>
      <c r="F877" s="23" t="str">
        <f t="shared" si="643"/>
        <v/>
      </c>
      <c r="G877" s="23"/>
      <c r="H877" s="22"/>
      <c r="I877" s="23"/>
      <c r="J877" s="18"/>
      <c r="K877" s="13" t="str">
        <f t="shared" si="644"/>
        <v/>
      </c>
      <c r="L877" s="28" t="str">
        <f t="shared" si="645"/>
        <v/>
      </c>
      <c r="M877" s="10" t="str">
        <f t="shared" si="646"/>
        <v/>
      </c>
      <c r="N877" s="17" t="str">
        <f t="shared" si="647"/>
        <v/>
      </c>
      <c r="O877" s="39" t="str">
        <f t="shared" si="648"/>
        <v/>
      </c>
      <c r="P877" s="41" t="str">
        <f t="shared" si="649"/>
        <v/>
      </c>
      <c r="Q877" s="9" t="str">
        <f t="shared" si="650"/>
        <v/>
      </c>
      <c r="R877" s="14">
        <f t="shared" si="651"/>
        <v>0</v>
      </c>
      <c r="S877" s="61" t="str">
        <f t="shared" si="652"/>
        <v/>
      </c>
      <c r="T877" s="14">
        <f t="shared" si="653"/>
        <v>0</v>
      </c>
      <c r="U877" s="58" t="str">
        <f t="shared" si="654"/>
        <v/>
      </c>
      <c r="V877" s="14">
        <f t="shared" si="655"/>
        <v>0</v>
      </c>
      <c r="W877" s="58" t="str">
        <f t="shared" si="656"/>
        <v/>
      </c>
      <c r="X877" s="14">
        <f t="shared" si="657"/>
        <v>0</v>
      </c>
      <c r="Y877" s="58" t="str">
        <f t="shared" si="658"/>
        <v/>
      </c>
      <c r="Z877" s="31">
        <f t="shared" si="659"/>
        <v>0</v>
      </c>
      <c r="AA877" s="21">
        <f t="shared" si="660"/>
        <v>0</v>
      </c>
      <c r="AB877" s="58" t="str">
        <f t="shared" si="661"/>
        <v/>
      </c>
      <c r="AC877" s="630">
        <f t="shared" si="638"/>
        <v>0</v>
      </c>
      <c r="AD877" s="627"/>
      <c r="AE877" s="21">
        <f t="shared" si="662"/>
        <v>0</v>
      </c>
      <c r="AF877" s="58" t="str">
        <f t="shared" si="663"/>
        <v/>
      </c>
      <c r="AG877" s="21">
        <f t="shared" si="664"/>
        <v>0</v>
      </c>
      <c r="AH877" s="58" t="str">
        <f t="shared" si="665"/>
        <v/>
      </c>
      <c r="AI877" s="21">
        <f t="shared" si="666"/>
        <v>0</v>
      </c>
      <c r="AJ877" s="58" t="str">
        <f t="shared" si="667"/>
        <v/>
      </c>
      <c r="AK877" s="31">
        <f t="shared" si="668"/>
        <v>0</v>
      </c>
      <c r="AL877" s="21">
        <f t="shared" si="669"/>
        <v>0</v>
      </c>
      <c r="AM877" s="62" t="str">
        <f t="shared" si="670"/>
        <v/>
      </c>
      <c r="AN877" s="21">
        <f t="shared" si="671"/>
        <v>0</v>
      </c>
      <c r="AO877" s="62" t="str">
        <f t="shared" si="672"/>
        <v/>
      </c>
      <c r="AP877" s="21">
        <f t="shared" si="673"/>
        <v>0</v>
      </c>
      <c r="AQ877" s="62" t="str">
        <f t="shared" si="674"/>
        <v/>
      </c>
      <c r="AR877" s="31">
        <f t="shared" si="675"/>
        <v>0</v>
      </c>
      <c r="AS877" s="21">
        <f t="shared" si="676"/>
        <v>0</v>
      </c>
      <c r="AT877" s="62" t="str">
        <f t="shared" si="677"/>
        <v/>
      </c>
      <c r="AU877" s="84">
        <f t="shared" si="678"/>
        <v>0</v>
      </c>
      <c r="AV877" s="32">
        <f t="shared" si="679"/>
        <v>0</v>
      </c>
      <c r="AW877" s="85" t="str">
        <f t="shared" si="680"/>
        <v/>
      </c>
      <c r="AX877" s="86" t="str">
        <f t="shared" si="681"/>
        <v/>
      </c>
    </row>
    <row r="878" spans="1:50" x14ac:dyDescent="0.2">
      <c r="A878" s="29" t="str">
        <f t="shared" si="639"/>
        <v/>
      </c>
      <c r="B878" s="32" t="str">
        <f t="shared" si="640"/>
        <v/>
      </c>
      <c r="C878" s="35"/>
      <c r="D878" s="33" t="str">
        <f t="shared" si="641"/>
        <v/>
      </c>
      <c r="E878" s="22" t="str">
        <f t="shared" si="642"/>
        <v/>
      </c>
      <c r="F878" s="23" t="str">
        <f t="shared" si="643"/>
        <v/>
      </c>
      <c r="G878" s="23"/>
      <c r="H878" s="22"/>
      <c r="I878" s="23"/>
      <c r="J878" s="18"/>
      <c r="K878" s="13" t="str">
        <f t="shared" si="644"/>
        <v/>
      </c>
      <c r="L878" s="28" t="str">
        <f t="shared" si="645"/>
        <v/>
      </c>
      <c r="M878" s="10" t="str">
        <f t="shared" si="646"/>
        <v/>
      </c>
      <c r="N878" s="17" t="str">
        <f t="shared" si="647"/>
        <v/>
      </c>
      <c r="O878" s="39" t="str">
        <f t="shared" si="648"/>
        <v/>
      </c>
      <c r="P878" s="41" t="str">
        <f t="shared" si="649"/>
        <v/>
      </c>
      <c r="Q878" s="9" t="str">
        <f t="shared" si="650"/>
        <v/>
      </c>
      <c r="R878" s="14">
        <f t="shared" si="651"/>
        <v>0</v>
      </c>
      <c r="S878" s="61" t="str">
        <f t="shared" si="652"/>
        <v/>
      </c>
      <c r="T878" s="14">
        <f t="shared" si="653"/>
        <v>0</v>
      </c>
      <c r="U878" s="58" t="str">
        <f t="shared" si="654"/>
        <v/>
      </c>
      <c r="V878" s="14">
        <f t="shared" si="655"/>
        <v>0</v>
      </c>
      <c r="W878" s="58" t="str">
        <f t="shared" si="656"/>
        <v/>
      </c>
      <c r="X878" s="14">
        <f t="shared" si="657"/>
        <v>0</v>
      </c>
      <c r="Y878" s="58" t="str">
        <f t="shared" si="658"/>
        <v/>
      </c>
      <c r="Z878" s="31">
        <f t="shared" si="659"/>
        <v>0</v>
      </c>
      <c r="AA878" s="21">
        <f t="shared" si="660"/>
        <v>0</v>
      </c>
      <c r="AB878" s="58" t="str">
        <f t="shared" si="661"/>
        <v/>
      </c>
      <c r="AC878" s="630">
        <f t="shared" si="638"/>
        <v>0</v>
      </c>
      <c r="AD878" s="627"/>
      <c r="AE878" s="21">
        <f t="shared" si="662"/>
        <v>0</v>
      </c>
      <c r="AF878" s="58" t="str">
        <f t="shared" si="663"/>
        <v/>
      </c>
      <c r="AG878" s="21">
        <f t="shared" si="664"/>
        <v>0</v>
      </c>
      <c r="AH878" s="58" t="str">
        <f t="shared" si="665"/>
        <v/>
      </c>
      <c r="AI878" s="21">
        <f t="shared" si="666"/>
        <v>0</v>
      </c>
      <c r="AJ878" s="58" t="str">
        <f t="shared" si="667"/>
        <v/>
      </c>
      <c r="AK878" s="31">
        <f t="shared" si="668"/>
        <v>0</v>
      </c>
      <c r="AL878" s="21">
        <f t="shared" si="669"/>
        <v>0</v>
      </c>
      <c r="AM878" s="62" t="str">
        <f t="shared" si="670"/>
        <v/>
      </c>
      <c r="AN878" s="21">
        <f t="shared" si="671"/>
        <v>0</v>
      </c>
      <c r="AO878" s="62" t="str">
        <f t="shared" si="672"/>
        <v/>
      </c>
      <c r="AP878" s="21">
        <f t="shared" si="673"/>
        <v>0</v>
      </c>
      <c r="AQ878" s="62" t="str">
        <f t="shared" si="674"/>
        <v/>
      </c>
      <c r="AR878" s="31">
        <f t="shared" si="675"/>
        <v>0</v>
      </c>
      <c r="AS878" s="21">
        <f t="shared" si="676"/>
        <v>0</v>
      </c>
      <c r="AT878" s="62" t="str">
        <f t="shared" si="677"/>
        <v/>
      </c>
      <c r="AU878" s="84">
        <f t="shared" si="678"/>
        <v>0</v>
      </c>
      <c r="AV878" s="32">
        <f t="shared" si="679"/>
        <v>0</v>
      </c>
      <c r="AW878" s="85" t="str">
        <f t="shared" si="680"/>
        <v/>
      </c>
      <c r="AX878" s="86" t="str">
        <f t="shared" si="681"/>
        <v/>
      </c>
    </row>
    <row r="879" spans="1:50" x14ac:dyDescent="0.2">
      <c r="A879" s="29" t="str">
        <f t="shared" si="639"/>
        <v/>
      </c>
      <c r="B879" s="32" t="str">
        <f t="shared" si="640"/>
        <v/>
      </c>
      <c r="C879" s="35"/>
      <c r="D879" s="33" t="str">
        <f t="shared" si="641"/>
        <v/>
      </c>
      <c r="E879" s="22" t="str">
        <f t="shared" si="642"/>
        <v/>
      </c>
      <c r="F879" s="23" t="str">
        <f t="shared" si="643"/>
        <v/>
      </c>
      <c r="G879" s="23"/>
      <c r="H879" s="22"/>
      <c r="I879" s="23"/>
      <c r="J879" s="18"/>
      <c r="K879" s="13" t="str">
        <f t="shared" si="644"/>
        <v/>
      </c>
      <c r="L879" s="28" t="str">
        <f t="shared" si="645"/>
        <v/>
      </c>
      <c r="M879" s="10" t="str">
        <f t="shared" si="646"/>
        <v/>
      </c>
      <c r="N879" s="17" t="str">
        <f t="shared" si="647"/>
        <v/>
      </c>
      <c r="O879" s="39" t="str">
        <f t="shared" si="648"/>
        <v/>
      </c>
      <c r="P879" s="41" t="str">
        <f t="shared" si="649"/>
        <v/>
      </c>
      <c r="Q879" s="9" t="str">
        <f t="shared" si="650"/>
        <v/>
      </c>
      <c r="R879" s="14">
        <f t="shared" si="651"/>
        <v>0</v>
      </c>
      <c r="S879" s="61" t="str">
        <f t="shared" si="652"/>
        <v/>
      </c>
      <c r="T879" s="14">
        <f t="shared" si="653"/>
        <v>0</v>
      </c>
      <c r="U879" s="58" t="str">
        <f t="shared" si="654"/>
        <v/>
      </c>
      <c r="V879" s="14">
        <f t="shared" si="655"/>
        <v>0</v>
      </c>
      <c r="W879" s="58" t="str">
        <f t="shared" si="656"/>
        <v/>
      </c>
      <c r="X879" s="14">
        <f t="shared" si="657"/>
        <v>0</v>
      </c>
      <c r="Y879" s="58" t="str">
        <f t="shared" si="658"/>
        <v/>
      </c>
      <c r="Z879" s="31">
        <f t="shared" si="659"/>
        <v>0</v>
      </c>
      <c r="AA879" s="21">
        <f t="shared" si="660"/>
        <v>0</v>
      </c>
      <c r="AB879" s="58" t="str">
        <f t="shared" si="661"/>
        <v/>
      </c>
      <c r="AC879" s="630">
        <f t="shared" si="638"/>
        <v>0</v>
      </c>
      <c r="AD879" s="627"/>
      <c r="AE879" s="21">
        <f t="shared" si="662"/>
        <v>0</v>
      </c>
      <c r="AF879" s="58" t="str">
        <f t="shared" si="663"/>
        <v/>
      </c>
      <c r="AG879" s="21">
        <f t="shared" si="664"/>
        <v>0</v>
      </c>
      <c r="AH879" s="58" t="str">
        <f t="shared" si="665"/>
        <v/>
      </c>
      <c r="AI879" s="21">
        <f t="shared" si="666"/>
        <v>0</v>
      </c>
      <c r="AJ879" s="58" t="str">
        <f t="shared" si="667"/>
        <v/>
      </c>
      <c r="AK879" s="31">
        <f t="shared" si="668"/>
        <v>0</v>
      </c>
      <c r="AL879" s="21">
        <f t="shared" si="669"/>
        <v>0</v>
      </c>
      <c r="AM879" s="62" t="str">
        <f t="shared" si="670"/>
        <v/>
      </c>
      <c r="AN879" s="21">
        <f t="shared" si="671"/>
        <v>0</v>
      </c>
      <c r="AO879" s="62" t="str">
        <f t="shared" si="672"/>
        <v/>
      </c>
      <c r="AP879" s="21">
        <f t="shared" si="673"/>
        <v>0</v>
      </c>
      <c r="AQ879" s="62" t="str">
        <f t="shared" si="674"/>
        <v/>
      </c>
      <c r="AR879" s="31">
        <f t="shared" si="675"/>
        <v>0</v>
      </c>
      <c r="AS879" s="21">
        <f t="shared" si="676"/>
        <v>0</v>
      </c>
      <c r="AT879" s="62" t="str">
        <f t="shared" si="677"/>
        <v/>
      </c>
      <c r="AU879" s="84">
        <f t="shared" si="678"/>
        <v>0</v>
      </c>
      <c r="AV879" s="32">
        <f t="shared" si="679"/>
        <v>0</v>
      </c>
      <c r="AW879" s="85" t="str">
        <f t="shared" si="680"/>
        <v/>
      </c>
      <c r="AX879" s="86" t="str">
        <f t="shared" si="681"/>
        <v/>
      </c>
    </row>
    <row r="880" spans="1:50" x14ac:dyDescent="0.2">
      <c r="A880" s="29" t="str">
        <f t="shared" si="639"/>
        <v/>
      </c>
      <c r="B880" s="32" t="str">
        <f t="shared" si="640"/>
        <v/>
      </c>
      <c r="C880" s="35"/>
      <c r="D880" s="33" t="str">
        <f t="shared" si="641"/>
        <v/>
      </c>
      <c r="E880" s="22" t="str">
        <f t="shared" si="642"/>
        <v/>
      </c>
      <c r="F880" s="23" t="str">
        <f t="shared" si="643"/>
        <v/>
      </c>
      <c r="G880" s="23"/>
      <c r="H880" s="22"/>
      <c r="I880" s="23"/>
      <c r="J880" s="18"/>
      <c r="K880" s="13" t="str">
        <f t="shared" si="644"/>
        <v/>
      </c>
      <c r="L880" s="28" t="str">
        <f t="shared" si="645"/>
        <v/>
      </c>
      <c r="M880" s="10" t="str">
        <f t="shared" si="646"/>
        <v/>
      </c>
      <c r="N880" s="17" t="str">
        <f t="shared" si="647"/>
        <v/>
      </c>
      <c r="O880" s="39" t="str">
        <f t="shared" si="648"/>
        <v/>
      </c>
      <c r="P880" s="41" t="str">
        <f t="shared" si="649"/>
        <v/>
      </c>
      <c r="Q880" s="9" t="str">
        <f t="shared" si="650"/>
        <v/>
      </c>
      <c r="R880" s="14">
        <f t="shared" si="651"/>
        <v>0</v>
      </c>
      <c r="S880" s="61" t="str">
        <f t="shared" si="652"/>
        <v/>
      </c>
      <c r="T880" s="14">
        <f t="shared" si="653"/>
        <v>0</v>
      </c>
      <c r="U880" s="58" t="str">
        <f t="shared" si="654"/>
        <v/>
      </c>
      <c r="V880" s="14">
        <f t="shared" si="655"/>
        <v>0</v>
      </c>
      <c r="W880" s="58" t="str">
        <f t="shared" si="656"/>
        <v/>
      </c>
      <c r="X880" s="14">
        <f t="shared" si="657"/>
        <v>0</v>
      </c>
      <c r="Y880" s="58" t="str">
        <f t="shared" si="658"/>
        <v/>
      </c>
      <c r="Z880" s="31">
        <f t="shared" si="659"/>
        <v>0</v>
      </c>
      <c r="AA880" s="21">
        <f t="shared" si="660"/>
        <v>0</v>
      </c>
      <c r="AB880" s="58" t="str">
        <f t="shared" si="661"/>
        <v/>
      </c>
      <c r="AC880" s="630">
        <f t="shared" si="638"/>
        <v>0</v>
      </c>
      <c r="AD880" s="627"/>
      <c r="AE880" s="21">
        <f t="shared" si="662"/>
        <v>0</v>
      </c>
      <c r="AF880" s="58" t="str">
        <f t="shared" si="663"/>
        <v/>
      </c>
      <c r="AG880" s="21">
        <f t="shared" si="664"/>
        <v>0</v>
      </c>
      <c r="AH880" s="58" t="str">
        <f t="shared" si="665"/>
        <v/>
      </c>
      <c r="AI880" s="21">
        <f t="shared" si="666"/>
        <v>0</v>
      </c>
      <c r="AJ880" s="58" t="str">
        <f t="shared" si="667"/>
        <v/>
      </c>
      <c r="AK880" s="31">
        <f t="shared" si="668"/>
        <v>0</v>
      </c>
      <c r="AL880" s="21">
        <f t="shared" si="669"/>
        <v>0</v>
      </c>
      <c r="AM880" s="62" t="str">
        <f t="shared" si="670"/>
        <v/>
      </c>
      <c r="AN880" s="21">
        <f t="shared" si="671"/>
        <v>0</v>
      </c>
      <c r="AO880" s="62" t="str">
        <f t="shared" si="672"/>
        <v/>
      </c>
      <c r="AP880" s="21">
        <f t="shared" si="673"/>
        <v>0</v>
      </c>
      <c r="AQ880" s="62" t="str">
        <f t="shared" si="674"/>
        <v/>
      </c>
      <c r="AR880" s="31">
        <f t="shared" si="675"/>
        <v>0</v>
      </c>
      <c r="AS880" s="21">
        <f t="shared" si="676"/>
        <v>0</v>
      </c>
      <c r="AT880" s="62" t="str">
        <f t="shared" si="677"/>
        <v/>
      </c>
      <c r="AU880" s="84">
        <f t="shared" si="678"/>
        <v>0</v>
      </c>
      <c r="AV880" s="32">
        <f t="shared" si="679"/>
        <v>0</v>
      </c>
      <c r="AW880" s="85" t="str">
        <f t="shared" si="680"/>
        <v/>
      </c>
      <c r="AX880" s="86" t="str">
        <f t="shared" si="681"/>
        <v/>
      </c>
    </row>
    <row r="881" spans="1:50" x14ac:dyDescent="0.2">
      <c r="A881" s="29" t="str">
        <f t="shared" si="639"/>
        <v/>
      </c>
      <c r="B881" s="32" t="str">
        <f t="shared" si="640"/>
        <v/>
      </c>
      <c r="C881" s="35"/>
      <c r="D881" s="33" t="str">
        <f t="shared" si="641"/>
        <v/>
      </c>
      <c r="E881" s="22" t="str">
        <f t="shared" si="642"/>
        <v/>
      </c>
      <c r="F881" s="23" t="str">
        <f t="shared" si="643"/>
        <v/>
      </c>
      <c r="G881" s="23"/>
      <c r="H881" s="22"/>
      <c r="I881" s="23"/>
      <c r="J881" s="18"/>
      <c r="K881" s="13" t="str">
        <f t="shared" si="644"/>
        <v/>
      </c>
      <c r="L881" s="28" t="str">
        <f t="shared" si="645"/>
        <v/>
      </c>
      <c r="M881" s="10" t="str">
        <f t="shared" si="646"/>
        <v/>
      </c>
      <c r="N881" s="17" t="str">
        <f t="shared" si="647"/>
        <v/>
      </c>
      <c r="O881" s="39" t="str">
        <f t="shared" si="648"/>
        <v/>
      </c>
      <c r="P881" s="41" t="str">
        <f t="shared" si="649"/>
        <v/>
      </c>
      <c r="Q881" s="9" t="str">
        <f t="shared" si="650"/>
        <v/>
      </c>
      <c r="R881" s="14">
        <f t="shared" si="651"/>
        <v>0</v>
      </c>
      <c r="S881" s="61" t="str">
        <f t="shared" si="652"/>
        <v/>
      </c>
      <c r="T881" s="14">
        <f t="shared" si="653"/>
        <v>0</v>
      </c>
      <c r="U881" s="58" t="str">
        <f t="shared" si="654"/>
        <v/>
      </c>
      <c r="V881" s="14">
        <f t="shared" si="655"/>
        <v>0</v>
      </c>
      <c r="W881" s="58" t="str">
        <f t="shared" si="656"/>
        <v/>
      </c>
      <c r="X881" s="14">
        <f t="shared" si="657"/>
        <v>0</v>
      </c>
      <c r="Y881" s="58" t="str">
        <f t="shared" si="658"/>
        <v/>
      </c>
      <c r="Z881" s="31">
        <f t="shared" si="659"/>
        <v>0</v>
      </c>
      <c r="AA881" s="21">
        <f t="shared" si="660"/>
        <v>0</v>
      </c>
      <c r="AB881" s="58" t="str">
        <f t="shared" si="661"/>
        <v/>
      </c>
      <c r="AC881" s="630">
        <f t="shared" si="638"/>
        <v>0</v>
      </c>
      <c r="AD881" s="627"/>
      <c r="AE881" s="21">
        <f t="shared" si="662"/>
        <v>0</v>
      </c>
      <c r="AF881" s="58" t="str">
        <f t="shared" si="663"/>
        <v/>
      </c>
      <c r="AG881" s="21">
        <f t="shared" si="664"/>
        <v>0</v>
      </c>
      <c r="AH881" s="58" t="str">
        <f t="shared" si="665"/>
        <v/>
      </c>
      <c r="AI881" s="21">
        <f t="shared" si="666"/>
        <v>0</v>
      </c>
      <c r="AJ881" s="58" t="str">
        <f t="shared" si="667"/>
        <v/>
      </c>
      <c r="AK881" s="31">
        <f t="shared" si="668"/>
        <v>0</v>
      </c>
      <c r="AL881" s="21">
        <f t="shared" si="669"/>
        <v>0</v>
      </c>
      <c r="AM881" s="62" t="str">
        <f t="shared" si="670"/>
        <v/>
      </c>
      <c r="AN881" s="21">
        <f t="shared" si="671"/>
        <v>0</v>
      </c>
      <c r="AO881" s="62" t="str">
        <f t="shared" si="672"/>
        <v/>
      </c>
      <c r="AP881" s="21">
        <f t="shared" si="673"/>
        <v>0</v>
      </c>
      <c r="AQ881" s="62" t="str">
        <f t="shared" si="674"/>
        <v/>
      </c>
      <c r="AR881" s="31">
        <f t="shared" si="675"/>
        <v>0</v>
      </c>
      <c r="AS881" s="21">
        <f t="shared" si="676"/>
        <v>0</v>
      </c>
      <c r="AT881" s="62" t="str">
        <f t="shared" si="677"/>
        <v/>
      </c>
      <c r="AU881" s="84">
        <f t="shared" si="678"/>
        <v>0</v>
      </c>
      <c r="AV881" s="32">
        <f t="shared" si="679"/>
        <v>0</v>
      </c>
      <c r="AW881" s="85" t="str">
        <f t="shared" si="680"/>
        <v/>
      </c>
      <c r="AX881" s="86" t="str">
        <f t="shared" si="681"/>
        <v/>
      </c>
    </row>
    <row r="882" spans="1:50" x14ac:dyDescent="0.2">
      <c r="A882" s="29" t="str">
        <f t="shared" si="639"/>
        <v/>
      </c>
      <c r="B882" s="32" t="str">
        <f t="shared" si="640"/>
        <v/>
      </c>
      <c r="C882" s="35"/>
      <c r="D882" s="33" t="str">
        <f t="shared" si="641"/>
        <v/>
      </c>
      <c r="E882" s="22" t="str">
        <f t="shared" si="642"/>
        <v/>
      </c>
      <c r="F882" s="23" t="str">
        <f t="shared" si="643"/>
        <v/>
      </c>
      <c r="G882" s="23"/>
      <c r="H882" s="22"/>
      <c r="I882" s="23"/>
      <c r="J882" s="18"/>
      <c r="K882" s="13" t="str">
        <f t="shared" si="644"/>
        <v/>
      </c>
      <c r="L882" s="28" t="str">
        <f t="shared" si="645"/>
        <v/>
      </c>
      <c r="M882" s="10" t="str">
        <f t="shared" si="646"/>
        <v/>
      </c>
      <c r="N882" s="17" t="str">
        <f t="shared" si="647"/>
        <v/>
      </c>
      <c r="O882" s="39" t="str">
        <f t="shared" si="648"/>
        <v/>
      </c>
      <c r="P882" s="41" t="str">
        <f t="shared" si="649"/>
        <v/>
      </c>
      <c r="Q882" s="9" t="str">
        <f t="shared" si="650"/>
        <v/>
      </c>
      <c r="R882" s="14">
        <f t="shared" si="651"/>
        <v>0</v>
      </c>
      <c r="S882" s="61" t="str">
        <f t="shared" si="652"/>
        <v/>
      </c>
      <c r="T882" s="14">
        <f t="shared" si="653"/>
        <v>0</v>
      </c>
      <c r="U882" s="58" t="str">
        <f t="shared" si="654"/>
        <v/>
      </c>
      <c r="V882" s="14">
        <f t="shared" si="655"/>
        <v>0</v>
      </c>
      <c r="W882" s="58" t="str">
        <f t="shared" si="656"/>
        <v/>
      </c>
      <c r="X882" s="14">
        <f t="shared" si="657"/>
        <v>0</v>
      </c>
      <c r="Y882" s="58" t="str">
        <f t="shared" si="658"/>
        <v/>
      </c>
      <c r="Z882" s="31">
        <f t="shared" si="659"/>
        <v>0</v>
      </c>
      <c r="AA882" s="21">
        <f t="shared" si="660"/>
        <v>0</v>
      </c>
      <c r="AB882" s="58" t="str">
        <f t="shared" si="661"/>
        <v/>
      </c>
      <c r="AC882" s="630">
        <f t="shared" si="638"/>
        <v>0</v>
      </c>
      <c r="AD882" s="627"/>
      <c r="AE882" s="21">
        <f t="shared" si="662"/>
        <v>0</v>
      </c>
      <c r="AF882" s="58" t="str">
        <f t="shared" si="663"/>
        <v/>
      </c>
      <c r="AG882" s="21">
        <f t="shared" si="664"/>
        <v>0</v>
      </c>
      <c r="AH882" s="58" t="str">
        <f t="shared" si="665"/>
        <v/>
      </c>
      <c r="AI882" s="21">
        <f t="shared" si="666"/>
        <v>0</v>
      </c>
      <c r="AJ882" s="58" t="str">
        <f t="shared" si="667"/>
        <v/>
      </c>
      <c r="AK882" s="31">
        <f t="shared" si="668"/>
        <v>0</v>
      </c>
      <c r="AL882" s="21">
        <f t="shared" si="669"/>
        <v>0</v>
      </c>
      <c r="AM882" s="62" t="str">
        <f t="shared" si="670"/>
        <v/>
      </c>
      <c r="AN882" s="21">
        <f t="shared" si="671"/>
        <v>0</v>
      </c>
      <c r="AO882" s="62" t="str">
        <f t="shared" si="672"/>
        <v/>
      </c>
      <c r="AP882" s="21">
        <f t="shared" si="673"/>
        <v>0</v>
      </c>
      <c r="AQ882" s="62" t="str">
        <f t="shared" si="674"/>
        <v/>
      </c>
      <c r="AR882" s="31">
        <f t="shared" si="675"/>
        <v>0</v>
      </c>
      <c r="AS882" s="21">
        <f t="shared" si="676"/>
        <v>0</v>
      </c>
      <c r="AT882" s="62" t="str">
        <f t="shared" si="677"/>
        <v/>
      </c>
      <c r="AU882" s="84">
        <f t="shared" si="678"/>
        <v>0</v>
      </c>
      <c r="AV882" s="32">
        <f t="shared" si="679"/>
        <v>0</v>
      </c>
      <c r="AW882" s="85" t="str">
        <f t="shared" si="680"/>
        <v/>
      </c>
      <c r="AX882" s="86" t="str">
        <f t="shared" si="681"/>
        <v/>
      </c>
    </row>
    <row r="883" spans="1:50" x14ac:dyDescent="0.2">
      <c r="A883" s="29" t="str">
        <f t="shared" si="639"/>
        <v/>
      </c>
      <c r="B883" s="32" t="str">
        <f t="shared" si="640"/>
        <v/>
      </c>
      <c r="C883" s="35"/>
      <c r="D883" s="33" t="str">
        <f t="shared" si="641"/>
        <v/>
      </c>
      <c r="E883" s="22" t="str">
        <f t="shared" si="642"/>
        <v/>
      </c>
      <c r="F883" s="23" t="str">
        <f t="shared" si="643"/>
        <v/>
      </c>
      <c r="G883" s="23"/>
      <c r="H883" s="22"/>
      <c r="I883" s="23"/>
      <c r="J883" s="18"/>
      <c r="K883" s="13" t="str">
        <f t="shared" si="644"/>
        <v/>
      </c>
      <c r="L883" s="28" t="str">
        <f t="shared" si="645"/>
        <v/>
      </c>
      <c r="M883" s="10" t="str">
        <f t="shared" si="646"/>
        <v/>
      </c>
      <c r="N883" s="17" t="str">
        <f t="shared" si="647"/>
        <v/>
      </c>
      <c r="O883" s="39" t="str">
        <f t="shared" si="648"/>
        <v/>
      </c>
      <c r="P883" s="41" t="str">
        <f t="shared" si="649"/>
        <v/>
      </c>
      <c r="Q883" s="9" t="str">
        <f t="shared" si="650"/>
        <v/>
      </c>
      <c r="R883" s="14">
        <f t="shared" si="651"/>
        <v>0</v>
      </c>
      <c r="S883" s="61" t="str">
        <f t="shared" si="652"/>
        <v/>
      </c>
      <c r="T883" s="14">
        <f t="shared" si="653"/>
        <v>0</v>
      </c>
      <c r="U883" s="58" t="str">
        <f t="shared" si="654"/>
        <v/>
      </c>
      <c r="V883" s="14">
        <f t="shared" si="655"/>
        <v>0</v>
      </c>
      <c r="W883" s="58" t="str">
        <f t="shared" si="656"/>
        <v/>
      </c>
      <c r="X883" s="14">
        <f t="shared" si="657"/>
        <v>0</v>
      </c>
      <c r="Y883" s="58" t="str">
        <f t="shared" si="658"/>
        <v/>
      </c>
      <c r="Z883" s="31">
        <f t="shared" si="659"/>
        <v>0</v>
      </c>
      <c r="AA883" s="21">
        <f t="shared" si="660"/>
        <v>0</v>
      </c>
      <c r="AB883" s="58" t="str">
        <f t="shared" si="661"/>
        <v/>
      </c>
      <c r="AC883" s="630">
        <f t="shared" si="638"/>
        <v>0</v>
      </c>
      <c r="AD883" s="627"/>
      <c r="AE883" s="21">
        <f t="shared" si="662"/>
        <v>0</v>
      </c>
      <c r="AF883" s="58" t="str">
        <f t="shared" si="663"/>
        <v/>
      </c>
      <c r="AG883" s="21">
        <f t="shared" si="664"/>
        <v>0</v>
      </c>
      <c r="AH883" s="58" t="str">
        <f t="shared" si="665"/>
        <v/>
      </c>
      <c r="AI883" s="21">
        <f t="shared" si="666"/>
        <v>0</v>
      </c>
      <c r="AJ883" s="58" t="str">
        <f t="shared" si="667"/>
        <v/>
      </c>
      <c r="AK883" s="31">
        <f t="shared" si="668"/>
        <v>0</v>
      </c>
      <c r="AL883" s="21">
        <f t="shared" si="669"/>
        <v>0</v>
      </c>
      <c r="AM883" s="62" t="str">
        <f t="shared" si="670"/>
        <v/>
      </c>
      <c r="AN883" s="21">
        <f t="shared" si="671"/>
        <v>0</v>
      </c>
      <c r="AO883" s="62" t="str">
        <f t="shared" si="672"/>
        <v/>
      </c>
      <c r="AP883" s="21">
        <f t="shared" si="673"/>
        <v>0</v>
      </c>
      <c r="AQ883" s="62" t="str">
        <f t="shared" si="674"/>
        <v/>
      </c>
      <c r="AR883" s="31">
        <f t="shared" si="675"/>
        <v>0</v>
      </c>
      <c r="AS883" s="21">
        <f t="shared" si="676"/>
        <v>0</v>
      </c>
      <c r="AT883" s="62" t="str">
        <f t="shared" si="677"/>
        <v/>
      </c>
      <c r="AU883" s="84">
        <f t="shared" si="678"/>
        <v>0</v>
      </c>
      <c r="AV883" s="32">
        <f t="shared" si="679"/>
        <v>0</v>
      </c>
      <c r="AW883" s="85" t="str">
        <f t="shared" si="680"/>
        <v/>
      </c>
      <c r="AX883" s="86" t="str">
        <f t="shared" si="681"/>
        <v/>
      </c>
    </row>
    <row r="884" spans="1:50" x14ac:dyDescent="0.2">
      <c r="A884" s="29" t="str">
        <f t="shared" si="639"/>
        <v/>
      </c>
      <c r="B884" s="32" t="str">
        <f t="shared" si="640"/>
        <v/>
      </c>
      <c r="C884" s="35"/>
      <c r="D884" s="33" t="str">
        <f t="shared" si="641"/>
        <v/>
      </c>
      <c r="E884" s="22" t="str">
        <f t="shared" si="642"/>
        <v/>
      </c>
      <c r="F884" s="23" t="str">
        <f t="shared" si="643"/>
        <v/>
      </c>
      <c r="G884" s="23"/>
      <c r="H884" s="22"/>
      <c r="I884" s="23"/>
      <c r="J884" s="18"/>
      <c r="K884" s="13" t="str">
        <f t="shared" si="644"/>
        <v/>
      </c>
      <c r="L884" s="28" t="str">
        <f t="shared" si="645"/>
        <v/>
      </c>
      <c r="M884" s="10" t="str">
        <f t="shared" si="646"/>
        <v/>
      </c>
      <c r="N884" s="17" t="str">
        <f t="shared" si="647"/>
        <v/>
      </c>
      <c r="O884" s="39" t="str">
        <f t="shared" si="648"/>
        <v/>
      </c>
      <c r="P884" s="41" t="str">
        <f t="shared" si="649"/>
        <v/>
      </c>
      <c r="Q884" s="9" t="str">
        <f t="shared" si="650"/>
        <v/>
      </c>
      <c r="R884" s="14">
        <f t="shared" si="651"/>
        <v>0</v>
      </c>
      <c r="S884" s="61" t="str">
        <f t="shared" si="652"/>
        <v/>
      </c>
      <c r="T884" s="14">
        <f t="shared" si="653"/>
        <v>0</v>
      </c>
      <c r="U884" s="58" t="str">
        <f t="shared" si="654"/>
        <v/>
      </c>
      <c r="V884" s="14">
        <f t="shared" si="655"/>
        <v>0</v>
      </c>
      <c r="W884" s="58" t="str">
        <f t="shared" si="656"/>
        <v/>
      </c>
      <c r="X884" s="14">
        <f t="shared" si="657"/>
        <v>0</v>
      </c>
      <c r="Y884" s="58" t="str">
        <f t="shared" si="658"/>
        <v/>
      </c>
      <c r="Z884" s="31">
        <f t="shared" si="659"/>
        <v>0</v>
      </c>
      <c r="AA884" s="21">
        <f t="shared" si="660"/>
        <v>0</v>
      </c>
      <c r="AB884" s="58" t="str">
        <f t="shared" si="661"/>
        <v/>
      </c>
      <c r="AC884" s="630">
        <f t="shared" si="638"/>
        <v>0</v>
      </c>
      <c r="AD884" s="627"/>
      <c r="AE884" s="21">
        <f t="shared" si="662"/>
        <v>0</v>
      </c>
      <c r="AF884" s="58" t="str">
        <f t="shared" si="663"/>
        <v/>
      </c>
      <c r="AG884" s="21">
        <f t="shared" si="664"/>
        <v>0</v>
      </c>
      <c r="AH884" s="58" t="str">
        <f t="shared" si="665"/>
        <v/>
      </c>
      <c r="AI884" s="21">
        <f t="shared" si="666"/>
        <v>0</v>
      </c>
      <c r="AJ884" s="58" t="str">
        <f t="shared" si="667"/>
        <v/>
      </c>
      <c r="AK884" s="31">
        <f t="shared" si="668"/>
        <v>0</v>
      </c>
      <c r="AL884" s="21">
        <f t="shared" si="669"/>
        <v>0</v>
      </c>
      <c r="AM884" s="62" t="str">
        <f t="shared" si="670"/>
        <v/>
      </c>
      <c r="AN884" s="21">
        <f t="shared" si="671"/>
        <v>0</v>
      </c>
      <c r="AO884" s="62" t="str">
        <f t="shared" si="672"/>
        <v/>
      </c>
      <c r="AP884" s="21">
        <f t="shared" si="673"/>
        <v>0</v>
      </c>
      <c r="AQ884" s="62" t="str">
        <f t="shared" si="674"/>
        <v/>
      </c>
      <c r="AR884" s="31">
        <f t="shared" si="675"/>
        <v>0</v>
      </c>
      <c r="AS884" s="21">
        <f t="shared" si="676"/>
        <v>0</v>
      </c>
      <c r="AT884" s="62" t="str">
        <f t="shared" si="677"/>
        <v/>
      </c>
      <c r="AU884" s="84">
        <f t="shared" si="678"/>
        <v>0</v>
      </c>
      <c r="AV884" s="32">
        <f t="shared" si="679"/>
        <v>0</v>
      </c>
      <c r="AW884" s="85" t="str">
        <f t="shared" si="680"/>
        <v/>
      </c>
      <c r="AX884" s="86" t="str">
        <f t="shared" si="681"/>
        <v/>
      </c>
    </row>
    <row r="885" spans="1:50" x14ac:dyDescent="0.2">
      <c r="A885" s="29" t="str">
        <f t="shared" si="639"/>
        <v/>
      </c>
      <c r="B885" s="32" t="str">
        <f t="shared" si="640"/>
        <v/>
      </c>
      <c r="C885" s="35"/>
      <c r="D885" s="33" t="str">
        <f t="shared" si="641"/>
        <v/>
      </c>
      <c r="E885" s="22" t="str">
        <f t="shared" si="642"/>
        <v/>
      </c>
      <c r="F885" s="23" t="str">
        <f t="shared" si="643"/>
        <v/>
      </c>
      <c r="G885" s="23"/>
      <c r="H885" s="22"/>
      <c r="I885" s="23"/>
      <c r="J885" s="18"/>
      <c r="K885" s="13" t="str">
        <f t="shared" si="644"/>
        <v/>
      </c>
      <c r="L885" s="28" t="str">
        <f t="shared" si="645"/>
        <v/>
      </c>
      <c r="M885" s="10" t="str">
        <f t="shared" si="646"/>
        <v/>
      </c>
      <c r="N885" s="17" t="str">
        <f t="shared" si="647"/>
        <v/>
      </c>
      <c r="O885" s="39" t="str">
        <f t="shared" si="648"/>
        <v/>
      </c>
      <c r="P885" s="41" t="str">
        <f t="shared" si="649"/>
        <v/>
      </c>
      <c r="Q885" s="9" t="str">
        <f t="shared" si="650"/>
        <v/>
      </c>
      <c r="R885" s="14">
        <f t="shared" si="651"/>
        <v>0</v>
      </c>
      <c r="S885" s="61" t="str">
        <f t="shared" si="652"/>
        <v/>
      </c>
      <c r="T885" s="14">
        <f t="shared" si="653"/>
        <v>0</v>
      </c>
      <c r="U885" s="58" t="str">
        <f t="shared" si="654"/>
        <v/>
      </c>
      <c r="V885" s="14">
        <f t="shared" si="655"/>
        <v>0</v>
      </c>
      <c r="W885" s="58" t="str">
        <f t="shared" si="656"/>
        <v/>
      </c>
      <c r="X885" s="14">
        <f t="shared" si="657"/>
        <v>0</v>
      </c>
      <c r="Y885" s="58" t="str">
        <f t="shared" si="658"/>
        <v/>
      </c>
      <c r="Z885" s="31">
        <f t="shared" si="659"/>
        <v>0</v>
      </c>
      <c r="AA885" s="21">
        <f t="shared" si="660"/>
        <v>0</v>
      </c>
      <c r="AB885" s="58" t="str">
        <f t="shared" si="661"/>
        <v/>
      </c>
      <c r="AC885" s="630">
        <f t="shared" si="638"/>
        <v>0</v>
      </c>
      <c r="AD885" s="627"/>
      <c r="AE885" s="21">
        <f t="shared" si="662"/>
        <v>0</v>
      </c>
      <c r="AF885" s="58" t="str">
        <f t="shared" si="663"/>
        <v/>
      </c>
      <c r="AG885" s="21">
        <f t="shared" si="664"/>
        <v>0</v>
      </c>
      <c r="AH885" s="58" t="str">
        <f t="shared" si="665"/>
        <v/>
      </c>
      <c r="AI885" s="21">
        <f t="shared" si="666"/>
        <v>0</v>
      </c>
      <c r="AJ885" s="58" t="str">
        <f t="shared" si="667"/>
        <v/>
      </c>
      <c r="AK885" s="31">
        <f t="shared" si="668"/>
        <v>0</v>
      </c>
      <c r="AL885" s="21">
        <f t="shared" si="669"/>
        <v>0</v>
      </c>
      <c r="AM885" s="62" t="str">
        <f t="shared" si="670"/>
        <v/>
      </c>
      <c r="AN885" s="21">
        <f t="shared" si="671"/>
        <v>0</v>
      </c>
      <c r="AO885" s="62" t="str">
        <f t="shared" si="672"/>
        <v/>
      </c>
      <c r="AP885" s="21">
        <f t="shared" si="673"/>
        <v>0</v>
      </c>
      <c r="AQ885" s="62" t="str">
        <f t="shared" si="674"/>
        <v/>
      </c>
      <c r="AR885" s="31">
        <f t="shared" si="675"/>
        <v>0</v>
      </c>
      <c r="AS885" s="21">
        <f t="shared" si="676"/>
        <v>0</v>
      </c>
      <c r="AT885" s="62" t="str">
        <f t="shared" si="677"/>
        <v/>
      </c>
      <c r="AU885" s="84">
        <f t="shared" si="678"/>
        <v>0</v>
      </c>
      <c r="AV885" s="32">
        <f t="shared" si="679"/>
        <v>0</v>
      </c>
      <c r="AW885" s="85" t="str">
        <f t="shared" si="680"/>
        <v/>
      </c>
      <c r="AX885" s="86" t="str">
        <f t="shared" si="681"/>
        <v/>
      </c>
    </row>
    <row r="886" spans="1:50" x14ac:dyDescent="0.2">
      <c r="A886" s="29" t="str">
        <f t="shared" si="639"/>
        <v/>
      </c>
      <c r="B886" s="32" t="str">
        <f t="shared" si="640"/>
        <v/>
      </c>
      <c r="C886" s="35"/>
      <c r="D886" s="33" t="str">
        <f t="shared" si="641"/>
        <v/>
      </c>
      <c r="E886" s="22" t="str">
        <f t="shared" si="642"/>
        <v/>
      </c>
      <c r="F886" s="23" t="str">
        <f t="shared" si="643"/>
        <v/>
      </c>
      <c r="G886" s="23"/>
      <c r="H886" s="22"/>
      <c r="I886" s="23"/>
      <c r="J886" s="18"/>
      <c r="K886" s="13" t="str">
        <f t="shared" si="644"/>
        <v/>
      </c>
      <c r="L886" s="28" t="str">
        <f t="shared" si="645"/>
        <v/>
      </c>
      <c r="M886" s="10" t="str">
        <f t="shared" si="646"/>
        <v/>
      </c>
      <c r="N886" s="17" t="str">
        <f t="shared" si="647"/>
        <v/>
      </c>
      <c r="O886" s="39" t="str">
        <f t="shared" si="648"/>
        <v/>
      </c>
      <c r="P886" s="41" t="str">
        <f t="shared" si="649"/>
        <v/>
      </c>
      <c r="Q886" s="9" t="str">
        <f t="shared" si="650"/>
        <v/>
      </c>
      <c r="R886" s="14">
        <f t="shared" si="651"/>
        <v>0</v>
      </c>
      <c r="S886" s="61" t="str">
        <f t="shared" si="652"/>
        <v/>
      </c>
      <c r="T886" s="14">
        <f t="shared" si="653"/>
        <v>0</v>
      </c>
      <c r="U886" s="58" t="str">
        <f t="shared" si="654"/>
        <v/>
      </c>
      <c r="V886" s="14">
        <f t="shared" si="655"/>
        <v>0</v>
      </c>
      <c r="W886" s="58" t="str">
        <f t="shared" si="656"/>
        <v/>
      </c>
      <c r="X886" s="14">
        <f t="shared" si="657"/>
        <v>0</v>
      </c>
      <c r="Y886" s="58" t="str">
        <f t="shared" si="658"/>
        <v/>
      </c>
      <c r="Z886" s="31">
        <f t="shared" si="659"/>
        <v>0</v>
      </c>
      <c r="AA886" s="21">
        <f t="shared" si="660"/>
        <v>0</v>
      </c>
      <c r="AB886" s="58" t="str">
        <f t="shared" si="661"/>
        <v/>
      </c>
      <c r="AC886" s="630">
        <f t="shared" si="638"/>
        <v>0</v>
      </c>
      <c r="AD886" s="627"/>
      <c r="AE886" s="21">
        <f t="shared" si="662"/>
        <v>0</v>
      </c>
      <c r="AF886" s="58" t="str">
        <f t="shared" si="663"/>
        <v/>
      </c>
      <c r="AG886" s="21">
        <f t="shared" si="664"/>
        <v>0</v>
      </c>
      <c r="AH886" s="58" t="str">
        <f t="shared" si="665"/>
        <v/>
      </c>
      <c r="AI886" s="21">
        <f t="shared" si="666"/>
        <v>0</v>
      </c>
      <c r="AJ886" s="58" t="str">
        <f t="shared" si="667"/>
        <v/>
      </c>
      <c r="AK886" s="31">
        <f t="shared" si="668"/>
        <v>0</v>
      </c>
      <c r="AL886" s="21">
        <f t="shared" si="669"/>
        <v>0</v>
      </c>
      <c r="AM886" s="62" t="str">
        <f t="shared" si="670"/>
        <v/>
      </c>
      <c r="AN886" s="21">
        <f t="shared" si="671"/>
        <v>0</v>
      </c>
      <c r="AO886" s="62" t="str">
        <f t="shared" si="672"/>
        <v/>
      </c>
      <c r="AP886" s="21">
        <f t="shared" si="673"/>
        <v>0</v>
      </c>
      <c r="AQ886" s="62" t="str">
        <f t="shared" si="674"/>
        <v/>
      </c>
      <c r="AR886" s="31">
        <f t="shared" si="675"/>
        <v>0</v>
      </c>
      <c r="AS886" s="21">
        <f t="shared" si="676"/>
        <v>0</v>
      </c>
      <c r="AT886" s="62" t="str">
        <f t="shared" si="677"/>
        <v/>
      </c>
      <c r="AU886" s="84">
        <f t="shared" si="678"/>
        <v>0</v>
      </c>
      <c r="AV886" s="32">
        <f t="shared" si="679"/>
        <v>0</v>
      </c>
      <c r="AW886" s="85" t="str">
        <f t="shared" si="680"/>
        <v/>
      </c>
      <c r="AX886" s="86" t="str">
        <f t="shared" si="681"/>
        <v/>
      </c>
    </row>
    <row r="887" spans="1:50" x14ac:dyDescent="0.2">
      <c r="A887" s="29" t="str">
        <f t="shared" si="639"/>
        <v/>
      </c>
      <c r="B887" s="32" t="str">
        <f t="shared" si="640"/>
        <v/>
      </c>
      <c r="C887" s="35"/>
      <c r="D887" s="33" t="str">
        <f t="shared" si="641"/>
        <v/>
      </c>
      <c r="E887" s="22" t="str">
        <f t="shared" si="642"/>
        <v/>
      </c>
      <c r="F887" s="23" t="str">
        <f t="shared" si="643"/>
        <v/>
      </c>
      <c r="G887" s="23"/>
      <c r="H887" s="22"/>
      <c r="I887" s="23"/>
      <c r="J887" s="18"/>
      <c r="K887" s="13" t="str">
        <f t="shared" si="644"/>
        <v/>
      </c>
      <c r="L887" s="28" t="str">
        <f t="shared" si="645"/>
        <v/>
      </c>
      <c r="M887" s="10" t="str">
        <f t="shared" si="646"/>
        <v/>
      </c>
      <c r="N887" s="17" t="str">
        <f t="shared" si="647"/>
        <v/>
      </c>
      <c r="O887" s="39" t="str">
        <f t="shared" si="648"/>
        <v/>
      </c>
      <c r="P887" s="41" t="str">
        <f t="shared" si="649"/>
        <v/>
      </c>
      <c r="Q887" s="9" t="str">
        <f t="shared" si="650"/>
        <v/>
      </c>
      <c r="R887" s="14">
        <f t="shared" si="651"/>
        <v>0</v>
      </c>
      <c r="S887" s="61" t="str">
        <f t="shared" si="652"/>
        <v/>
      </c>
      <c r="T887" s="14">
        <f t="shared" si="653"/>
        <v>0</v>
      </c>
      <c r="U887" s="58" t="str">
        <f t="shared" si="654"/>
        <v/>
      </c>
      <c r="V887" s="14">
        <f t="shared" si="655"/>
        <v>0</v>
      </c>
      <c r="W887" s="58" t="str">
        <f t="shared" si="656"/>
        <v/>
      </c>
      <c r="X887" s="14">
        <f t="shared" si="657"/>
        <v>0</v>
      </c>
      <c r="Y887" s="58" t="str">
        <f t="shared" si="658"/>
        <v/>
      </c>
      <c r="Z887" s="31">
        <f t="shared" si="659"/>
        <v>0</v>
      </c>
      <c r="AA887" s="21">
        <f t="shared" si="660"/>
        <v>0</v>
      </c>
      <c r="AB887" s="58" t="str">
        <f t="shared" si="661"/>
        <v/>
      </c>
      <c r="AC887" s="630">
        <f t="shared" si="638"/>
        <v>0</v>
      </c>
      <c r="AD887" s="627"/>
      <c r="AE887" s="21">
        <f t="shared" si="662"/>
        <v>0</v>
      </c>
      <c r="AF887" s="58" t="str">
        <f t="shared" si="663"/>
        <v/>
      </c>
      <c r="AG887" s="21">
        <f t="shared" si="664"/>
        <v>0</v>
      </c>
      <c r="AH887" s="58" t="str">
        <f t="shared" si="665"/>
        <v/>
      </c>
      <c r="AI887" s="21">
        <f t="shared" si="666"/>
        <v>0</v>
      </c>
      <c r="AJ887" s="58" t="str">
        <f t="shared" si="667"/>
        <v/>
      </c>
      <c r="AK887" s="31">
        <f t="shared" si="668"/>
        <v>0</v>
      </c>
      <c r="AL887" s="21">
        <f t="shared" si="669"/>
        <v>0</v>
      </c>
      <c r="AM887" s="62" t="str">
        <f t="shared" si="670"/>
        <v/>
      </c>
      <c r="AN887" s="21">
        <f t="shared" si="671"/>
        <v>0</v>
      </c>
      <c r="AO887" s="62" t="str">
        <f t="shared" si="672"/>
        <v/>
      </c>
      <c r="AP887" s="21">
        <f t="shared" si="673"/>
        <v>0</v>
      </c>
      <c r="AQ887" s="62" t="str">
        <f t="shared" si="674"/>
        <v/>
      </c>
      <c r="AR887" s="31">
        <f t="shared" si="675"/>
        <v>0</v>
      </c>
      <c r="AS887" s="21">
        <f t="shared" si="676"/>
        <v>0</v>
      </c>
      <c r="AT887" s="62" t="str">
        <f t="shared" si="677"/>
        <v/>
      </c>
      <c r="AU887" s="84">
        <f t="shared" si="678"/>
        <v>0</v>
      </c>
      <c r="AV887" s="32">
        <f t="shared" si="679"/>
        <v>0</v>
      </c>
      <c r="AW887" s="85" t="str">
        <f t="shared" si="680"/>
        <v/>
      </c>
      <c r="AX887" s="86" t="str">
        <f t="shared" si="681"/>
        <v/>
      </c>
    </row>
    <row r="888" spans="1:50" x14ac:dyDescent="0.2">
      <c r="A888" s="29" t="str">
        <f t="shared" si="639"/>
        <v/>
      </c>
      <c r="B888" s="32" t="str">
        <f t="shared" si="640"/>
        <v/>
      </c>
      <c r="C888" s="35"/>
      <c r="D888" s="33" t="str">
        <f t="shared" si="641"/>
        <v/>
      </c>
      <c r="E888" s="22" t="str">
        <f t="shared" si="642"/>
        <v/>
      </c>
      <c r="F888" s="23" t="str">
        <f t="shared" si="643"/>
        <v/>
      </c>
      <c r="G888" s="23"/>
      <c r="H888" s="22"/>
      <c r="I888" s="23"/>
      <c r="J888" s="18"/>
      <c r="K888" s="13" t="str">
        <f t="shared" si="644"/>
        <v/>
      </c>
      <c r="L888" s="28" t="str">
        <f t="shared" si="645"/>
        <v/>
      </c>
      <c r="M888" s="10" t="str">
        <f t="shared" si="646"/>
        <v/>
      </c>
      <c r="N888" s="17" t="str">
        <f t="shared" si="647"/>
        <v/>
      </c>
      <c r="O888" s="39" t="str">
        <f t="shared" si="648"/>
        <v/>
      </c>
      <c r="P888" s="41" t="str">
        <f t="shared" si="649"/>
        <v/>
      </c>
      <c r="Q888" s="9" t="str">
        <f t="shared" si="650"/>
        <v/>
      </c>
      <c r="R888" s="14">
        <f t="shared" si="651"/>
        <v>0</v>
      </c>
      <c r="S888" s="61" t="str">
        <f t="shared" si="652"/>
        <v/>
      </c>
      <c r="T888" s="14">
        <f t="shared" si="653"/>
        <v>0</v>
      </c>
      <c r="U888" s="58" t="str">
        <f t="shared" si="654"/>
        <v/>
      </c>
      <c r="V888" s="14">
        <f t="shared" si="655"/>
        <v>0</v>
      </c>
      <c r="W888" s="58" t="str">
        <f t="shared" si="656"/>
        <v/>
      </c>
      <c r="X888" s="14">
        <f t="shared" si="657"/>
        <v>0</v>
      </c>
      <c r="Y888" s="58" t="str">
        <f t="shared" si="658"/>
        <v/>
      </c>
      <c r="Z888" s="31">
        <f t="shared" si="659"/>
        <v>0</v>
      </c>
      <c r="AA888" s="21">
        <f t="shared" si="660"/>
        <v>0</v>
      </c>
      <c r="AB888" s="58" t="str">
        <f t="shared" si="661"/>
        <v/>
      </c>
      <c r="AC888" s="630">
        <f t="shared" si="638"/>
        <v>0</v>
      </c>
      <c r="AD888" s="627"/>
      <c r="AE888" s="21">
        <f t="shared" si="662"/>
        <v>0</v>
      </c>
      <c r="AF888" s="58" t="str">
        <f t="shared" si="663"/>
        <v/>
      </c>
      <c r="AG888" s="21">
        <f t="shared" si="664"/>
        <v>0</v>
      </c>
      <c r="AH888" s="58" t="str">
        <f t="shared" si="665"/>
        <v/>
      </c>
      <c r="AI888" s="21">
        <f t="shared" si="666"/>
        <v>0</v>
      </c>
      <c r="AJ888" s="58" t="str">
        <f t="shared" si="667"/>
        <v/>
      </c>
      <c r="AK888" s="31">
        <f t="shared" si="668"/>
        <v>0</v>
      </c>
      <c r="AL888" s="21">
        <f t="shared" si="669"/>
        <v>0</v>
      </c>
      <c r="AM888" s="62" t="str">
        <f t="shared" si="670"/>
        <v/>
      </c>
      <c r="AN888" s="21">
        <f t="shared" si="671"/>
        <v>0</v>
      </c>
      <c r="AO888" s="62" t="str">
        <f t="shared" si="672"/>
        <v/>
      </c>
      <c r="AP888" s="21">
        <f t="shared" si="673"/>
        <v>0</v>
      </c>
      <c r="AQ888" s="62" t="str">
        <f t="shared" si="674"/>
        <v/>
      </c>
      <c r="AR888" s="31">
        <f t="shared" si="675"/>
        <v>0</v>
      </c>
      <c r="AS888" s="21">
        <f t="shared" si="676"/>
        <v>0</v>
      </c>
      <c r="AT888" s="62" t="str">
        <f t="shared" si="677"/>
        <v/>
      </c>
      <c r="AU888" s="84">
        <f t="shared" si="678"/>
        <v>0</v>
      </c>
      <c r="AV888" s="32">
        <f t="shared" si="679"/>
        <v>0</v>
      </c>
      <c r="AW888" s="85" t="str">
        <f t="shared" si="680"/>
        <v/>
      </c>
      <c r="AX888" s="86" t="str">
        <f t="shared" si="681"/>
        <v/>
      </c>
    </row>
    <row r="889" spans="1:50" x14ac:dyDescent="0.2">
      <c r="A889" s="29" t="str">
        <f t="shared" si="639"/>
        <v/>
      </c>
      <c r="B889" s="32" t="str">
        <f t="shared" si="640"/>
        <v/>
      </c>
      <c r="C889" s="35"/>
      <c r="D889" s="33" t="str">
        <f t="shared" si="641"/>
        <v/>
      </c>
      <c r="E889" s="22" t="str">
        <f t="shared" si="642"/>
        <v/>
      </c>
      <c r="F889" s="23" t="str">
        <f t="shared" si="643"/>
        <v/>
      </c>
      <c r="G889" s="23"/>
      <c r="H889" s="22"/>
      <c r="I889" s="23"/>
      <c r="J889" s="18"/>
      <c r="K889" s="13" t="str">
        <f t="shared" si="644"/>
        <v/>
      </c>
      <c r="L889" s="28" t="str">
        <f t="shared" si="645"/>
        <v/>
      </c>
      <c r="M889" s="10" t="str">
        <f t="shared" si="646"/>
        <v/>
      </c>
      <c r="N889" s="17" t="str">
        <f t="shared" si="647"/>
        <v/>
      </c>
      <c r="O889" s="39" t="str">
        <f t="shared" si="648"/>
        <v/>
      </c>
      <c r="P889" s="41" t="str">
        <f t="shared" si="649"/>
        <v/>
      </c>
      <c r="Q889" s="9" t="str">
        <f t="shared" si="650"/>
        <v/>
      </c>
      <c r="R889" s="14">
        <f t="shared" si="651"/>
        <v>0</v>
      </c>
      <c r="S889" s="61" t="str">
        <f t="shared" si="652"/>
        <v/>
      </c>
      <c r="T889" s="14">
        <f t="shared" si="653"/>
        <v>0</v>
      </c>
      <c r="U889" s="58" t="str">
        <f t="shared" si="654"/>
        <v/>
      </c>
      <c r="V889" s="14">
        <f t="shared" si="655"/>
        <v>0</v>
      </c>
      <c r="W889" s="58" t="str">
        <f t="shared" si="656"/>
        <v/>
      </c>
      <c r="X889" s="14">
        <f t="shared" si="657"/>
        <v>0</v>
      </c>
      <c r="Y889" s="58" t="str">
        <f t="shared" si="658"/>
        <v/>
      </c>
      <c r="Z889" s="31">
        <f t="shared" si="659"/>
        <v>0</v>
      </c>
      <c r="AA889" s="21">
        <f t="shared" si="660"/>
        <v>0</v>
      </c>
      <c r="AB889" s="58" t="str">
        <f t="shared" si="661"/>
        <v/>
      </c>
      <c r="AC889" s="630">
        <f t="shared" si="638"/>
        <v>0</v>
      </c>
      <c r="AD889" s="627"/>
      <c r="AE889" s="21">
        <f t="shared" si="662"/>
        <v>0</v>
      </c>
      <c r="AF889" s="58" t="str">
        <f t="shared" si="663"/>
        <v/>
      </c>
      <c r="AG889" s="21">
        <f t="shared" si="664"/>
        <v>0</v>
      </c>
      <c r="AH889" s="58" t="str">
        <f t="shared" si="665"/>
        <v/>
      </c>
      <c r="AI889" s="21">
        <f t="shared" si="666"/>
        <v>0</v>
      </c>
      <c r="AJ889" s="58" t="str">
        <f t="shared" si="667"/>
        <v/>
      </c>
      <c r="AK889" s="31">
        <f t="shared" si="668"/>
        <v>0</v>
      </c>
      <c r="AL889" s="21">
        <f t="shared" si="669"/>
        <v>0</v>
      </c>
      <c r="AM889" s="62" t="str">
        <f t="shared" si="670"/>
        <v/>
      </c>
      <c r="AN889" s="21">
        <f t="shared" si="671"/>
        <v>0</v>
      </c>
      <c r="AO889" s="62" t="str">
        <f t="shared" si="672"/>
        <v/>
      </c>
      <c r="AP889" s="21">
        <f t="shared" si="673"/>
        <v>0</v>
      </c>
      <c r="AQ889" s="62" t="str">
        <f t="shared" si="674"/>
        <v/>
      </c>
      <c r="AR889" s="31">
        <f t="shared" si="675"/>
        <v>0</v>
      </c>
      <c r="AS889" s="21">
        <f t="shared" si="676"/>
        <v>0</v>
      </c>
      <c r="AT889" s="62" t="str">
        <f t="shared" si="677"/>
        <v/>
      </c>
      <c r="AU889" s="84">
        <f t="shared" si="678"/>
        <v>0</v>
      </c>
      <c r="AV889" s="32">
        <f t="shared" si="679"/>
        <v>0</v>
      </c>
      <c r="AW889" s="85" t="str">
        <f t="shared" si="680"/>
        <v/>
      </c>
      <c r="AX889" s="86" t="str">
        <f t="shared" si="681"/>
        <v/>
      </c>
    </row>
    <row r="890" spans="1:50" x14ac:dyDescent="0.2">
      <c r="A890" s="29" t="str">
        <f t="shared" si="639"/>
        <v/>
      </c>
      <c r="B890" s="32" t="str">
        <f t="shared" si="640"/>
        <v/>
      </c>
      <c r="C890" s="35"/>
      <c r="D890" s="33" t="str">
        <f t="shared" si="641"/>
        <v/>
      </c>
      <c r="E890" s="22" t="str">
        <f t="shared" si="642"/>
        <v/>
      </c>
      <c r="F890" s="23" t="str">
        <f t="shared" si="643"/>
        <v/>
      </c>
      <c r="G890" s="23"/>
      <c r="H890" s="22"/>
      <c r="I890" s="23"/>
      <c r="J890" s="18"/>
      <c r="K890" s="13" t="str">
        <f t="shared" si="644"/>
        <v/>
      </c>
      <c r="L890" s="28" t="str">
        <f t="shared" si="645"/>
        <v/>
      </c>
      <c r="M890" s="10" t="str">
        <f t="shared" si="646"/>
        <v/>
      </c>
      <c r="N890" s="17" t="str">
        <f t="shared" si="647"/>
        <v/>
      </c>
      <c r="O890" s="39" t="str">
        <f t="shared" si="648"/>
        <v/>
      </c>
      <c r="P890" s="41" t="str">
        <f t="shared" si="649"/>
        <v/>
      </c>
      <c r="Q890" s="9" t="str">
        <f t="shared" si="650"/>
        <v/>
      </c>
      <c r="R890" s="14">
        <f t="shared" si="651"/>
        <v>0</v>
      </c>
      <c r="S890" s="61" t="str">
        <f t="shared" si="652"/>
        <v/>
      </c>
      <c r="T890" s="14">
        <f t="shared" si="653"/>
        <v>0</v>
      </c>
      <c r="U890" s="58" t="str">
        <f t="shared" si="654"/>
        <v/>
      </c>
      <c r="V890" s="14">
        <f t="shared" si="655"/>
        <v>0</v>
      </c>
      <c r="W890" s="58" t="str">
        <f t="shared" si="656"/>
        <v/>
      </c>
      <c r="X890" s="14">
        <f t="shared" si="657"/>
        <v>0</v>
      </c>
      <c r="Y890" s="58" t="str">
        <f t="shared" si="658"/>
        <v/>
      </c>
      <c r="Z890" s="31">
        <f t="shared" si="659"/>
        <v>0</v>
      </c>
      <c r="AA890" s="21">
        <f t="shared" si="660"/>
        <v>0</v>
      </c>
      <c r="AB890" s="58" t="str">
        <f t="shared" si="661"/>
        <v/>
      </c>
      <c r="AC890" s="630">
        <f t="shared" si="638"/>
        <v>0</v>
      </c>
      <c r="AD890" s="627"/>
      <c r="AE890" s="21">
        <f t="shared" si="662"/>
        <v>0</v>
      </c>
      <c r="AF890" s="58" t="str">
        <f t="shared" si="663"/>
        <v/>
      </c>
      <c r="AG890" s="21">
        <f t="shared" si="664"/>
        <v>0</v>
      </c>
      <c r="AH890" s="58" t="str">
        <f t="shared" si="665"/>
        <v/>
      </c>
      <c r="AI890" s="21">
        <f t="shared" si="666"/>
        <v>0</v>
      </c>
      <c r="AJ890" s="58" t="str">
        <f t="shared" si="667"/>
        <v/>
      </c>
      <c r="AK890" s="31">
        <f t="shared" si="668"/>
        <v>0</v>
      </c>
      <c r="AL890" s="21">
        <f t="shared" si="669"/>
        <v>0</v>
      </c>
      <c r="AM890" s="62" t="str">
        <f t="shared" si="670"/>
        <v/>
      </c>
      <c r="AN890" s="21">
        <f t="shared" si="671"/>
        <v>0</v>
      </c>
      <c r="AO890" s="62" t="str">
        <f t="shared" si="672"/>
        <v/>
      </c>
      <c r="AP890" s="21">
        <f t="shared" si="673"/>
        <v>0</v>
      </c>
      <c r="AQ890" s="62" t="str">
        <f t="shared" si="674"/>
        <v/>
      </c>
      <c r="AR890" s="31">
        <f t="shared" si="675"/>
        <v>0</v>
      </c>
      <c r="AS890" s="21">
        <f t="shared" si="676"/>
        <v>0</v>
      </c>
      <c r="AT890" s="62" t="str">
        <f t="shared" si="677"/>
        <v/>
      </c>
      <c r="AU890" s="84">
        <f t="shared" si="678"/>
        <v>0</v>
      </c>
      <c r="AV890" s="32">
        <f t="shared" si="679"/>
        <v>0</v>
      </c>
      <c r="AW890" s="85" t="str">
        <f t="shared" si="680"/>
        <v/>
      </c>
      <c r="AX890" s="86" t="str">
        <f t="shared" si="681"/>
        <v/>
      </c>
    </row>
    <row r="891" spans="1:50" x14ac:dyDescent="0.2">
      <c r="A891" s="29" t="str">
        <f t="shared" si="639"/>
        <v/>
      </c>
      <c r="B891" s="32" t="str">
        <f t="shared" si="640"/>
        <v/>
      </c>
      <c r="C891" s="35"/>
      <c r="D891" s="33" t="str">
        <f t="shared" si="641"/>
        <v/>
      </c>
      <c r="E891" s="22" t="str">
        <f t="shared" si="642"/>
        <v/>
      </c>
      <c r="F891" s="23" t="str">
        <f t="shared" si="643"/>
        <v/>
      </c>
      <c r="G891" s="23"/>
      <c r="H891" s="22"/>
      <c r="I891" s="23"/>
      <c r="J891" s="18"/>
      <c r="K891" s="13" t="str">
        <f t="shared" si="644"/>
        <v/>
      </c>
      <c r="L891" s="28" t="str">
        <f t="shared" si="645"/>
        <v/>
      </c>
      <c r="M891" s="10" t="str">
        <f t="shared" si="646"/>
        <v/>
      </c>
      <c r="N891" s="17" t="str">
        <f t="shared" si="647"/>
        <v/>
      </c>
      <c r="O891" s="39" t="str">
        <f t="shared" si="648"/>
        <v/>
      </c>
      <c r="P891" s="41" t="str">
        <f t="shared" si="649"/>
        <v/>
      </c>
      <c r="Q891" s="9" t="str">
        <f t="shared" si="650"/>
        <v/>
      </c>
      <c r="R891" s="14">
        <f t="shared" si="651"/>
        <v>0</v>
      </c>
      <c r="S891" s="61" t="str">
        <f t="shared" si="652"/>
        <v/>
      </c>
      <c r="T891" s="14">
        <f t="shared" si="653"/>
        <v>0</v>
      </c>
      <c r="U891" s="58" t="str">
        <f t="shared" si="654"/>
        <v/>
      </c>
      <c r="V891" s="14">
        <f t="shared" si="655"/>
        <v>0</v>
      </c>
      <c r="W891" s="58" t="str">
        <f t="shared" si="656"/>
        <v/>
      </c>
      <c r="X891" s="14">
        <f t="shared" si="657"/>
        <v>0</v>
      </c>
      <c r="Y891" s="58" t="str">
        <f t="shared" si="658"/>
        <v/>
      </c>
      <c r="Z891" s="31">
        <f t="shared" si="659"/>
        <v>0</v>
      </c>
      <c r="AA891" s="21">
        <f t="shared" si="660"/>
        <v>0</v>
      </c>
      <c r="AB891" s="58" t="str">
        <f t="shared" si="661"/>
        <v/>
      </c>
      <c r="AC891" s="630">
        <f t="shared" si="638"/>
        <v>0</v>
      </c>
      <c r="AD891" s="627"/>
      <c r="AE891" s="21">
        <f t="shared" si="662"/>
        <v>0</v>
      </c>
      <c r="AF891" s="58" t="str">
        <f t="shared" si="663"/>
        <v/>
      </c>
      <c r="AG891" s="21">
        <f t="shared" si="664"/>
        <v>0</v>
      </c>
      <c r="AH891" s="58" t="str">
        <f t="shared" si="665"/>
        <v/>
      </c>
      <c r="AI891" s="21">
        <f t="shared" si="666"/>
        <v>0</v>
      </c>
      <c r="AJ891" s="58" t="str">
        <f t="shared" si="667"/>
        <v/>
      </c>
      <c r="AK891" s="31">
        <f t="shared" si="668"/>
        <v>0</v>
      </c>
      <c r="AL891" s="21">
        <f t="shared" si="669"/>
        <v>0</v>
      </c>
      <c r="AM891" s="62" t="str">
        <f t="shared" si="670"/>
        <v/>
      </c>
      <c r="AN891" s="21">
        <f t="shared" si="671"/>
        <v>0</v>
      </c>
      <c r="AO891" s="62" t="str">
        <f t="shared" si="672"/>
        <v/>
      </c>
      <c r="AP891" s="21">
        <f t="shared" si="673"/>
        <v>0</v>
      </c>
      <c r="AQ891" s="62" t="str">
        <f t="shared" si="674"/>
        <v/>
      </c>
      <c r="AR891" s="31">
        <f t="shared" si="675"/>
        <v>0</v>
      </c>
      <c r="AS891" s="21">
        <f t="shared" si="676"/>
        <v>0</v>
      </c>
      <c r="AT891" s="62" t="str">
        <f t="shared" si="677"/>
        <v/>
      </c>
      <c r="AU891" s="84">
        <f t="shared" si="678"/>
        <v>0</v>
      </c>
      <c r="AV891" s="32">
        <f t="shared" si="679"/>
        <v>0</v>
      </c>
      <c r="AW891" s="85" t="str">
        <f t="shared" si="680"/>
        <v/>
      </c>
      <c r="AX891" s="86" t="str">
        <f t="shared" si="681"/>
        <v/>
      </c>
    </row>
    <row r="892" spans="1:50" x14ac:dyDescent="0.2">
      <c r="A892" s="29" t="str">
        <f t="shared" si="639"/>
        <v/>
      </c>
      <c r="B892" s="32" t="str">
        <f t="shared" si="640"/>
        <v/>
      </c>
      <c r="C892" s="35"/>
      <c r="D892" s="33" t="str">
        <f t="shared" si="641"/>
        <v/>
      </c>
      <c r="E892" s="22" t="str">
        <f t="shared" si="642"/>
        <v/>
      </c>
      <c r="F892" s="23" t="str">
        <f t="shared" si="643"/>
        <v/>
      </c>
      <c r="G892" s="23"/>
      <c r="H892" s="22"/>
      <c r="I892" s="23"/>
      <c r="J892" s="18"/>
      <c r="K892" s="13" t="str">
        <f t="shared" si="644"/>
        <v/>
      </c>
      <c r="L892" s="28" t="str">
        <f t="shared" si="645"/>
        <v/>
      </c>
      <c r="M892" s="10" t="str">
        <f t="shared" si="646"/>
        <v/>
      </c>
      <c r="N892" s="17" t="str">
        <f t="shared" si="647"/>
        <v/>
      </c>
      <c r="O892" s="39" t="str">
        <f t="shared" si="648"/>
        <v/>
      </c>
      <c r="P892" s="41" t="str">
        <f t="shared" si="649"/>
        <v/>
      </c>
      <c r="Q892" s="9" t="str">
        <f t="shared" si="650"/>
        <v/>
      </c>
      <c r="R892" s="14">
        <f t="shared" si="651"/>
        <v>0</v>
      </c>
      <c r="S892" s="61" t="str">
        <f t="shared" si="652"/>
        <v/>
      </c>
      <c r="T892" s="14">
        <f t="shared" si="653"/>
        <v>0</v>
      </c>
      <c r="U892" s="58" t="str">
        <f t="shared" si="654"/>
        <v/>
      </c>
      <c r="V892" s="14">
        <f t="shared" si="655"/>
        <v>0</v>
      </c>
      <c r="W892" s="58" t="str">
        <f t="shared" si="656"/>
        <v/>
      </c>
      <c r="X892" s="14">
        <f t="shared" si="657"/>
        <v>0</v>
      </c>
      <c r="Y892" s="58" t="str">
        <f t="shared" si="658"/>
        <v/>
      </c>
      <c r="Z892" s="31">
        <f t="shared" si="659"/>
        <v>0</v>
      </c>
      <c r="AA892" s="21">
        <f t="shared" si="660"/>
        <v>0</v>
      </c>
      <c r="AB892" s="58" t="str">
        <f t="shared" si="661"/>
        <v/>
      </c>
      <c r="AC892" s="630">
        <f t="shared" si="638"/>
        <v>0</v>
      </c>
      <c r="AD892" s="627"/>
      <c r="AE892" s="21">
        <f t="shared" si="662"/>
        <v>0</v>
      </c>
      <c r="AF892" s="58" t="str">
        <f t="shared" si="663"/>
        <v/>
      </c>
      <c r="AG892" s="21">
        <f t="shared" si="664"/>
        <v>0</v>
      </c>
      <c r="AH892" s="58" t="str">
        <f t="shared" si="665"/>
        <v/>
      </c>
      <c r="AI892" s="21">
        <f t="shared" si="666"/>
        <v>0</v>
      </c>
      <c r="AJ892" s="58" t="str">
        <f t="shared" si="667"/>
        <v/>
      </c>
      <c r="AK892" s="31">
        <f t="shared" si="668"/>
        <v>0</v>
      </c>
      <c r="AL892" s="21">
        <f t="shared" si="669"/>
        <v>0</v>
      </c>
      <c r="AM892" s="62" t="str">
        <f t="shared" si="670"/>
        <v/>
      </c>
      <c r="AN892" s="21">
        <f t="shared" si="671"/>
        <v>0</v>
      </c>
      <c r="AO892" s="62" t="str">
        <f t="shared" si="672"/>
        <v/>
      </c>
      <c r="AP892" s="21">
        <f t="shared" si="673"/>
        <v>0</v>
      </c>
      <c r="AQ892" s="62" t="str">
        <f t="shared" si="674"/>
        <v/>
      </c>
      <c r="AR892" s="31">
        <f t="shared" si="675"/>
        <v>0</v>
      </c>
      <c r="AS892" s="21">
        <f t="shared" si="676"/>
        <v>0</v>
      </c>
      <c r="AT892" s="62" t="str">
        <f t="shared" si="677"/>
        <v/>
      </c>
      <c r="AU892" s="84">
        <f t="shared" si="678"/>
        <v>0</v>
      </c>
      <c r="AV892" s="32">
        <f t="shared" si="679"/>
        <v>0</v>
      </c>
      <c r="AW892" s="85" t="str">
        <f t="shared" si="680"/>
        <v/>
      </c>
      <c r="AX892" s="86" t="str">
        <f t="shared" si="681"/>
        <v/>
      </c>
    </row>
    <row r="893" spans="1:50" x14ac:dyDescent="0.2">
      <c r="A893" s="29" t="str">
        <f t="shared" si="639"/>
        <v/>
      </c>
      <c r="B893" s="32" t="str">
        <f t="shared" si="640"/>
        <v/>
      </c>
      <c r="C893" s="35"/>
      <c r="D893" s="33" t="str">
        <f t="shared" si="641"/>
        <v/>
      </c>
      <c r="E893" s="22" t="str">
        <f t="shared" si="642"/>
        <v/>
      </c>
      <c r="F893" s="23" t="str">
        <f t="shared" si="643"/>
        <v/>
      </c>
      <c r="G893" s="23"/>
      <c r="H893" s="22"/>
      <c r="I893" s="23"/>
      <c r="J893" s="18"/>
      <c r="K893" s="13" t="str">
        <f t="shared" si="644"/>
        <v/>
      </c>
      <c r="L893" s="28" t="str">
        <f t="shared" si="645"/>
        <v/>
      </c>
      <c r="M893" s="10" t="str">
        <f t="shared" si="646"/>
        <v/>
      </c>
      <c r="N893" s="17" t="str">
        <f t="shared" si="647"/>
        <v/>
      </c>
      <c r="O893" s="39" t="str">
        <f t="shared" si="648"/>
        <v/>
      </c>
      <c r="P893" s="41" t="str">
        <f t="shared" si="649"/>
        <v/>
      </c>
      <c r="Q893" s="9" t="str">
        <f t="shared" si="650"/>
        <v/>
      </c>
      <c r="R893" s="14">
        <f t="shared" si="651"/>
        <v>0</v>
      </c>
      <c r="S893" s="61" t="str">
        <f t="shared" si="652"/>
        <v/>
      </c>
      <c r="T893" s="14">
        <f t="shared" si="653"/>
        <v>0</v>
      </c>
      <c r="U893" s="58" t="str">
        <f t="shared" si="654"/>
        <v/>
      </c>
      <c r="V893" s="14">
        <f t="shared" si="655"/>
        <v>0</v>
      </c>
      <c r="W893" s="58" t="str">
        <f t="shared" si="656"/>
        <v/>
      </c>
      <c r="X893" s="14">
        <f t="shared" si="657"/>
        <v>0</v>
      </c>
      <c r="Y893" s="58" t="str">
        <f t="shared" si="658"/>
        <v/>
      </c>
      <c r="Z893" s="31">
        <f t="shared" si="659"/>
        <v>0</v>
      </c>
      <c r="AA893" s="21">
        <f t="shared" si="660"/>
        <v>0</v>
      </c>
      <c r="AB893" s="58" t="str">
        <f t="shared" si="661"/>
        <v/>
      </c>
      <c r="AC893" s="630">
        <f t="shared" si="638"/>
        <v>0</v>
      </c>
      <c r="AD893" s="627"/>
      <c r="AE893" s="21">
        <f t="shared" si="662"/>
        <v>0</v>
      </c>
      <c r="AF893" s="58" t="str">
        <f t="shared" si="663"/>
        <v/>
      </c>
      <c r="AG893" s="21">
        <f t="shared" si="664"/>
        <v>0</v>
      </c>
      <c r="AH893" s="58" t="str">
        <f t="shared" si="665"/>
        <v/>
      </c>
      <c r="AI893" s="21">
        <f t="shared" si="666"/>
        <v>0</v>
      </c>
      <c r="AJ893" s="58" t="str">
        <f t="shared" si="667"/>
        <v/>
      </c>
      <c r="AK893" s="31">
        <f t="shared" si="668"/>
        <v>0</v>
      </c>
      <c r="AL893" s="21">
        <f t="shared" si="669"/>
        <v>0</v>
      </c>
      <c r="AM893" s="62" t="str">
        <f t="shared" si="670"/>
        <v/>
      </c>
      <c r="AN893" s="21">
        <f t="shared" si="671"/>
        <v>0</v>
      </c>
      <c r="AO893" s="62" t="str">
        <f t="shared" si="672"/>
        <v/>
      </c>
      <c r="AP893" s="21">
        <f t="shared" si="673"/>
        <v>0</v>
      </c>
      <c r="AQ893" s="62" t="str">
        <f t="shared" si="674"/>
        <v/>
      </c>
      <c r="AR893" s="31">
        <f t="shared" si="675"/>
        <v>0</v>
      </c>
      <c r="AS893" s="21">
        <f t="shared" si="676"/>
        <v>0</v>
      </c>
      <c r="AT893" s="62" t="str">
        <f t="shared" si="677"/>
        <v/>
      </c>
      <c r="AU893" s="84">
        <f t="shared" si="678"/>
        <v>0</v>
      </c>
      <c r="AV893" s="32">
        <f t="shared" si="679"/>
        <v>0</v>
      </c>
      <c r="AW893" s="85" t="str">
        <f t="shared" si="680"/>
        <v/>
      </c>
      <c r="AX893" s="86" t="str">
        <f t="shared" si="681"/>
        <v/>
      </c>
    </row>
    <row r="894" spans="1:50" x14ac:dyDescent="0.2">
      <c r="A894" s="29" t="str">
        <f t="shared" si="639"/>
        <v/>
      </c>
      <c r="B894" s="32" t="str">
        <f t="shared" si="640"/>
        <v/>
      </c>
      <c r="C894" s="35"/>
      <c r="D894" s="33" t="str">
        <f t="shared" si="641"/>
        <v/>
      </c>
      <c r="E894" s="22" t="str">
        <f t="shared" si="642"/>
        <v/>
      </c>
      <c r="F894" s="23" t="str">
        <f t="shared" si="643"/>
        <v/>
      </c>
      <c r="G894" s="23"/>
      <c r="H894" s="22"/>
      <c r="I894" s="23"/>
      <c r="J894" s="18"/>
      <c r="K894" s="13" t="str">
        <f t="shared" si="644"/>
        <v/>
      </c>
      <c r="L894" s="28" t="str">
        <f t="shared" si="645"/>
        <v/>
      </c>
      <c r="M894" s="10" t="str">
        <f t="shared" si="646"/>
        <v/>
      </c>
      <c r="N894" s="17" t="str">
        <f t="shared" si="647"/>
        <v/>
      </c>
      <c r="O894" s="39" t="str">
        <f t="shared" si="648"/>
        <v/>
      </c>
      <c r="P894" s="41" t="str">
        <f t="shared" si="649"/>
        <v/>
      </c>
      <c r="Q894" s="9" t="str">
        <f t="shared" si="650"/>
        <v/>
      </c>
      <c r="R894" s="14">
        <f t="shared" si="651"/>
        <v>0</v>
      </c>
      <c r="S894" s="61" t="str">
        <f t="shared" si="652"/>
        <v/>
      </c>
      <c r="T894" s="14">
        <f t="shared" si="653"/>
        <v>0</v>
      </c>
      <c r="U894" s="58" t="str">
        <f t="shared" si="654"/>
        <v/>
      </c>
      <c r="V894" s="14">
        <f t="shared" si="655"/>
        <v>0</v>
      </c>
      <c r="W894" s="58" t="str">
        <f t="shared" si="656"/>
        <v/>
      </c>
      <c r="X894" s="14">
        <f t="shared" si="657"/>
        <v>0</v>
      </c>
      <c r="Y894" s="58" t="str">
        <f t="shared" si="658"/>
        <v/>
      </c>
      <c r="Z894" s="31">
        <f t="shared" si="659"/>
        <v>0</v>
      </c>
      <c r="AA894" s="21">
        <f t="shared" si="660"/>
        <v>0</v>
      </c>
      <c r="AB894" s="58" t="str">
        <f t="shared" si="661"/>
        <v/>
      </c>
      <c r="AC894" s="630">
        <f t="shared" si="638"/>
        <v>0</v>
      </c>
      <c r="AD894" s="627"/>
      <c r="AE894" s="21">
        <f t="shared" si="662"/>
        <v>0</v>
      </c>
      <c r="AF894" s="58" t="str">
        <f t="shared" si="663"/>
        <v/>
      </c>
      <c r="AG894" s="21">
        <f t="shared" si="664"/>
        <v>0</v>
      </c>
      <c r="AH894" s="58" t="str">
        <f t="shared" si="665"/>
        <v/>
      </c>
      <c r="AI894" s="21">
        <f t="shared" si="666"/>
        <v>0</v>
      </c>
      <c r="AJ894" s="58" t="str">
        <f t="shared" si="667"/>
        <v/>
      </c>
      <c r="AK894" s="31">
        <f t="shared" si="668"/>
        <v>0</v>
      </c>
      <c r="AL894" s="21">
        <f t="shared" si="669"/>
        <v>0</v>
      </c>
      <c r="AM894" s="62" t="str">
        <f t="shared" si="670"/>
        <v/>
      </c>
      <c r="AN894" s="21">
        <f t="shared" si="671"/>
        <v>0</v>
      </c>
      <c r="AO894" s="62" t="str">
        <f t="shared" si="672"/>
        <v/>
      </c>
      <c r="AP894" s="21">
        <f t="shared" si="673"/>
        <v>0</v>
      </c>
      <c r="AQ894" s="62" t="str">
        <f t="shared" si="674"/>
        <v/>
      </c>
      <c r="AR894" s="31">
        <f t="shared" si="675"/>
        <v>0</v>
      </c>
      <c r="AS894" s="21">
        <f t="shared" si="676"/>
        <v>0</v>
      </c>
      <c r="AT894" s="62" t="str">
        <f t="shared" si="677"/>
        <v/>
      </c>
      <c r="AU894" s="84">
        <f t="shared" si="678"/>
        <v>0</v>
      </c>
      <c r="AV894" s="32">
        <f t="shared" si="679"/>
        <v>0</v>
      </c>
      <c r="AW894" s="85" t="str">
        <f t="shared" si="680"/>
        <v/>
      </c>
      <c r="AX894" s="86" t="str">
        <f t="shared" si="681"/>
        <v/>
      </c>
    </row>
    <row r="895" spans="1:50" x14ac:dyDescent="0.2">
      <c r="A895" s="29" t="str">
        <f t="shared" si="639"/>
        <v/>
      </c>
      <c r="B895" s="32" t="str">
        <f t="shared" si="640"/>
        <v/>
      </c>
      <c r="C895" s="35"/>
      <c r="D895" s="33" t="str">
        <f t="shared" si="641"/>
        <v/>
      </c>
      <c r="E895" s="22" t="str">
        <f t="shared" si="642"/>
        <v/>
      </c>
      <c r="F895" s="23" t="str">
        <f t="shared" si="643"/>
        <v/>
      </c>
      <c r="G895" s="23"/>
      <c r="H895" s="22"/>
      <c r="I895" s="23"/>
      <c r="J895" s="18"/>
      <c r="K895" s="13" t="str">
        <f t="shared" si="644"/>
        <v/>
      </c>
      <c r="L895" s="28" t="str">
        <f t="shared" si="645"/>
        <v/>
      </c>
      <c r="M895" s="10" t="str">
        <f t="shared" si="646"/>
        <v/>
      </c>
      <c r="N895" s="17" t="str">
        <f t="shared" si="647"/>
        <v/>
      </c>
      <c r="O895" s="39" t="str">
        <f t="shared" si="648"/>
        <v/>
      </c>
      <c r="P895" s="41" t="str">
        <f t="shared" si="649"/>
        <v/>
      </c>
      <c r="Q895" s="9" t="str">
        <f t="shared" si="650"/>
        <v/>
      </c>
      <c r="R895" s="14">
        <f t="shared" si="651"/>
        <v>0</v>
      </c>
      <c r="S895" s="61" t="str">
        <f t="shared" si="652"/>
        <v/>
      </c>
      <c r="T895" s="14">
        <f t="shared" si="653"/>
        <v>0</v>
      </c>
      <c r="U895" s="58" t="str">
        <f t="shared" si="654"/>
        <v/>
      </c>
      <c r="V895" s="14">
        <f t="shared" si="655"/>
        <v>0</v>
      </c>
      <c r="W895" s="58" t="str">
        <f t="shared" si="656"/>
        <v/>
      </c>
      <c r="X895" s="14">
        <f t="shared" si="657"/>
        <v>0</v>
      </c>
      <c r="Y895" s="58" t="str">
        <f t="shared" si="658"/>
        <v/>
      </c>
      <c r="Z895" s="31">
        <f t="shared" si="659"/>
        <v>0</v>
      </c>
      <c r="AA895" s="21">
        <f t="shared" si="660"/>
        <v>0</v>
      </c>
      <c r="AB895" s="58" t="str">
        <f t="shared" si="661"/>
        <v/>
      </c>
      <c r="AC895" s="630">
        <f t="shared" si="638"/>
        <v>0</v>
      </c>
      <c r="AD895" s="627"/>
      <c r="AE895" s="21">
        <f t="shared" si="662"/>
        <v>0</v>
      </c>
      <c r="AF895" s="58" t="str">
        <f t="shared" si="663"/>
        <v/>
      </c>
      <c r="AG895" s="21">
        <f t="shared" si="664"/>
        <v>0</v>
      </c>
      <c r="AH895" s="58" t="str">
        <f t="shared" si="665"/>
        <v/>
      </c>
      <c r="AI895" s="21">
        <f t="shared" si="666"/>
        <v>0</v>
      </c>
      <c r="AJ895" s="58" t="str">
        <f t="shared" si="667"/>
        <v/>
      </c>
      <c r="AK895" s="31">
        <f t="shared" si="668"/>
        <v>0</v>
      </c>
      <c r="AL895" s="21">
        <f t="shared" si="669"/>
        <v>0</v>
      </c>
      <c r="AM895" s="62" t="str">
        <f t="shared" si="670"/>
        <v/>
      </c>
      <c r="AN895" s="21">
        <f t="shared" si="671"/>
        <v>0</v>
      </c>
      <c r="AO895" s="62" t="str">
        <f t="shared" si="672"/>
        <v/>
      </c>
      <c r="AP895" s="21">
        <f t="shared" si="673"/>
        <v>0</v>
      </c>
      <c r="AQ895" s="62" t="str">
        <f t="shared" si="674"/>
        <v/>
      </c>
      <c r="AR895" s="31">
        <f t="shared" si="675"/>
        <v>0</v>
      </c>
      <c r="AS895" s="21">
        <f t="shared" si="676"/>
        <v>0</v>
      </c>
      <c r="AT895" s="62" t="str">
        <f t="shared" si="677"/>
        <v/>
      </c>
      <c r="AU895" s="84">
        <f t="shared" si="678"/>
        <v>0</v>
      </c>
      <c r="AV895" s="32">
        <f t="shared" si="679"/>
        <v>0</v>
      </c>
      <c r="AW895" s="85" t="str">
        <f t="shared" si="680"/>
        <v/>
      </c>
      <c r="AX895" s="86" t="str">
        <f t="shared" si="681"/>
        <v/>
      </c>
    </row>
    <row r="896" spans="1:50" x14ac:dyDescent="0.2">
      <c r="A896" s="29" t="str">
        <f t="shared" si="639"/>
        <v/>
      </c>
      <c r="B896" s="32" t="str">
        <f t="shared" si="640"/>
        <v/>
      </c>
      <c r="C896" s="35"/>
      <c r="D896" s="33" t="str">
        <f t="shared" si="641"/>
        <v/>
      </c>
      <c r="E896" s="22" t="str">
        <f t="shared" si="642"/>
        <v/>
      </c>
      <c r="F896" s="23" t="str">
        <f t="shared" si="643"/>
        <v/>
      </c>
      <c r="G896" s="23"/>
      <c r="H896" s="22"/>
      <c r="I896" s="23"/>
      <c r="J896" s="18"/>
      <c r="K896" s="13" t="str">
        <f t="shared" si="644"/>
        <v/>
      </c>
      <c r="L896" s="28" t="str">
        <f t="shared" si="645"/>
        <v/>
      </c>
      <c r="M896" s="10" t="str">
        <f t="shared" si="646"/>
        <v/>
      </c>
      <c r="N896" s="17" t="str">
        <f t="shared" si="647"/>
        <v/>
      </c>
      <c r="O896" s="39" t="str">
        <f t="shared" si="648"/>
        <v/>
      </c>
      <c r="P896" s="41" t="str">
        <f t="shared" si="649"/>
        <v/>
      </c>
      <c r="Q896" s="9" t="str">
        <f t="shared" si="650"/>
        <v/>
      </c>
      <c r="R896" s="14">
        <f t="shared" si="651"/>
        <v>0</v>
      </c>
      <c r="S896" s="61" t="str">
        <f t="shared" si="652"/>
        <v/>
      </c>
      <c r="T896" s="14">
        <f t="shared" si="653"/>
        <v>0</v>
      </c>
      <c r="U896" s="58" t="str">
        <f t="shared" si="654"/>
        <v/>
      </c>
      <c r="V896" s="14">
        <f t="shared" si="655"/>
        <v>0</v>
      </c>
      <c r="W896" s="58" t="str">
        <f t="shared" si="656"/>
        <v/>
      </c>
      <c r="X896" s="14">
        <f t="shared" si="657"/>
        <v>0</v>
      </c>
      <c r="Y896" s="58" t="str">
        <f t="shared" si="658"/>
        <v/>
      </c>
      <c r="Z896" s="31">
        <f t="shared" si="659"/>
        <v>0</v>
      </c>
      <c r="AA896" s="21">
        <f t="shared" si="660"/>
        <v>0</v>
      </c>
      <c r="AB896" s="58" t="str">
        <f t="shared" si="661"/>
        <v/>
      </c>
      <c r="AC896" s="630">
        <f t="shared" si="638"/>
        <v>0</v>
      </c>
      <c r="AD896" s="627"/>
      <c r="AE896" s="21">
        <f t="shared" si="662"/>
        <v>0</v>
      </c>
      <c r="AF896" s="58" t="str">
        <f t="shared" si="663"/>
        <v/>
      </c>
      <c r="AG896" s="21">
        <f t="shared" si="664"/>
        <v>0</v>
      </c>
      <c r="AH896" s="58" t="str">
        <f t="shared" si="665"/>
        <v/>
      </c>
      <c r="AI896" s="21">
        <f t="shared" si="666"/>
        <v>0</v>
      </c>
      <c r="AJ896" s="58" t="str">
        <f t="shared" si="667"/>
        <v/>
      </c>
      <c r="AK896" s="31">
        <f t="shared" si="668"/>
        <v>0</v>
      </c>
      <c r="AL896" s="21">
        <f t="shared" si="669"/>
        <v>0</v>
      </c>
      <c r="AM896" s="62" t="str">
        <f t="shared" si="670"/>
        <v/>
      </c>
      <c r="AN896" s="21">
        <f t="shared" si="671"/>
        <v>0</v>
      </c>
      <c r="AO896" s="62" t="str">
        <f t="shared" si="672"/>
        <v/>
      </c>
      <c r="AP896" s="21">
        <f t="shared" si="673"/>
        <v>0</v>
      </c>
      <c r="AQ896" s="62" t="str">
        <f t="shared" si="674"/>
        <v/>
      </c>
      <c r="AR896" s="31">
        <f t="shared" si="675"/>
        <v>0</v>
      </c>
      <c r="AS896" s="21">
        <f t="shared" si="676"/>
        <v>0</v>
      </c>
      <c r="AT896" s="62" t="str">
        <f t="shared" si="677"/>
        <v/>
      </c>
      <c r="AU896" s="84">
        <f t="shared" si="678"/>
        <v>0</v>
      </c>
      <c r="AV896" s="32">
        <f t="shared" si="679"/>
        <v>0</v>
      </c>
      <c r="AW896" s="85" t="str">
        <f t="shared" si="680"/>
        <v/>
      </c>
      <c r="AX896" s="86" t="str">
        <f t="shared" si="681"/>
        <v/>
      </c>
    </row>
    <row r="897" spans="1:50" x14ac:dyDescent="0.2">
      <c r="A897" s="29" t="str">
        <f t="shared" si="639"/>
        <v/>
      </c>
      <c r="B897" s="32" t="str">
        <f t="shared" si="640"/>
        <v/>
      </c>
      <c r="C897" s="35"/>
      <c r="D897" s="33" t="str">
        <f t="shared" si="641"/>
        <v/>
      </c>
      <c r="E897" s="22" t="str">
        <f t="shared" si="642"/>
        <v/>
      </c>
      <c r="F897" s="23" t="str">
        <f t="shared" si="643"/>
        <v/>
      </c>
      <c r="G897" s="23"/>
      <c r="H897" s="22"/>
      <c r="I897" s="23"/>
      <c r="J897" s="18"/>
      <c r="K897" s="13" t="str">
        <f t="shared" si="644"/>
        <v/>
      </c>
      <c r="L897" s="28" t="str">
        <f t="shared" si="645"/>
        <v/>
      </c>
      <c r="M897" s="10" t="str">
        <f t="shared" si="646"/>
        <v/>
      </c>
      <c r="N897" s="17" t="str">
        <f t="shared" si="647"/>
        <v/>
      </c>
      <c r="O897" s="39" t="str">
        <f t="shared" si="648"/>
        <v/>
      </c>
      <c r="P897" s="41" t="str">
        <f t="shared" si="649"/>
        <v/>
      </c>
      <c r="Q897" s="9" t="str">
        <f t="shared" si="650"/>
        <v/>
      </c>
      <c r="R897" s="14">
        <f t="shared" si="651"/>
        <v>0</v>
      </c>
      <c r="S897" s="61" t="str">
        <f t="shared" si="652"/>
        <v/>
      </c>
      <c r="T897" s="14">
        <f t="shared" si="653"/>
        <v>0</v>
      </c>
      <c r="U897" s="58" t="str">
        <f t="shared" si="654"/>
        <v/>
      </c>
      <c r="V897" s="14">
        <f t="shared" si="655"/>
        <v>0</v>
      </c>
      <c r="W897" s="58" t="str">
        <f t="shared" si="656"/>
        <v/>
      </c>
      <c r="X897" s="14">
        <f t="shared" si="657"/>
        <v>0</v>
      </c>
      <c r="Y897" s="58" t="str">
        <f t="shared" si="658"/>
        <v/>
      </c>
      <c r="Z897" s="31">
        <f t="shared" si="659"/>
        <v>0</v>
      </c>
      <c r="AA897" s="21">
        <f t="shared" si="660"/>
        <v>0</v>
      </c>
      <c r="AB897" s="58" t="str">
        <f t="shared" si="661"/>
        <v/>
      </c>
      <c r="AC897" s="630">
        <f t="shared" si="638"/>
        <v>0</v>
      </c>
      <c r="AD897" s="627"/>
      <c r="AE897" s="21">
        <f t="shared" si="662"/>
        <v>0</v>
      </c>
      <c r="AF897" s="58" t="str">
        <f t="shared" si="663"/>
        <v/>
      </c>
      <c r="AG897" s="21">
        <f t="shared" si="664"/>
        <v>0</v>
      </c>
      <c r="AH897" s="58" t="str">
        <f t="shared" si="665"/>
        <v/>
      </c>
      <c r="AI897" s="21">
        <f t="shared" si="666"/>
        <v>0</v>
      </c>
      <c r="AJ897" s="58" t="str">
        <f t="shared" si="667"/>
        <v/>
      </c>
      <c r="AK897" s="31">
        <f t="shared" si="668"/>
        <v>0</v>
      </c>
      <c r="AL897" s="21">
        <f t="shared" si="669"/>
        <v>0</v>
      </c>
      <c r="AM897" s="62" t="str">
        <f t="shared" si="670"/>
        <v/>
      </c>
      <c r="AN897" s="21">
        <f t="shared" si="671"/>
        <v>0</v>
      </c>
      <c r="AO897" s="62" t="str">
        <f t="shared" si="672"/>
        <v/>
      </c>
      <c r="AP897" s="21">
        <f t="shared" si="673"/>
        <v>0</v>
      </c>
      <c r="AQ897" s="62" t="str">
        <f t="shared" si="674"/>
        <v/>
      </c>
      <c r="AR897" s="31">
        <f t="shared" si="675"/>
        <v>0</v>
      </c>
      <c r="AS897" s="21">
        <f t="shared" si="676"/>
        <v>0</v>
      </c>
      <c r="AT897" s="62" t="str">
        <f t="shared" si="677"/>
        <v/>
      </c>
      <c r="AU897" s="84">
        <f t="shared" si="678"/>
        <v>0</v>
      </c>
      <c r="AV897" s="32">
        <f t="shared" si="679"/>
        <v>0</v>
      </c>
      <c r="AW897" s="85" t="str">
        <f t="shared" si="680"/>
        <v/>
      </c>
      <c r="AX897" s="86" t="str">
        <f t="shared" si="681"/>
        <v/>
      </c>
    </row>
    <row r="898" spans="1:50" x14ac:dyDescent="0.2">
      <c r="A898" s="29" t="str">
        <f t="shared" si="639"/>
        <v/>
      </c>
      <c r="B898" s="32" t="str">
        <f t="shared" si="640"/>
        <v/>
      </c>
      <c r="C898" s="35"/>
      <c r="D898" s="33" t="str">
        <f t="shared" si="641"/>
        <v/>
      </c>
      <c r="E898" s="22" t="str">
        <f t="shared" si="642"/>
        <v/>
      </c>
      <c r="F898" s="23" t="str">
        <f t="shared" si="643"/>
        <v/>
      </c>
      <c r="G898" s="23"/>
      <c r="H898" s="22"/>
      <c r="I898" s="23"/>
      <c r="J898" s="18"/>
      <c r="K898" s="13" t="str">
        <f t="shared" si="644"/>
        <v/>
      </c>
      <c r="L898" s="28" t="str">
        <f t="shared" si="645"/>
        <v/>
      </c>
      <c r="M898" s="10" t="str">
        <f t="shared" si="646"/>
        <v/>
      </c>
      <c r="N898" s="17" t="str">
        <f t="shared" si="647"/>
        <v/>
      </c>
      <c r="O898" s="39" t="str">
        <f t="shared" si="648"/>
        <v/>
      </c>
      <c r="P898" s="41" t="str">
        <f t="shared" si="649"/>
        <v/>
      </c>
      <c r="Q898" s="9" t="str">
        <f t="shared" si="650"/>
        <v/>
      </c>
      <c r="R898" s="14">
        <f t="shared" si="651"/>
        <v>0</v>
      </c>
      <c r="S898" s="61" t="str">
        <f t="shared" si="652"/>
        <v/>
      </c>
      <c r="T898" s="14">
        <f t="shared" si="653"/>
        <v>0</v>
      </c>
      <c r="U898" s="58" t="str">
        <f t="shared" si="654"/>
        <v/>
      </c>
      <c r="V898" s="14">
        <f t="shared" si="655"/>
        <v>0</v>
      </c>
      <c r="W898" s="58" t="str">
        <f t="shared" si="656"/>
        <v/>
      </c>
      <c r="X898" s="14">
        <f t="shared" si="657"/>
        <v>0</v>
      </c>
      <c r="Y898" s="58" t="str">
        <f t="shared" si="658"/>
        <v/>
      </c>
      <c r="Z898" s="31">
        <f t="shared" si="659"/>
        <v>0</v>
      </c>
      <c r="AA898" s="21">
        <f t="shared" si="660"/>
        <v>0</v>
      </c>
      <c r="AB898" s="58" t="str">
        <f t="shared" si="661"/>
        <v/>
      </c>
      <c r="AC898" s="630">
        <f t="shared" si="638"/>
        <v>0</v>
      </c>
      <c r="AD898" s="627"/>
      <c r="AE898" s="21">
        <f t="shared" si="662"/>
        <v>0</v>
      </c>
      <c r="AF898" s="58" t="str">
        <f t="shared" si="663"/>
        <v/>
      </c>
      <c r="AG898" s="21">
        <f t="shared" si="664"/>
        <v>0</v>
      </c>
      <c r="AH898" s="58" t="str">
        <f t="shared" si="665"/>
        <v/>
      </c>
      <c r="AI898" s="21">
        <f t="shared" si="666"/>
        <v>0</v>
      </c>
      <c r="AJ898" s="58" t="str">
        <f t="shared" si="667"/>
        <v/>
      </c>
      <c r="AK898" s="31">
        <f t="shared" si="668"/>
        <v>0</v>
      </c>
      <c r="AL898" s="21">
        <f t="shared" si="669"/>
        <v>0</v>
      </c>
      <c r="AM898" s="62" t="str">
        <f t="shared" si="670"/>
        <v/>
      </c>
      <c r="AN898" s="21">
        <f t="shared" si="671"/>
        <v>0</v>
      </c>
      <c r="AO898" s="62" t="str">
        <f t="shared" si="672"/>
        <v/>
      </c>
      <c r="AP898" s="21">
        <f t="shared" si="673"/>
        <v>0</v>
      </c>
      <c r="AQ898" s="62" t="str">
        <f t="shared" si="674"/>
        <v/>
      </c>
      <c r="AR898" s="31">
        <f t="shared" si="675"/>
        <v>0</v>
      </c>
      <c r="AS898" s="21">
        <f t="shared" si="676"/>
        <v>0</v>
      </c>
      <c r="AT898" s="62" t="str">
        <f t="shared" si="677"/>
        <v/>
      </c>
      <c r="AU898" s="84">
        <f t="shared" si="678"/>
        <v>0</v>
      </c>
      <c r="AV898" s="32">
        <f t="shared" si="679"/>
        <v>0</v>
      </c>
      <c r="AW898" s="85" t="str">
        <f t="shared" si="680"/>
        <v/>
      </c>
      <c r="AX898" s="86" t="str">
        <f t="shared" si="681"/>
        <v/>
      </c>
    </row>
    <row r="899" spans="1:50" x14ac:dyDescent="0.2">
      <c r="A899" s="29" t="str">
        <f t="shared" si="639"/>
        <v/>
      </c>
      <c r="B899" s="32" t="str">
        <f t="shared" si="640"/>
        <v/>
      </c>
      <c r="C899" s="35"/>
      <c r="D899" s="33" t="str">
        <f t="shared" si="641"/>
        <v/>
      </c>
      <c r="E899" s="22" t="str">
        <f t="shared" si="642"/>
        <v/>
      </c>
      <c r="F899" s="23" t="str">
        <f t="shared" si="643"/>
        <v/>
      </c>
      <c r="G899" s="23"/>
      <c r="H899" s="22"/>
      <c r="I899" s="23"/>
      <c r="J899" s="18"/>
      <c r="K899" s="13" t="str">
        <f t="shared" si="644"/>
        <v/>
      </c>
      <c r="L899" s="28" t="str">
        <f t="shared" si="645"/>
        <v/>
      </c>
      <c r="M899" s="10" t="str">
        <f t="shared" si="646"/>
        <v/>
      </c>
      <c r="N899" s="17" t="str">
        <f t="shared" si="647"/>
        <v/>
      </c>
      <c r="O899" s="39" t="str">
        <f t="shared" si="648"/>
        <v/>
      </c>
      <c r="P899" s="41" t="str">
        <f t="shared" si="649"/>
        <v/>
      </c>
      <c r="Q899" s="9" t="str">
        <f t="shared" si="650"/>
        <v/>
      </c>
      <c r="R899" s="14">
        <f t="shared" si="651"/>
        <v>0</v>
      </c>
      <c r="S899" s="61" t="str">
        <f t="shared" si="652"/>
        <v/>
      </c>
      <c r="T899" s="14">
        <f t="shared" si="653"/>
        <v>0</v>
      </c>
      <c r="U899" s="58" t="str">
        <f t="shared" si="654"/>
        <v/>
      </c>
      <c r="V899" s="14">
        <f t="shared" si="655"/>
        <v>0</v>
      </c>
      <c r="W899" s="58" t="str">
        <f t="shared" si="656"/>
        <v/>
      </c>
      <c r="X899" s="14">
        <f t="shared" si="657"/>
        <v>0</v>
      </c>
      <c r="Y899" s="58" t="str">
        <f t="shared" si="658"/>
        <v/>
      </c>
      <c r="Z899" s="31">
        <f t="shared" si="659"/>
        <v>0</v>
      </c>
      <c r="AA899" s="21">
        <f t="shared" si="660"/>
        <v>0</v>
      </c>
      <c r="AB899" s="58" t="str">
        <f t="shared" si="661"/>
        <v/>
      </c>
      <c r="AC899" s="630">
        <f t="shared" si="638"/>
        <v>0</v>
      </c>
      <c r="AD899" s="627"/>
      <c r="AE899" s="21">
        <f t="shared" si="662"/>
        <v>0</v>
      </c>
      <c r="AF899" s="58" t="str">
        <f t="shared" si="663"/>
        <v/>
      </c>
      <c r="AG899" s="21">
        <f t="shared" si="664"/>
        <v>0</v>
      </c>
      <c r="AH899" s="58" t="str">
        <f t="shared" si="665"/>
        <v/>
      </c>
      <c r="AI899" s="21">
        <f t="shared" si="666"/>
        <v>0</v>
      </c>
      <c r="AJ899" s="58" t="str">
        <f t="shared" si="667"/>
        <v/>
      </c>
      <c r="AK899" s="31">
        <f t="shared" si="668"/>
        <v>0</v>
      </c>
      <c r="AL899" s="21">
        <f t="shared" si="669"/>
        <v>0</v>
      </c>
      <c r="AM899" s="62" t="str">
        <f t="shared" si="670"/>
        <v/>
      </c>
      <c r="AN899" s="21">
        <f t="shared" si="671"/>
        <v>0</v>
      </c>
      <c r="AO899" s="62" t="str">
        <f t="shared" si="672"/>
        <v/>
      </c>
      <c r="AP899" s="21">
        <f t="shared" si="673"/>
        <v>0</v>
      </c>
      <c r="AQ899" s="62" t="str">
        <f t="shared" si="674"/>
        <v/>
      </c>
      <c r="AR899" s="31">
        <f t="shared" si="675"/>
        <v>0</v>
      </c>
      <c r="AS899" s="21">
        <f t="shared" si="676"/>
        <v>0</v>
      </c>
      <c r="AT899" s="62" t="str">
        <f t="shared" si="677"/>
        <v/>
      </c>
      <c r="AU899" s="84">
        <f t="shared" si="678"/>
        <v>0</v>
      </c>
      <c r="AV899" s="32">
        <f t="shared" si="679"/>
        <v>0</v>
      </c>
      <c r="AW899" s="85" t="str">
        <f t="shared" si="680"/>
        <v/>
      </c>
      <c r="AX899" s="86" t="str">
        <f t="shared" si="681"/>
        <v/>
      </c>
    </row>
    <row r="900" spans="1:50" x14ac:dyDescent="0.2">
      <c r="A900" s="29" t="str">
        <f t="shared" si="639"/>
        <v/>
      </c>
      <c r="B900" s="32" t="str">
        <f t="shared" si="640"/>
        <v/>
      </c>
      <c r="C900" s="35"/>
      <c r="D900" s="33" t="str">
        <f t="shared" si="641"/>
        <v/>
      </c>
      <c r="E900" s="22" t="str">
        <f t="shared" si="642"/>
        <v/>
      </c>
      <c r="F900" s="23" t="str">
        <f t="shared" si="643"/>
        <v/>
      </c>
      <c r="G900" s="23"/>
      <c r="H900" s="22"/>
      <c r="I900" s="23"/>
      <c r="J900" s="18"/>
      <c r="K900" s="13" t="str">
        <f t="shared" si="644"/>
        <v/>
      </c>
      <c r="L900" s="28" t="str">
        <f t="shared" si="645"/>
        <v/>
      </c>
      <c r="M900" s="10" t="str">
        <f t="shared" si="646"/>
        <v/>
      </c>
      <c r="N900" s="17" t="str">
        <f t="shared" si="647"/>
        <v/>
      </c>
      <c r="O900" s="39" t="str">
        <f t="shared" si="648"/>
        <v/>
      </c>
      <c r="P900" s="41" t="str">
        <f t="shared" si="649"/>
        <v/>
      </c>
      <c r="Q900" s="9" t="str">
        <f t="shared" si="650"/>
        <v/>
      </c>
      <c r="R900" s="14">
        <f t="shared" si="651"/>
        <v>0</v>
      </c>
      <c r="S900" s="61" t="str">
        <f t="shared" si="652"/>
        <v/>
      </c>
      <c r="T900" s="14">
        <f t="shared" si="653"/>
        <v>0</v>
      </c>
      <c r="U900" s="58" t="str">
        <f t="shared" si="654"/>
        <v/>
      </c>
      <c r="V900" s="14">
        <f t="shared" si="655"/>
        <v>0</v>
      </c>
      <c r="W900" s="58" t="str">
        <f t="shared" si="656"/>
        <v/>
      </c>
      <c r="X900" s="14">
        <f t="shared" si="657"/>
        <v>0</v>
      </c>
      <c r="Y900" s="58" t="str">
        <f t="shared" si="658"/>
        <v/>
      </c>
      <c r="Z900" s="31">
        <f t="shared" si="659"/>
        <v>0</v>
      </c>
      <c r="AA900" s="21">
        <f t="shared" si="660"/>
        <v>0</v>
      </c>
      <c r="AB900" s="58" t="str">
        <f t="shared" si="661"/>
        <v/>
      </c>
      <c r="AC900" s="630">
        <f t="shared" si="638"/>
        <v>0</v>
      </c>
      <c r="AD900" s="627"/>
      <c r="AE900" s="21">
        <f t="shared" si="662"/>
        <v>0</v>
      </c>
      <c r="AF900" s="58" t="str">
        <f t="shared" si="663"/>
        <v/>
      </c>
      <c r="AG900" s="21">
        <f t="shared" si="664"/>
        <v>0</v>
      </c>
      <c r="AH900" s="58" t="str">
        <f t="shared" si="665"/>
        <v/>
      </c>
      <c r="AI900" s="21">
        <f t="shared" si="666"/>
        <v>0</v>
      </c>
      <c r="AJ900" s="58" t="str">
        <f t="shared" si="667"/>
        <v/>
      </c>
      <c r="AK900" s="31">
        <f t="shared" si="668"/>
        <v>0</v>
      </c>
      <c r="AL900" s="21">
        <f t="shared" si="669"/>
        <v>0</v>
      </c>
      <c r="AM900" s="62" t="str">
        <f t="shared" si="670"/>
        <v/>
      </c>
      <c r="AN900" s="21">
        <f t="shared" si="671"/>
        <v>0</v>
      </c>
      <c r="AO900" s="62" t="str">
        <f t="shared" si="672"/>
        <v/>
      </c>
      <c r="AP900" s="21">
        <f t="shared" si="673"/>
        <v>0</v>
      </c>
      <c r="AQ900" s="62" t="str">
        <f t="shared" si="674"/>
        <v/>
      </c>
      <c r="AR900" s="31">
        <f t="shared" si="675"/>
        <v>0</v>
      </c>
      <c r="AS900" s="21">
        <f t="shared" si="676"/>
        <v>0</v>
      </c>
      <c r="AT900" s="62" t="str">
        <f t="shared" si="677"/>
        <v/>
      </c>
      <c r="AU900" s="84">
        <f t="shared" si="678"/>
        <v>0</v>
      </c>
      <c r="AV900" s="32">
        <f t="shared" si="679"/>
        <v>0</v>
      </c>
      <c r="AW900" s="85" t="str">
        <f t="shared" si="680"/>
        <v/>
      </c>
      <c r="AX900" s="86" t="str">
        <f t="shared" si="681"/>
        <v/>
      </c>
    </row>
    <row r="901" spans="1:50" x14ac:dyDescent="0.2">
      <c r="A901" s="29" t="str">
        <f t="shared" si="639"/>
        <v/>
      </c>
      <c r="B901" s="32" t="str">
        <f t="shared" si="640"/>
        <v/>
      </c>
      <c r="C901" s="35"/>
      <c r="D901" s="33" t="str">
        <f t="shared" si="641"/>
        <v/>
      </c>
      <c r="E901" s="22" t="str">
        <f t="shared" si="642"/>
        <v/>
      </c>
      <c r="F901" s="23" t="str">
        <f t="shared" si="643"/>
        <v/>
      </c>
      <c r="G901" s="23"/>
      <c r="H901" s="22"/>
      <c r="I901" s="23"/>
      <c r="J901" s="18"/>
      <c r="K901" s="13" t="str">
        <f t="shared" si="644"/>
        <v/>
      </c>
      <c r="L901" s="28" t="str">
        <f t="shared" si="645"/>
        <v/>
      </c>
      <c r="M901" s="10" t="str">
        <f t="shared" si="646"/>
        <v/>
      </c>
      <c r="N901" s="17" t="str">
        <f t="shared" si="647"/>
        <v/>
      </c>
      <c r="O901" s="39" t="str">
        <f t="shared" si="648"/>
        <v/>
      </c>
      <c r="P901" s="41" t="str">
        <f t="shared" si="649"/>
        <v/>
      </c>
      <c r="Q901" s="9" t="str">
        <f t="shared" si="650"/>
        <v/>
      </c>
      <c r="R901" s="14">
        <f t="shared" si="651"/>
        <v>0</v>
      </c>
      <c r="S901" s="61" t="str">
        <f t="shared" si="652"/>
        <v/>
      </c>
      <c r="T901" s="14">
        <f t="shared" si="653"/>
        <v>0</v>
      </c>
      <c r="U901" s="58" t="str">
        <f t="shared" si="654"/>
        <v/>
      </c>
      <c r="V901" s="14">
        <f t="shared" si="655"/>
        <v>0</v>
      </c>
      <c r="W901" s="58" t="str">
        <f t="shared" si="656"/>
        <v/>
      </c>
      <c r="X901" s="14">
        <f t="shared" si="657"/>
        <v>0</v>
      </c>
      <c r="Y901" s="58" t="str">
        <f t="shared" si="658"/>
        <v/>
      </c>
      <c r="Z901" s="31">
        <f t="shared" si="659"/>
        <v>0</v>
      </c>
      <c r="AA901" s="21">
        <f t="shared" si="660"/>
        <v>0</v>
      </c>
      <c r="AB901" s="58" t="str">
        <f t="shared" si="661"/>
        <v/>
      </c>
      <c r="AC901" s="630">
        <f t="shared" si="638"/>
        <v>0</v>
      </c>
      <c r="AD901" s="627"/>
      <c r="AE901" s="21">
        <f t="shared" si="662"/>
        <v>0</v>
      </c>
      <c r="AF901" s="58" t="str">
        <f t="shared" si="663"/>
        <v/>
      </c>
      <c r="AG901" s="21">
        <f t="shared" si="664"/>
        <v>0</v>
      </c>
      <c r="AH901" s="58" t="str">
        <f t="shared" si="665"/>
        <v/>
      </c>
      <c r="AI901" s="21">
        <f t="shared" si="666"/>
        <v>0</v>
      </c>
      <c r="AJ901" s="58" t="str">
        <f t="shared" si="667"/>
        <v/>
      </c>
      <c r="AK901" s="31">
        <f t="shared" si="668"/>
        <v>0</v>
      </c>
      <c r="AL901" s="21">
        <f t="shared" si="669"/>
        <v>0</v>
      </c>
      <c r="AM901" s="62" t="str">
        <f t="shared" si="670"/>
        <v/>
      </c>
      <c r="AN901" s="21">
        <f t="shared" si="671"/>
        <v>0</v>
      </c>
      <c r="AO901" s="62" t="str">
        <f t="shared" si="672"/>
        <v/>
      </c>
      <c r="AP901" s="21">
        <f t="shared" si="673"/>
        <v>0</v>
      </c>
      <c r="AQ901" s="62" t="str">
        <f t="shared" si="674"/>
        <v/>
      </c>
      <c r="AR901" s="31">
        <f t="shared" si="675"/>
        <v>0</v>
      </c>
      <c r="AS901" s="21">
        <f t="shared" si="676"/>
        <v>0</v>
      </c>
      <c r="AT901" s="62" t="str">
        <f t="shared" si="677"/>
        <v/>
      </c>
      <c r="AU901" s="84">
        <f t="shared" si="678"/>
        <v>0</v>
      </c>
      <c r="AV901" s="32">
        <f t="shared" si="679"/>
        <v>0</v>
      </c>
      <c r="AW901" s="85" t="str">
        <f t="shared" si="680"/>
        <v/>
      </c>
      <c r="AX901" s="86" t="str">
        <f t="shared" si="681"/>
        <v/>
      </c>
    </row>
    <row r="902" spans="1:50" x14ac:dyDescent="0.2">
      <c r="A902" s="29" t="str">
        <f t="shared" si="639"/>
        <v/>
      </c>
      <c r="B902" s="32" t="str">
        <f t="shared" si="640"/>
        <v/>
      </c>
      <c r="C902" s="35"/>
      <c r="D902" s="33" t="str">
        <f t="shared" si="641"/>
        <v/>
      </c>
      <c r="E902" s="22" t="str">
        <f t="shared" si="642"/>
        <v/>
      </c>
      <c r="F902" s="23" t="str">
        <f t="shared" si="643"/>
        <v/>
      </c>
      <c r="G902" s="23"/>
      <c r="H902" s="22"/>
      <c r="I902" s="23"/>
      <c r="J902" s="18"/>
      <c r="K902" s="13" t="str">
        <f t="shared" si="644"/>
        <v/>
      </c>
      <c r="L902" s="28" t="str">
        <f t="shared" si="645"/>
        <v/>
      </c>
      <c r="M902" s="10" t="str">
        <f t="shared" si="646"/>
        <v/>
      </c>
      <c r="N902" s="17" t="str">
        <f t="shared" si="647"/>
        <v/>
      </c>
      <c r="O902" s="39" t="str">
        <f t="shared" si="648"/>
        <v/>
      </c>
      <c r="P902" s="41" t="str">
        <f t="shared" si="649"/>
        <v/>
      </c>
      <c r="Q902" s="9" t="str">
        <f t="shared" si="650"/>
        <v/>
      </c>
      <c r="R902" s="14">
        <f t="shared" si="651"/>
        <v>0</v>
      </c>
      <c r="S902" s="61" t="str">
        <f t="shared" si="652"/>
        <v/>
      </c>
      <c r="T902" s="14">
        <f t="shared" si="653"/>
        <v>0</v>
      </c>
      <c r="U902" s="58" t="str">
        <f t="shared" si="654"/>
        <v/>
      </c>
      <c r="V902" s="14">
        <f t="shared" si="655"/>
        <v>0</v>
      </c>
      <c r="W902" s="58" t="str">
        <f t="shared" si="656"/>
        <v/>
      </c>
      <c r="X902" s="14">
        <f t="shared" si="657"/>
        <v>0</v>
      </c>
      <c r="Y902" s="58" t="str">
        <f t="shared" si="658"/>
        <v/>
      </c>
      <c r="Z902" s="31">
        <f t="shared" si="659"/>
        <v>0</v>
      </c>
      <c r="AA902" s="21">
        <f t="shared" si="660"/>
        <v>0</v>
      </c>
      <c r="AB902" s="58" t="str">
        <f t="shared" si="661"/>
        <v/>
      </c>
      <c r="AC902" s="630">
        <f t="shared" si="638"/>
        <v>0</v>
      </c>
      <c r="AD902" s="627"/>
      <c r="AE902" s="21">
        <f t="shared" si="662"/>
        <v>0</v>
      </c>
      <c r="AF902" s="58" t="str">
        <f t="shared" si="663"/>
        <v/>
      </c>
      <c r="AG902" s="21">
        <f t="shared" si="664"/>
        <v>0</v>
      </c>
      <c r="AH902" s="58" t="str">
        <f t="shared" si="665"/>
        <v/>
      </c>
      <c r="AI902" s="21">
        <f t="shared" si="666"/>
        <v>0</v>
      </c>
      <c r="AJ902" s="58" t="str">
        <f t="shared" si="667"/>
        <v/>
      </c>
      <c r="AK902" s="31">
        <f t="shared" si="668"/>
        <v>0</v>
      </c>
      <c r="AL902" s="21">
        <f t="shared" si="669"/>
        <v>0</v>
      </c>
      <c r="AM902" s="62" t="str">
        <f t="shared" si="670"/>
        <v/>
      </c>
      <c r="AN902" s="21">
        <f t="shared" si="671"/>
        <v>0</v>
      </c>
      <c r="AO902" s="62" t="str">
        <f t="shared" si="672"/>
        <v/>
      </c>
      <c r="AP902" s="21">
        <f t="shared" si="673"/>
        <v>0</v>
      </c>
      <c r="AQ902" s="62" t="str">
        <f t="shared" si="674"/>
        <v/>
      </c>
      <c r="AR902" s="31">
        <f t="shared" si="675"/>
        <v>0</v>
      </c>
      <c r="AS902" s="21">
        <f t="shared" si="676"/>
        <v>0</v>
      </c>
      <c r="AT902" s="62" t="str">
        <f t="shared" si="677"/>
        <v/>
      </c>
      <c r="AU902" s="84">
        <f t="shared" si="678"/>
        <v>0</v>
      </c>
      <c r="AV902" s="32">
        <f t="shared" si="679"/>
        <v>0</v>
      </c>
      <c r="AW902" s="85" t="str">
        <f t="shared" si="680"/>
        <v/>
      </c>
      <c r="AX902" s="86" t="str">
        <f t="shared" si="681"/>
        <v/>
      </c>
    </row>
    <row r="903" spans="1:50" x14ac:dyDescent="0.2">
      <c r="A903" s="29" t="str">
        <f t="shared" si="639"/>
        <v/>
      </c>
      <c r="B903" s="32" t="str">
        <f t="shared" si="640"/>
        <v/>
      </c>
      <c r="C903" s="35"/>
      <c r="D903" s="33" t="str">
        <f t="shared" si="641"/>
        <v/>
      </c>
      <c r="E903" s="22" t="str">
        <f t="shared" si="642"/>
        <v/>
      </c>
      <c r="F903" s="23" t="str">
        <f t="shared" si="643"/>
        <v/>
      </c>
      <c r="G903" s="23"/>
      <c r="H903" s="22"/>
      <c r="I903" s="23"/>
      <c r="J903" s="18"/>
      <c r="K903" s="13" t="str">
        <f t="shared" si="644"/>
        <v/>
      </c>
      <c r="L903" s="28" t="str">
        <f t="shared" si="645"/>
        <v/>
      </c>
      <c r="M903" s="10" t="str">
        <f t="shared" si="646"/>
        <v/>
      </c>
      <c r="N903" s="17" t="str">
        <f t="shared" si="647"/>
        <v/>
      </c>
      <c r="O903" s="39" t="str">
        <f t="shared" si="648"/>
        <v/>
      </c>
      <c r="P903" s="41" t="str">
        <f t="shared" si="649"/>
        <v/>
      </c>
      <c r="Q903" s="9" t="str">
        <f t="shared" si="650"/>
        <v/>
      </c>
      <c r="R903" s="14">
        <f t="shared" si="651"/>
        <v>0</v>
      </c>
      <c r="S903" s="61" t="str">
        <f t="shared" si="652"/>
        <v/>
      </c>
      <c r="T903" s="14">
        <f t="shared" si="653"/>
        <v>0</v>
      </c>
      <c r="U903" s="58" t="str">
        <f t="shared" si="654"/>
        <v/>
      </c>
      <c r="V903" s="14">
        <f t="shared" si="655"/>
        <v>0</v>
      </c>
      <c r="W903" s="58" t="str">
        <f t="shared" si="656"/>
        <v/>
      </c>
      <c r="X903" s="14">
        <f t="shared" si="657"/>
        <v>0</v>
      </c>
      <c r="Y903" s="58" t="str">
        <f t="shared" si="658"/>
        <v/>
      </c>
      <c r="Z903" s="31">
        <f t="shared" si="659"/>
        <v>0</v>
      </c>
      <c r="AA903" s="21">
        <f t="shared" si="660"/>
        <v>0</v>
      </c>
      <c r="AB903" s="58" t="str">
        <f t="shared" si="661"/>
        <v/>
      </c>
      <c r="AC903" s="630">
        <f t="shared" si="638"/>
        <v>0</v>
      </c>
      <c r="AD903" s="627"/>
      <c r="AE903" s="21">
        <f t="shared" si="662"/>
        <v>0</v>
      </c>
      <c r="AF903" s="58" t="str">
        <f t="shared" si="663"/>
        <v/>
      </c>
      <c r="AG903" s="21">
        <f t="shared" si="664"/>
        <v>0</v>
      </c>
      <c r="AH903" s="58" t="str">
        <f t="shared" si="665"/>
        <v/>
      </c>
      <c r="AI903" s="21">
        <f t="shared" si="666"/>
        <v>0</v>
      </c>
      <c r="AJ903" s="58" t="str">
        <f t="shared" si="667"/>
        <v/>
      </c>
      <c r="AK903" s="31">
        <f t="shared" si="668"/>
        <v>0</v>
      </c>
      <c r="AL903" s="21">
        <f t="shared" si="669"/>
        <v>0</v>
      </c>
      <c r="AM903" s="62" t="str">
        <f t="shared" si="670"/>
        <v/>
      </c>
      <c r="AN903" s="21">
        <f t="shared" si="671"/>
        <v>0</v>
      </c>
      <c r="AO903" s="62" t="str">
        <f t="shared" si="672"/>
        <v/>
      </c>
      <c r="AP903" s="21">
        <f t="shared" si="673"/>
        <v>0</v>
      </c>
      <c r="AQ903" s="62" t="str">
        <f t="shared" si="674"/>
        <v/>
      </c>
      <c r="AR903" s="31">
        <f t="shared" si="675"/>
        <v>0</v>
      </c>
      <c r="AS903" s="21">
        <f t="shared" si="676"/>
        <v>0</v>
      </c>
      <c r="AT903" s="62" t="str">
        <f t="shared" si="677"/>
        <v/>
      </c>
      <c r="AU903" s="84">
        <f t="shared" si="678"/>
        <v>0</v>
      </c>
      <c r="AV903" s="32">
        <f t="shared" si="679"/>
        <v>0</v>
      </c>
      <c r="AW903" s="85" t="str">
        <f t="shared" si="680"/>
        <v/>
      </c>
      <c r="AX903" s="86" t="str">
        <f t="shared" si="681"/>
        <v/>
      </c>
    </row>
    <row r="904" spans="1:50" x14ac:dyDescent="0.2">
      <c r="A904" s="29" t="str">
        <f t="shared" si="639"/>
        <v/>
      </c>
      <c r="B904" s="32" t="str">
        <f t="shared" si="640"/>
        <v/>
      </c>
      <c r="C904" s="35"/>
      <c r="D904" s="33" t="str">
        <f t="shared" si="641"/>
        <v/>
      </c>
      <c r="E904" s="22" t="str">
        <f t="shared" si="642"/>
        <v/>
      </c>
      <c r="F904" s="23" t="str">
        <f t="shared" si="643"/>
        <v/>
      </c>
      <c r="G904" s="23"/>
      <c r="H904" s="22"/>
      <c r="I904" s="23"/>
      <c r="J904" s="18"/>
      <c r="K904" s="13" t="str">
        <f t="shared" si="644"/>
        <v/>
      </c>
      <c r="L904" s="28" t="str">
        <f t="shared" si="645"/>
        <v/>
      </c>
      <c r="M904" s="10" t="str">
        <f t="shared" si="646"/>
        <v/>
      </c>
      <c r="N904" s="17" t="str">
        <f t="shared" si="647"/>
        <v/>
      </c>
      <c r="O904" s="39" t="str">
        <f t="shared" si="648"/>
        <v/>
      </c>
      <c r="P904" s="41" t="str">
        <f t="shared" si="649"/>
        <v/>
      </c>
      <c r="Q904" s="9" t="str">
        <f t="shared" si="650"/>
        <v/>
      </c>
      <c r="R904" s="14">
        <f t="shared" si="651"/>
        <v>0</v>
      </c>
      <c r="S904" s="61" t="str">
        <f t="shared" si="652"/>
        <v/>
      </c>
      <c r="T904" s="14">
        <f t="shared" si="653"/>
        <v>0</v>
      </c>
      <c r="U904" s="58" t="str">
        <f t="shared" si="654"/>
        <v/>
      </c>
      <c r="V904" s="14">
        <f t="shared" si="655"/>
        <v>0</v>
      </c>
      <c r="W904" s="58" t="str">
        <f t="shared" si="656"/>
        <v/>
      </c>
      <c r="X904" s="14">
        <f t="shared" si="657"/>
        <v>0</v>
      </c>
      <c r="Y904" s="58" t="str">
        <f t="shared" si="658"/>
        <v/>
      </c>
      <c r="Z904" s="31">
        <f t="shared" si="659"/>
        <v>0</v>
      </c>
      <c r="AA904" s="21">
        <f t="shared" si="660"/>
        <v>0</v>
      </c>
      <c r="AB904" s="58" t="str">
        <f t="shared" si="661"/>
        <v/>
      </c>
      <c r="AC904" s="630">
        <f t="shared" si="638"/>
        <v>0</v>
      </c>
      <c r="AD904" s="627"/>
      <c r="AE904" s="21">
        <f t="shared" si="662"/>
        <v>0</v>
      </c>
      <c r="AF904" s="58" t="str">
        <f t="shared" si="663"/>
        <v/>
      </c>
      <c r="AG904" s="21">
        <f t="shared" si="664"/>
        <v>0</v>
      </c>
      <c r="AH904" s="58" t="str">
        <f t="shared" si="665"/>
        <v/>
      </c>
      <c r="AI904" s="21">
        <f t="shared" si="666"/>
        <v>0</v>
      </c>
      <c r="AJ904" s="58" t="str">
        <f t="shared" si="667"/>
        <v/>
      </c>
      <c r="AK904" s="31">
        <f t="shared" si="668"/>
        <v>0</v>
      </c>
      <c r="AL904" s="21">
        <f t="shared" si="669"/>
        <v>0</v>
      </c>
      <c r="AM904" s="62" t="str">
        <f t="shared" si="670"/>
        <v/>
      </c>
      <c r="AN904" s="21">
        <f t="shared" si="671"/>
        <v>0</v>
      </c>
      <c r="AO904" s="62" t="str">
        <f t="shared" si="672"/>
        <v/>
      </c>
      <c r="AP904" s="21">
        <f t="shared" si="673"/>
        <v>0</v>
      </c>
      <c r="AQ904" s="62" t="str">
        <f t="shared" si="674"/>
        <v/>
      </c>
      <c r="AR904" s="31">
        <f t="shared" si="675"/>
        <v>0</v>
      </c>
      <c r="AS904" s="21">
        <f t="shared" si="676"/>
        <v>0</v>
      </c>
      <c r="AT904" s="62" t="str">
        <f t="shared" si="677"/>
        <v/>
      </c>
      <c r="AU904" s="84">
        <f t="shared" si="678"/>
        <v>0</v>
      </c>
      <c r="AV904" s="32">
        <f t="shared" si="679"/>
        <v>0</v>
      </c>
      <c r="AW904" s="85" t="str">
        <f t="shared" si="680"/>
        <v/>
      </c>
      <c r="AX904" s="86" t="str">
        <f t="shared" si="681"/>
        <v/>
      </c>
    </row>
    <row r="905" spans="1:50" x14ac:dyDescent="0.2">
      <c r="A905" s="29" t="str">
        <f t="shared" si="639"/>
        <v/>
      </c>
      <c r="B905" s="32" t="str">
        <f t="shared" si="640"/>
        <v/>
      </c>
      <c r="C905" s="35"/>
      <c r="D905" s="33" t="str">
        <f t="shared" si="641"/>
        <v/>
      </c>
      <c r="E905" s="22" t="str">
        <f t="shared" si="642"/>
        <v/>
      </c>
      <c r="F905" s="23" t="str">
        <f t="shared" si="643"/>
        <v/>
      </c>
      <c r="G905" s="23"/>
      <c r="H905" s="22"/>
      <c r="I905" s="23"/>
      <c r="J905" s="18"/>
      <c r="K905" s="13" t="str">
        <f t="shared" si="644"/>
        <v/>
      </c>
      <c r="L905" s="28" t="str">
        <f t="shared" si="645"/>
        <v/>
      </c>
      <c r="M905" s="10" t="str">
        <f t="shared" si="646"/>
        <v/>
      </c>
      <c r="N905" s="17" t="str">
        <f t="shared" si="647"/>
        <v/>
      </c>
      <c r="O905" s="39" t="str">
        <f t="shared" si="648"/>
        <v/>
      </c>
      <c r="P905" s="41" t="str">
        <f t="shared" si="649"/>
        <v/>
      </c>
      <c r="Q905" s="9" t="str">
        <f t="shared" si="650"/>
        <v/>
      </c>
      <c r="R905" s="14">
        <f t="shared" si="651"/>
        <v>0</v>
      </c>
      <c r="S905" s="61" t="str">
        <f t="shared" si="652"/>
        <v/>
      </c>
      <c r="T905" s="14">
        <f t="shared" si="653"/>
        <v>0</v>
      </c>
      <c r="U905" s="58" t="str">
        <f t="shared" si="654"/>
        <v/>
      </c>
      <c r="V905" s="14">
        <f t="shared" si="655"/>
        <v>0</v>
      </c>
      <c r="W905" s="58" t="str">
        <f t="shared" si="656"/>
        <v/>
      </c>
      <c r="X905" s="14">
        <f t="shared" si="657"/>
        <v>0</v>
      </c>
      <c r="Y905" s="58" t="str">
        <f t="shared" si="658"/>
        <v/>
      </c>
      <c r="Z905" s="31">
        <f t="shared" si="659"/>
        <v>0</v>
      </c>
      <c r="AA905" s="21">
        <f t="shared" si="660"/>
        <v>0</v>
      </c>
      <c r="AB905" s="58" t="str">
        <f t="shared" si="661"/>
        <v/>
      </c>
      <c r="AC905" s="630">
        <f t="shared" si="638"/>
        <v>0</v>
      </c>
      <c r="AD905" s="627"/>
      <c r="AE905" s="21">
        <f t="shared" si="662"/>
        <v>0</v>
      </c>
      <c r="AF905" s="58" t="str">
        <f t="shared" si="663"/>
        <v/>
      </c>
      <c r="AG905" s="21">
        <f t="shared" si="664"/>
        <v>0</v>
      </c>
      <c r="AH905" s="58" t="str">
        <f t="shared" si="665"/>
        <v/>
      </c>
      <c r="AI905" s="21">
        <f t="shared" si="666"/>
        <v>0</v>
      </c>
      <c r="AJ905" s="58" t="str">
        <f t="shared" si="667"/>
        <v/>
      </c>
      <c r="AK905" s="31">
        <f t="shared" si="668"/>
        <v>0</v>
      </c>
      <c r="AL905" s="21">
        <f t="shared" si="669"/>
        <v>0</v>
      </c>
      <c r="AM905" s="62" t="str">
        <f t="shared" si="670"/>
        <v/>
      </c>
      <c r="AN905" s="21">
        <f t="shared" si="671"/>
        <v>0</v>
      </c>
      <c r="AO905" s="62" t="str">
        <f t="shared" si="672"/>
        <v/>
      </c>
      <c r="AP905" s="21">
        <f t="shared" si="673"/>
        <v>0</v>
      </c>
      <c r="AQ905" s="62" t="str">
        <f t="shared" si="674"/>
        <v/>
      </c>
      <c r="AR905" s="31">
        <f t="shared" si="675"/>
        <v>0</v>
      </c>
      <c r="AS905" s="21">
        <f t="shared" si="676"/>
        <v>0</v>
      </c>
      <c r="AT905" s="62" t="str">
        <f t="shared" si="677"/>
        <v/>
      </c>
      <c r="AU905" s="84">
        <f t="shared" si="678"/>
        <v>0</v>
      </c>
      <c r="AV905" s="32">
        <f t="shared" si="679"/>
        <v>0</v>
      </c>
      <c r="AW905" s="85" t="str">
        <f t="shared" si="680"/>
        <v/>
      </c>
      <c r="AX905" s="86" t="str">
        <f t="shared" si="681"/>
        <v/>
      </c>
    </row>
    <row r="906" spans="1:50" x14ac:dyDescent="0.2">
      <c r="A906" s="29" t="str">
        <f t="shared" si="639"/>
        <v/>
      </c>
      <c r="B906" s="32" t="str">
        <f t="shared" si="640"/>
        <v/>
      </c>
      <c r="C906" s="35"/>
      <c r="D906" s="33" t="str">
        <f t="shared" si="641"/>
        <v/>
      </c>
      <c r="E906" s="22" t="str">
        <f t="shared" si="642"/>
        <v/>
      </c>
      <c r="F906" s="23" t="str">
        <f t="shared" si="643"/>
        <v/>
      </c>
      <c r="G906" s="23"/>
      <c r="H906" s="22"/>
      <c r="I906" s="23"/>
      <c r="J906" s="18"/>
      <c r="K906" s="13" t="str">
        <f t="shared" si="644"/>
        <v/>
      </c>
      <c r="L906" s="28" t="str">
        <f t="shared" si="645"/>
        <v/>
      </c>
      <c r="M906" s="10" t="str">
        <f t="shared" si="646"/>
        <v/>
      </c>
      <c r="N906" s="17" t="str">
        <f t="shared" si="647"/>
        <v/>
      </c>
      <c r="O906" s="39" t="str">
        <f t="shared" si="648"/>
        <v/>
      </c>
      <c r="P906" s="41" t="str">
        <f t="shared" si="649"/>
        <v/>
      </c>
      <c r="Q906" s="9" t="str">
        <f t="shared" si="650"/>
        <v/>
      </c>
      <c r="R906" s="14">
        <f t="shared" si="651"/>
        <v>0</v>
      </c>
      <c r="S906" s="61" t="str">
        <f t="shared" si="652"/>
        <v/>
      </c>
      <c r="T906" s="14">
        <f t="shared" si="653"/>
        <v>0</v>
      </c>
      <c r="U906" s="58" t="str">
        <f t="shared" si="654"/>
        <v/>
      </c>
      <c r="V906" s="14">
        <f t="shared" si="655"/>
        <v>0</v>
      </c>
      <c r="W906" s="58" t="str">
        <f t="shared" si="656"/>
        <v/>
      </c>
      <c r="X906" s="14">
        <f t="shared" si="657"/>
        <v>0</v>
      </c>
      <c r="Y906" s="58" t="str">
        <f t="shared" si="658"/>
        <v/>
      </c>
      <c r="Z906" s="31">
        <f t="shared" si="659"/>
        <v>0</v>
      </c>
      <c r="AA906" s="21">
        <f t="shared" si="660"/>
        <v>0</v>
      </c>
      <c r="AB906" s="58" t="str">
        <f t="shared" si="661"/>
        <v/>
      </c>
      <c r="AC906" s="630">
        <f t="shared" si="638"/>
        <v>0</v>
      </c>
      <c r="AD906" s="627"/>
      <c r="AE906" s="21">
        <f t="shared" si="662"/>
        <v>0</v>
      </c>
      <c r="AF906" s="58" t="str">
        <f t="shared" si="663"/>
        <v/>
      </c>
      <c r="AG906" s="21">
        <f t="shared" si="664"/>
        <v>0</v>
      </c>
      <c r="AH906" s="58" t="str">
        <f t="shared" si="665"/>
        <v/>
      </c>
      <c r="AI906" s="21">
        <f t="shared" si="666"/>
        <v>0</v>
      </c>
      <c r="AJ906" s="58" t="str">
        <f t="shared" si="667"/>
        <v/>
      </c>
      <c r="AK906" s="31">
        <f t="shared" si="668"/>
        <v>0</v>
      </c>
      <c r="AL906" s="21">
        <f t="shared" si="669"/>
        <v>0</v>
      </c>
      <c r="AM906" s="62" t="str">
        <f t="shared" si="670"/>
        <v/>
      </c>
      <c r="AN906" s="21">
        <f t="shared" si="671"/>
        <v>0</v>
      </c>
      <c r="AO906" s="62" t="str">
        <f t="shared" si="672"/>
        <v/>
      </c>
      <c r="AP906" s="21">
        <f t="shared" si="673"/>
        <v>0</v>
      </c>
      <c r="AQ906" s="62" t="str">
        <f t="shared" si="674"/>
        <v/>
      </c>
      <c r="AR906" s="31">
        <f t="shared" si="675"/>
        <v>0</v>
      </c>
      <c r="AS906" s="21">
        <f t="shared" si="676"/>
        <v>0</v>
      </c>
      <c r="AT906" s="62" t="str">
        <f t="shared" si="677"/>
        <v/>
      </c>
      <c r="AU906" s="84">
        <f t="shared" si="678"/>
        <v>0</v>
      </c>
      <c r="AV906" s="32">
        <f t="shared" si="679"/>
        <v>0</v>
      </c>
      <c r="AW906" s="85" t="str">
        <f t="shared" si="680"/>
        <v/>
      </c>
      <c r="AX906" s="86" t="str">
        <f t="shared" si="681"/>
        <v/>
      </c>
    </row>
    <row r="907" spans="1:50" x14ac:dyDescent="0.2">
      <c r="A907" s="29" t="str">
        <f t="shared" si="639"/>
        <v/>
      </c>
      <c r="B907" s="32" t="str">
        <f t="shared" si="640"/>
        <v/>
      </c>
      <c r="C907" s="35"/>
      <c r="D907" s="33" t="str">
        <f t="shared" si="641"/>
        <v/>
      </c>
      <c r="E907" s="22" t="str">
        <f t="shared" si="642"/>
        <v/>
      </c>
      <c r="F907" s="23" t="str">
        <f t="shared" si="643"/>
        <v/>
      </c>
      <c r="G907" s="23"/>
      <c r="H907" s="22"/>
      <c r="I907" s="23"/>
      <c r="J907" s="18"/>
      <c r="K907" s="13" t="str">
        <f t="shared" si="644"/>
        <v/>
      </c>
      <c r="L907" s="28" t="str">
        <f t="shared" si="645"/>
        <v/>
      </c>
      <c r="M907" s="10" t="str">
        <f t="shared" si="646"/>
        <v/>
      </c>
      <c r="N907" s="17" t="str">
        <f t="shared" si="647"/>
        <v/>
      </c>
      <c r="O907" s="39" t="str">
        <f t="shared" si="648"/>
        <v/>
      </c>
      <c r="P907" s="41" t="str">
        <f t="shared" si="649"/>
        <v/>
      </c>
      <c r="Q907" s="9" t="str">
        <f t="shared" si="650"/>
        <v/>
      </c>
      <c r="R907" s="14">
        <f t="shared" si="651"/>
        <v>0</v>
      </c>
      <c r="S907" s="61" t="str">
        <f t="shared" si="652"/>
        <v/>
      </c>
      <c r="T907" s="14">
        <f t="shared" si="653"/>
        <v>0</v>
      </c>
      <c r="U907" s="58" t="str">
        <f t="shared" si="654"/>
        <v/>
      </c>
      <c r="V907" s="14">
        <f t="shared" si="655"/>
        <v>0</v>
      </c>
      <c r="W907" s="58" t="str">
        <f t="shared" si="656"/>
        <v/>
      </c>
      <c r="X907" s="14">
        <f t="shared" si="657"/>
        <v>0</v>
      </c>
      <c r="Y907" s="58" t="str">
        <f t="shared" si="658"/>
        <v/>
      </c>
      <c r="Z907" s="31">
        <f t="shared" si="659"/>
        <v>0</v>
      </c>
      <c r="AA907" s="21">
        <f t="shared" si="660"/>
        <v>0</v>
      </c>
      <c r="AB907" s="58" t="str">
        <f t="shared" si="661"/>
        <v/>
      </c>
      <c r="AC907" s="630">
        <f t="shared" si="638"/>
        <v>0</v>
      </c>
      <c r="AD907" s="627"/>
      <c r="AE907" s="21">
        <f t="shared" si="662"/>
        <v>0</v>
      </c>
      <c r="AF907" s="58" t="str">
        <f t="shared" si="663"/>
        <v/>
      </c>
      <c r="AG907" s="21">
        <f t="shared" si="664"/>
        <v>0</v>
      </c>
      <c r="AH907" s="58" t="str">
        <f t="shared" si="665"/>
        <v/>
      </c>
      <c r="AI907" s="21">
        <f t="shared" si="666"/>
        <v>0</v>
      </c>
      <c r="AJ907" s="58" t="str">
        <f t="shared" si="667"/>
        <v/>
      </c>
      <c r="AK907" s="31">
        <f t="shared" si="668"/>
        <v>0</v>
      </c>
      <c r="AL907" s="21">
        <f t="shared" si="669"/>
        <v>0</v>
      </c>
      <c r="AM907" s="62" t="str">
        <f t="shared" si="670"/>
        <v/>
      </c>
      <c r="AN907" s="21">
        <f t="shared" si="671"/>
        <v>0</v>
      </c>
      <c r="AO907" s="62" t="str">
        <f t="shared" si="672"/>
        <v/>
      </c>
      <c r="AP907" s="21">
        <f t="shared" si="673"/>
        <v>0</v>
      </c>
      <c r="AQ907" s="62" t="str">
        <f t="shared" si="674"/>
        <v/>
      </c>
      <c r="AR907" s="31">
        <f t="shared" si="675"/>
        <v>0</v>
      </c>
      <c r="AS907" s="21">
        <f t="shared" si="676"/>
        <v>0</v>
      </c>
      <c r="AT907" s="62" t="str">
        <f t="shared" si="677"/>
        <v/>
      </c>
      <c r="AU907" s="84">
        <f t="shared" si="678"/>
        <v>0</v>
      </c>
      <c r="AV907" s="32">
        <f t="shared" si="679"/>
        <v>0</v>
      </c>
      <c r="AW907" s="85" t="str">
        <f t="shared" si="680"/>
        <v/>
      </c>
      <c r="AX907" s="86" t="str">
        <f t="shared" si="681"/>
        <v/>
      </c>
    </row>
    <row r="908" spans="1:50" x14ac:dyDescent="0.2">
      <c r="A908" s="29" t="str">
        <f t="shared" si="639"/>
        <v/>
      </c>
      <c r="B908" s="32" t="str">
        <f t="shared" si="640"/>
        <v/>
      </c>
      <c r="C908" s="35"/>
      <c r="D908" s="33" t="str">
        <f t="shared" si="641"/>
        <v/>
      </c>
      <c r="E908" s="22" t="str">
        <f t="shared" si="642"/>
        <v/>
      </c>
      <c r="F908" s="23" t="str">
        <f t="shared" si="643"/>
        <v/>
      </c>
      <c r="G908" s="23"/>
      <c r="H908" s="22"/>
      <c r="I908" s="23"/>
      <c r="J908" s="18"/>
      <c r="K908" s="13" t="str">
        <f t="shared" si="644"/>
        <v/>
      </c>
      <c r="L908" s="28" t="str">
        <f t="shared" si="645"/>
        <v/>
      </c>
      <c r="M908" s="10" t="str">
        <f t="shared" si="646"/>
        <v/>
      </c>
      <c r="N908" s="17" t="str">
        <f t="shared" si="647"/>
        <v/>
      </c>
      <c r="O908" s="39" t="str">
        <f t="shared" si="648"/>
        <v/>
      </c>
      <c r="P908" s="41" t="str">
        <f t="shared" si="649"/>
        <v/>
      </c>
      <c r="Q908" s="9" t="str">
        <f t="shared" si="650"/>
        <v/>
      </c>
      <c r="R908" s="14">
        <f t="shared" si="651"/>
        <v>0</v>
      </c>
      <c r="S908" s="61" t="str">
        <f t="shared" si="652"/>
        <v/>
      </c>
      <c r="T908" s="14">
        <f t="shared" si="653"/>
        <v>0</v>
      </c>
      <c r="U908" s="58" t="str">
        <f t="shared" si="654"/>
        <v/>
      </c>
      <c r="V908" s="14">
        <f t="shared" si="655"/>
        <v>0</v>
      </c>
      <c r="W908" s="58" t="str">
        <f t="shared" si="656"/>
        <v/>
      </c>
      <c r="X908" s="14">
        <f t="shared" si="657"/>
        <v>0</v>
      </c>
      <c r="Y908" s="58" t="str">
        <f t="shared" si="658"/>
        <v/>
      </c>
      <c r="Z908" s="31">
        <f t="shared" si="659"/>
        <v>0</v>
      </c>
      <c r="AA908" s="21">
        <f t="shared" si="660"/>
        <v>0</v>
      </c>
      <c r="AB908" s="58" t="str">
        <f t="shared" si="661"/>
        <v/>
      </c>
      <c r="AC908" s="630">
        <f t="shared" si="638"/>
        <v>0</v>
      </c>
      <c r="AD908" s="627"/>
      <c r="AE908" s="21">
        <f t="shared" si="662"/>
        <v>0</v>
      </c>
      <c r="AF908" s="58" t="str">
        <f t="shared" si="663"/>
        <v/>
      </c>
      <c r="AG908" s="21">
        <f t="shared" si="664"/>
        <v>0</v>
      </c>
      <c r="AH908" s="58" t="str">
        <f t="shared" si="665"/>
        <v/>
      </c>
      <c r="AI908" s="21">
        <f t="shared" si="666"/>
        <v>0</v>
      </c>
      <c r="AJ908" s="58" t="str">
        <f t="shared" si="667"/>
        <v/>
      </c>
      <c r="AK908" s="31">
        <f t="shared" si="668"/>
        <v>0</v>
      </c>
      <c r="AL908" s="21">
        <f t="shared" si="669"/>
        <v>0</v>
      </c>
      <c r="AM908" s="62" t="str">
        <f t="shared" si="670"/>
        <v/>
      </c>
      <c r="AN908" s="21">
        <f t="shared" si="671"/>
        <v>0</v>
      </c>
      <c r="AO908" s="62" t="str">
        <f t="shared" si="672"/>
        <v/>
      </c>
      <c r="AP908" s="21">
        <f t="shared" si="673"/>
        <v>0</v>
      </c>
      <c r="AQ908" s="62" t="str">
        <f t="shared" si="674"/>
        <v/>
      </c>
      <c r="AR908" s="31">
        <f t="shared" si="675"/>
        <v>0</v>
      </c>
      <c r="AS908" s="21">
        <f t="shared" si="676"/>
        <v>0</v>
      </c>
      <c r="AT908" s="62" t="str">
        <f t="shared" si="677"/>
        <v/>
      </c>
      <c r="AU908" s="84">
        <f t="shared" si="678"/>
        <v>0</v>
      </c>
      <c r="AV908" s="32">
        <f t="shared" si="679"/>
        <v>0</v>
      </c>
      <c r="AW908" s="85" t="str">
        <f t="shared" si="680"/>
        <v/>
      </c>
      <c r="AX908" s="86" t="str">
        <f t="shared" si="681"/>
        <v/>
      </c>
    </row>
    <row r="909" spans="1:50" x14ac:dyDescent="0.2">
      <c r="A909" s="29" t="str">
        <f t="shared" si="639"/>
        <v/>
      </c>
      <c r="B909" s="32" t="str">
        <f t="shared" si="640"/>
        <v/>
      </c>
      <c r="C909" s="35"/>
      <c r="D909" s="33" t="str">
        <f t="shared" si="641"/>
        <v/>
      </c>
      <c r="E909" s="22" t="str">
        <f t="shared" si="642"/>
        <v/>
      </c>
      <c r="F909" s="23" t="str">
        <f t="shared" si="643"/>
        <v/>
      </c>
      <c r="G909" s="23"/>
      <c r="H909" s="22"/>
      <c r="I909" s="23"/>
      <c r="J909" s="18"/>
      <c r="K909" s="13" t="str">
        <f t="shared" si="644"/>
        <v/>
      </c>
      <c r="L909" s="28" t="str">
        <f t="shared" si="645"/>
        <v/>
      </c>
      <c r="M909" s="10" t="str">
        <f t="shared" si="646"/>
        <v/>
      </c>
      <c r="N909" s="17" t="str">
        <f t="shared" si="647"/>
        <v/>
      </c>
      <c r="O909" s="39" t="str">
        <f t="shared" si="648"/>
        <v/>
      </c>
      <c r="P909" s="41" t="str">
        <f t="shared" si="649"/>
        <v/>
      </c>
      <c r="Q909" s="9" t="str">
        <f t="shared" si="650"/>
        <v/>
      </c>
      <c r="R909" s="14">
        <f t="shared" si="651"/>
        <v>0</v>
      </c>
      <c r="S909" s="61" t="str">
        <f t="shared" si="652"/>
        <v/>
      </c>
      <c r="T909" s="14">
        <f t="shared" si="653"/>
        <v>0</v>
      </c>
      <c r="U909" s="58" t="str">
        <f t="shared" si="654"/>
        <v/>
      </c>
      <c r="V909" s="14">
        <f t="shared" si="655"/>
        <v>0</v>
      </c>
      <c r="W909" s="58" t="str">
        <f t="shared" si="656"/>
        <v/>
      </c>
      <c r="X909" s="14">
        <f t="shared" si="657"/>
        <v>0</v>
      </c>
      <c r="Y909" s="58" t="str">
        <f t="shared" si="658"/>
        <v/>
      </c>
      <c r="Z909" s="31">
        <f t="shared" si="659"/>
        <v>0</v>
      </c>
      <c r="AA909" s="21">
        <f t="shared" si="660"/>
        <v>0</v>
      </c>
      <c r="AB909" s="58" t="str">
        <f t="shared" si="661"/>
        <v/>
      </c>
      <c r="AC909" s="630">
        <f t="shared" si="638"/>
        <v>0</v>
      </c>
      <c r="AD909" s="627"/>
      <c r="AE909" s="21">
        <f t="shared" si="662"/>
        <v>0</v>
      </c>
      <c r="AF909" s="58" t="str">
        <f t="shared" si="663"/>
        <v/>
      </c>
      <c r="AG909" s="21">
        <f t="shared" si="664"/>
        <v>0</v>
      </c>
      <c r="AH909" s="58" t="str">
        <f t="shared" si="665"/>
        <v/>
      </c>
      <c r="AI909" s="21">
        <f t="shared" si="666"/>
        <v>0</v>
      </c>
      <c r="AJ909" s="58" t="str">
        <f t="shared" si="667"/>
        <v/>
      </c>
      <c r="AK909" s="31">
        <f t="shared" si="668"/>
        <v>0</v>
      </c>
      <c r="AL909" s="21">
        <f t="shared" si="669"/>
        <v>0</v>
      </c>
      <c r="AM909" s="62" t="str">
        <f t="shared" si="670"/>
        <v/>
      </c>
      <c r="AN909" s="21">
        <f t="shared" si="671"/>
        <v>0</v>
      </c>
      <c r="AO909" s="62" t="str">
        <f t="shared" si="672"/>
        <v/>
      </c>
      <c r="AP909" s="21">
        <f t="shared" si="673"/>
        <v>0</v>
      </c>
      <c r="AQ909" s="62" t="str">
        <f t="shared" si="674"/>
        <v/>
      </c>
      <c r="AR909" s="31">
        <f t="shared" si="675"/>
        <v>0</v>
      </c>
      <c r="AS909" s="21">
        <f t="shared" si="676"/>
        <v>0</v>
      </c>
      <c r="AT909" s="62" t="str">
        <f t="shared" si="677"/>
        <v/>
      </c>
      <c r="AU909" s="84">
        <f t="shared" si="678"/>
        <v>0</v>
      </c>
      <c r="AV909" s="32">
        <f t="shared" si="679"/>
        <v>0</v>
      </c>
      <c r="AW909" s="85" t="str">
        <f t="shared" si="680"/>
        <v/>
      </c>
      <c r="AX909" s="86" t="str">
        <f t="shared" si="681"/>
        <v/>
      </c>
    </row>
    <row r="910" spans="1:50" x14ac:dyDescent="0.2">
      <c r="A910" s="29" t="str">
        <f t="shared" si="639"/>
        <v/>
      </c>
      <c r="B910" s="32" t="str">
        <f t="shared" si="640"/>
        <v/>
      </c>
      <c r="C910" s="35"/>
      <c r="D910" s="33" t="str">
        <f t="shared" si="641"/>
        <v/>
      </c>
      <c r="E910" s="22" t="str">
        <f t="shared" si="642"/>
        <v/>
      </c>
      <c r="F910" s="23" t="str">
        <f t="shared" si="643"/>
        <v/>
      </c>
      <c r="G910" s="23"/>
      <c r="H910" s="22"/>
      <c r="I910" s="23"/>
      <c r="J910" s="18"/>
      <c r="K910" s="13" t="str">
        <f t="shared" si="644"/>
        <v/>
      </c>
      <c r="L910" s="28" t="str">
        <f t="shared" si="645"/>
        <v/>
      </c>
      <c r="M910" s="10" t="str">
        <f t="shared" si="646"/>
        <v/>
      </c>
      <c r="N910" s="17" t="str">
        <f t="shared" si="647"/>
        <v/>
      </c>
      <c r="O910" s="39" t="str">
        <f t="shared" si="648"/>
        <v/>
      </c>
      <c r="P910" s="41" t="str">
        <f t="shared" si="649"/>
        <v/>
      </c>
      <c r="Q910" s="9" t="str">
        <f t="shared" si="650"/>
        <v/>
      </c>
      <c r="R910" s="14">
        <f t="shared" si="651"/>
        <v>0</v>
      </c>
      <c r="S910" s="61" t="str">
        <f t="shared" si="652"/>
        <v/>
      </c>
      <c r="T910" s="14">
        <f t="shared" si="653"/>
        <v>0</v>
      </c>
      <c r="U910" s="58" t="str">
        <f t="shared" si="654"/>
        <v/>
      </c>
      <c r="V910" s="14">
        <f t="shared" si="655"/>
        <v>0</v>
      </c>
      <c r="W910" s="58" t="str">
        <f t="shared" si="656"/>
        <v/>
      </c>
      <c r="X910" s="14">
        <f t="shared" si="657"/>
        <v>0</v>
      </c>
      <c r="Y910" s="58" t="str">
        <f t="shared" si="658"/>
        <v/>
      </c>
      <c r="Z910" s="31">
        <f t="shared" si="659"/>
        <v>0</v>
      </c>
      <c r="AA910" s="21">
        <f t="shared" si="660"/>
        <v>0</v>
      </c>
      <c r="AB910" s="58" t="str">
        <f t="shared" si="661"/>
        <v/>
      </c>
      <c r="AC910" s="630">
        <f t="shared" si="638"/>
        <v>0</v>
      </c>
      <c r="AD910" s="627"/>
      <c r="AE910" s="21">
        <f t="shared" si="662"/>
        <v>0</v>
      </c>
      <c r="AF910" s="58" t="str">
        <f t="shared" si="663"/>
        <v/>
      </c>
      <c r="AG910" s="21">
        <f t="shared" si="664"/>
        <v>0</v>
      </c>
      <c r="AH910" s="58" t="str">
        <f t="shared" si="665"/>
        <v/>
      </c>
      <c r="AI910" s="21">
        <f t="shared" si="666"/>
        <v>0</v>
      </c>
      <c r="AJ910" s="58" t="str">
        <f t="shared" si="667"/>
        <v/>
      </c>
      <c r="AK910" s="31">
        <f t="shared" si="668"/>
        <v>0</v>
      </c>
      <c r="AL910" s="21">
        <f t="shared" si="669"/>
        <v>0</v>
      </c>
      <c r="AM910" s="62" t="str">
        <f t="shared" si="670"/>
        <v/>
      </c>
      <c r="AN910" s="21">
        <f t="shared" si="671"/>
        <v>0</v>
      </c>
      <c r="AO910" s="62" t="str">
        <f t="shared" si="672"/>
        <v/>
      </c>
      <c r="AP910" s="21">
        <f t="shared" si="673"/>
        <v>0</v>
      </c>
      <c r="AQ910" s="62" t="str">
        <f t="shared" si="674"/>
        <v/>
      </c>
      <c r="AR910" s="31">
        <f t="shared" si="675"/>
        <v>0</v>
      </c>
      <c r="AS910" s="21">
        <f t="shared" si="676"/>
        <v>0</v>
      </c>
      <c r="AT910" s="62" t="str">
        <f t="shared" si="677"/>
        <v/>
      </c>
      <c r="AU910" s="84">
        <f t="shared" si="678"/>
        <v>0</v>
      </c>
      <c r="AV910" s="32">
        <f t="shared" si="679"/>
        <v>0</v>
      </c>
      <c r="AW910" s="85" t="str">
        <f t="shared" si="680"/>
        <v/>
      </c>
      <c r="AX910" s="86" t="str">
        <f t="shared" si="681"/>
        <v/>
      </c>
    </row>
    <row r="911" spans="1:50" x14ac:dyDescent="0.2">
      <c r="A911" s="29" t="str">
        <f t="shared" si="639"/>
        <v/>
      </c>
      <c r="B911" s="32" t="str">
        <f t="shared" si="640"/>
        <v/>
      </c>
      <c r="C911" s="35"/>
      <c r="D911" s="33" t="str">
        <f t="shared" si="641"/>
        <v/>
      </c>
      <c r="E911" s="22" t="str">
        <f t="shared" si="642"/>
        <v/>
      </c>
      <c r="F911" s="23" t="str">
        <f t="shared" si="643"/>
        <v/>
      </c>
      <c r="G911" s="23"/>
      <c r="H911" s="22"/>
      <c r="I911" s="23"/>
      <c r="J911" s="18"/>
      <c r="K911" s="13" t="str">
        <f t="shared" si="644"/>
        <v/>
      </c>
      <c r="L911" s="28" t="str">
        <f t="shared" si="645"/>
        <v/>
      </c>
      <c r="M911" s="10" t="str">
        <f t="shared" si="646"/>
        <v/>
      </c>
      <c r="N911" s="17" t="str">
        <f t="shared" si="647"/>
        <v/>
      </c>
      <c r="O911" s="39" t="str">
        <f t="shared" si="648"/>
        <v/>
      </c>
      <c r="P911" s="41" t="str">
        <f t="shared" si="649"/>
        <v/>
      </c>
      <c r="Q911" s="9" t="str">
        <f t="shared" si="650"/>
        <v/>
      </c>
      <c r="R911" s="14">
        <f t="shared" si="651"/>
        <v>0</v>
      </c>
      <c r="S911" s="61" t="str">
        <f t="shared" si="652"/>
        <v/>
      </c>
      <c r="T911" s="14">
        <f t="shared" si="653"/>
        <v>0</v>
      </c>
      <c r="U911" s="58" t="str">
        <f t="shared" si="654"/>
        <v/>
      </c>
      <c r="V911" s="14">
        <f t="shared" si="655"/>
        <v>0</v>
      </c>
      <c r="W911" s="58" t="str">
        <f t="shared" si="656"/>
        <v/>
      </c>
      <c r="X911" s="14">
        <f t="shared" si="657"/>
        <v>0</v>
      </c>
      <c r="Y911" s="58" t="str">
        <f t="shared" si="658"/>
        <v/>
      </c>
      <c r="Z911" s="31">
        <f t="shared" si="659"/>
        <v>0</v>
      </c>
      <c r="AA911" s="21">
        <f t="shared" si="660"/>
        <v>0</v>
      </c>
      <c r="AB911" s="58" t="str">
        <f t="shared" si="661"/>
        <v/>
      </c>
      <c r="AC911" s="630">
        <f t="shared" si="638"/>
        <v>0</v>
      </c>
      <c r="AD911" s="627"/>
      <c r="AE911" s="21">
        <f t="shared" si="662"/>
        <v>0</v>
      </c>
      <c r="AF911" s="58" t="str">
        <f t="shared" si="663"/>
        <v/>
      </c>
      <c r="AG911" s="21">
        <f t="shared" si="664"/>
        <v>0</v>
      </c>
      <c r="AH911" s="58" t="str">
        <f t="shared" si="665"/>
        <v/>
      </c>
      <c r="AI911" s="21">
        <f t="shared" si="666"/>
        <v>0</v>
      </c>
      <c r="AJ911" s="58" t="str">
        <f t="shared" si="667"/>
        <v/>
      </c>
      <c r="AK911" s="31">
        <f t="shared" si="668"/>
        <v>0</v>
      </c>
      <c r="AL911" s="21">
        <f t="shared" si="669"/>
        <v>0</v>
      </c>
      <c r="AM911" s="62" t="str">
        <f t="shared" si="670"/>
        <v/>
      </c>
      <c r="AN911" s="21">
        <f t="shared" si="671"/>
        <v>0</v>
      </c>
      <c r="AO911" s="62" t="str">
        <f t="shared" si="672"/>
        <v/>
      </c>
      <c r="AP911" s="21">
        <f t="shared" si="673"/>
        <v>0</v>
      </c>
      <c r="AQ911" s="62" t="str">
        <f t="shared" si="674"/>
        <v/>
      </c>
      <c r="AR911" s="31">
        <f t="shared" si="675"/>
        <v>0</v>
      </c>
      <c r="AS911" s="21">
        <f t="shared" si="676"/>
        <v>0</v>
      </c>
      <c r="AT911" s="62" t="str">
        <f t="shared" si="677"/>
        <v/>
      </c>
      <c r="AU911" s="84">
        <f t="shared" si="678"/>
        <v>0</v>
      </c>
      <c r="AV911" s="32">
        <f t="shared" si="679"/>
        <v>0</v>
      </c>
      <c r="AW911" s="85" t="str">
        <f t="shared" si="680"/>
        <v/>
      </c>
      <c r="AX911" s="86" t="str">
        <f t="shared" si="681"/>
        <v/>
      </c>
    </row>
    <row r="912" spans="1:50" x14ac:dyDescent="0.2">
      <c r="A912" s="29" t="str">
        <f t="shared" si="639"/>
        <v/>
      </c>
      <c r="B912" s="32" t="str">
        <f t="shared" si="640"/>
        <v/>
      </c>
      <c r="C912" s="35"/>
      <c r="D912" s="33" t="str">
        <f t="shared" si="641"/>
        <v/>
      </c>
      <c r="E912" s="22" t="str">
        <f t="shared" si="642"/>
        <v/>
      </c>
      <c r="F912" s="23" t="str">
        <f t="shared" si="643"/>
        <v/>
      </c>
      <c r="G912" s="23"/>
      <c r="H912" s="22"/>
      <c r="I912" s="23"/>
      <c r="J912" s="18"/>
      <c r="K912" s="13" t="str">
        <f t="shared" si="644"/>
        <v/>
      </c>
      <c r="L912" s="28" t="str">
        <f t="shared" si="645"/>
        <v/>
      </c>
      <c r="M912" s="10" t="str">
        <f t="shared" si="646"/>
        <v/>
      </c>
      <c r="N912" s="17" t="str">
        <f t="shared" si="647"/>
        <v/>
      </c>
      <c r="O912" s="39" t="str">
        <f t="shared" si="648"/>
        <v/>
      </c>
      <c r="P912" s="41" t="str">
        <f t="shared" si="649"/>
        <v/>
      </c>
      <c r="Q912" s="9" t="str">
        <f t="shared" si="650"/>
        <v/>
      </c>
      <c r="R912" s="14">
        <f t="shared" si="651"/>
        <v>0</v>
      </c>
      <c r="S912" s="61" t="str">
        <f t="shared" si="652"/>
        <v/>
      </c>
      <c r="T912" s="14">
        <f t="shared" si="653"/>
        <v>0</v>
      </c>
      <c r="U912" s="58" t="str">
        <f t="shared" si="654"/>
        <v/>
      </c>
      <c r="V912" s="14">
        <f t="shared" si="655"/>
        <v>0</v>
      </c>
      <c r="W912" s="58" t="str">
        <f t="shared" si="656"/>
        <v/>
      </c>
      <c r="X912" s="14">
        <f t="shared" si="657"/>
        <v>0</v>
      </c>
      <c r="Y912" s="58" t="str">
        <f t="shared" si="658"/>
        <v/>
      </c>
      <c r="Z912" s="31">
        <f t="shared" si="659"/>
        <v>0</v>
      </c>
      <c r="AA912" s="21">
        <f t="shared" si="660"/>
        <v>0</v>
      </c>
      <c r="AB912" s="58" t="str">
        <f t="shared" si="661"/>
        <v/>
      </c>
      <c r="AC912" s="630">
        <f t="shared" si="638"/>
        <v>0</v>
      </c>
      <c r="AD912" s="627"/>
      <c r="AE912" s="21">
        <f t="shared" si="662"/>
        <v>0</v>
      </c>
      <c r="AF912" s="58" t="str">
        <f t="shared" si="663"/>
        <v/>
      </c>
      <c r="AG912" s="21">
        <f t="shared" si="664"/>
        <v>0</v>
      </c>
      <c r="AH912" s="58" t="str">
        <f t="shared" si="665"/>
        <v/>
      </c>
      <c r="AI912" s="21">
        <f t="shared" si="666"/>
        <v>0</v>
      </c>
      <c r="AJ912" s="58" t="str">
        <f t="shared" si="667"/>
        <v/>
      </c>
      <c r="AK912" s="31">
        <f t="shared" si="668"/>
        <v>0</v>
      </c>
      <c r="AL912" s="21">
        <f t="shared" si="669"/>
        <v>0</v>
      </c>
      <c r="AM912" s="62" t="str">
        <f t="shared" si="670"/>
        <v/>
      </c>
      <c r="AN912" s="21">
        <f t="shared" si="671"/>
        <v>0</v>
      </c>
      <c r="AO912" s="62" t="str">
        <f t="shared" si="672"/>
        <v/>
      </c>
      <c r="AP912" s="21">
        <f t="shared" si="673"/>
        <v>0</v>
      </c>
      <c r="AQ912" s="62" t="str">
        <f t="shared" si="674"/>
        <v/>
      </c>
      <c r="AR912" s="31">
        <f t="shared" si="675"/>
        <v>0</v>
      </c>
      <c r="AS912" s="21">
        <f t="shared" si="676"/>
        <v>0</v>
      </c>
      <c r="AT912" s="62" t="str">
        <f t="shared" si="677"/>
        <v/>
      </c>
      <c r="AU912" s="84">
        <f t="shared" si="678"/>
        <v>0</v>
      </c>
      <c r="AV912" s="32">
        <f t="shared" si="679"/>
        <v>0</v>
      </c>
      <c r="AW912" s="85" t="str">
        <f t="shared" si="680"/>
        <v/>
      </c>
      <c r="AX912" s="86" t="str">
        <f t="shared" si="681"/>
        <v/>
      </c>
    </row>
    <row r="913" spans="1:50" x14ac:dyDescent="0.2">
      <c r="A913" s="29" t="str">
        <f t="shared" si="639"/>
        <v/>
      </c>
      <c r="B913" s="32" t="str">
        <f t="shared" si="640"/>
        <v/>
      </c>
      <c r="C913" s="35"/>
      <c r="D913" s="33" t="str">
        <f t="shared" si="641"/>
        <v/>
      </c>
      <c r="E913" s="22" t="str">
        <f t="shared" si="642"/>
        <v/>
      </c>
      <c r="F913" s="23" t="str">
        <f t="shared" si="643"/>
        <v/>
      </c>
      <c r="G913" s="23"/>
      <c r="H913" s="22"/>
      <c r="I913" s="23"/>
      <c r="J913" s="18"/>
      <c r="K913" s="13" t="str">
        <f t="shared" si="644"/>
        <v/>
      </c>
      <c r="L913" s="28" t="str">
        <f t="shared" si="645"/>
        <v/>
      </c>
      <c r="M913" s="10" t="str">
        <f t="shared" si="646"/>
        <v/>
      </c>
      <c r="N913" s="17" t="str">
        <f t="shared" si="647"/>
        <v/>
      </c>
      <c r="O913" s="39" t="str">
        <f t="shared" si="648"/>
        <v/>
      </c>
      <c r="P913" s="41" t="str">
        <f t="shared" si="649"/>
        <v/>
      </c>
      <c r="Q913" s="9" t="str">
        <f t="shared" si="650"/>
        <v/>
      </c>
      <c r="R913" s="14">
        <f t="shared" si="651"/>
        <v>0</v>
      </c>
      <c r="S913" s="61" t="str">
        <f t="shared" si="652"/>
        <v/>
      </c>
      <c r="T913" s="14">
        <f t="shared" si="653"/>
        <v>0</v>
      </c>
      <c r="U913" s="58" t="str">
        <f t="shared" si="654"/>
        <v/>
      </c>
      <c r="V913" s="14">
        <f t="shared" si="655"/>
        <v>0</v>
      </c>
      <c r="W913" s="58" t="str">
        <f t="shared" si="656"/>
        <v/>
      </c>
      <c r="X913" s="14">
        <f t="shared" si="657"/>
        <v>0</v>
      </c>
      <c r="Y913" s="58" t="str">
        <f t="shared" si="658"/>
        <v/>
      </c>
      <c r="Z913" s="31">
        <f t="shared" si="659"/>
        <v>0</v>
      </c>
      <c r="AA913" s="21">
        <f t="shared" si="660"/>
        <v>0</v>
      </c>
      <c r="AB913" s="58" t="str">
        <f t="shared" si="661"/>
        <v/>
      </c>
      <c r="AC913" s="630">
        <f t="shared" si="638"/>
        <v>0</v>
      </c>
      <c r="AD913" s="627"/>
      <c r="AE913" s="21">
        <f t="shared" si="662"/>
        <v>0</v>
      </c>
      <c r="AF913" s="58" t="str">
        <f t="shared" si="663"/>
        <v/>
      </c>
      <c r="AG913" s="21">
        <f t="shared" si="664"/>
        <v>0</v>
      </c>
      <c r="AH913" s="58" t="str">
        <f t="shared" si="665"/>
        <v/>
      </c>
      <c r="AI913" s="21">
        <f t="shared" si="666"/>
        <v>0</v>
      </c>
      <c r="AJ913" s="58" t="str">
        <f t="shared" si="667"/>
        <v/>
      </c>
      <c r="AK913" s="31">
        <f t="shared" si="668"/>
        <v>0</v>
      </c>
      <c r="AL913" s="21">
        <f t="shared" si="669"/>
        <v>0</v>
      </c>
      <c r="AM913" s="62" t="str">
        <f t="shared" si="670"/>
        <v/>
      </c>
      <c r="AN913" s="21">
        <f t="shared" si="671"/>
        <v>0</v>
      </c>
      <c r="AO913" s="62" t="str">
        <f t="shared" si="672"/>
        <v/>
      </c>
      <c r="AP913" s="21">
        <f t="shared" si="673"/>
        <v>0</v>
      </c>
      <c r="AQ913" s="62" t="str">
        <f t="shared" si="674"/>
        <v/>
      </c>
      <c r="AR913" s="31">
        <f t="shared" si="675"/>
        <v>0</v>
      </c>
      <c r="AS913" s="21">
        <f t="shared" si="676"/>
        <v>0</v>
      </c>
      <c r="AT913" s="62" t="str">
        <f t="shared" si="677"/>
        <v/>
      </c>
      <c r="AU913" s="84">
        <f t="shared" si="678"/>
        <v>0</v>
      </c>
      <c r="AV913" s="32">
        <f t="shared" si="679"/>
        <v>0</v>
      </c>
      <c r="AW913" s="85" t="str">
        <f t="shared" si="680"/>
        <v/>
      </c>
      <c r="AX913" s="86" t="str">
        <f t="shared" si="681"/>
        <v/>
      </c>
    </row>
    <row r="914" spans="1:50" x14ac:dyDescent="0.2">
      <c r="A914" s="29" t="str">
        <f t="shared" si="639"/>
        <v/>
      </c>
      <c r="B914" s="32" t="str">
        <f t="shared" si="640"/>
        <v/>
      </c>
      <c r="C914" s="35"/>
      <c r="D914" s="33" t="str">
        <f t="shared" si="641"/>
        <v/>
      </c>
      <c r="E914" s="22" t="str">
        <f t="shared" si="642"/>
        <v/>
      </c>
      <c r="F914" s="23" t="str">
        <f t="shared" si="643"/>
        <v/>
      </c>
      <c r="G914" s="23"/>
      <c r="H914" s="22"/>
      <c r="I914" s="23"/>
      <c r="J914" s="18"/>
      <c r="K914" s="13" t="str">
        <f t="shared" si="644"/>
        <v/>
      </c>
      <c r="L914" s="28" t="str">
        <f t="shared" si="645"/>
        <v/>
      </c>
      <c r="M914" s="10" t="str">
        <f t="shared" si="646"/>
        <v/>
      </c>
      <c r="N914" s="17" t="str">
        <f t="shared" si="647"/>
        <v/>
      </c>
      <c r="O914" s="39" t="str">
        <f t="shared" si="648"/>
        <v/>
      </c>
      <c r="P914" s="41" t="str">
        <f t="shared" si="649"/>
        <v/>
      </c>
      <c r="Q914" s="9" t="str">
        <f t="shared" si="650"/>
        <v/>
      </c>
      <c r="R914" s="14">
        <f t="shared" si="651"/>
        <v>0</v>
      </c>
      <c r="S914" s="61" t="str">
        <f t="shared" si="652"/>
        <v/>
      </c>
      <c r="T914" s="14">
        <f t="shared" si="653"/>
        <v>0</v>
      </c>
      <c r="U914" s="58" t="str">
        <f t="shared" si="654"/>
        <v/>
      </c>
      <c r="V914" s="14">
        <f t="shared" si="655"/>
        <v>0</v>
      </c>
      <c r="W914" s="58" t="str">
        <f t="shared" si="656"/>
        <v/>
      </c>
      <c r="X914" s="14">
        <f t="shared" si="657"/>
        <v>0</v>
      </c>
      <c r="Y914" s="58" t="str">
        <f t="shared" si="658"/>
        <v/>
      </c>
      <c r="Z914" s="31">
        <f t="shared" si="659"/>
        <v>0</v>
      </c>
      <c r="AA914" s="21">
        <f t="shared" si="660"/>
        <v>0</v>
      </c>
      <c r="AB914" s="58" t="str">
        <f t="shared" si="661"/>
        <v/>
      </c>
      <c r="AC914" s="630">
        <f t="shared" si="638"/>
        <v>0</v>
      </c>
      <c r="AD914" s="627"/>
      <c r="AE914" s="21">
        <f t="shared" si="662"/>
        <v>0</v>
      </c>
      <c r="AF914" s="58" t="str">
        <f t="shared" si="663"/>
        <v/>
      </c>
      <c r="AG914" s="21">
        <f t="shared" si="664"/>
        <v>0</v>
      </c>
      <c r="AH914" s="58" t="str">
        <f t="shared" si="665"/>
        <v/>
      </c>
      <c r="AI914" s="21">
        <f t="shared" si="666"/>
        <v>0</v>
      </c>
      <c r="AJ914" s="58" t="str">
        <f t="shared" si="667"/>
        <v/>
      </c>
      <c r="AK914" s="31">
        <f t="shared" si="668"/>
        <v>0</v>
      </c>
      <c r="AL914" s="21">
        <f t="shared" si="669"/>
        <v>0</v>
      </c>
      <c r="AM914" s="62" t="str">
        <f t="shared" si="670"/>
        <v/>
      </c>
      <c r="AN914" s="21">
        <f t="shared" si="671"/>
        <v>0</v>
      </c>
      <c r="AO914" s="62" t="str">
        <f t="shared" si="672"/>
        <v/>
      </c>
      <c r="AP914" s="21">
        <f t="shared" si="673"/>
        <v>0</v>
      </c>
      <c r="AQ914" s="62" t="str">
        <f t="shared" si="674"/>
        <v/>
      </c>
      <c r="AR914" s="31">
        <f t="shared" si="675"/>
        <v>0</v>
      </c>
      <c r="AS914" s="21">
        <f t="shared" si="676"/>
        <v>0</v>
      </c>
      <c r="AT914" s="62" t="str">
        <f t="shared" si="677"/>
        <v/>
      </c>
      <c r="AU914" s="84">
        <f t="shared" si="678"/>
        <v>0</v>
      </c>
      <c r="AV914" s="32">
        <f t="shared" si="679"/>
        <v>0</v>
      </c>
      <c r="AW914" s="85" t="str">
        <f t="shared" si="680"/>
        <v/>
      </c>
      <c r="AX914" s="86" t="str">
        <f t="shared" si="681"/>
        <v/>
      </c>
    </row>
    <row r="915" spans="1:50" x14ac:dyDescent="0.2">
      <c r="A915" s="29" t="str">
        <f t="shared" si="639"/>
        <v/>
      </c>
      <c r="B915" s="32" t="str">
        <f t="shared" si="640"/>
        <v/>
      </c>
      <c r="C915" s="35"/>
      <c r="D915" s="33" t="str">
        <f t="shared" si="641"/>
        <v/>
      </c>
      <c r="E915" s="22" t="str">
        <f t="shared" si="642"/>
        <v/>
      </c>
      <c r="F915" s="23" t="str">
        <f t="shared" si="643"/>
        <v/>
      </c>
      <c r="G915" s="23"/>
      <c r="H915" s="22"/>
      <c r="I915" s="23"/>
      <c r="J915" s="18"/>
      <c r="K915" s="13" t="str">
        <f t="shared" si="644"/>
        <v/>
      </c>
      <c r="L915" s="28" t="str">
        <f t="shared" si="645"/>
        <v/>
      </c>
      <c r="M915" s="10" t="str">
        <f t="shared" si="646"/>
        <v/>
      </c>
      <c r="N915" s="17" t="str">
        <f t="shared" si="647"/>
        <v/>
      </c>
      <c r="O915" s="39" t="str">
        <f t="shared" si="648"/>
        <v/>
      </c>
      <c r="P915" s="41" t="str">
        <f t="shared" si="649"/>
        <v/>
      </c>
      <c r="Q915" s="9" t="str">
        <f t="shared" si="650"/>
        <v/>
      </c>
      <c r="R915" s="14">
        <f t="shared" si="651"/>
        <v>0</v>
      </c>
      <c r="S915" s="61" t="str">
        <f t="shared" si="652"/>
        <v/>
      </c>
      <c r="T915" s="14">
        <f t="shared" si="653"/>
        <v>0</v>
      </c>
      <c r="U915" s="58" t="str">
        <f t="shared" si="654"/>
        <v/>
      </c>
      <c r="V915" s="14">
        <f t="shared" si="655"/>
        <v>0</v>
      </c>
      <c r="W915" s="58" t="str">
        <f t="shared" si="656"/>
        <v/>
      </c>
      <c r="X915" s="14">
        <f t="shared" si="657"/>
        <v>0</v>
      </c>
      <c r="Y915" s="58" t="str">
        <f t="shared" si="658"/>
        <v/>
      </c>
      <c r="Z915" s="31">
        <f t="shared" si="659"/>
        <v>0</v>
      </c>
      <c r="AA915" s="21">
        <f t="shared" si="660"/>
        <v>0</v>
      </c>
      <c r="AB915" s="58" t="str">
        <f t="shared" si="661"/>
        <v/>
      </c>
      <c r="AC915" s="630">
        <f t="shared" si="638"/>
        <v>0</v>
      </c>
      <c r="AD915" s="627"/>
      <c r="AE915" s="21">
        <f t="shared" si="662"/>
        <v>0</v>
      </c>
      <c r="AF915" s="58" t="str">
        <f t="shared" si="663"/>
        <v/>
      </c>
      <c r="AG915" s="21">
        <f t="shared" si="664"/>
        <v>0</v>
      </c>
      <c r="AH915" s="58" t="str">
        <f t="shared" si="665"/>
        <v/>
      </c>
      <c r="AI915" s="21">
        <f t="shared" si="666"/>
        <v>0</v>
      </c>
      <c r="AJ915" s="58" t="str">
        <f t="shared" si="667"/>
        <v/>
      </c>
      <c r="AK915" s="31">
        <f t="shared" si="668"/>
        <v>0</v>
      </c>
      <c r="AL915" s="21">
        <f t="shared" si="669"/>
        <v>0</v>
      </c>
      <c r="AM915" s="62" t="str">
        <f t="shared" si="670"/>
        <v/>
      </c>
      <c r="AN915" s="21">
        <f t="shared" si="671"/>
        <v>0</v>
      </c>
      <c r="AO915" s="62" t="str">
        <f t="shared" si="672"/>
        <v/>
      </c>
      <c r="AP915" s="21">
        <f t="shared" si="673"/>
        <v>0</v>
      </c>
      <c r="AQ915" s="62" t="str">
        <f t="shared" si="674"/>
        <v/>
      </c>
      <c r="AR915" s="31">
        <f t="shared" si="675"/>
        <v>0</v>
      </c>
      <c r="AS915" s="21">
        <f t="shared" si="676"/>
        <v>0</v>
      </c>
      <c r="AT915" s="62" t="str">
        <f t="shared" si="677"/>
        <v/>
      </c>
      <c r="AU915" s="84">
        <f t="shared" si="678"/>
        <v>0</v>
      </c>
      <c r="AV915" s="32">
        <f t="shared" si="679"/>
        <v>0</v>
      </c>
      <c r="AW915" s="85" t="str">
        <f t="shared" si="680"/>
        <v/>
      </c>
      <c r="AX915" s="86" t="str">
        <f t="shared" si="681"/>
        <v/>
      </c>
    </row>
    <row r="916" spans="1:50" x14ac:dyDescent="0.2">
      <c r="A916" s="29" t="str">
        <f t="shared" si="639"/>
        <v/>
      </c>
      <c r="B916" s="32" t="str">
        <f t="shared" si="640"/>
        <v/>
      </c>
      <c r="C916" s="35"/>
      <c r="D916" s="33" t="str">
        <f t="shared" si="641"/>
        <v/>
      </c>
      <c r="E916" s="22" t="str">
        <f t="shared" si="642"/>
        <v/>
      </c>
      <c r="F916" s="23" t="str">
        <f t="shared" si="643"/>
        <v/>
      </c>
      <c r="G916" s="23"/>
      <c r="H916" s="22"/>
      <c r="I916" s="23"/>
      <c r="J916" s="18"/>
      <c r="K916" s="13" t="str">
        <f t="shared" si="644"/>
        <v/>
      </c>
      <c r="L916" s="28" t="str">
        <f t="shared" si="645"/>
        <v/>
      </c>
      <c r="M916" s="10" t="str">
        <f t="shared" si="646"/>
        <v/>
      </c>
      <c r="N916" s="17" t="str">
        <f t="shared" si="647"/>
        <v/>
      </c>
      <c r="O916" s="39" t="str">
        <f t="shared" si="648"/>
        <v/>
      </c>
      <c r="P916" s="41" t="str">
        <f t="shared" si="649"/>
        <v/>
      </c>
      <c r="Q916" s="9" t="str">
        <f t="shared" si="650"/>
        <v/>
      </c>
      <c r="R916" s="14">
        <f t="shared" si="651"/>
        <v>0</v>
      </c>
      <c r="S916" s="61" t="str">
        <f t="shared" si="652"/>
        <v/>
      </c>
      <c r="T916" s="14">
        <f t="shared" si="653"/>
        <v>0</v>
      </c>
      <c r="U916" s="58" t="str">
        <f t="shared" si="654"/>
        <v/>
      </c>
      <c r="V916" s="14">
        <f t="shared" si="655"/>
        <v>0</v>
      </c>
      <c r="W916" s="58" t="str">
        <f t="shared" si="656"/>
        <v/>
      </c>
      <c r="X916" s="14">
        <f t="shared" si="657"/>
        <v>0</v>
      </c>
      <c r="Y916" s="58" t="str">
        <f t="shared" si="658"/>
        <v/>
      </c>
      <c r="Z916" s="31">
        <f t="shared" si="659"/>
        <v>0</v>
      </c>
      <c r="AA916" s="21">
        <f t="shared" si="660"/>
        <v>0</v>
      </c>
      <c r="AB916" s="58" t="str">
        <f t="shared" si="661"/>
        <v/>
      </c>
      <c r="AC916" s="630">
        <f t="shared" si="638"/>
        <v>0</v>
      </c>
      <c r="AD916" s="627"/>
      <c r="AE916" s="21">
        <f t="shared" si="662"/>
        <v>0</v>
      </c>
      <c r="AF916" s="58" t="str">
        <f t="shared" si="663"/>
        <v/>
      </c>
      <c r="AG916" s="21">
        <f t="shared" si="664"/>
        <v>0</v>
      </c>
      <c r="AH916" s="58" t="str">
        <f t="shared" si="665"/>
        <v/>
      </c>
      <c r="AI916" s="21">
        <f t="shared" si="666"/>
        <v>0</v>
      </c>
      <c r="AJ916" s="58" t="str">
        <f t="shared" si="667"/>
        <v/>
      </c>
      <c r="AK916" s="31">
        <f t="shared" si="668"/>
        <v>0</v>
      </c>
      <c r="AL916" s="21">
        <f t="shared" si="669"/>
        <v>0</v>
      </c>
      <c r="AM916" s="62" t="str">
        <f t="shared" si="670"/>
        <v/>
      </c>
      <c r="AN916" s="21">
        <f t="shared" si="671"/>
        <v>0</v>
      </c>
      <c r="AO916" s="62" t="str">
        <f t="shared" si="672"/>
        <v/>
      </c>
      <c r="AP916" s="21">
        <f t="shared" si="673"/>
        <v>0</v>
      </c>
      <c r="AQ916" s="62" t="str">
        <f t="shared" si="674"/>
        <v/>
      </c>
      <c r="AR916" s="31">
        <f t="shared" si="675"/>
        <v>0</v>
      </c>
      <c r="AS916" s="21">
        <f t="shared" si="676"/>
        <v>0</v>
      </c>
      <c r="AT916" s="62" t="str">
        <f t="shared" si="677"/>
        <v/>
      </c>
      <c r="AU916" s="84">
        <f t="shared" si="678"/>
        <v>0</v>
      </c>
      <c r="AV916" s="32">
        <f t="shared" si="679"/>
        <v>0</v>
      </c>
      <c r="AW916" s="85" t="str">
        <f t="shared" si="680"/>
        <v/>
      </c>
      <c r="AX916" s="86" t="str">
        <f t="shared" si="681"/>
        <v/>
      </c>
    </row>
    <row r="917" spans="1:50" x14ac:dyDescent="0.2">
      <c r="A917" s="29" t="str">
        <f t="shared" si="639"/>
        <v/>
      </c>
      <c r="B917" s="32" t="str">
        <f t="shared" si="640"/>
        <v/>
      </c>
      <c r="C917" s="35"/>
      <c r="D917" s="33" t="str">
        <f t="shared" si="641"/>
        <v/>
      </c>
      <c r="E917" s="22" t="str">
        <f t="shared" si="642"/>
        <v/>
      </c>
      <c r="F917" s="23" t="str">
        <f t="shared" si="643"/>
        <v/>
      </c>
      <c r="G917" s="23"/>
      <c r="H917" s="22"/>
      <c r="I917" s="23"/>
      <c r="J917" s="18"/>
      <c r="K917" s="13" t="str">
        <f t="shared" si="644"/>
        <v/>
      </c>
      <c r="L917" s="28" t="str">
        <f t="shared" si="645"/>
        <v/>
      </c>
      <c r="M917" s="10" t="str">
        <f t="shared" si="646"/>
        <v/>
      </c>
      <c r="N917" s="17" t="str">
        <f t="shared" si="647"/>
        <v/>
      </c>
      <c r="O917" s="39" t="str">
        <f t="shared" si="648"/>
        <v/>
      </c>
      <c r="P917" s="41" t="str">
        <f t="shared" si="649"/>
        <v/>
      </c>
      <c r="Q917" s="9" t="str">
        <f t="shared" si="650"/>
        <v/>
      </c>
      <c r="R917" s="14">
        <f t="shared" si="651"/>
        <v>0</v>
      </c>
      <c r="S917" s="61" t="str">
        <f t="shared" si="652"/>
        <v/>
      </c>
      <c r="T917" s="14">
        <f t="shared" si="653"/>
        <v>0</v>
      </c>
      <c r="U917" s="58" t="str">
        <f t="shared" si="654"/>
        <v/>
      </c>
      <c r="V917" s="14">
        <f t="shared" si="655"/>
        <v>0</v>
      </c>
      <c r="W917" s="58" t="str">
        <f t="shared" si="656"/>
        <v/>
      </c>
      <c r="X917" s="14">
        <f t="shared" si="657"/>
        <v>0</v>
      </c>
      <c r="Y917" s="58" t="str">
        <f t="shared" si="658"/>
        <v/>
      </c>
      <c r="Z917" s="31">
        <f t="shared" si="659"/>
        <v>0</v>
      </c>
      <c r="AA917" s="21">
        <f t="shared" si="660"/>
        <v>0</v>
      </c>
      <c r="AB917" s="58" t="str">
        <f t="shared" si="661"/>
        <v/>
      </c>
      <c r="AC917" s="630">
        <f t="shared" ref="AC917:AC980" si="682">COUNTIF(G917:J917,100)</f>
        <v>0</v>
      </c>
      <c r="AD917" s="627"/>
      <c r="AE917" s="21">
        <f t="shared" si="662"/>
        <v>0</v>
      </c>
      <c r="AF917" s="58" t="str">
        <f t="shared" si="663"/>
        <v/>
      </c>
      <c r="AG917" s="21">
        <f t="shared" si="664"/>
        <v>0</v>
      </c>
      <c r="AH917" s="58" t="str">
        <f t="shared" si="665"/>
        <v/>
      </c>
      <c r="AI917" s="21">
        <f t="shared" si="666"/>
        <v>0</v>
      </c>
      <c r="AJ917" s="58" t="str">
        <f t="shared" si="667"/>
        <v/>
      </c>
      <c r="AK917" s="31">
        <f t="shared" si="668"/>
        <v>0</v>
      </c>
      <c r="AL917" s="21">
        <f t="shared" si="669"/>
        <v>0</v>
      </c>
      <c r="AM917" s="62" t="str">
        <f t="shared" si="670"/>
        <v/>
      </c>
      <c r="AN917" s="21">
        <f t="shared" si="671"/>
        <v>0</v>
      </c>
      <c r="AO917" s="62" t="str">
        <f t="shared" si="672"/>
        <v/>
      </c>
      <c r="AP917" s="21">
        <f t="shared" si="673"/>
        <v>0</v>
      </c>
      <c r="AQ917" s="62" t="str">
        <f t="shared" si="674"/>
        <v/>
      </c>
      <c r="AR917" s="31">
        <f t="shared" si="675"/>
        <v>0</v>
      </c>
      <c r="AS917" s="21">
        <f t="shared" si="676"/>
        <v>0</v>
      </c>
      <c r="AT917" s="62" t="str">
        <f t="shared" si="677"/>
        <v/>
      </c>
      <c r="AU917" s="84">
        <f t="shared" si="678"/>
        <v>0</v>
      </c>
      <c r="AV917" s="32">
        <f t="shared" si="679"/>
        <v>0</v>
      </c>
      <c r="AW917" s="85" t="str">
        <f t="shared" si="680"/>
        <v/>
      </c>
      <c r="AX917" s="86" t="str">
        <f t="shared" si="681"/>
        <v/>
      </c>
    </row>
    <row r="918" spans="1:50" x14ac:dyDescent="0.2">
      <c r="A918" s="29" t="str">
        <f t="shared" si="639"/>
        <v/>
      </c>
      <c r="B918" s="32" t="str">
        <f t="shared" si="640"/>
        <v/>
      </c>
      <c r="C918" s="35"/>
      <c r="D918" s="33" t="str">
        <f t="shared" si="641"/>
        <v/>
      </c>
      <c r="E918" s="22" t="str">
        <f t="shared" si="642"/>
        <v/>
      </c>
      <c r="F918" s="23" t="str">
        <f t="shared" si="643"/>
        <v/>
      </c>
      <c r="G918" s="23"/>
      <c r="H918" s="22"/>
      <c r="I918" s="23"/>
      <c r="J918" s="18"/>
      <c r="K918" s="13" t="str">
        <f t="shared" si="644"/>
        <v/>
      </c>
      <c r="L918" s="28" t="str">
        <f t="shared" si="645"/>
        <v/>
      </c>
      <c r="M918" s="10" t="str">
        <f t="shared" si="646"/>
        <v/>
      </c>
      <c r="N918" s="17" t="str">
        <f t="shared" si="647"/>
        <v/>
      </c>
      <c r="O918" s="39" t="str">
        <f t="shared" si="648"/>
        <v/>
      </c>
      <c r="P918" s="41" t="str">
        <f t="shared" si="649"/>
        <v/>
      </c>
      <c r="Q918" s="9" t="str">
        <f t="shared" si="650"/>
        <v/>
      </c>
      <c r="R918" s="14">
        <f t="shared" si="651"/>
        <v>0</v>
      </c>
      <c r="S918" s="61" t="str">
        <f t="shared" si="652"/>
        <v/>
      </c>
      <c r="T918" s="14">
        <f t="shared" si="653"/>
        <v>0</v>
      </c>
      <c r="U918" s="58" t="str">
        <f t="shared" si="654"/>
        <v/>
      </c>
      <c r="V918" s="14">
        <f t="shared" si="655"/>
        <v>0</v>
      </c>
      <c r="W918" s="58" t="str">
        <f t="shared" si="656"/>
        <v/>
      </c>
      <c r="X918" s="14">
        <f t="shared" si="657"/>
        <v>0</v>
      </c>
      <c r="Y918" s="58" t="str">
        <f t="shared" si="658"/>
        <v/>
      </c>
      <c r="Z918" s="31">
        <f t="shared" si="659"/>
        <v>0</v>
      </c>
      <c r="AA918" s="21">
        <f t="shared" si="660"/>
        <v>0</v>
      </c>
      <c r="AB918" s="58" t="str">
        <f t="shared" si="661"/>
        <v/>
      </c>
      <c r="AC918" s="630">
        <f t="shared" si="682"/>
        <v>0</v>
      </c>
      <c r="AD918" s="627"/>
      <c r="AE918" s="21">
        <f t="shared" si="662"/>
        <v>0</v>
      </c>
      <c r="AF918" s="58" t="str">
        <f t="shared" si="663"/>
        <v/>
      </c>
      <c r="AG918" s="21">
        <f t="shared" si="664"/>
        <v>0</v>
      </c>
      <c r="AH918" s="58" t="str">
        <f t="shared" si="665"/>
        <v/>
      </c>
      <c r="AI918" s="21">
        <f t="shared" si="666"/>
        <v>0</v>
      </c>
      <c r="AJ918" s="58" t="str">
        <f t="shared" si="667"/>
        <v/>
      </c>
      <c r="AK918" s="31">
        <f t="shared" si="668"/>
        <v>0</v>
      </c>
      <c r="AL918" s="21">
        <f t="shared" si="669"/>
        <v>0</v>
      </c>
      <c r="AM918" s="62" t="str">
        <f t="shared" si="670"/>
        <v/>
      </c>
      <c r="AN918" s="21">
        <f t="shared" si="671"/>
        <v>0</v>
      </c>
      <c r="AO918" s="62" t="str">
        <f t="shared" si="672"/>
        <v/>
      </c>
      <c r="AP918" s="21">
        <f t="shared" si="673"/>
        <v>0</v>
      </c>
      <c r="AQ918" s="62" t="str">
        <f t="shared" si="674"/>
        <v/>
      </c>
      <c r="AR918" s="31">
        <f t="shared" si="675"/>
        <v>0</v>
      </c>
      <c r="AS918" s="21">
        <f t="shared" si="676"/>
        <v>0</v>
      </c>
      <c r="AT918" s="62" t="str">
        <f t="shared" si="677"/>
        <v/>
      </c>
      <c r="AU918" s="84">
        <f t="shared" si="678"/>
        <v>0</v>
      </c>
      <c r="AV918" s="32">
        <f t="shared" si="679"/>
        <v>0</v>
      </c>
      <c r="AW918" s="85" t="str">
        <f t="shared" si="680"/>
        <v/>
      </c>
      <c r="AX918" s="86" t="str">
        <f t="shared" si="681"/>
        <v/>
      </c>
    </row>
    <row r="919" spans="1:50" x14ac:dyDescent="0.2">
      <c r="A919" s="29" t="str">
        <f t="shared" si="639"/>
        <v/>
      </c>
      <c r="B919" s="32" t="str">
        <f t="shared" si="640"/>
        <v/>
      </c>
      <c r="C919" s="35"/>
      <c r="D919" s="33" t="str">
        <f t="shared" si="641"/>
        <v/>
      </c>
      <c r="E919" s="22" t="str">
        <f t="shared" si="642"/>
        <v/>
      </c>
      <c r="F919" s="23" t="str">
        <f t="shared" si="643"/>
        <v/>
      </c>
      <c r="G919" s="23"/>
      <c r="H919" s="22"/>
      <c r="I919" s="23"/>
      <c r="J919" s="18"/>
      <c r="K919" s="13" t="str">
        <f t="shared" si="644"/>
        <v/>
      </c>
      <c r="L919" s="28" t="str">
        <f t="shared" si="645"/>
        <v/>
      </c>
      <c r="M919" s="10" t="str">
        <f t="shared" si="646"/>
        <v/>
      </c>
      <c r="N919" s="17" t="str">
        <f t="shared" si="647"/>
        <v/>
      </c>
      <c r="O919" s="39" t="str">
        <f t="shared" si="648"/>
        <v/>
      </c>
      <c r="P919" s="41" t="str">
        <f t="shared" si="649"/>
        <v/>
      </c>
      <c r="Q919" s="9" t="str">
        <f t="shared" si="650"/>
        <v/>
      </c>
      <c r="R919" s="14">
        <f t="shared" si="651"/>
        <v>0</v>
      </c>
      <c r="S919" s="61" t="str">
        <f t="shared" si="652"/>
        <v/>
      </c>
      <c r="T919" s="14">
        <f t="shared" si="653"/>
        <v>0</v>
      </c>
      <c r="U919" s="58" t="str">
        <f t="shared" si="654"/>
        <v/>
      </c>
      <c r="V919" s="14">
        <f t="shared" si="655"/>
        <v>0</v>
      </c>
      <c r="W919" s="58" t="str">
        <f t="shared" si="656"/>
        <v/>
      </c>
      <c r="X919" s="14">
        <f t="shared" si="657"/>
        <v>0</v>
      </c>
      <c r="Y919" s="58" t="str">
        <f t="shared" si="658"/>
        <v/>
      </c>
      <c r="Z919" s="31">
        <f t="shared" si="659"/>
        <v>0</v>
      </c>
      <c r="AA919" s="21">
        <f t="shared" si="660"/>
        <v>0</v>
      </c>
      <c r="AB919" s="58" t="str">
        <f t="shared" si="661"/>
        <v/>
      </c>
      <c r="AC919" s="630">
        <f t="shared" si="682"/>
        <v>0</v>
      </c>
      <c r="AD919" s="627"/>
      <c r="AE919" s="21">
        <f t="shared" si="662"/>
        <v>0</v>
      </c>
      <c r="AF919" s="58" t="str">
        <f t="shared" si="663"/>
        <v/>
      </c>
      <c r="AG919" s="21">
        <f t="shared" si="664"/>
        <v>0</v>
      </c>
      <c r="AH919" s="58" t="str">
        <f t="shared" si="665"/>
        <v/>
      </c>
      <c r="AI919" s="21">
        <f t="shared" si="666"/>
        <v>0</v>
      </c>
      <c r="AJ919" s="58" t="str">
        <f t="shared" si="667"/>
        <v/>
      </c>
      <c r="AK919" s="31">
        <f t="shared" si="668"/>
        <v>0</v>
      </c>
      <c r="AL919" s="21">
        <f t="shared" si="669"/>
        <v>0</v>
      </c>
      <c r="AM919" s="62" t="str">
        <f t="shared" si="670"/>
        <v/>
      </c>
      <c r="AN919" s="21">
        <f t="shared" si="671"/>
        <v>0</v>
      </c>
      <c r="AO919" s="62" t="str">
        <f t="shared" si="672"/>
        <v/>
      </c>
      <c r="AP919" s="21">
        <f t="shared" si="673"/>
        <v>0</v>
      </c>
      <c r="AQ919" s="62" t="str">
        <f t="shared" si="674"/>
        <v/>
      </c>
      <c r="AR919" s="31">
        <f t="shared" si="675"/>
        <v>0</v>
      </c>
      <c r="AS919" s="21">
        <f t="shared" si="676"/>
        <v>0</v>
      </c>
      <c r="AT919" s="62" t="str">
        <f t="shared" si="677"/>
        <v/>
      </c>
      <c r="AU919" s="84">
        <f t="shared" si="678"/>
        <v>0</v>
      </c>
      <c r="AV919" s="32">
        <f t="shared" si="679"/>
        <v>0</v>
      </c>
      <c r="AW919" s="85" t="str">
        <f t="shared" si="680"/>
        <v/>
      </c>
      <c r="AX919" s="86" t="str">
        <f t="shared" si="681"/>
        <v/>
      </c>
    </row>
    <row r="920" spans="1:50" x14ac:dyDescent="0.2">
      <c r="A920" s="29" t="str">
        <f t="shared" si="639"/>
        <v/>
      </c>
      <c r="B920" s="32" t="str">
        <f t="shared" si="640"/>
        <v/>
      </c>
      <c r="C920" s="35"/>
      <c r="D920" s="33" t="str">
        <f t="shared" si="641"/>
        <v/>
      </c>
      <c r="E920" s="22" t="str">
        <f t="shared" si="642"/>
        <v/>
      </c>
      <c r="F920" s="23" t="str">
        <f t="shared" si="643"/>
        <v/>
      </c>
      <c r="G920" s="23"/>
      <c r="H920" s="22"/>
      <c r="I920" s="23"/>
      <c r="J920" s="18"/>
      <c r="K920" s="13" t="str">
        <f t="shared" si="644"/>
        <v/>
      </c>
      <c r="L920" s="28" t="str">
        <f t="shared" si="645"/>
        <v/>
      </c>
      <c r="M920" s="10" t="str">
        <f t="shared" si="646"/>
        <v/>
      </c>
      <c r="N920" s="17" t="str">
        <f t="shared" si="647"/>
        <v/>
      </c>
      <c r="O920" s="39" t="str">
        <f t="shared" si="648"/>
        <v/>
      </c>
      <c r="P920" s="41" t="str">
        <f t="shared" si="649"/>
        <v/>
      </c>
      <c r="Q920" s="9" t="str">
        <f t="shared" si="650"/>
        <v/>
      </c>
      <c r="R920" s="14">
        <f t="shared" si="651"/>
        <v>0</v>
      </c>
      <c r="S920" s="61" t="str">
        <f t="shared" si="652"/>
        <v/>
      </c>
      <c r="T920" s="14">
        <f t="shared" si="653"/>
        <v>0</v>
      </c>
      <c r="U920" s="58" t="str">
        <f t="shared" si="654"/>
        <v/>
      </c>
      <c r="V920" s="14">
        <f t="shared" si="655"/>
        <v>0</v>
      </c>
      <c r="W920" s="58" t="str">
        <f t="shared" si="656"/>
        <v/>
      </c>
      <c r="X920" s="14">
        <f t="shared" si="657"/>
        <v>0</v>
      </c>
      <c r="Y920" s="58" t="str">
        <f t="shared" si="658"/>
        <v/>
      </c>
      <c r="Z920" s="31">
        <f t="shared" si="659"/>
        <v>0</v>
      </c>
      <c r="AA920" s="21">
        <f t="shared" si="660"/>
        <v>0</v>
      </c>
      <c r="AB920" s="58" t="str">
        <f t="shared" si="661"/>
        <v/>
      </c>
      <c r="AC920" s="630">
        <f t="shared" si="682"/>
        <v>0</v>
      </c>
      <c r="AD920" s="627"/>
      <c r="AE920" s="21">
        <f t="shared" si="662"/>
        <v>0</v>
      </c>
      <c r="AF920" s="58" t="str">
        <f t="shared" si="663"/>
        <v/>
      </c>
      <c r="AG920" s="21">
        <f t="shared" si="664"/>
        <v>0</v>
      </c>
      <c r="AH920" s="58" t="str">
        <f t="shared" si="665"/>
        <v/>
      </c>
      <c r="AI920" s="21">
        <f t="shared" si="666"/>
        <v>0</v>
      </c>
      <c r="AJ920" s="58" t="str">
        <f t="shared" si="667"/>
        <v/>
      </c>
      <c r="AK920" s="31">
        <f t="shared" si="668"/>
        <v>0</v>
      </c>
      <c r="AL920" s="21">
        <f t="shared" si="669"/>
        <v>0</v>
      </c>
      <c r="AM920" s="62" t="str">
        <f t="shared" si="670"/>
        <v/>
      </c>
      <c r="AN920" s="21">
        <f t="shared" si="671"/>
        <v>0</v>
      </c>
      <c r="AO920" s="62" t="str">
        <f t="shared" si="672"/>
        <v/>
      </c>
      <c r="AP920" s="21">
        <f t="shared" si="673"/>
        <v>0</v>
      </c>
      <c r="AQ920" s="62" t="str">
        <f t="shared" si="674"/>
        <v/>
      </c>
      <c r="AR920" s="31">
        <f t="shared" si="675"/>
        <v>0</v>
      </c>
      <c r="AS920" s="21">
        <f t="shared" si="676"/>
        <v>0</v>
      </c>
      <c r="AT920" s="62" t="str">
        <f t="shared" si="677"/>
        <v/>
      </c>
      <c r="AU920" s="84">
        <f t="shared" si="678"/>
        <v>0</v>
      </c>
      <c r="AV920" s="32">
        <f t="shared" si="679"/>
        <v>0</v>
      </c>
      <c r="AW920" s="85" t="str">
        <f t="shared" si="680"/>
        <v/>
      </c>
      <c r="AX920" s="86" t="str">
        <f t="shared" si="681"/>
        <v/>
      </c>
    </row>
    <row r="921" spans="1:50" x14ac:dyDescent="0.2">
      <c r="A921" s="29" t="str">
        <f t="shared" si="639"/>
        <v/>
      </c>
      <c r="B921" s="32" t="str">
        <f t="shared" si="640"/>
        <v/>
      </c>
      <c r="C921" s="35"/>
      <c r="D921" s="33" t="str">
        <f t="shared" si="641"/>
        <v/>
      </c>
      <c r="E921" s="22" t="str">
        <f t="shared" si="642"/>
        <v/>
      </c>
      <c r="F921" s="23" t="str">
        <f t="shared" si="643"/>
        <v/>
      </c>
      <c r="G921" s="23"/>
      <c r="H921" s="22"/>
      <c r="I921" s="23"/>
      <c r="J921" s="18"/>
      <c r="K921" s="13" t="str">
        <f t="shared" si="644"/>
        <v/>
      </c>
      <c r="L921" s="28" t="str">
        <f t="shared" si="645"/>
        <v/>
      </c>
      <c r="M921" s="10" t="str">
        <f t="shared" si="646"/>
        <v/>
      </c>
      <c r="N921" s="17" t="str">
        <f t="shared" si="647"/>
        <v/>
      </c>
      <c r="O921" s="39" t="str">
        <f t="shared" si="648"/>
        <v/>
      </c>
      <c r="P921" s="41" t="str">
        <f t="shared" si="649"/>
        <v/>
      </c>
      <c r="Q921" s="9" t="str">
        <f t="shared" si="650"/>
        <v/>
      </c>
      <c r="R921" s="14">
        <f t="shared" si="651"/>
        <v>0</v>
      </c>
      <c r="S921" s="61" t="str">
        <f t="shared" si="652"/>
        <v/>
      </c>
      <c r="T921" s="14">
        <f t="shared" si="653"/>
        <v>0</v>
      </c>
      <c r="U921" s="58" t="str">
        <f t="shared" si="654"/>
        <v/>
      </c>
      <c r="V921" s="14">
        <f t="shared" si="655"/>
        <v>0</v>
      </c>
      <c r="W921" s="58" t="str">
        <f t="shared" si="656"/>
        <v/>
      </c>
      <c r="X921" s="14">
        <f t="shared" si="657"/>
        <v>0</v>
      </c>
      <c r="Y921" s="58" t="str">
        <f t="shared" si="658"/>
        <v/>
      </c>
      <c r="Z921" s="31">
        <f t="shared" si="659"/>
        <v>0</v>
      </c>
      <c r="AA921" s="21">
        <f t="shared" si="660"/>
        <v>0</v>
      </c>
      <c r="AB921" s="58" t="str">
        <f t="shared" si="661"/>
        <v/>
      </c>
      <c r="AC921" s="630">
        <f t="shared" si="682"/>
        <v>0</v>
      </c>
      <c r="AD921" s="627"/>
      <c r="AE921" s="21">
        <f t="shared" si="662"/>
        <v>0</v>
      </c>
      <c r="AF921" s="58" t="str">
        <f t="shared" si="663"/>
        <v/>
      </c>
      <c r="AG921" s="21">
        <f t="shared" si="664"/>
        <v>0</v>
      </c>
      <c r="AH921" s="58" t="str">
        <f t="shared" si="665"/>
        <v/>
      </c>
      <c r="AI921" s="21">
        <f t="shared" si="666"/>
        <v>0</v>
      </c>
      <c r="AJ921" s="58" t="str">
        <f t="shared" si="667"/>
        <v/>
      </c>
      <c r="AK921" s="31">
        <f t="shared" si="668"/>
        <v>0</v>
      </c>
      <c r="AL921" s="21">
        <f t="shared" si="669"/>
        <v>0</v>
      </c>
      <c r="AM921" s="62" t="str">
        <f t="shared" si="670"/>
        <v/>
      </c>
      <c r="AN921" s="21">
        <f t="shared" si="671"/>
        <v>0</v>
      </c>
      <c r="AO921" s="62" t="str">
        <f t="shared" si="672"/>
        <v/>
      </c>
      <c r="AP921" s="21">
        <f t="shared" si="673"/>
        <v>0</v>
      </c>
      <c r="AQ921" s="62" t="str">
        <f t="shared" si="674"/>
        <v/>
      </c>
      <c r="AR921" s="31">
        <f t="shared" si="675"/>
        <v>0</v>
      </c>
      <c r="AS921" s="21">
        <f t="shared" si="676"/>
        <v>0</v>
      </c>
      <c r="AT921" s="62" t="str">
        <f t="shared" si="677"/>
        <v/>
      </c>
      <c r="AU921" s="84">
        <f t="shared" si="678"/>
        <v>0</v>
      </c>
      <c r="AV921" s="32">
        <f t="shared" si="679"/>
        <v>0</v>
      </c>
      <c r="AW921" s="85" t="str">
        <f t="shared" si="680"/>
        <v/>
      </c>
      <c r="AX921" s="86" t="str">
        <f t="shared" si="681"/>
        <v/>
      </c>
    </row>
    <row r="922" spans="1:50" x14ac:dyDescent="0.2">
      <c r="A922" s="29" t="str">
        <f t="shared" si="639"/>
        <v/>
      </c>
      <c r="B922" s="32" t="str">
        <f t="shared" si="640"/>
        <v/>
      </c>
      <c r="C922" s="35"/>
      <c r="D922" s="33" t="str">
        <f t="shared" si="641"/>
        <v/>
      </c>
      <c r="E922" s="22" t="str">
        <f t="shared" si="642"/>
        <v/>
      </c>
      <c r="F922" s="23" t="str">
        <f t="shared" si="643"/>
        <v/>
      </c>
      <c r="G922" s="23"/>
      <c r="H922" s="22"/>
      <c r="I922" s="23"/>
      <c r="J922" s="18"/>
      <c r="K922" s="13" t="str">
        <f t="shared" si="644"/>
        <v/>
      </c>
      <c r="L922" s="28" t="str">
        <f t="shared" si="645"/>
        <v/>
      </c>
      <c r="M922" s="10" t="str">
        <f t="shared" si="646"/>
        <v/>
      </c>
      <c r="N922" s="17" t="str">
        <f t="shared" si="647"/>
        <v/>
      </c>
      <c r="O922" s="39" t="str">
        <f t="shared" si="648"/>
        <v/>
      </c>
      <c r="P922" s="41" t="str">
        <f t="shared" si="649"/>
        <v/>
      </c>
      <c r="Q922" s="9" t="str">
        <f t="shared" si="650"/>
        <v/>
      </c>
      <c r="R922" s="14">
        <f t="shared" si="651"/>
        <v>0</v>
      </c>
      <c r="S922" s="61" t="str">
        <f t="shared" si="652"/>
        <v/>
      </c>
      <c r="T922" s="14">
        <f t="shared" si="653"/>
        <v>0</v>
      </c>
      <c r="U922" s="58" t="str">
        <f t="shared" si="654"/>
        <v/>
      </c>
      <c r="V922" s="14">
        <f t="shared" si="655"/>
        <v>0</v>
      </c>
      <c r="W922" s="58" t="str">
        <f t="shared" si="656"/>
        <v/>
      </c>
      <c r="X922" s="14">
        <f t="shared" si="657"/>
        <v>0</v>
      </c>
      <c r="Y922" s="58" t="str">
        <f t="shared" si="658"/>
        <v/>
      </c>
      <c r="Z922" s="31">
        <f t="shared" si="659"/>
        <v>0</v>
      </c>
      <c r="AA922" s="21">
        <f t="shared" si="660"/>
        <v>0</v>
      </c>
      <c r="AB922" s="58" t="str">
        <f t="shared" si="661"/>
        <v/>
      </c>
      <c r="AC922" s="630">
        <f t="shared" si="682"/>
        <v>0</v>
      </c>
      <c r="AD922" s="627"/>
      <c r="AE922" s="21">
        <f t="shared" si="662"/>
        <v>0</v>
      </c>
      <c r="AF922" s="58" t="str">
        <f t="shared" si="663"/>
        <v/>
      </c>
      <c r="AG922" s="21">
        <f t="shared" si="664"/>
        <v>0</v>
      </c>
      <c r="AH922" s="58" t="str">
        <f t="shared" si="665"/>
        <v/>
      </c>
      <c r="AI922" s="21">
        <f t="shared" si="666"/>
        <v>0</v>
      </c>
      <c r="AJ922" s="58" t="str">
        <f t="shared" si="667"/>
        <v/>
      </c>
      <c r="AK922" s="31">
        <f t="shared" si="668"/>
        <v>0</v>
      </c>
      <c r="AL922" s="21">
        <f t="shared" si="669"/>
        <v>0</v>
      </c>
      <c r="AM922" s="62" t="str">
        <f t="shared" si="670"/>
        <v/>
      </c>
      <c r="AN922" s="21">
        <f t="shared" si="671"/>
        <v>0</v>
      </c>
      <c r="AO922" s="62" t="str">
        <f t="shared" si="672"/>
        <v/>
      </c>
      <c r="AP922" s="21">
        <f t="shared" si="673"/>
        <v>0</v>
      </c>
      <c r="AQ922" s="62" t="str">
        <f t="shared" si="674"/>
        <v/>
      </c>
      <c r="AR922" s="31">
        <f t="shared" si="675"/>
        <v>0</v>
      </c>
      <c r="AS922" s="21">
        <f t="shared" si="676"/>
        <v>0</v>
      </c>
      <c r="AT922" s="62" t="str">
        <f t="shared" si="677"/>
        <v/>
      </c>
      <c r="AU922" s="84">
        <f t="shared" si="678"/>
        <v>0</v>
      </c>
      <c r="AV922" s="32">
        <f t="shared" si="679"/>
        <v>0</v>
      </c>
      <c r="AW922" s="85" t="str">
        <f t="shared" si="680"/>
        <v/>
      </c>
      <c r="AX922" s="86" t="str">
        <f t="shared" si="681"/>
        <v/>
      </c>
    </row>
    <row r="923" spans="1:50" x14ac:dyDescent="0.2">
      <c r="A923" s="29" t="str">
        <f t="shared" si="639"/>
        <v/>
      </c>
      <c r="B923" s="32" t="str">
        <f t="shared" si="640"/>
        <v/>
      </c>
      <c r="C923" s="35"/>
      <c r="D923" s="33" t="str">
        <f t="shared" si="641"/>
        <v/>
      </c>
      <c r="E923" s="22" t="str">
        <f t="shared" si="642"/>
        <v/>
      </c>
      <c r="F923" s="23" t="str">
        <f t="shared" si="643"/>
        <v/>
      </c>
      <c r="G923" s="23"/>
      <c r="H923" s="22"/>
      <c r="I923" s="23"/>
      <c r="J923" s="18"/>
      <c r="K923" s="13" t="str">
        <f t="shared" si="644"/>
        <v/>
      </c>
      <c r="L923" s="28" t="str">
        <f t="shared" si="645"/>
        <v/>
      </c>
      <c r="M923" s="10" t="str">
        <f t="shared" si="646"/>
        <v/>
      </c>
      <c r="N923" s="17" t="str">
        <f t="shared" si="647"/>
        <v/>
      </c>
      <c r="O923" s="39" t="str">
        <f t="shared" si="648"/>
        <v/>
      </c>
      <c r="P923" s="41" t="str">
        <f t="shared" si="649"/>
        <v/>
      </c>
      <c r="Q923" s="9" t="str">
        <f t="shared" si="650"/>
        <v/>
      </c>
      <c r="R923" s="14">
        <f t="shared" si="651"/>
        <v>0</v>
      </c>
      <c r="S923" s="61" t="str">
        <f t="shared" si="652"/>
        <v/>
      </c>
      <c r="T923" s="14">
        <f t="shared" si="653"/>
        <v>0</v>
      </c>
      <c r="U923" s="58" t="str">
        <f t="shared" si="654"/>
        <v/>
      </c>
      <c r="V923" s="14">
        <f t="shared" si="655"/>
        <v>0</v>
      </c>
      <c r="W923" s="58" t="str">
        <f t="shared" si="656"/>
        <v/>
      </c>
      <c r="X923" s="14">
        <f t="shared" si="657"/>
        <v>0</v>
      </c>
      <c r="Y923" s="58" t="str">
        <f t="shared" si="658"/>
        <v/>
      </c>
      <c r="Z923" s="31">
        <f t="shared" si="659"/>
        <v>0</v>
      </c>
      <c r="AA923" s="21">
        <f t="shared" si="660"/>
        <v>0</v>
      </c>
      <c r="AB923" s="58" t="str">
        <f t="shared" si="661"/>
        <v/>
      </c>
      <c r="AC923" s="630">
        <f t="shared" si="682"/>
        <v>0</v>
      </c>
      <c r="AD923" s="627"/>
      <c r="AE923" s="21">
        <f t="shared" si="662"/>
        <v>0</v>
      </c>
      <c r="AF923" s="58" t="str">
        <f t="shared" si="663"/>
        <v/>
      </c>
      <c r="AG923" s="21">
        <f t="shared" si="664"/>
        <v>0</v>
      </c>
      <c r="AH923" s="58" t="str">
        <f t="shared" si="665"/>
        <v/>
      </c>
      <c r="AI923" s="21">
        <f t="shared" si="666"/>
        <v>0</v>
      </c>
      <c r="AJ923" s="58" t="str">
        <f t="shared" si="667"/>
        <v/>
      </c>
      <c r="AK923" s="31">
        <f t="shared" si="668"/>
        <v>0</v>
      </c>
      <c r="AL923" s="21">
        <f t="shared" si="669"/>
        <v>0</v>
      </c>
      <c r="AM923" s="62" t="str">
        <f t="shared" si="670"/>
        <v/>
      </c>
      <c r="AN923" s="21">
        <f t="shared" si="671"/>
        <v>0</v>
      </c>
      <c r="AO923" s="62" t="str">
        <f t="shared" si="672"/>
        <v/>
      </c>
      <c r="AP923" s="21">
        <f t="shared" si="673"/>
        <v>0</v>
      </c>
      <c r="AQ923" s="62" t="str">
        <f t="shared" si="674"/>
        <v/>
      </c>
      <c r="AR923" s="31">
        <f t="shared" si="675"/>
        <v>0</v>
      </c>
      <c r="AS923" s="21">
        <f t="shared" si="676"/>
        <v>0</v>
      </c>
      <c r="AT923" s="62" t="str">
        <f t="shared" si="677"/>
        <v/>
      </c>
      <c r="AU923" s="84">
        <f t="shared" si="678"/>
        <v>0</v>
      </c>
      <c r="AV923" s="32">
        <f t="shared" si="679"/>
        <v>0</v>
      </c>
      <c r="AW923" s="85" t="str">
        <f t="shared" si="680"/>
        <v/>
      </c>
      <c r="AX923" s="86" t="str">
        <f t="shared" si="681"/>
        <v/>
      </c>
    </row>
    <row r="924" spans="1:50" x14ac:dyDescent="0.2">
      <c r="A924" s="29" t="str">
        <f t="shared" si="639"/>
        <v/>
      </c>
      <c r="B924" s="32" t="str">
        <f t="shared" si="640"/>
        <v/>
      </c>
      <c r="C924" s="35"/>
      <c r="D924" s="33" t="str">
        <f t="shared" si="641"/>
        <v/>
      </c>
      <c r="E924" s="22" t="str">
        <f t="shared" si="642"/>
        <v/>
      </c>
      <c r="F924" s="23" t="str">
        <f t="shared" si="643"/>
        <v/>
      </c>
      <c r="G924" s="23"/>
      <c r="H924" s="22"/>
      <c r="I924" s="23"/>
      <c r="J924" s="18"/>
      <c r="K924" s="13" t="str">
        <f t="shared" si="644"/>
        <v/>
      </c>
      <c r="L924" s="28" t="str">
        <f t="shared" si="645"/>
        <v/>
      </c>
      <c r="M924" s="10" t="str">
        <f t="shared" si="646"/>
        <v/>
      </c>
      <c r="N924" s="17" t="str">
        <f t="shared" si="647"/>
        <v/>
      </c>
      <c r="O924" s="39" t="str">
        <f t="shared" si="648"/>
        <v/>
      </c>
      <c r="P924" s="41" t="str">
        <f t="shared" si="649"/>
        <v/>
      </c>
      <c r="Q924" s="9" t="str">
        <f t="shared" si="650"/>
        <v/>
      </c>
      <c r="R924" s="14">
        <f t="shared" si="651"/>
        <v>0</v>
      </c>
      <c r="S924" s="61" t="str">
        <f t="shared" si="652"/>
        <v/>
      </c>
      <c r="T924" s="14">
        <f t="shared" si="653"/>
        <v>0</v>
      </c>
      <c r="U924" s="58" t="str">
        <f t="shared" si="654"/>
        <v/>
      </c>
      <c r="V924" s="14">
        <f t="shared" si="655"/>
        <v>0</v>
      </c>
      <c r="W924" s="58" t="str">
        <f t="shared" si="656"/>
        <v/>
      </c>
      <c r="X924" s="14">
        <f t="shared" si="657"/>
        <v>0</v>
      </c>
      <c r="Y924" s="58" t="str">
        <f t="shared" si="658"/>
        <v/>
      </c>
      <c r="Z924" s="31">
        <f t="shared" si="659"/>
        <v>0</v>
      </c>
      <c r="AA924" s="21">
        <f t="shared" si="660"/>
        <v>0</v>
      </c>
      <c r="AB924" s="58" t="str">
        <f t="shared" si="661"/>
        <v/>
      </c>
      <c r="AC924" s="630">
        <f t="shared" si="682"/>
        <v>0</v>
      </c>
      <c r="AD924" s="627"/>
      <c r="AE924" s="21">
        <f t="shared" si="662"/>
        <v>0</v>
      </c>
      <c r="AF924" s="58" t="str">
        <f t="shared" si="663"/>
        <v/>
      </c>
      <c r="AG924" s="21">
        <f t="shared" si="664"/>
        <v>0</v>
      </c>
      <c r="AH924" s="58" t="str">
        <f t="shared" si="665"/>
        <v/>
      </c>
      <c r="AI924" s="21">
        <f t="shared" si="666"/>
        <v>0</v>
      </c>
      <c r="AJ924" s="58" t="str">
        <f t="shared" si="667"/>
        <v/>
      </c>
      <c r="AK924" s="31">
        <f t="shared" si="668"/>
        <v>0</v>
      </c>
      <c r="AL924" s="21">
        <f t="shared" si="669"/>
        <v>0</v>
      </c>
      <c r="AM924" s="62" t="str">
        <f t="shared" si="670"/>
        <v/>
      </c>
      <c r="AN924" s="21">
        <f t="shared" si="671"/>
        <v>0</v>
      </c>
      <c r="AO924" s="62" t="str">
        <f t="shared" si="672"/>
        <v/>
      </c>
      <c r="AP924" s="21">
        <f t="shared" si="673"/>
        <v>0</v>
      </c>
      <c r="AQ924" s="62" t="str">
        <f t="shared" si="674"/>
        <v/>
      </c>
      <c r="AR924" s="31">
        <f t="shared" si="675"/>
        <v>0</v>
      </c>
      <c r="AS924" s="21">
        <f t="shared" si="676"/>
        <v>0</v>
      </c>
      <c r="AT924" s="62" t="str">
        <f t="shared" si="677"/>
        <v/>
      </c>
      <c r="AU924" s="84">
        <f t="shared" si="678"/>
        <v>0</v>
      </c>
      <c r="AV924" s="32">
        <f t="shared" si="679"/>
        <v>0</v>
      </c>
      <c r="AW924" s="85" t="str">
        <f t="shared" si="680"/>
        <v/>
      </c>
      <c r="AX924" s="86" t="str">
        <f t="shared" si="681"/>
        <v/>
      </c>
    </row>
    <row r="925" spans="1:50" x14ac:dyDescent="0.2">
      <c r="A925" s="29" t="str">
        <f t="shared" si="639"/>
        <v/>
      </c>
      <c r="B925" s="32" t="str">
        <f t="shared" si="640"/>
        <v/>
      </c>
      <c r="C925" s="35"/>
      <c r="D925" s="33" t="str">
        <f t="shared" si="641"/>
        <v/>
      </c>
      <c r="E925" s="22" t="str">
        <f t="shared" si="642"/>
        <v/>
      </c>
      <c r="F925" s="23" t="str">
        <f t="shared" si="643"/>
        <v/>
      </c>
      <c r="G925" s="23"/>
      <c r="H925" s="22"/>
      <c r="I925" s="23"/>
      <c r="J925" s="18"/>
      <c r="K925" s="13" t="str">
        <f t="shared" si="644"/>
        <v/>
      </c>
      <c r="L925" s="28" t="str">
        <f t="shared" si="645"/>
        <v/>
      </c>
      <c r="M925" s="10" t="str">
        <f t="shared" si="646"/>
        <v/>
      </c>
      <c r="N925" s="17" t="str">
        <f t="shared" si="647"/>
        <v/>
      </c>
      <c r="O925" s="39" t="str">
        <f t="shared" si="648"/>
        <v/>
      </c>
      <c r="P925" s="41" t="str">
        <f t="shared" si="649"/>
        <v/>
      </c>
      <c r="Q925" s="9" t="str">
        <f t="shared" si="650"/>
        <v/>
      </c>
      <c r="R925" s="14">
        <f t="shared" si="651"/>
        <v>0</v>
      </c>
      <c r="S925" s="61" t="str">
        <f t="shared" si="652"/>
        <v/>
      </c>
      <c r="T925" s="14">
        <f t="shared" si="653"/>
        <v>0</v>
      </c>
      <c r="U925" s="58" t="str">
        <f t="shared" si="654"/>
        <v/>
      </c>
      <c r="V925" s="14">
        <f t="shared" si="655"/>
        <v>0</v>
      </c>
      <c r="W925" s="58" t="str">
        <f t="shared" si="656"/>
        <v/>
      </c>
      <c r="X925" s="14">
        <f t="shared" si="657"/>
        <v>0</v>
      </c>
      <c r="Y925" s="58" t="str">
        <f t="shared" si="658"/>
        <v/>
      </c>
      <c r="Z925" s="31">
        <f t="shared" si="659"/>
        <v>0</v>
      </c>
      <c r="AA925" s="21">
        <f t="shared" si="660"/>
        <v>0</v>
      </c>
      <c r="AB925" s="58" t="str">
        <f t="shared" si="661"/>
        <v/>
      </c>
      <c r="AC925" s="630">
        <f t="shared" si="682"/>
        <v>0</v>
      </c>
      <c r="AD925" s="627"/>
      <c r="AE925" s="21">
        <f t="shared" si="662"/>
        <v>0</v>
      </c>
      <c r="AF925" s="58" t="str">
        <f t="shared" si="663"/>
        <v/>
      </c>
      <c r="AG925" s="21">
        <f t="shared" si="664"/>
        <v>0</v>
      </c>
      <c r="AH925" s="58" t="str">
        <f t="shared" si="665"/>
        <v/>
      </c>
      <c r="AI925" s="21">
        <f t="shared" si="666"/>
        <v>0</v>
      </c>
      <c r="AJ925" s="58" t="str">
        <f t="shared" si="667"/>
        <v/>
      </c>
      <c r="AK925" s="31">
        <f t="shared" si="668"/>
        <v>0</v>
      </c>
      <c r="AL925" s="21">
        <f t="shared" si="669"/>
        <v>0</v>
      </c>
      <c r="AM925" s="62" t="str">
        <f t="shared" si="670"/>
        <v/>
      </c>
      <c r="AN925" s="21">
        <f t="shared" si="671"/>
        <v>0</v>
      </c>
      <c r="AO925" s="62" t="str">
        <f t="shared" si="672"/>
        <v/>
      </c>
      <c r="AP925" s="21">
        <f t="shared" si="673"/>
        <v>0</v>
      </c>
      <c r="AQ925" s="62" t="str">
        <f t="shared" si="674"/>
        <v/>
      </c>
      <c r="AR925" s="31">
        <f t="shared" si="675"/>
        <v>0</v>
      </c>
      <c r="AS925" s="21">
        <f t="shared" si="676"/>
        <v>0</v>
      </c>
      <c r="AT925" s="62" t="str">
        <f t="shared" si="677"/>
        <v/>
      </c>
      <c r="AU925" s="84">
        <f t="shared" si="678"/>
        <v>0</v>
      </c>
      <c r="AV925" s="32">
        <f t="shared" si="679"/>
        <v>0</v>
      </c>
      <c r="AW925" s="85" t="str">
        <f t="shared" si="680"/>
        <v/>
      </c>
      <c r="AX925" s="86" t="str">
        <f t="shared" si="681"/>
        <v/>
      </c>
    </row>
    <row r="926" spans="1:50" x14ac:dyDescent="0.2">
      <c r="A926" s="29" t="str">
        <f t="shared" si="639"/>
        <v/>
      </c>
      <c r="B926" s="32" t="str">
        <f t="shared" si="640"/>
        <v/>
      </c>
      <c r="C926" s="35"/>
      <c r="D926" s="33" t="str">
        <f t="shared" si="641"/>
        <v/>
      </c>
      <c r="E926" s="22" t="str">
        <f t="shared" si="642"/>
        <v/>
      </c>
      <c r="F926" s="23" t="str">
        <f t="shared" si="643"/>
        <v/>
      </c>
      <c r="G926" s="23"/>
      <c r="H926" s="22"/>
      <c r="I926" s="23"/>
      <c r="J926" s="18"/>
      <c r="K926" s="13" t="str">
        <f t="shared" si="644"/>
        <v/>
      </c>
      <c r="L926" s="28" t="str">
        <f t="shared" si="645"/>
        <v/>
      </c>
      <c r="M926" s="10" t="str">
        <f t="shared" si="646"/>
        <v/>
      </c>
      <c r="N926" s="17" t="str">
        <f t="shared" si="647"/>
        <v/>
      </c>
      <c r="O926" s="39" t="str">
        <f t="shared" si="648"/>
        <v/>
      </c>
      <c r="P926" s="41" t="str">
        <f t="shared" si="649"/>
        <v/>
      </c>
      <c r="Q926" s="9" t="str">
        <f t="shared" si="650"/>
        <v/>
      </c>
      <c r="R926" s="14">
        <f t="shared" si="651"/>
        <v>0</v>
      </c>
      <c r="S926" s="61" t="str">
        <f t="shared" si="652"/>
        <v/>
      </c>
      <c r="T926" s="14">
        <f t="shared" si="653"/>
        <v>0</v>
      </c>
      <c r="U926" s="58" t="str">
        <f t="shared" si="654"/>
        <v/>
      </c>
      <c r="V926" s="14">
        <f t="shared" si="655"/>
        <v>0</v>
      </c>
      <c r="W926" s="58" t="str">
        <f t="shared" si="656"/>
        <v/>
      </c>
      <c r="X926" s="14">
        <f t="shared" si="657"/>
        <v>0</v>
      </c>
      <c r="Y926" s="58" t="str">
        <f t="shared" si="658"/>
        <v/>
      </c>
      <c r="Z926" s="31">
        <f t="shared" si="659"/>
        <v>0</v>
      </c>
      <c r="AA926" s="21">
        <f t="shared" si="660"/>
        <v>0</v>
      </c>
      <c r="AB926" s="58" t="str">
        <f t="shared" si="661"/>
        <v/>
      </c>
      <c r="AC926" s="630">
        <f t="shared" si="682"/>
        <v>0</v>
      </c>
      <c r="AD926" s="627"/>
      <c r="AE926" s="21">
        <f t="shared" si="662"/>
        <v>0</v>
      </c>
      <c r="AF926" s="58" t="str">
        <f t="shared" si="663"/>
        <v/>
      </c>
      <c r="AG926" s="21">
        <f t="shared" si="664"/>
        <v>0</v>
      </c>
      <c r="AH926" s="58" t="str">
        <f t="shared" si="665"/>
        <v/>
      </c>
      <c r="AI926" s="21">
        <f t="shared" si="666"/>
        <v>0</v>
      </c>
      <c r="AJ926" s="58" t="str">
        <f t="shared" si="667"/>
        <v/>
      </c>
      <c r="AK926" s="31">
        <f t="shared" si="668"/>
        <v>0</v>
      </c>
      <c r="AL926" s="21">
        <f t="shared" si="669"/>
        <v>0</v>
      </c>
      <c r="AM926" s="62" t="str">
        <f t="shared" si="670"/>
        <v/>
      </c>
      <c r="AN926" s="21">
        <f t="shared" si="671"/>
        <v>0</v>
      </c>
      <c r="AO926" s="62" t="str">
        <f t="shared" si="672"/>
        <v/>
      </c>
      <c r="AP926" s="21">
        <f t="shared" si="673"/>
        <v>0</v>
      </c>
      <c r="AQ926" s="62" t="str">
        <f t="shared" si="674"/>
        <v/>
      </c>
      <c r="AR926" s="31">
        <f t="shared" si="675"/>
        <v>0</v>
      </c>
      <c r="AS926" s="21">
        <f t="shared" si="676"/>
        <v>0</v>
      </c>
      <c r="AT926" s="62" t="str">
        <f t="shared" si="677"/>
        <v/>
      </c>
      <c r="AU926" s="84">
        <f t="shared" si="678"/>
        <v>0</v>
      </c>
      <c r="AV926" s="32">
        <f t="shared" si="679"/>
        <v>0</v>
      </c>
      <c r="AW926" s="85" t="str">
        <f t="shared" si="680"/>
        <v/>
      </c>
      <c r="AX926" s="86" t="str">
        <f t="shared" si="681"/>
        <v/>
      </c>
    </row>
    <row r="927" spans="1:50" x14ac:dyDescent="0.2">
      <c r="A927" s="29" t="str">
        <f t="shared" si="639"/>
        <v/>
      </c>
      <c r="B927" s="32" t="str">
        <f t="shared" si="640"/>
        <v/>
      </c>
      <c r="C927" s="35"/>
      <c r="D927" s="33" t="str">
        <f t="shared" si="641"/>
        <v/>
      </c>
      <c r="E927" s="22" t="str">
        <f t="shared" si="642"/>
        <v/>
      </c>
      <c r="F927" s="23" t="str">
        <f t="shared" si="643"/>
        <v/>
      </c>
      <c r="G927" s="23"/>
      <c r="H927" s="22"/>
      <c r="I927" s="23"/>
      <c r="J927" s="18"/>
      <c r="K927" s="13" t="str">
        <f t="shared" si="644"/>
        <v/>
      </c>
      <c r="L927" s="28" t="str">
        <f t="shared" si="645"/>
        <v/>
      </c>
      <c r="M927" s="10" t="str">
        <f t="shared" si="646"/>
        <v/>
      </c>
      <c r="N927" s="17" t="str">
        <f t="shared" si="647"/>
        <v/>
      </c>
      <c r="O927" s="39" t="str">
        <f t="shared" si="648"/>
        <v/>
      </c>
      <c r="P927" s="41" t="str">
        <f t="shared" si="649"/>
        <v/>
      </c>
      <c r="Q927" s="9" t="str">
        <f t="shared" si="650"/>
        <v/>
      </c>
      <c r="R927" s="14">
        <f t="shared" si="651"/>
        <v>0</v>
      </c>
      <c r="S927" s="61" t="str">
        <f t="shared" si="652"/>
        <v/>
      </c>
      <c r="T927" s="14">
        <f t="shared" si="653"/>
        <v>0</v>
      </c>
      <c r="U927" s="58" t="str">
        <f t="shared" si="654"/>
        <v/>
      </c>
      <c r="V927" s="14">
        <f t="shared" si="655"/>
        <v>0</v>
      </c>
      <c r="W927" s="58" t="str">
        <f t="shared" si="656"/>
        <v/>
      </c>
      <c r="X927" s="14">
        <f t="shared" si="657"/>
        <v>0</v>
      </c>
      <c r="Y927" s="58" t="str">
        <f t="shared" si="658"/>
        <v/>
      </c>
      <c r="Z927" s="31">
        <f t="shared" si="659"/>
        <v>0</v>
      </c>
      <c r="AA927" s="21">
        <f t="shared" si="660"/>
        <v>0</v>
      </c>
      <c r="AB927" s="58" t="str">
        <f t="shared" si="661"/>
        <v/>
      </c>
      <c r="AC927" s="630">
        <f t="shared" si="682"/>
        <v>0</v>
      </c>
      <c r="AD927" s="627"/>
      <c r="AE927" s="21">
        <f t="shared" si="662"/>
        <v>0</v>
      </c>
      <c r="AF927" s="58" t="str">
        <f t="shared" si="663"/>
        <v/>
      </c>
      <c r="AG927" s="21">
        <f t="shared" si="664"/>
        <v>0</v>
      </c>
      <c r="AH927" s="58" t="str">
        <f t="shared" si="665"/>
        <v/>
      </c>
      <c r="AI927" s="21">
        <f t="shared" si="666"/>
        <v>0</v>
      </c>
      <c r="AJ927" s="58" t="str">
        <f t="shared" si="667"/>
        <v/>
      </c>
      <c r="AK927" s="31">
        <f t="shared" si="668"/>
        <v>0</v>
      </c>
      <c r="AL927" s="21">
        <f t="shared" si="669"/>
        <v>0</v>
      </c>
      <c r="AM927" s="62" t="str">
        <f t="shared" si="670"/>
        <v/>
      </c>
      <c r="AN927" s="21">
        <f t="shared" si="671"/>
        <v>0</v>
      </c>
      <c r="AO927" s="62" t="str">
        <f t="shared" si="672"/>
        <v/>
      </c>
      <c r="AP927" s="21">
        <f t="shared" si="673"/>
        <v>0</v>
      </c>
      <c r="AQ927" s="62" t="str">
        <f t="shared" si="674"/>
        <v/>
      </c>
      <c r="AR927" s="31">
        <f t="shared" si="675"/>
        <v>0</v>
      </c>
      <c r="AS927" s="21">
        <f t="shared" si="676"/>
        <v>0</v>
      </c>
      <c r="AT927" s="62" t="str">
        <f t="shared" si="677"/>
        <v/>
      </c>
      <c r="AU927" s="84">
        <f t="shared" si="678"/>
        <v>0</v>
      </c>
      <c r="AV927" s="32">
        <f t="shared" si="679"/>
        <v>0</v>
      </c>
      <c r="AW927" s="85" t="str">
        <f t="shared" si="680"/>
        <v/>
      </c>
      <c r="AX927" s="86" t="str">
        <f t="shared" si="681"/>
        <v/>
      </c>
    </row>
    <row r="928" spans="1:50" x14ac:dyDescent="0.2">
      <c r="A928" s="29" t="str">
        <f t="shared" si="639"/>
        <v/>
      </c>
      <c r="B928" s="32" t="str">
        <f t="shared" si="640"/>
        <v/>
      </c>
      <c r="C928" s="35"/>
      <c r="D928" s="33" t="str">
        <f t="shared" si="641"/>
        <v/>
      </c>
      <c r="E928" s="22" t="str">
        <f t="shared" si="642"/>
        <v/>
      </c>
      <c r="F928" s="23" t="str">
        <f t="shared" si="643"/>
        <v/>
      </c>
      <c r="G928" s="23"/>
      <c r="H928" s="22"/>
      <c r="I928" s="23"/>
      <c r="J928" s="18"/>
      <c r="K928" s="13" t="str">
        <f t="shared" si="644"/>
        <v/>
      </c>
      <c r="L928" s="28" t="str">
        <f t="shared" si="645"/>
        <v/>
      </c>
      <c r="M928" s="10" t="str">
        <f t="shared" si="646"/>
        <v/>
      </c>
      <c r="N928" s="17" t="str">
        <f t="shared" si="647"/>
        <v/>
      </c>
      <c r="O928" s="39" t="str">
        <f t="shared" si="648"/>
        <v/>
      </c>
      <c r="P928" s="41" t="str">
        <f t="shared" si="649"/>
        <v/>
      </c>
      <c r="Q928" s="9" t="str">
        <f t="shared" si="650"/>
        <v/>
      </c>
      <c r="R928" s="14">
        <f t="shared" si="651"/>
        <v>0</v>
      </c>
      <c r="S928" s="61" t="str">
        <f t="shared" si="652"/>
        <v/>
      </c>
      <c r="T928" s="14">
        <f t="shared" si="653"/>
        <v>0</v>
      </c>
      <c r="U928" s="58" t="str">
        <f t="shared" si="654"/>
        <v/>
      </c>
      <c r="V928" s="14">
        <f t="shared" si="655"/>
        <v>0</v>
      </c>
      <c r="W928" s="58" t="str">
        <f t="shared" si="656"/>
        <v/>
      </c>
      <c r="X928" s="14">
        <f t="shared" si="657"/>
        <v>0</v>
      </c>
      <c r="Y928" s="58" t="str">
        <f t="shared" si="658"/>
        <v/>
      </c>
      <c r="Z928" s="31">
        <f t="shared" si="659"/>
        <v>0</v>
      </c>
      <c r="AA928" s="21">
        <f t="shared" si="660"/>
        <v>0</v>
      </c>
      <c r="AB928" s="58" t="str">
        <f t="shared" si="661"/>
        <v/>
      </c>
      <c r="AC928" s="630">
        <f t="shared" si="682"/>
        <v>0</v>
      </c>
      <c r="AD928" s="627"/>
      <c r="AE928" s="21">
        <f t="shared" si="662"/>
        <v>0</v>
      </c>
      <c r="AF928" s="58" t="str">
        <f t="shared" si="663"/>
        <v/>
      </c>
      <c r="AG928" s="21">
        <f t="shared" si="664"/>
        <v>0</v>
      </c>
      <c r="AH928" s="58" t="str">
        <f t="shared" si="665"/>
        <v/>
      </c>
      <c r="AI928" s="21">
        <f t="shared" si="666"/>
        <v>0</v>
      </c>
      <c r="AJ928" s="58" t="str">
        <f t="shared" si="667"/>
        <v/>
      </c>
      <c r="AK928" s="31">
        <f t="shared" si="668"/>
        <v>0</v>
      </c>
      <c r="AL928" s="21">
        <f t="shared" si="669"/>
        <v>0</v>
      </c>
      <c r="AM928" s="62" t="str">
        <f t="shared" si="670"/>
        <v/>
      </c>
      <c r="AN928" s="21">
        <f t="shared" si="671"/>
        <v>0</v>
      </c>
      <c r="AO928" s="62" t="str">
        <f t="shared" si="672"/>
        <v/>
      </c>
      <c r="AP928" s="21">
        <f t="shared" si="673"/>
        <v>0</v>
      </c>
      <c r="AQ928" s="62" t="str">
        <f t="shared" si="674"/>
        <v/>
      </c>
      <c r="AR928" s="31">
        <f t="shared" si="675"/>
        <v>0</v>
      </c>
      <c r="AS928" s="21">
        <f t="shared" si="676"/>
        <v>0</v>
      </c>
      <c r="AT928" s="62" t="str">
        <f t="shared" si="677"/>
        <v/>
      </c>
      <c r="AU928" s="84">
        <f t="shared" si="678"/>
        <v>0</v>
      </c>
      <c r="AV928" s="32">
        <f t="shared" si="679"/>
        <v>0</v>
      </c>
      <c r="AW928" s="85" t="str">
        <f t="shared" si="680"/>
        <v/>
      </c>
      <c r="AX928" s="86" t="str">
        <f t="shared" si="681"/>
        <v/>
      </c>
    </row>
    <row r="929" spans="1:50" x14ac:dyDescent="0.2">
      <c r="A929" s="29" t="str">
        <f t="shared" si="639"/>
        <v/>
      </c>
      <c r="B929" s="32" t="str">
        <f t="shared" si="640"/>
        <v/>
      </c>
      <c r="C929" s="35"/>
      <c r="D929" s="33" t="str">
        <f t="shared" si="641"/>
        <v/>
      </c>
      <c r="E929" s="22" t="str">
        <f t="shared" si="642"/>
        <v/>
      </c>
      <c r="F929" s="23" t="str">
        <f t="shared" si="643"/>
        <v/>
      </c>
      <c r="G929" s="23"/>
      <c r="H929" s="22"/>
      <c r="I929" s="23"/>
      <c r="J929" s="18"/>
      <c r="K929" s="13" t="str">
        <f t="shared" si="644"/>
        <v/>
      </c>
      <c r="L929" s="28" t="str">
        <f t="shared" si="645"/>
        <v/>
      </c>
      <c r="M929" s="10" t="str">
        <f t="shared" si="646"/>
        <v/>
      </c>
      <c r="N929" s="17" t="str">
        <f t="shared" si="647"/>
        <v/>
      </c>
      <c r="O929" s="39" t="str">
        <f t="shared" si="648"/>
        <v/>
      </c>
      <c r="P929" s="41" t="str">
        <f t="shared" si="649"/>
        <v/>
      </c>
      <c r="Q929" s="9" t="str">
        <f t="shared" si="650"/>
        <v/>
      </c>
      <c r="R929" s="14">
        <f t="shared" si="651"/>
        <v>0</v>
      </c>
      <c r="S929" s="61" t="str">
        <f t="shared" si="652"/>
        <v/>
      </c>
      <c r="T929" s="14">
        <f t="shared" si="653"/>
        <v>0</v>
      </c>
      <c r="U929" s="58" t="str">
        <f t="shared" si="654"/>
        <v/>
      </c>
      <c r="V929" s="14">
        <f t="shared" si="655"/>
        <v>0</v>
      </c>
      <c r="W929" s="58" t="str">
        <f t="shared" si="656"/>
        <v/>
      </c>
      <c r="X929" s="14">
        <f t="shared" si="657"/>
        <v>0</v>
      </c>
      <c r="Y929" s="58" t="str">
        <f t="shared" si="658"/>
        <v/>
      </c>
      <c r="Z929" s="31">
        <f t="shared" si="659"/>
        <v>0</v>
      </c>
      <c r="AA929" s="21">
        <f t="shared" si="660"/>
        <v>0</v>
      </c>
      <c r="AB929" s="58" t="str">
        <f t="shared" si="661"/>
        <v/>
      </c>
      <c r="AC929" s="630">
        <f t="shared" si="682"/>
        <v>0</v>
      </c>
      <c r="AD929" s="627"/>
      <c r="AE929" s="21">
        <f t="shared" si="662"/>
        <v>0</v>
      </c>
      <c r="AF929" s="58" t="str">
        <f t="shared" si="663"/>
        <v/>
      </c>
      <c r="AG929" s="21">
        <f t="shared" si="664"/>
        <v>0</v>
      </c>
      <c r="AH929" s="58" t="str">
        <f t="shared" si="665"/>
        <v/>
      </c>
      <c r="AI929" s="21">
        <f t="shared" si="666"/>
        <v>0</v>
      </c>
      <c r="AJ929" s="58" t="str">
        <f t="shared" si="667"/>
        <v/>
      </c>
      <c r="AK929" s="31">
        <f t="shared" si="668"/>
        <v>0</v>
      </c>
      <c r="AL929" s="21">
        <f t="shared" si="669"/>
        <v>0</v>
      </c>
      <c r="AM929" s="62" t="str">
        <f t="shared" si="670"/>
        <v/>
      </c>
      <c r="AN929" s="21">
        <f t="shared" si="671"/>
        <v>0</v>
      </c>
      <c r="AO929" s="62" t="str">
        <f t="shared" si="672"/>
        <v/>
      </c>
      <c r="AP929" s="21">
        <f t="shared" si="673"/>
        <v>0</v>
      </c>
      <c r="AQ929" s="62" t="str">
        <f t="shared" si="674"/>
        <v/>
      </c>
      <c r="AR929" s="31">
        <f t="shared" si="675"/>
        <v>0</v>
      </c>
      <c r="AS929" s="21">
        <f t="shared" si="676"/>
        <v>0</v>
      </c>
      <c r="AT929" s="62" t="str">
        <f t="shared" si="677"/>
        <v/>
      </c>
      <c r="AU929" s="84">
        <f t="shared" si="678"/>
        <v>0</v>
      </c>
      <c r="AV929" s="32">
        <f t="shared" si="679"/>
        <v>0</v>
      </c>
      <c r="AW929" s="85" t="str">
        <f t="shared" si="680"/>
        <v/>
      </c>
      <c r="AX929" s="86" t="str">
        <f t="shared" si="681"/>
        <v/>
      </c>
    </row>
    <row r="930" spans="1:50" x14ac:dyDescent="0.2">
      <c r="A930" s="29" t="str">
        <f t="shared" ref="A930:A993" si="683">IF(A929="","",IF(C930="","",A929))</f>
        <v/>
      </c>
      <c r="B930" s="32" t="str">
        <f t="shared" ref="B930:B993" si="684">IF(B929="","",IF(C930="","",B929))</f>
        <v/>
      </c>
      <c r="C930" s="35"/>
      <c r="D930" s="33" t="str">
        <f t="shared" ref="D930:D993" si="685">IF(A930="","",IF(D929="","",D929))</f>
        <v/>
      </c>
      <c r="E930" s="22" t="str">
        <f t="shared" ref="E930:E993" si="686">IF(A930="","",IF(E929="","",E929))</f>
        <v/>
      </c>
      <c r="F930" s="23" t="str">
        <f t="shared" ref="F930:F993" si="687">IF(A930="","",IF(F929="","",F929))</f>
        <v/>
      </c>
      <c r="G930" s="23"/>
      <c r="H930" s="22"/>
      <c r="I930" s="23"/>
      <c r="J930" s="18"/>
      <c r="K930" s="13" t="str">
        <f t="shared" ref="K930:K993" si="688">IF($N$4="M",IF(A930="","",IF(D930=6,16,IF(A930&lt;=$M$5,26,IF(A930&lt;=$M$6,24,IF(A930&lt;=$M$7,22,IF(A930&lt;=$M$8,20,18)))))),IF(A930="","",IF(D930=6,16,IF(A930&lt;=$P$5,26,IF(A930&lt;=$P$6,24,IF(A930&lt;=$P$7,22,IF(A930&lt;=$P$8,20,18)))))))</f>
        <v/>
      </c>
      <c r="L930" s="28" t="str">
        <f t="shared" ref="L930:L993" si="689">IF($N$4="M",IF(A930="","",IF(K930=26,(A930+B930+Q930)*C930*0.02739,IF(K930=24,(A930+B930+Q930)*C930*0.02739,IF(K930=22,(A930+B930+Q930)*C930*0.0333,IF(K930=20,(A930+B930+Q930)*C930*0.0393,IF(K930=18,(A930+B930+Q930)*C930*0.0511,IF(K930=16,(A930+B930+Q930)*C930*0.0628))))))),IF(A930="","",IF(K930=26,(A930+B930+Q930)*C930*0.211,IF(K930=24,(A930+B930+Q930)*C930*0.211,IF(K930=22,(A930+B930+Q930)*C930*0.258,IF(K930=20,(A930+B930+Q930)*C930*0.304,IF(K930=18,(A930+B930+Q930)*C930*0.395,IF(K930=16,(A930+B930+Q930)*C930*0.487))))))))</f>
        <v/>
      </c>
      <c r="M930" s="10" t="str">
        <f t="shared" ref="M930:M993" si="690">IF(D930=1,0.5,IF(D930=2,"1 F",IF(D930=21,"1 R",IF(D930=3,2,""))))</f>
        <v/>
      </c>
      <c r="N930" s="17" t="str">
        <f t="shared" ref="N930:N993" si="691">IF(M930="","",IF($N$4="M",(A930+B930+Q930)*C930*0.022,(A930+B930+Q930)*C930*0.17))</f>
        <v/>
      </c>
      <c r="O930" s="39" t="str">
        <f t="shared" ref="O930:O993" si="692">IF(D930=4,1,IF(D930=5,2,""))</f>
        <v/>
      </c>
      <c r="P930" s="41" t="str">
        <f t="shared" ref="P930:P993" si="693">IF(O930="","",IF($N$4="M",IF(O930=1,(A930+B930+Q930)*C930*0.022*1.1,(A930+B930+Q930)*C930*0.022*1.15),IF(O930=1,(A930+B930+Q930)*C930*0.17*1.1,(A930+B930+Q930)*C930*0.17*1.15)))</f>
        <v/>
      </c>
      <c r="Q930" s="9" t="str">
        <f t="shared" ref="Q930:Q993" si="694">IF($N$4="M",IF(A930="","",IF(D930=1,50,IF(D930=2,100,IF(D930=21,100,IF(D930=3,200,0))))),IF(A930="","",IF(D930=1,2,IF(D930=2,4,IF(D930=21,4,IF(D930=3,8,0))))))</f>
        <v/>
      </c>
      <c r="R930" s="14">
        <f t="shared" ref="R930:R993" si="695">COUNTIF(G930:J930,7)</f>
        <v>0</v>
      </c>
      <c r="S930" s="61" t="str">
        <f t="shared" ref="S930:S993" si="696">IF(A930="","",IF($N$4="M",A930*B930*0.000011111*R930*1.5,A930*B930/144*R930*1.5))</f>
        <v/>
      </c>
      <c r="T930" s="14">
        <f t="shared" ref="T930:T993" si="697">COUNTIF(G930:J930,71)</f>
        <v>0</v>
      </c>
      <c r="U930" s="58" t="str">
        <f t="shared" ref="U930:U993" si="698">IF(A930="","",IF($N$4="M",A930*B930*0.000011111*T930*1.5,A930*B930/144*T930*1.5))</f>
        <v/>
      </c>
      <c r="V930" s="14">
        <f t="shared" ref="V930:V993" si="699">COUNTIF(G930:J930,8)</f>
        <v>0</v>
      </c>
      <c r="W930" s="58" t="str">
        <f t="shared" ref="W930:W993" si="700">IF(A930="","",IF($N$4="M",(A930+B930)*2*0.0032808*V930,(A930+B930)*2*V930/12))</f>
        <v/>
      </c>
      <c r="X930" s="14">
        <f t="shared" ref="X930:X993" si="701">COUNTIF(G930:J930,81)</f>
        <v>0</v>
      </c>
      <c r="Y930" s="58" t="str">
        <f t="shared" ref="Y930:Y993" si="702">IF(A930="","",IF($N$4="M",(A930+B930)*2*0.0032808*X930,(A930+B930)*2*X930/12))</f>
        <v/>
      </c>
      <c r="Z930" s="31">
        <f t="shared" ref="Z930:Z993" si="703">COUNTIF(G930:J930,9)</f>
        <v>0</v>
      </c>
      <c r="AA930" s="21">
        <f t="shared" ref="AA930:AA993" si="704">COUNTIF(G930:J930,10)</f>
        <v>0</v>
      </c>
      <c r="AB930" s="58" t="str">
        <f t="shared" ref="AB930:AB993" si="705">IF(A930="","",IF($N$4="M",(A930+B930)*2*0.0032808*AA930,(A930+B930)*2*AA930/12))</f>
        <v/>
      </c>
      <c r="AC930" s="630">
        <f t="shared" si="682"/>
        <v>0</v>
      </c>
      <c r="AD930" s="627"/>
      <c r="AE930" s="21">
        <f t="shared" ref="AE930:AE993" si="706">COUNTIF(G930:J930,11)</f>
        <v>0</v>
      </c>
      <c r="AF930" s="58" t="str">
        <f t="shared" ref="AF930:AF993" si="707">IF(A930="","",IF($N$4="M",A930*B930*0.000011111*AE930,A930*B930/144*AE930))</f>
        <v/>
      </c>
      <c r="AG930" s="21">
        <f t="shared" ref="AG930:AG993" si="708">COUNTIF(G930:J930,111)</f>
        <v>0</v>
      </c>
      <c r="AH930" s="58" t="str">
        <f t="shared" ref="AH930:AH993" si="709">IF(A930="","",IF($N$4="M",A930*B930*0.000011111*AG930,A930*B930/144*AG930))</f>
        <v/>
      </c>
      <c r="AI930" s="21">
        <f t="shared" ref="AI930:AI993" si="710">COUNTIF(G930:J930,12)</f>
        <v>0</v>
      </c>
      <c r="AJ930" s="58" t="str">
        <f t="shared" ref="AJ930:AJ993" si="711">IF(A930="","",IF($N$4="M",A930*B930*0.000011111*AI930,A930*B930/144*AI930))</f>
        <v/>
      </c>
      <c r="AK930" s="31">
        <f t="shared" ref="AK930:AK993" si="712">COUNTIF(G930:J930,13)</f>
        <v>0</v>
      </c>
      <c r="AL930" s="21">
        <f t="shared" ref="AL930:AL993" si="713">COUNTIF(G930:J930,131)</f>
        <v>0</v>
      </c>
      <c r="AM930" s="62" t="str">
        <f t="shared" ref="AM930:AM993" si="714">IF(A930="","",IF($N$4="M",A930*B930*0.000011111*AL930,A930*B930/144*AL930))</f>
        <v/>
      </c>
      <c r="AN930" s="21">
        <f t="shared" ref="AN930:AN993" si="715">COUNTIF(G930:J930,14)</f>
        <v>0</v>
      </c>
      <c r="AO930" s="62" t="str">
        <f t="shared" ref="AO930:AO993" si="716">IF(A930="","",IF($N$4="M",A930*B930*0.000011111*AN930,A930*B930/144*AN930))</f>
        <v/>
      </c>
      <c r="AP930" s="21">
        <f t="shared" ref="AP930:AP993" si="717">COUNTIF(G930:J930,141)</f>
        <v>0</v>
      </c>
      <c r="AQ930" s="62" t="str">
        <f t="shared" ref="AQ930:AQ993" si="718">IF(A930="","",IF($N$4="M",A930*B930*0.000011111*AP930,A930*B930/144*AP930))</f>
        <v/>
      </c>
      <c r="AR930" s="31">
        <f t="shared" ref="AR930:AR993" si="719">COUNTIF(G930:J930,15)</f>
        <v>0</v>
      </c>
      <c r="AS930" s="21">
        <f t="shared" ref="AS930:AS993" si="720">COUNTIF(G930:J930,16)</f>
        <v>0</v>
      </c>
      <c r="AT930" s="62" t="str">
        <f t="shared" ref="AT930:AT993" si="721">IF(A930="","",IF($N$4="M",A930*B930*0.000011111*AS930,A930*B930/144*AS930))</f>
        <v/>
      </c>
      <c r="AU930" s="84">
        <f t="shared" ref="AU930:AU993" si="722">IF(D930=61,C930,0)</f>
        <v>0</v>
      </c>
      <c r="AV930" s="32">
        <f t="shared" ref="AV930:AV993" si="723">IF(D930=61,L930,0)</f>
        <v>0</v>
      </c>
      <c r="AW930" s="85" t="str">
        <f t="shared" ref="AW930:AW993" si="724">IF(A930="","",(C930-AU930))</f>
        <v/>
      </c>
      <c r="AX930" s="86" t="str">
        <f t="shared" ref="AX930:AX993" si="725">IF(A930="","",(L930-AV930))</f>
        <v/>
      </c>
    </row>
    <row r="931" spans="1:50" x14ac:dyDescent="0.2">
      <c r="A931" s="29" t="str">
        <f t="shared" si="683"/>
        <v/>
      </c>
      <c r="B931" s="32" t="str">
        <f t="shared" si="684"/>
        <v/>
      </c>
      <c r="C931" s="35"/>
      <c r="D931" s="33" t="str">
        <f t="shared" si="685"/>
        <v/>
      </c>
      <c r="E931" s="22" t="str">
        <f t="shared" si="686"/>
        <v/>
      </c>
      <c r="F931" s="23" t="str">
        <f t="shared" si="687"/>
        <v/>
      </c>
      <c r="G931" s="23"/>
      <c r="H931" s="22"/>
      <c r="I931" s="23"/>
      <c r="J931" s="18"/>
      <c r="K931" s="13" t="str">
        <f t="shared" si="688"/>
        <v/>
      </c>
      <c r="L931" s="28" t="str">
        <f t="shared" si="689"/>
        <v/>
      </c>
      <c r="M931" s="10" t="str">
        <f t="shared" si="690"/>
        <v/>
      </c>
      <c r="N931" s="17" t="str">
        <f t="shared" si="691"/>
        <v/>
      </c>
      <c r="O931" s="39" t="str">
        <f t="shared" si="692"/>
        <v/>
      </c>
      <c r="P931" s="41" t="str">
        <f t="shared" si="693"/>
        <v/>
      </c>
      <c r="Q931" s="9" t="str">
        <f t="shared" si="694"/>
        <v/>
      </c>
      <c r="R931" s="14">
        <f t="shared" si="695"/>
        <v>0</v>
      </c>
      <c r="S931" s="61" t="str">
        <f t="shared" si="696"/>
        <v/>
      </c>
      <c r="T931" s="14">
        <f t="shared" si="697"/>
        <v>0</v>
      </c>
      <c r="U931" s="58" t="str">
        <f t="shared" si="698"/>
        <v/>
      </c>
      <c r="V931" s="14">
        <f t="shared" si="699"/>
        <v>0</v>
      </c>
      <c r="W931" s="58" t="str">
        <f t="shared" si="700"/>
        <v/>
      </c>
      <c r="X931" s="14">
        <f t="shared" si="701"/>
        <v>0</v>
      </c>
      <c r="Y931" s="58" t="str">
        <f t="shared" si="702"/>
        <v/>
      </c>
      <c r="Z931" s="31">
        <f t="shared" si="703"/>
        <v>0</v>
      </c>
      <c r="AA931" s="21">
        <f t="shared" si="704"/>
        <v>0</v>
      </c>
      <c r="AB931" s="58" t="str">
        <f t="shared" si="705"/>
        <v/>
      </c>
      <c r="AC931" s="630">
        <f t="shared" si="682"/>
        <v>0</v>
      </c>
      <c r="AD931" s="627"/>
      <c r="AE931" s="21">
        <f t="shared" si="706"/>
        <v>0</v>
      </c>
      <c r="AF931" s="58" t="str">
        <f t="shared" si="707"/>
        <v/>
      </c>
      <c r="AG931" s="21">
        <f t="shared" si="708"/>
        <v>0</v>
      </c>
      <c r="AH931" s="58" t="str">
        <f t="shared" si="709"/>
        <v/>
      </c>
      <c r="AI931" s="21">
        <f t="shared" si="710"/>
        <v>0</v>
      </c>
      <c r="AJ931" s="58" t="str">
        <f t="shared" si="711"/>
        <v/>
      </c>
      <c r="AK931" s="31">
        <f t="shared" si="712"/>
        <v>0</v>
      </c>
      <c r="AL931" s="21">
        <f t="shared" si="713"/>
        <v>0</v>
      </c>
      <c r="AM931" s="62" t="str">
        <f t="shared" si="714"/>
        <v/>
      </c>
      <c r="AN931" s="21">
        <f t="shared" si="715"/>
        <v>0</v>
      </c>
      <c r="AO931" s="62" t="str">
        <f t="shared" si="716"/>
        <v/>
      </c>
      <c r="AP931" s="21">
        <f t="shared" si="717"/>
        <v>0</v>
      </c>
      <c r="AQ931" s="62" t="str">
        <f t="shared" si="718"/>
        <v/>
      </c>
      <c r="AR931" s="31">
        <f t="shared" si="719"/>
        <v>0</v>
      </c>
      <c r="AS931" s="21">
        <f t="shared" si="720"/>
        <v>0</v>
      </c>
      <c r="AT931" s="62" t="str">
        <f t="shared" si="721"/>
        <v/>
      </c>
      <c r="AU931" s="84">
        <f t="shared" si="722"/>
        <v>0</v>
      </c>
      <c r="AV931" s="32">
        <f t="shared" si="723"/>
        <v>0</v>
      </c>
      <c r="AW931" s="85" t="str">
        <f t="shared" si="724"/>
        <v/>
      </c>
      <c r="AX931" s="86" t="str">
        <f t="shared" si="725"/>
        <v/>
      </c>
    </row>
    <row r="932" spans="1:50" x14ac:dyDescent="0.2">
      <c r="A932" s="29" t="str">
        <f t="shared" si="683"/>
        <v/>
      </c>
      <c r="B932" s="32" t="str">
        <f t="shared" si="684"/>
        <v/>
      </c>
      <c r="C932" s="35"/>
      <c r="D932" s="33" t="str">
        <f t="shared" si="685"/>
        <v/>
      </c>
      <c r="E932" s="22" t="str">
        <f t="shared" si="686"/>
        <v/>
      </c>
      <c r="F932" s="23" t="str">
        <f t="shared" si="687"/>
        <v/>
      </c>
      <c r="G932" s="23"/>
      <c r="H932" s="22"/>
      <c r="I932" s="23"/>
      <c r="J932" s="18"/>
      <c r="K932" s="13" t="str">
        <f t="shared" si="688"/>
        <v/>
      </c>
      <c r="L932" s="28" t="str">
        <f t="shared" si="689"/>
        <v/>
      </c>
      <c r="M932" s="10" t="str">
        <f t="shared" si="690"/>
        <v/>
      </c>
      <c r="N932" s="17" t="str">
        <f t="shared" si="691"/>
        <v/>
      </c>
      <c r="O932" s="39" t="str">
        <f t="shared" si="692"/>
        <v/>
      </c>
      <c r="P932" s="41" t="str">
        <f t="shared" si="693"/>
        <v/>
      </c>
      <c r="Q932" s="9" t="str">
        <f t="shared" si="694"/>
        <v/>
      </c>
      <c r="R932" s="14">
        <f t="shared" si="695"/>
        <v>0</v>
      </c>
      <c r="S932" s="61" t="str">
        <f t="shared" si="696"/>
        <v/>
      </c>
      <c r="T932" s="14">
        <f t="shared" si="697"/>
        <v>0</v>
      </c>
      <c r="U932" s="58" t="str">
        <f t="shared" si="698"/>
        <v/>
      </c>
      <c r="V932" s="14">
        <f t="shared" si="699"/>
        <v>0</v>
      </c>
      <c r="W932" s="58" t="str">
        <f t="shared" si="700"/>
        <v/>
      </c>
      <c r="X932" s="14">
        <f t="shared" si="701"/>
        <v>0</v>
      </c>
      <c r="Y932" s="58" t="str">
        <f t="shared" si="702"/>
        <v/>
      </c>
      <c r="Z932" s="31">
        <f t="shared" si="703"/>
        <v>0</v>
      </c>
      <c r="AA932" s="21">
        <f t="shared" si="704"/>
        <v>0</v>
      </c>
      <c r="AB932" s="58" t="str">
        <f t="shared" si="705"/>
        <v/>
      </c>
      <c r="AC932" s="630">
        <f t="shared" si="682"/>
        <v>0</v>
      </c>
      <c r="AD932" s="627"/>
      <c r="AE932" s="21">
        <f t="shared" si="706"/>
        <v>0</v>
      </c>
      <c r="AF932" s="58" t="str">
        <f t="shared" si="707"/>
        <v/>
      </c>
      <c r="AG932" s="21">
        <f t="shared" si="708"/>
        <v>0</v>
      </c>
      <c r="AH932" s="58" t="str">
        <f t="shared" si="709"/>
        <v/>
      </c>
      <c r="AI932" s="21">
        <f t="shared" si="710"/>
        <v>0</v>
      </c>
      <c r="AJ932" s="58" t="str">
        <f t="shared" si="711"/>
        <v/>
      </c>
      <c r="AK932" s="31">
        <f t="shared" si="712"/>
        <v>0</v>
      </c>
      <c r="AL932" s="21">
        <f t="shared" si="713"/>
        <v>0</v>
      </c>
      <c r="AM932" s="62" t="str">
        <f t="shared" si="714"/>
        <v/>
      </c>
      <c r="AN932" s="21">
        <f t="shared" si="715"/>
        <v>0</v>
      </c>
      <c r="AO932" s="62" t="str">
        <f t="shared" si="716"/>
        <v/>
      </c>
      <c r="AP932" s="21">
        <f t="shared" si="717"/>
        <v>0</v>
      </c>
      <c r="AQ932" s="62" t="str">
        <f t="shared" si="718"/>
        <v/>
      </c>
      <c r="AR932" s="31">
        <f t="shared" si="719"/>
        <v>0</v>
      </c>
      <c r="AS932" s="21">
        <f t="shared" si="720"/>
        <v>0</v>
      </c>
      <c r="AT932" s="62" t="str">
        <f t="shared" si="721"/>
        <v/>
      </c>
      <c r="AU932" s="84">
        <f t="shared" si="722"/>
        <v>0</v>
      </c>
      <c r="AV932" s="32">
        <f t="shared" si="723"/>
        <v>0</v>
      </c>
      <c r="AW932" s="85" t="str">
        <f t="shared" si="724"/>
        <v/>
      </c>
      <c r="AX932" s="86" t="str">
        <f t="shared" si="725"/>
        <v/>
      </c>
    </row>
    <row r="933" spans="1:50" x14ac:dyDescent="0.2">
      <c r="A933" s="29" t="str">
        <f t="shared" si="683"/>
        <v/>
      </c>
      <c r="B933" s="32" t="str">
        <f t="shared" si="684"/>
        <v/>
      </c>
      <c r="C933" s="35"/>
      <c r="D933" s="33" t="str">
        <f t="shared" si="685"/>
        <v/>
      </c>
      <c r="E933" s="22" t="str">
        <f t="shared" si="686"/>
        <v/>
      </c>
      <c r="F933" s="23" t="str">
        <f t="shared" si="687"/>
        <v/>
      </c>
      <c r="G933" s="23"/>
      <c r="H933" s="22"/>
      <c r="I933" s="23"/>
      <c r="J933" s="18"/>
      <c r="K933" s="13" t="str">
        <f t="shared" si="688"/>
        <v/>
      </c>
      <c r="L933" s="28" t="str">
        <f t="shared" si="689"/>
        <v/>
      </c>
      <c r="M933" s="10" t="str">
        <f t="shared" si="690"/>
        <v/>
      </c>
      <c r="N933" s="17" t="str">
        <f t="shared" si="691"/>
        <v/>
      </c>
      <c r="O933" s="39" t="str">
        <f t="shared" si="692"/>
        <v/>
      </c>
      <c r="P933" s="41" t="str">
        <f t="shared" si="693"/>
        <v/>
      </c>
      <c r="Q933" s="9" t="str">
        <f t="shared" si="694"/>
        <v/>
      </c>
      <c r="R933" s="14">
        <f t="shared" si="695"/>
        <v>0</v>
      </c>
      <c r="S933" s="61" t="str">
        <f t="shared" si="696"/>
        <v/>
      </c>
      <c r="T933" s="14">
        <f t="shared" si="697"/>
        <v>0</v>
      </c>
      <c r="U933" s="58" t="str">
        <f t="shared" si="698"/>
        <v/>
      </c>
      <c r="V933" s="14">
        <f t="shared" si="699"/>
        <v>0</v>
      </c>
      <c r="W933" s="58" t="str">
        <f t="shared" si="700"/>
        <v/>
      </c>
      <c r="X933" s="14">
        <f t="shared" si="701"/>
        <v>0</v>
      </c>
      <c r="Y933" s="58" t="str">
        <f t="shared" si="702"/>
        <v/>
      </c>
      <c r="Z933" s="31">
        <f t="shared" si="703"/>
        <v>0</v>
      </c>
      <c r="AA933" s="21">
        <f t="shared" si="704"/>
        <v>0</v>
      </c>
      <c r="AB933" s="58" t="str">
        <f t="shared" si="705"/>
        <v/>
      </c>
      <c r="AC933" s="630">
        <f t="shared" si="682"/>
        <v>0</v>
      </c>
      <c r="AD933" s="627"/>
      <c r="AE933" s="21">
        <f t="shared" si="706"/>
        <v>0</v>
      </c>
      <c r="AF933" s="58" t="str">
        <f t="shared" si="707"/>
        <v/>
      </c>
      <c r="AG933" s="21">
        <f t="shared" si="708"/>
        <v>0</v>
      </c>
      <c r="AH933" s="58" t="str">
        <f t="shared" si="709"/>
        <v/>
      </c>
      <c r="AI933" s="21">
        <f t="shared" si="710"/>
        <v>0</v>
      </c>
      <c r="AJ933" s="58" t="str">
        <f t="shared" si="711"/>
        <v/>
      </c>
      <c r="AK933" s="31">
        <f t="shared" si="712"/>
        <v>0</v>
      </c>
      <c r="AL933" s="21">
        <f t="shared" si="713"/>
        <v>0</v>
      </c>
      <c r="AM933" s="62" t="str">
        <f t="shared" si="714"/>
        <v/>
      </c>
      <c r="AN933" s="21">
        <f t="shared" si="715"/>
        <v>0</v>
      </c>
      <c r="AO933" s="62" t="str">
        <f t="shared" si="716"/>
        <v/>
      </c>
      <c r="AP933" s="21">
        <f t="shared" si="717"/>
        <v>0</v>
      </c>
      <c r="AQ933" s="62" t="str">
        <f t="shared" si="718"/>
        <v/>
      </c>
      <c r="AR933" s="31">
        <f t="shared" si="719"/>
        <v>0</v>
      </c>
      <c r="AS933" s="21">
        <f t="shared" si="720"/>
        <v>0</v>
      </c>
      <c r="AT933" s="62" t="str">
        <f t="shared" si="721"/>
        <v/>
      </c>
      <c r="AU933" s="84">
        <f t="shared" si="722"/>
        <v>0</v>
      </c>
      <c r="AV933" s="32">
        <f t="shared" si="723"/>
        <v>0</v>
      </c>
      <c r="AW933" s="85" t="str">
        <f t="shared" si="724"/>
        <v/>
      </c>
      <c r="AX933" s="86" t="str">
        <f t="shared" si="725"/>
        <v/>
      </c>
    </row>
    <row r="934" spans="1:50" x14ac:dyDescent="0.2">
      <c r="A934" s="29" t="str">
        <f t="shared" si="683"/>
        <v/>
      </c>
      <c r="B934" s="32" t="str">
        <f t="shared" si="684"/>
        <v/>
      </c>
      <c r="C934" s="35"/>
      <c r="D934" s="33" t="str">
        <f t="shared" si="685"/>
        <v/>
      </c>
      <c r="E934" s="22" t="str">
        <f t="shared" si="686"/>
        <v/>
      </c>
      <c r="F934" s="23" t="str">
        <f t="shared" si="687"/>
        <v/>
      </c>
      <c r="G934" s="23"/>
      <c r="H934" s="22"/>
      <c r="I934" s="23"/>
      <c r="J934" s="18"/>
      <c r="K934" s="13" t="str">
        <f t="shared" si="688"/>
        <v/>
      </c>
      <c r="L934" s="28" t="str">
        <f t="shared" si="689"/>
        <v/>
      </c>
      <c r="M934" s="10" t="str">
        <f t="shared" si="690"/>
        <v/>
      </c>
      <c r="N934" s="17" t="str">
        <f t="shared" si="691"/>
        <v/>
      </c>
      <c r="O934" s="39" t="str">
        <f t="shared" si="692"/>
        <v/>
      </c>
      <c r="P934" s="41" t="str">
        <f t="shared" si="693"/>
        <v/>
      </c>
      <c r="Q934" s="9" t="str">
        <f t="shared" si="694"/>
        <v/>
      </c>
      <c r="R934" s="14">
        <f t="shared" si="695"/>
        <v>0</v>
      </c>
      <c r="S934" s="61" t="str">
        <f t="shared" si="696"/>
        <v/>
      </c>
      <c r="T934" s="14">
        <f t="shared" si="697"/>
        <v>0</v>
      </c>
      <c r="U934" s="58" t="str">
        <f t="shared" si="698"/>
        <v/>
      </c>
      <c r="V934" s="14">
        <f t="shared" si="699"/>
        <v>0</v>
      </c>
      <c r="W934" s="58" t="str">
        <f t="shared" si="700"/>
        <v/>
      </c>
      <c r="X934" s="14">
        <f t="shared" si="701"/>
        <v>0</v>
      </c>
      <c r="Y934" s="58" t="str">
        <f t="shared" si="702"/>
        <v/>
      </c>
      <c r="Z934" s="31">
        <f t="shared" si="703"/>
        <v>0</v>
      </c>
      <c r="AA934" s="21">
        <f t="shared" si="704"/>
        <v>0</v>
      </c>
      <c r="AB934" s="58" t="str">
        <f t="shared" si="705"/>
        <v/>
      </c>
      <c r="AC934" s="630">
        <f t="shared" si="682"/>
        <v>0</v>
      </c>
      <c r="AD934" s="627"/>
      <c r="AE934" s="21">
        <f t="shared" si="706"/>
        <v>0</v>
      </c>
      <c r="AF934" s="58" t="str">
        <f t="shared" si="707"/>
        <v/>
      </c>
      <c r="AG934" s="21">
        <f t="shared" si="708"/>
        <v>0</v>
      </c>
      <c r="AH934" s="58" t="str">
        <f t="shared" si="709"/>
        <v/>
      </c>
      <c r="AI934" s="21">
        <f t="shared" si="710"/>
        <v>0</v>
      </c>
      <c r="AJ934" s="58" t="str">
        <f t="shared" si="711"/>
        <v/>
      </c>
      <c r="AK934" s="31">
        <f t="shared" si="712"/>
        <v>0</v>
      </c>
      <c r="AL934" s="21">
        <f t="shared" si="713"/>
        <v>0</v>
      </c>
      <c r="AM934" s="62" t="str">
        <f t="shared" si="714"/>
        <v/>
      </c>
      <c r="AN934" s="21">
        <f t="shared" si="715"/>
        <v>0</v>
      </c>
      <c r="AO934" s="62" t="str">
        <f t="shared" si="716"/>
        <v/>
      </c>
      <c r="AP934" s="21">
        <f t="shared" si="717"/>
        <v>0</v>
      </c>
      <c r="AQ934" s="62" t="str">
        <f t="shared" si="718"/>
        <v/>
      </c>
      <c r="AR934" s="31">
        <f t="shared" si="719"/>
        <v>0</v>
      </c>
      <c r="AS934" s="21">
        <f t="shared" si="720"/>
        <v>0</v>
      </c>
      <c r="AT934" s="62" t="str">
        <f t="shared" si="721"/>
        <v/>
      </c>
      <c r="AU934" s="84">
        <f t="shared" si="722"/>
        <v>0</v>
      </c>
      <c r="AV934" s="32">
        <f t="shared" si="723"/>
        <v>0</v>
      </c>
      <c r="AW934" s="85" t="str">
        <f t="shared" si="724"/>
        <v/>
      </c>
      <c r="AX934" s="86" t="str">
        <f t="shared" si="725"/>
        <v/>
      </c>
    </row>
    <row r="935" spans="1:50" x14ac:dyDescent="0.2">
      <c r="A935" s="29" t="str">
        <f t="shared" si="683"/>
        <v/>
      </c>
      <c r="B935" s="32" t="str">
        <f t="shared" si="684"/>
        <v/>
      </c>
      <c r="C935" s="35"/>
      <c r="D935" s="33" t="str">
        <f t="shared" si="685"/>
        <v/>
      </c>
      <c r="E935" s="22" t="str">
        <f t="shared" si="686"/>
        <v/>
      </c>
      <c r="F935" s="23" t="str">
        <f t="shared" si="687"/>
        <v/>
      </c>
      <c r="G935" s="23"/>
      <c r="H935" s="22"/>
      <c r="I935" s="23"/>
      <c r="J935" s="18"/>
      <c r="K935" s="13" t="str">
        <f t="shared" si="688"/>
        <v/>
      </c>
      <c r="L935" s="28" t="str">
        <f t="shared" si="689"/>
        <v/>
      </c>
      <c r="M935" s="10" t="str">
        <f t="shared" si="690"/>
        <v/>
      </c>
      <c r="N935" s="17" t="str">
        <f t="shared" si="691"/>
        <v/>
      </c>
      <c r="O935" s="39" t="str">
        <f t="shared" si="692"/>
        <v/>
      </c>
      <c r="P935" s="41" t="str">
        <f t="shared" si="693"/>
        <v/>
      </c>
      <c r="Q935" s="9" t="str">
        <f t="shared" si="694"/>
        <v/>
      </c>
      <c r="R935" s="14">
        <f t="shared" si="695"/>
        <v>0</v>
      </c>
      <c r="S935" s="61" t="str">
        <f t="shared" si="696"/>
        <v/>
      </c>
      <c r="T935" s="14">
        <f t="shared" si="697"/>
        <v>0</v>
      </c>
      <c r="U935" s="58" t="str">
        <f t="shared" si="698"/>
        <v/>
      </c>
      <c r="V935" s="14">
        <f t="shared" si="699"/>
        <v>0</v>
      </c>
      <c r="W935" s="58" t="str">
        <f t="shared" si="700"/>
        <v/>
      </c>
      <c r="X935" s="14">
        <f t="shared" si="701"/>
        <v>0</v>
      </c>
      <c r="Y935" s="58" t="str">
        <f t="shared" si="702"/>
        <v/>
      </c>
      <c r="Z935" s="31">
        <f t="shared" si="703"/>
        <v>0</v>
      </c>
      <c r="AA935" s="21">
        <f t="shared" si="704"/>
        <v>0</v>
      </c>
      <c r="AB935" s="58" t="str">
        <f t="shared" si="705"/>
        <v/>
      </c>
      <c r="AC935" s="630">
        <f t="shared" si="682"/>
        <v>0</v>
      </c>
      <c r="AD935" s="627"/>
      <c r="AE935" s="21">
        <f t="shared" si="706"/>
        <v>0</v>
      </c>
      <c r="AF935" s="58" t="str">
        <f t="shared" si="707"/>
        <v/>
      </c>
      <c r="AG935" s="21">
        <f t="shared" si="708"/>
        <v>0</v>
      </c>
      <c r="AH935" s="58" t="str">
        <f t="shared" si="709"/>
        <v/>
      </c>
      <c r="AI935" s="21">
        <f t="shared" si="710"/>
        <v>0</v>
      </c>
      <c r="AJ935" s="58" t="str">
        <f t="shared" si="711"/>
        <v/>
      </c>
      <c r="AK935" s="31">
        <f t="shared" si="712"/>
        <v>0</v>
      </c>
      <c r="AL935" s="21">
        <f t="shared" si="713"/>
        <v>0</v>
      </c>
      <c r="AM935" s="62" t="str">
        <f t="shared" si="714"/>
        <v/>
      </c>
      <c r="AN935" s="21">
        <f t="shared" si="715"/>
        <v>0</v>
      </c>
      <c r="AO935" s="62" t="str">
        <f t="shared" si="716"/>
        <v/>
      </c>
      <c r="AP935" s="21">
        <f t="shared" si="717"/>
        <v>0</v>
      </c>
      <c r="AQ935" s="62" t="str">
        <f t="shared" si="718"/>
        <v/>
      </c>
      <c r="AR935" s="31">
        <f t="shared" si="719"/>
        <v>0</v>
      </c>
      <c r="AS935" s="21">
        <f t="shared" si="720"/>
        <v>0</v>
      </c>
      <c r="AT935" s="62" t="str">
        <f t="shared" si="721"/>
        <v/>
      </c>
      <c r="AU935" s="84">
        <f t="shared" si="722"/>
        <v>0</v>
      </c>
      <c r="AV935" s="32">
        <f t="shared" si="723"/>
        <v>0</v>
      </c>
      <c r="AW935" s="85" t="str">
        <f t="shared" si="724"/>
        <v/>
      </c>
      <c r="AX935" s="86" t="str">
        <f t="shared" si="725"/>
        <v/>
      </c>
    </row>
    <row r="936" spans="1:50" x14ac:dyDescent="0.2">
      <c r="A936" s="29" t="str">
        <f t="shared" si="683"/>
        <v/>
      </c>
      <c r="B936" s="32" t="str">
        <f t="shared" si="684"/>
        <v/>
      </c>
      <c r="C936" s="35"/>
      <c r="D936" s="33" t="str">
        <f t="shared" si="685"/>
        <v/>
      </c>
      <c r="E936" s="22" t="str">
        <f t="shared" si="686"/>
        <v/>
      </c>
      <c r="F936" s="23" t="str">
        <f t="shared" si="687"/>
        <v/>
      </c>
      <c r="G936" s="23"/>
      <c r="H936" s="22"/>
      <c r="I936" s="23"/>
      <c r="J936" s="18"/>
      <c r="K936" s="13" t="str">
        <f t="shared" si="688"/>
        <v/>
      </c>
      <c r="L936" s="28" t="str">
        <f t="shared" si="689"/>
        <v/>
      </c>
      <c r="M936" s="10" t="str">
        <f t="shared" si="690"/>
        <v/>
      </c>
      <c r="N936" s="17" t="str">
        <f t="shared" si="691"/>
        <v/>
      </c>
      <c r="O936" s="39" t="str">
        <f t="shared" si="692"/>
        <v/>
      </c>
      <c r="P936" s="41" t="str">
        <f t="shared" si="693"/>
        <v/>
      </c>
      <c r="Q936" s="9" t="str">
        <f t="shared" si="694"/>
        <v/>
      </c>
      <c r="R936" s="14">
        <f t="shared" si="695"/>
        <v>0</v>
      </c>
      <c r="S936" s="61" t="str">
        <f t="shared" si="696"/>
        <v/>
      </c>
      <c r="T936" s="14">
        <f t="shared" si="697"/>
        <v>0</v>
      </c>
      <c r="U936" s="58" t="str">
        <f t="shared" si="698"/>
        <v/>
      </c>
      <c r="V936" s="14">
        <f t="shared" si="699"/>
        <v>0</v>
      </c>
      <c r="W936" s="58" t="str">
        <f t="shared" si="700"/>
        <v/>
      </c>
      <c r="X936" s="14">
        <f t="shared" si="701"/>
        <v>0</v>
      </c>
      <c r="Y936" s="58" t="str">
        <f t="shared" si="702"/>
        <v/>
      </c>
      <c r="Z936" s="31">
        <f t="shared" si="703"/>
        <v>0</v>
      </c>
      <c r="AA936" s="21">
        <f t="shared" si="704"/>
        <v>0</v>
      </c>
      <c r="AB936" s="58" t="str">
        <f t="shared" si="705"/>
        <v/>
      </c>
      <c r="AC936" s="630">
        <f t="shared" si="682"/>
        <v>0</v>
      </c>
      <c r="AD936" s="627"/>
      <c r="AE936" s="21">
        <f t="shared" si="706"/>
        <v>0</v>
      </c>
      <c r="AF936" s="58" t="str">
        <f t="shared" si="707"/>
        <v/>
      </c>
      <c r="AG936" s="21">
        <f t="shared" si="708"/>
        <v>0</v>
      </c>
      <c r="AH936" s="58" t="str">
        <f t="shared" si="709"/>
        <v/>
      </c>
      <c r="AI936" s="21">
        <f t="shared" si="710"/>
        <v>0</v>
      </c>
      <c r="AJ936" s="58" t="str">
        <f t="shared" si="711"/>
        <v/>
      </c>
      <c r="AK936" s="31">
        <f t="shared" si="712"/>
        <v>0</v>
      </c>
      <c r="AL936" s="21">
        <f t="shared" si="713"/>
        <v>0</v>
      </c>
      <c r="AM936" s="62" t="str">
        <f t="shared" si="714"/>
        <v/>
      </c>
      <c r="AN936" s="21">
        <f t="shared" si="715"/>
        <v>0</v>
      </c>
      <c r="AO936" s="62" t="str">
        <f t="shared" si="716"/>
        <v/>
      </c>
      <c r="AP936" s="21">
        <f t="shared" si="717"/>
        <v>0</v>
      </c>
      <c r="AQ936" s="62" t="str">
        <f t="shared" si="718"/>
        <v/>
      </c>
      <c r="AR936" s="31">
        <f t="shared" si="719"/>
        <v>0</v>
      </c>
      <c r="AS936" s="21">
        <f t="shared" si="720"/>
        <v>0</v>
      </c>
      <c r="AT936" s="62" t="str">
        <f t="shared" si="721"/>
        <v/>
      </c>
      <c r="AU936" s="84">
        <f t="shared" si="722"/>
        <v>0</v>
      </c>
      <c r="AV936" s="32">
        <f t="shared" si="723"/>
        <v>0</v>
      </c>
      <c r="AW936" s="85" t="str">
        <f t="shared" si="724"/>
        <v/>
      </c>
      <c r="AX936" s="86" t="str">
        <f t="shared" si="725"/>
        <v/>
      </c>
    </row>
    <row r="937" spans="1:50" x14ac:dyDescent="0.2">
      <c r="A937" s="29" t="str">
        <f t="shared" si="683"/>
        <v/>
      </c>
      <c r="B937" s="32" t="str">
        <f t="shared" si="684"/>
        <v/>
      </c>
      <c r="C937" s="35"/>
      <c r="D937" s="33" t="str">
        <f t="shared" si="685"/>
        <v/>
      </c>
      <c r="E937" s="22" t="str">
        <f t="shared" si="686"/>
        <v/>
      </c>
      <c r="F937" s="23" t="str">
        <f t="shared" si="687"/>
        <v/>
      </c>
      <c r="G937" s="23"/>
      <c r="H937" s="22"/>
      <c r="I937" s="23"/>
      <c r="J937" s="18"/>
      <c r="K937" s="13" t="str">
        <f t="shared" si="688"/>
        <v/>
      </c>
      <c r="L937" s="28" t="str">
        <f t="shared" si="689"/>
        <v/>
      </c>
      <c r="M937" s="10" t="str">
        <f t="shared" si="690"/>
        <v/>
      </c>
      <c r="N937" s="17" t="str">
        <f t="shared" si="691"/>
        <v/>
      </c>
      <c r="O937" s="39" t="str">
        <f t="shared" si="692"/>
        <v/>
      </c>
      <c r="P937" s="41" t="str">
        <f t="shared" si="693"/>
        <v/>
      </c>
      <c r="Q937" s="9" t="str">
        <f t="shared" si="694"/>
        <v/>
      </c>
      <c r="R937" s="14">
        <f t="shared" si="695"/>
        <v>0</v>
      </c>
      <c r="S937" s="61" t="str">
        <f t="shared" si="696"/>
        <v/>
      </c>
      <c r="T937" s="14">
        <f t="shared" si="697"/>
        <v>0</v>
      </c>
      <c r="U937" s="58" t="str">
        <f t="shared" si="698"/>
        <v/>
      </c>
      <c r="V937" s="14">
        <f t="shared" si="699"/>
        <v>0</v>
      </c>
      <c r="W937" s="58" t="str">
        <f t="shared" si="700"/>
        <v/>
      </c>
      <c r="X937" s="14">
        <f t="shared" si="701"/>
        <v>0</v>
      </c>
      <c r="Y937" s="58" t="str">
        <f t="shared" si="702"/>
        <v/>
      </c>
      <c r="Z937" s="31">
        <f t="shared" si="703"/>
        <v>0</v>
      </c>
      <c r="AA937" s="21">
        <f t="shared" si="704"/>
        <v>0</v>
      </c>
      <c r="AB937" s="58" t="str">
        <f t="shared" si="705"/>
        <v/>
      </c>
      <c r="AC937" s="630">
        <f t="shared" si="682"/>
        <v>0</v>
      </c>
      <c r="AD937" s="627"/>
      <c r="AE937" s="21">
        <f t="shared" si="706"/>
        <v>0</v>
      </c>
      <c r="AF937" s="58" t="str">
        <f t="shared" si="707"/>
        <v/>
      </c>
      <c r="AG937" s="21">
        <f t="shared" si="708"/>
        <v>0</v>
      </c>
      <c r="AH937" s="58" t="str">
        <f t="shared" si="709"/>
        <v/>
      </c>
      <c r="AI937" s="21">
        <f t="shared" si="710"/>
        <v>0</v>
      </c>
      <c r="AJ937" s="58" t="str">
        <f t="shared" si="711"/>
        <v/>
      </c>
      <c r="AK937" s="31">
        <f t="shared" si="712"/>
        <v>0</v>
      </c>
      <c r="AL937" s="21">
        <f t="shared" si="713"/>
        <v>0</v>
      </c>
      <c r="AM937" s="62" t="str">
        <f t="shared" si="714"/>
        <v/>
      </c>
      <c r="AN937" s="21">
        <f t="shared" si="715"/>
        <v>0</v>
      </c>
      <c r="AO937" s="62" t="str">
        <f t="shared" si="716"/>
        <v/>
      </c>
      <c r="AP937" s="21">
        <f t="shared" si="717"/>
        <v>0</v>
      </c>
      <c r="AQ937" s="62" t="str">
        <f t="shared" si="718"/>
        <v/>
      </c>
      <c r="AR937" s="31">
        <f t="shared" si="719"/>
        <v>0</v>
      </c>
      <c r="AS937" s="21">
        <f t="shared" si="720"/>
        <v>0</v>
      </c>
      <c r="AT937" s="62" t="str">
        <f t="shared" si="721"/>
        <v/>
      </c>
      <c r="AU937" s="84">
        <f t="shared" si="722"/>
        <v>0</v>
      </c>
      <c r="AV937" s="32">
        <f t="shared" si="723"/>
        <v>0</v>
      </c>
      <c r="AW937" s="85" t="str">
        <f t="shared" si="724"/>
        <v/>
      </c>
      <c r="AX937" s="86" t="str">
        <f t="shared" si="725"/>
        <v/>
      </c>
    </row>
    <row r="938" spans="1:50" x14ac:dyDescent="0.2">
      <c r="A938" s="29" t="str">
        <f t="shared" si="683"/>
        <v/>
      </c>
      <c r="B938" s="32" t="str">
        <f t="shared" si="684"/>
        <v/>
      </c>
      <c r="C938" s="35"/>
      <c r="D938" s="33" t="str">
        <f t="shared" si="685"/>
        <v/>
      </c>
      <c r="E938" s="22" t="str">
        <f t="shared" si="686"/>
        <v/>
      </c>
      <c r="F938" s="23" t="str">
        <f t="shared" si="687"/>
        <v/>
      </c>
      <c r="G938" s="23"/>
      <c r="H938" s="22"/>
      <c r="I938" s="23"/>
      <c r="J938" s="18"/>
      <c r="K938" s="13" t="str">
        <f t="shared" si="688"/>
        <v/>
      </c>
      <c r="L938" s="28" t="str">
        <f t="shared" si="689"/>
        <v/>
      </c>
      <c r="M938" s="10" t="str">
        <f t="shared" si="690"/>
        <v/>
      </c>
      <c r="N938" s="17" t="str">
        <f t="shared" si="691"/>
        <v/>
      </c>
      <c r="O938" s="39" t="str">
        <f t="shared" si="692"/>
        <v/>
      </c>
      <c r="P938" s="41" t="str">
        <f t="shared" si="693"/>
        <v/>
      </c>
      <c r="Q938" s="9" t="str">
        <f t="shared" si="694"/>
        <v/>
      </c>
      <c r="R938" s="14">
        <f t="shared" si="695"/>
        <v>0</v>
      </c>
      <c r="S938" s="61" t="str">
        <f t="shared" si="696"/>
        <v/>
      </c>
      <c r="T938" s="14">
        <f t="shared" si="697"/>
        <v>0</v>
      </c>
      <c r="U938" s="58" t="str">
        <f t="shared" si="698"/>
        <v/>
      </c>
      <c r="V938" s="14">
        <f t="shared" si="699"/>
        <v>0</v>
      </c>
      <c r="W938" s="58" t="str">
        <f t="shared" si="700"/>
        <v/>
      </c>
      <c r="X938" s="14">
        <f t="shared" si="701"/>
        <v>0</v>
      </c>
      <c r="Y938" s="58" t="str">
        <f t="shared" si="702"/>
        <v/>
      </c>
      <c r="Z938" s="31">
        <f t="shared" si="703"/>
        <v>0</v>
      </c>
      <c r="AA938" s="21">
        <f t="shared" si="704"/>
        <v>0</v>
      </c>
      <c r="AB938" s="58" t="str">
        <f t="shared" si="705"/>
        <v/>
      </c>
      <c r="AC938" s="630">
        <f t="shared" si="682"/>
        <v>0</v>
      </c>
      <c r="AD938" s="627"/>
      <c r="AE938" s="21">
        <f t="shared" si="706"/>
        <v>0</v>
      </c>
      <c r="AF938" s="58" t="str">
        <f t="shared" si="707"/>
        <v/>
      </c>
      <c r="AG938" s="21">
        <f t="shared" si="708"/>
        <v>0</v>
      </c>
      <c r="AH938" s="58" t="str">
        <f t="shared" si="709"/>
        <v/>
      </c>
      <c r="AI938" s="21">
        <f t="shared" si="710"/>
        <v>0</v>
      </c>
      <c r="AJ938" s="58" t="str">
        <f t="shared" si="711"/>
        <v/>
      </c>
      <c r="AK938" s="31">
        <f t="shared" si="712"/>
        <v>0</v>
      </c>
      <c r="AL938" s="21">
        <f t="shared" si="713"/>
        <v>0</v>
      </c>
      <c r="AM938" s="62" t="str">
        <f t="shared" si="714"/>
        <v/>
      </c>
      <c r="AN938" s="21">
        <f t="shared" si="715"/>
        <v>0</v>
      </c>
      <c r="AO938" s="62" t="str">
        <f t="shared" si="716"/>
        <v/>
      </c>
      <c r="AP938" s="21">
        <f t="shared" si="717"/>
        <v>0</v>
      </c>
      <c r="AQ938" s="62" t="str">
        <f t="shared" si="718"/>
        <v/>
      </c>
      <c r="AR938" s="31">
        <f t="shared" si="719"/>
        <v>0</v>
      </c>
      <c r="AS938" s="21">
        <f t="shared" si="720"/>
        <v>0</v>
      </c>
      <c r="AT938" s="62" t="str">
        <f t="shared" si="721"/>
        <v/>
      </c>
      <c r="AU938" s="84">
        <f t="shared" si="722"/>
        <v>0</v>
      </c>
      <c r="AV938" s="32">
        <f t="shared" si="723"/>
        <v>0</v>
      </c>
      <c r="AW938" s="85" t="str">
        <f t="shared" si="724"/>
        <v/>
      </c>
      <c r="AX938" s="86" t="str">
        <f t="shared" si="725"/>
        <v/>
      </c>
    </row>
    <row r="939" spans="1:50" x14ac:dyDescent="0.2">
      <c r="A939" s="29" t="str">
        <f t="shared" si="683"/>
        <v/>
      </c>
      <c r="B939" s="32" t="str">
        <f t="shared" si="684"/>
        <v/>
      </c>
      <c r="C939" s="35"/>
      <c r="D939" s="33" t="str">
        <f t="shared" si="685"/>
        <v/>
      </c>
      <c r="E939" s="22" t="str">
        <f t="shared" si="686"/>
        <v/>
      </c>
      <c r="F939" s="23" t="str">
        <f t="shared" si="687"/>
        <v/>
      </c>
      <c r="G939" s="23"/>
      <c r="H939" s="22"/>
      <c r="I939" s="23"/>
      <c r="J939" s="18"/>
      <c r="K939" s="13" t="str">
        <f t="shared" si="688"/>
        <v/>
      </c>
      <c r="L939" s="28" t="str">
        <f t="shared" si="689"/>
        <v/>
      </c>
      <c r="M939" s="10" t="str">
        <f t="shared" si="690"/>
        <v/>
      </c>
      <c r="N939" s="17" t="str">
        <f t="shared" si="691"/>
        <v/>
      </c>
      <c r="O939" s="39" t="str">
        <f t="shared" si="692"/>
        <v/>
      </c>
      <c r="P939" s="41" t="str">
        <f t="shared" si="693"/>
        <v/>
      </c>
      <c r="Q939" s="9" t="str">
        <f t="shared" si="694"/>
        <v/>
      </c>
      <c r="R939" s="14">
        <f t="shared" si="695"/>
        <v>0</v>
      </c>
      <c r="S939" s="61" t="str">
        <f t="shared" si="696"/>
        <v/>
      </c>
      <c r="T939" s="14">
        <f t="shared" si="697"/>
        <v>0</v>
      </c>
      <c r="U939" s="58" t="str">
        <f t="shared" si="698"/>
        <v/>
      </c>
      <c r="V939" s="14">
        <f t="shared" si="699"/>
        <v>0</v>
      </c>
      <c r="W939" s="58" t="str">
        <f t="shared" si="700"/>
        <v/>
      </c>
      <c r="X939" s="14">
        <f t="shared" si="701"/>
        <v>0</v>
      </c>
      <c r="Y939" s="58" t="str">
        <f t="shared" si="702"/>
        <v/>
      </c>
      <c r="Z939" s="31">
        <f t="shared" si="703"/>
        <v>0</v>
      </c>
      <c r="AA939" s="21">
        <f t="shared" si="704"/>
        <v>0</v>
      </c>
      <c r="AB939" s="58" t="str">
        <f t="shared" si="705"/>
        <v/>
      </c>
      <c r="AC939" s="630">
        <f t="shared" si="682"/>
        <v>0</v>
      </c>
      <c r="AD939" s="627"/>
      <c r="AE939" s="21">
        <f t="shared" si="706"/>
        <v>0</v>
      </c>
      <c r="AF939" s="58" t="str">
        <f t="shared" si="707"/>
        <v/>
      </c>
      <c r="AG939" s="21">
        <f t="shared" si="708"/>
        <v>0</v>
      </c>
      <c r="AH939" s="58" t="str">
        <f t="shared" si="709"/>
        <v/>
      </c>
      <c r="AI939" s="21">
        <f t="shared" si="710"/>
        <v>0</v>
      </c>
      <c r="AJ939" s="58" t="str">
        <f t="shared" si="711"/>
        <v/>
      </c>
      <c r="AK939" s="31">
        <f t="shared" si="712"/>
        <v>0</v>
      </c>
      <c r="AL939" s="21">
        <f t="shared" si="713"/>
        <v>0</v>
      </c>
      <c r="AM939" s="62" t="str">
        <f t="shared" si="714"/>
        <v/>
      </c>
      <c r="AN939" s="21">
        <f t="shared" si="715"/>
        <v>0</v>
      </c>
      <c r="AO939" s="62" t="str">
        <f t="shared" si="716"/>
        <v/>
      </c>
      <c r="AP939" s="21">
        <f t="shared" si="717"/>
        <v>0</v>
      </c>
      <c r="AQ939" s="62" t="str">
        <f t="shared" si="718"/>
        <v/>
      </c>
      <c r="AR939" s="31">
        <f t="shared" si="719"/>
        <v>0</v>
      </c>
      <c r="AS939" s="21">
        <f t="shared" si="720"/>
        <v>0</v>
      </c>
      <c r="AT939" s="62" t="str">
        <f t="shared" si="721"/>
        <v/>
      </c>
      <c r="AU939" s="84">
        <f t="shared" si="722"/>
        <v>0</v>
      </c>
      <c r="AV939" s="32">
        <f t="shared" si="723"/>
        <v>0</v>
      </c>
      <c r="AW939" s="85" t="str">
        <f t="shared" si="724"/>
        <v/>
      </c>
      <c r="AX939" s="86" t="str">
        <f t="shared" si="725"/>
        <v/>
      </c>
    </row>
    <row r="940" spans="1:50" x14ac:dyDescent="0.2">
      <c r="A940" s="29" t="str">
        <f t="shared" si="683"/>
        <v/>
      </c>
      <c r="B940" s="32" t="str">
        <f t="shared" si="684"/>
        <v/>
      </c>
      <c r="C940" s="35"/>
      <c r="D940" s="33" t="str">
        <f t="shared" si="685"/>
        <v/>
      </c>
      <c r="E940" s="22" t="str">
        <f t="shared" si="686"/>
        <v/>
      </c>
      <c r="F940" s="23" t="str">
        <f t="shared" si="687"/>
        <v/>
      </c>
      <c r="G940" s="23"/>
      <c r="H940" s="22"/>
      <c r="I940" s="23"/>
      <c r="J940" s="18"/>
      <c r="K940" s="13" t="str">
        <f t="shared" si="688"/>
        <v/>
      </c>
      <c r="L940" s="28" t="str">
        <f t="shared" si="689"/>
        <v/>
      </c>
      <c r="M940" s="10" t="str">
        <f t="shared" si="690"/>
        <v/>
      </c>
      <c r="N940" s="17" t="str">
        <f t="shared" si="691"/>
        <v/>
      </c>
      <c r="O940" s="39" t="str">
        <f t="shared" si="692"/>
        <v/>
      </c>
      <c r="P940" s="41" t="str">
        <f t="shared" si="693"/>
        <v/>
      </c>
      <c r="Q940" s="9" t="str">
        <f t="shared" si="694"/>
        <v/>
      </c>
      <c r="R940" s="14">
        <f t="shared" si="695"/>
        <v>0</v>
      </c>
      <c r="S940" s="61" t="str">
        <f t="shared" si="696"/>
        <v/>
      </c>
      <c r="T940" s="14">
        <f t="shared" si="697"/>
        <v>0</v>
      </c>
      <c r="U940" s="58" t="str">
        <f t="shared" si="698"/>
        <v/>
      </c>
      <c r="V940" s="14">
        <f t="shared" si="699"/>
        <v>0</v>
      </c>
      <c r="W940" s="58" t="str">
        <f t="shared" si="700"/>
        <v/>
      </c>
      <c r="X940" s="14">
        <f t="shared" si="701"/>
        <v>0</v>
      </c>
      <c r="Y940" s="58" t="str">
        <f t="shared" si="702"/>
        <v/>
      </c>
      <c r="Z940" s="31">
        <f t="shared" si="703"/>
        <v>0</v>
      </c>
      <c r="AA940" s="21">
        <f t="shared" si="704"/>
        <v>0</v>
      </c>
      <c r="AB940" s="58" t="str">
        <f t="shared" si="705"/>
        <v/>
      </c>
      <c r="AC940" s="630">
        <f t="shared" si="682"/>
        <v>0</v>
      </c>
      <c r="AD940" s="627"/>
      <c r="AE940" s="21">
        <f t="shared" si="706"/>
        <v>0</v>
      </c>
      <c r="AF940" s="58" t="str">
        <f t="shared" si="707"/>
        <v/>
      </c>
      <c r="AG940" s="21">
        <f t="shared" si="708"/>
        <v>0</v>
      </c>
      <c r="AH940" s="58" t="str">
        <f t="shared" si="709"/>
        <v/>
      </c>
      <c r="AI940" s="21">
        <f t="shared" si="710"/>
        <v>0</v>
      </c>
      <c r="AJ940" s="58" t="str">
        <f t="shared" si="711"/>
        <v/>
      </c>
      <c r="AK940" s="31">
        <f t="shared" si="712"/>
        <v>0</v>
      </c>
      <c r="AL940" s="21">
        <f t="shared" si="713"/>
        <v>0</v>
      </c>
      <c r="AM940" s="62" t="str">
        <f t="shared" si="714"/>
        <v/>
      </c>
      <c r="AN940" s="21">
        <f t="shared" si="715"/>
        <v>0</v>
      </c>
      <c r="AO940" s="62" t="str">
        <f t="shared" si="716"/>
        <v/>
      </c>
      <c r="AP940" s="21">
        <f t="shared" si="717"/>
        <v>0</v>
      </c>
      <c r="AQ940" s="62" t="str">
        <f t="shared" si="718"/>
        <v/>
      </c>
      <c r="AR940" s="31">
        <f t="shared" si="719"/>
        <v>0</v>
      </c>
      <c r="AS940" s="21">
        <f t="shared" si="720"/>
        <v>0</v>
      </c>
      <c r="AT940" s="62" t="str">
        <f t="shared" si="721"/>
        <v/>
      </c>
      <c r="AU940" s="84">
        <f t="shared" si="722"/>
        <v>0</v>
      </c>
      <c r="AV940" s="32">
        <f t="shared" si="723"/>
        <v>0</v>
      </c>
      <c r="AW940" s="85" t="str">
        <f t="shared" si="724"/>
        <v/>
      </c>
      <c r="AX940" s="86" t="str">
        <f t="shared" si="725"/>
        <v/>
      </c>
    </row>
    <row r="941" spans="1:50" x14ac:dyDescent="0.2">
      <c r="A941" s="29" t="str">
        <f t="shared" si="683"/>
        <v/>
      </c>
      <c r="B941" s="32" t="str">
        <f t="shared" si="684"/>
        <v/>
      </c>
      <c r="C941" s="35"/>
      <c r="D941" s="33" t="str">
        <f t="shared" si="685"/>
        <v/>
      </c>
      <c r="E941" s="22" t="str">
        <f t="shared" si="686"/>
        <v/>
      </c>
      <c r="F941" s="23" t="str">
        <f t="shared" si="687"/>
        <v/>
      </c>
      <c r="G941" s="23"/>
      <c r="H941" s="22"/>
      <c r="I941" s="23"/>
      <c r="J941" s="18"/>
      <c r="K941" s="13" t="str">
        <f t="shared" si="688"/>
        <v/>
      </c>
      <c r="L941" s="28" t="str">
        <f t="shared" si="689"/>
        <v/>
      </c>
      <c r="M941" s="10" t="str">
        <f t="shared" si="690"/>
        <v/>
      </c>
      <c r="N941" s="17" t="str">
        <f t="shared" si="691"/>
        <v/>
      </c>
      <c r="O941" s="39" t="str">
        <f t="shared" si="692"/>
        <v/>
      </c>
      <c r="P941" s="41" t="str">
        <f t="shared" si="693"/>
        <v/>
      </c>
      <c r="Q941" s="9" t="str">
        <f t="shared" si="694"/>
        <v/>
      </c>
      <c r="R941" s="14">
        <f t="shared" si="695"/>
        <v>0</v>
      </c>
      <c r="S941" s="61" t="str">
        <f t="shared" si="696"/>
        <v/>
      </c>
      <c r="T941" s="14">
        <f t="shared" si="697"/>
        <v>0</v>
      </c>
      <c r="U941" s="58" t="str">
        <f t="shared" si="698"/>
        <v/>
      </c>
      <c r="V941" s="14">
        <f t="shared" si="699"/>
        <v>0</v>
      </c>
      <c r="W941" s="58" t="str">
        <f t="shared" si="700"/>
        <v/>
      </c>
      <c r="X941" s="14">
        <f t="shared" si="701"/>
        <v>0</v>
      </c>
      <c r="Y941" s="58" t="str">
        <f t="shared" si="702"/>
        <v/>
      </c>
      <c r="Z941" s="31">
        <f t="shared" si="703"/>
        <v>0</v>
      </c>
      <c r="AA941" s="21">
        <f t="shared" si="704"/>
        <v>0</v>
      </c>
      <c r="AB941" s="58" t="str">
        <f t="shared" si="705"/>
        <v/>
      </c>
      <c r="AC941" s="630">
        <f t="shared" si="682"/>
        <v>0</v>
      </c>
      <c r="AD941" s="627"/>
      <c r="AE941" s="21">
        <f t="shared" si="706"/>
        <v>0</v>
      </c>
      <c r="AF941" s="58" t="str">
        <f t="shared" si="707"/>
        <v/>
      </c>
      <c r="AG941" s="21">
        <f t="shared" si="708"/>
        <v>0</v>
      </c>
      <c r="AH941" s="58" t="str">
        <f t="shared" si="709"/>
        <v/>
      </c>
      <c r="AI941" s="21">
        <f t="shared" si="710"/>
        <v>0</v>
      </c>
      <c r="AJ941" s="58" t="str">
        <f t="shared" si="711"/>
        <v/>
      </c>
      <c r="AK941" s="31">
        <f t="shared" si="712"/>
        <v>0</v>
      </c>
      <c r="AL941" s="21">
        <f t="shared" si="713"/>
        <v>0</v>
      </c>
      <c r="AM941" s="62" t="str">
        <f t="shared" si="714"/>
        <v/>
      </c>
      <c r="AN941" s="21">
        <f t="shared" si="715"/>
        <v>0</v>
      </c>
      <c r="AO941" s="62" t="str">
        <f t="shared" si="716"/>
        <v/>
      </c>
      <c r="AP941" s="21">
        <f t="shared" si="717"/>
        <v>0</v>
      </c>
      <c r="AQ941" s="62" t="str">
        <f t="shared" si="718"/>
        <v/>
      </c>
      <c r="AR941" s="31">
        <f t="shared" si="719"/>
        <v>0</v>
      </c>
      <c r="AS941" s="21">
        <f t="shared" si="720"/>
        <v>0</v>
      </c>
      <c r="AT941" s="62" t="str">
        <f t="shared" si="721"/>
        <v/>
      </c>
      <c r="AU941" s="84">
        <f t="shared" si="722"/>
        <v>0</v>
      </c>
      <c r="AV941" s="32">
        <f t="shared" si="723"/>
        <v>0</v>
      </c>
      <c r="AW941" s="85" t="str">
        <f t="shared" si="724"/>
        <v/>
      </c>
      <c r="AX941" s="86" t="str">
        <f t="shared" si="725"/>
        <v/>
      </c>
    </row>
    <row r="942" spans="1:50" x14ac:dyDescent="0.2">
      <c r="A942" s="29" t="str">
        <f t="shared" si="683"/>
        <v/>
      </c>
      <c r="B942" s="32" t="str">
        <f t="shared" si="684"/>
        <v/>
      </c>
      <c r="C942" s="35"/>
      <c r="D942" s="33" t="str">
        <f t="shared" si="685"/>
        <v/>
      </c>
      <c r="E942" s="22" t="str">
        <f t="shared" si="686"/>
        <v/>
      </c>
      <c r="F942" s="23" t="str">
        <f t="shared" si="687"/>
        <v/>
      </c>
      <c r="G942" s="23"/>
      <c r="H942" s="22"/>
      <c r="I942" s="23"/>
      <c r="J942" s="18"/>
      <c r="K942" s="13" t="str">
        <f t="shared" si="688"/>
        <v/>
      </c>
      <c r="L942" s="28" t="str">
        <f t="shared" si="689"/>
        <v/>
      </c>
      <c r="M942" s="10" t="str">
        <f t="shared" si="690"/>
        <v/>
      </c>
      <c r="N942" s="17" t="str">
        <f t="shared" si="691"/>
        <v/>
      </c>
      <c r="O942" s="39" t="str">
        <f t="shared" si="692"/>
        <v/>
      </c>
      <c r="P942" s="41" t="str">
        <f t="shared" si="693"/>
        <v/>
      </c>
      <c r="Q942" s="9" t="str">
        <f t="shared" si="694"/>
        <v/>
      </c>
      <c r="R942" s="14">
        <f t="shared" si="695"/>
        <v>0</v>
      </c>
      <c r="S942" s="61" t="str">
        <f t="shared" si="696"/>
        <v/>
      </c>
      <c r="T942" s="14">
        <f t="shared" si="697"/>
        <v>0</v>
      </c>
      <c r="U942" s="58" t="str">
        <f t="shared" si="698"/>
        <v/>
      </c>
      <c r="V942" s="14">
        <f t="shared" si="699"/>
        <v>0</v>
      </c>
      <c r="W942" s="58" t="str">
        <f t="shared" si="700"/>
        <v/>
      </c>
      <c r="X942" s="14">
        <f t="shared" si="701"/>
        <v>0</v>
      </c>
      <c r="Y942" s="58" t="str">
        <f t="shared" si="702"/>
        <v/>
      </c>
      <c r="Z942" s="31">
        <f t="shared" si="703"/>
        <v>0</v>
      </c>
      <c r="AA942" s="21">
        <f t="shared" si="704"/>
        <v>0</v>
      </c>
      <c r="AB942" s="58" t="str">
        <f t="shared" si="705"/>
        <v/>
      </c>
      <c r="AC942" s="630">
        <f t="shared" si="682"/>
        <v>0</v>
      </c>
      <c r="AD942" s="627"/>
      <c r="AE942" s="21">
        <f t="shared" si="706"/>
        <v>0</v>
      </c>
      <c r="AF942" s="58" t="str">
        <f t="shared" si="707"/>
        <v/>
      </c>
      <c r="AG942" s="21">
        <f t="shared" si="708"/>
        <v>0</v>
      </c>
      <c r="AH942" s="58" t="str">
        <f t="shared" si="709"/>
        <v/>
      </c>
      <c r="AI942" s="21">
        <f t="shared" si="710"/>
        <v>0</v>
      </c>
      <c r="AJ942" s="58" t="str">
        <f t="shared" si="711"/>
        <v/>
      </c>
      <c r="AK942" s="31">
        <f t="shared" si="712"/>
        <v>0</v>
      </c>
      <c r="AL942" s="21">
        <f t="shared" si="713"/>
        <v>0</v>
      </c>
      <c r="AM942" s="62" t="str">
        <f t="shared" si="714"/>
        <v/>
      </c>
      <c r="AN942" s="21">
        <f t="shared" si="715"/>
        <v>0</v>
      </c>
      <c r="AO942" s="62" t="str">
        <f t="shared" si="716"/>
        <v/>
      </c>
      <c r="AP942" s="21">
        <f t="shared" si="717"/>
        <v>0</v>
      </c>
      <c r="AQ942" s="62" t="str">
        <f t="shared" si="718"/>
        <v/>
      </c>
      <c r="AR942" s="31">
        <f t="shared" si="719"/>
        <v>0</v>
      </c>
      <c r="AS942" s="21">
        <f t="shared" si="720"/>
        <v>0</v>
      </c>
      <c r="AT942" s="62" t="str">
        <f t="shared" si="721"/>
        <v/>
      </c>
      <c r="AU942" s="84">
        <f t="shared" si="722"/>
        <v>0</v>
      </c>
      <c r="AV942" s="32">
        <f t="shared" si="723"/>
        <v>0</v>
      </c>
      <c r="AW942" s="85" t="str">
        <f t="shared" si="724"/>
        <v/>
      </c>
      <c r="AX942" s="86" t="str">
        <f t="shared" si="725"/>
        <v/>
      </c>
    </row>
    <row r="943" spans="1:50" x14ac:dyDescent="0.2">
      <c r="A943" s="29" t="str">
        <f t="shared" si="683"/>
        <v/>
      </c>
      <c r="B943" s="32" t="str">
        <f t="shared" si="684"/>
        <v/>
      </c>
      <c r="C943" s="35"/>
      <c r="D943" s="33" t="str">
        <f t="shared" si="685"/>
        <v/>
      </c>
      <c r="E943" s="22" t="str">
        <f t="shared" si="686"/>
        <v/>
      </c>
      <c r="F943" s="23" t="str">
        <f t="shared" si="687"/>
        <v/>
      </c>
      <c r="G943" s="23"/>
      <c r="H943" s="22"/>
      <c r="I943" s="23"/>
      <c r="J943" s="18"/>
      <c r="K943" s="13" t="str">
        <f t="shared" si="688"/>
        <v/>
      </c>
      <c r="L943" s="28" t="str">
        <f t="shared" si="689"/>
        <v/>
      </c>
      <c r="M943" s="10" t="str">
        <f t="shared" si="690"/>
        <v/>
      </c>
      <c r="N943" s="17" t="str">
        <f t="shared" si="691"/>
        <v/>
      </c>
      <c r="O943" s="39" t="str">
        <f t="shared" si="692"/>
        <v/>
      </c>
      <c r="P943" s="41" t="str">
        <f t="shared" si="693"/>
        <v/>
      </c>
      <c r="Q943" s="9" t="str">
        <f t="shared" si="694"/>
        <v/>
      </c>
      <c r="R943" s="14">
        <f t="shared" si="695"/>
        <v>0</v>
      </c>
      <c r="S943" s="61" t="str">
        <f t="shared" si="696"/>
        <v/>
      </c>
      <c r="T943" s="14">
        <f t="shared" si="697"/>
        <v>0</v>
      </c>
      <c r="U943" s="58" t="str">
        <f t="shared" si="698"/>
        <v/>
      </c>
      <c r="V943" s="14">
        <f t="shared" si="699"/>
        <v>0</v>
      </c>
      <c r="W943" s="58" t="str">
        <f t="shared" si="700"/>
        <v/>
      </c>
      <c r="X943" s="14">
        <f t="shared" si="701"/>
        <v>0</v>
      </c>
      <c r="Y943" s="58" t="str">
        <f t="shared" si="702"/>
        <v/>
      </c>
      <c r="Z943" s="31">
        <f t="shared" si="703"/>
        <v>0</v>
      </c>
      <c r="AA943" s="21">
        <f t="shared" si="704"/>
        <v>0</v>
      </c>
      <c r="AB943" s="58" t="str">
        <f t="shared" si="705"/>
        <v/>
      </c>
      <c r="AC943" s="630">
        <f t="shared" si="682"/>
        <v>0</v>
      </c>
      <c r="AD943" s="627"/>
      <c r="AE943" s="21">
        <f t="shared" si="706"/>
        <v>0</v>
      </c>
      <c r="AF943" s="58" t="str">
        <f t="shared" si="707"/>
        <v/>
      </c>
      <c r="AG943" s="21">
        <f t="shared" si="708"/>
        <v>0</v>
      </c>
      <c r="AH943" s="58" t="str">
        <f t="shared" si="709"/>
        <v/>
      </c>
      <c r="AI943" s="21">
        <f t="shared" si="710"/>
        <v>0</v>
      </c>
      <c r="AJ943" s="58" t="str">
        <f t="shared" si="711"/>
        <v/>
      </c>
      <c r="AK943" s="31">
        <f t="shared" si="712"/>
        <v>0</v>
      </c>
      <c r="AL943" s="21">
        <f t="shared" si="713"/>
        <v>0</v>
      </c>
      <c r="AM943" s="62" t="str">
        <f t="shared" si="714"/>
        <v/>
      </c>
      <c r="AN943" s="21">
        <f t="shared" si="715"/>
        <v>0</v>
      </c>
      <c r="AO943" s="62" t="str">
        <f t="shared" si="716"/>
        <v/>
      </c>
      <c r="AP943" s="21">
        <f t="shared" si="717"/>
        <v>0</v>
      </c>
      <c r="AQ943" s="62" t="str">
        <f t="shared" si="718"/>
        <v/>
      </c>
      <c r="AR943" s="31">
        <f t="shared" si="719"/>
        <v>0</v>
      </c>
      <c r="AS943" s="21">
        <f t="shared" si="720"/>
        <v>0</v>
      </c>
      <c r="AT943" s="62" t="str">
        <f t="shared" si="721"/>
        <v/>
      </c>
      <c r="AU943" s="84">
        <f t="shared" si="722"/>
        <v>0</v>
      </c>
      <c r="AV943" s="32">
        <f t="shared" si="723"/>
        <v>0</v>
      </c>
      <c r="AW943" s="85" t="str">
        <f t="shared" si="724"/>
        <v/>
      </c>
      <c r="AX943" s="86" t="str">
        <f t="shared" si="725"/>
        <v/>
      </c>
    </row>
    <row r="944" spans="1:50" x14ac:dyDescent="0.2">
      <c r="A944" s="29" t="str">
        <f t="shared" si="683"/>
        <v/>
      </c>
      <c r="B944" s="32" t="str">
        <f t="shared" si="684"/>
        <v/>
      </c>
      <c r="C944" s="35"/>
      <c r="D944" s="33" t="str">
        <f t="shared" si="685"/>
        <v/>
      </c>
      <c r="E944" s="22" t="str">
        <f t="shared" si="686"/>
        <v/>
      </c>
      <c r="F944" s="23" t="str">
        <f t="shared" si="687"/>
        <v/>
      </c>
      <c r="G944" s="23"/>
      <c r="H944" s="22"/>
      <c r="I944" s="23"/>
      <c r="J944" s="18"/>
      <c r="K944" s="13" t="str">
        <f t="shared" si="688"/>
        <v/>
      </c>
      <c r="L944" s="28" t="str">
        <f t="shared" si="689"/>
        <v/>
      </c>
      <c r="M944" s="10" t="str">
        <f t="shared" si="690"/>
        <v/>
      </c>
      <c r="N944" s="17" t="str">
        <f t="shared" si="691"/>
        <v/>
      </c>
      <c r="O944" s="39" t="str">
        <f t="shared" si="692"/>
        <v/>
      </c>
      <c r="P944" s="41" t="str">
        <f t="shared" si="693"/>
        <v/>
      </c>
      <c r="Q944" s="9" t="str">
        <f t="shared" si="694"/>
        <v/>
      </c>
      <c r="R944" s="14">
        <f t="shared" si="695"/>
        <v>0</v>
      </c>
      <c r="S944" s="61" t="str">
        <f t="shared" si="696"/>
        <v/>
      </c>
      <c r="T944" s="14">
        <f t="shared" si="697"/>
        <v>0</v>
      </c>
      <c r="U944" s="58" t="str">
        <f t="shared" si="698"/>
        <v/>
      </c>
      <c r="V944" s="14">
        <f t="shared" si="699"/>
        <v>0</v>
      </c>
      <c r="W944" s="58" t="str">
        <f t="shared" si="700"/>
        <v/>
      </c>
      <c r="X944" s="14">
        <f t="shared" si="701"/>
        <v>0</v>
      </c>
      <c r="Y944" s="58" t="str">
        <f t="shared" si="702"/>
        <v/>
      </c>
      <c r="Z944" s="31">
        <f t="shared" si="703"/>
        <v>0</v>
      </c>
      <c r="AA944" s="21">
        <f t="shared" si="704"/>
        <v>0</v>
      </c>
      <c r="AB944" s="58" t="str">
        <f t="shared" si="705"/>
        <v/>
      </c>
      <c r="AC944" s="630">
        <f t="shared" si="682"/>
        <v>0</v>
      </c>
      <c r="AD944" s="627"/>
      <c r="AE944" s="21">
        <f t="shared" si="706"/>
        <v>0</v>
      </c>
      <c r="AF944" s="58" t="str">
        <f t="shared" si="707"/>
        <v/>
      </c>
      <c r="AG944" s="21">
        <f t="shared" si="708"/>
        <v>0</v>
      </c>
      <c r="AH944" s="58" t="str">
        <f t="shared" si="709"/>
        <v/>
      </c>
      <c r="AI944" s="21">
        <f t="shared" si="710"/>
        <v>0</v>
      </c>
      <c r="AJ944" s="58" t="str">
        <f t="shared" si="711"/>
        <v/>
      </c>
      <c r="AK944" s="31">
        <f t="shared" si="712"/>
        <v>0</v>
      </c>
      <c r="AL944" s="21">
        <f t="shared" si="713"/>
        <v>0</v>
      </c>
      <c r="AM944" s="62" t="str">
        <f t="shared" si="714"/>
        <v/>
      </c>
      <c r="AN944" s="21">
        <f t="shared" si="715"/>
        <v>0</v>
      </c>
      <c r="AO944" s="62" t="str">
        <f t="shared" si="716"/>
        <v/>
      </c>
      <c r="AP944" s="21">
        <f t="shared" si="717"/>
        <v>0</v>
      </c>
      <c r="AQ944" s="62" t="str">
        <f t="shared" si="718"/>
        <v/>
      </c>
      <c r="AR944" s="31">
        <f t="shared" si="719"/>
        <v>0</v>
      </c>
      <c r="AS944" s="21">
        <f t="shared" si="720"/>
        <v>0</v>
      </c>
      <c r="AT944" s="62" t="str">
        <f t="shared" si="721"/>
        <v/>
      </c>
      <c r="AU944" s="84">
        <f t="shared" si="722"/>
        <v>0</v>
      </c>
      <c r="AV944" s="32">
        <f t="shared" si="723"/>
        <v>0</v>
      </c>
      <c r="AW944" s="85" t="str">
        <f t="shared" si="724"/>
        <v/>
      </c>
      <c r="AX944" s="86" t="str">
        <f t="shared" si="725"/>
        <v/>
      </c>
    </row>
    <row r="945" spans="1:50" x14ac:dyDescent="0.2">
      <c r="A945" s="29" t="str">
        <f t="shared" si="683"/>
        <v/>
      </c>
      <c r="B945" s="32" t="str">
        <f t="shared" si="684"/>
        <v/>
      </c>
      <c r="C945" s="35"/>
      <c r="D945" s="33" t="str">
        <f t="shared" si="685"/>
        <v/>
      </c>
      <c r="E945" s="22" t="str">
        <f t="shared" si="686"/>
        <v/>
      </c>
      <c r="F945" s="23" t="str">
        <f t="shared" si="687"/>
        <v/>
      </c>
      <c r="G945" s="23"/>
      <c r="H945" s="22"/>
      <c r="I945" s="23"/>
      <c r="J945" s="18"/>
      <c r="K945" s="13" t="str">
        <f t="shared" si="688"/>
        <v/>
      </c>
      <c r="L945" s="28" t="str">
        <f t="shared" si="689"/>
        <v/>
      </c>
      <c r="M945" s="10" t="str">
        <f t="shared" si="690"/>
        <v/>
      </c>
      <c r="N945" s="17" t="str">
        <f t="shared" si="691"/>
        <v/>
      </c>
      <c r="O945" s="39" t="str">
        <f t="shared" si="692"/>
        <v/>
      </c>
      <c r="P945" s="41" t="str">
        <f t="shared" si="693"/>
        <v/>
      </c>
      <c r="Q945" s="9" t="str">
        <f t="shared" si="694"/>
        <v/>
      </c>
      <c r="R945" s="14">
        <f t="shared" si="695"/>
        <v>0</v>
      </c>
      <c r="S945" s="61" t="str">
        <f t="shared" si="696"/>
        <v/>
      </c>
      <c r="T945" s="14">
        <f t="shared" si="697"/>
        <v>0</v>
      </c>
      <c r="U945" s="58" t="str">
        <f t="shared" si="698"/>
        <v/>
      </c>
      <c r="V945" s="14">
        <f t="shared" si="699"/>
        <v>0</v>
      </c>
      <c r="W945" s="58" t="str">
        <f t="shared" si="700"/>
        <v/>
      </c>
      <c r="X945" s="14">
        <f t="shared" si="701"/>
        <v>0</v>
      </c>
      <c r="Y945" s="58" t="str">
        <f t="shared" si="702"/>
        <v/>
      </c>
      <c r="Z945" s="31">
        <f t="shared" si="703"/>
        <v>0</v>
      </c>
      <c r="AA945" s="21">
        <f t="shared" si="704"/>
        <v>0</v>
      </c>
      <c r="AB945" s="58" t="str">
        <f t="shared" si="705"/>
        <v/>
      </c>
      <c r="AC945" s="630">
        <f t="shared" si="682"/>
        <v>0</v>
      </c>
      <c r="AD945" s="627"/>
      <c r="AE945" s="21">
        <f t="shared" si="706"/>
        <v>0</v>
      </c>
      <c r="AF945" s="58" t="str">
        <f t="shared" si="707"/>
        <v/>
      </c>
      <c r="AG945" s="21">
        <f t="shared" si="708"/>
        <v>0</v>
      </c>
      <c r="AH945" s="58" t="str">
        <f t="shared" si="709"/>
        <v/>
      </c>
      <c r="AI945" s="21">
        <f t="shared" si="710"/>
        <v>0</v>
      </c>
      <c r="AJ945" s="58" t="str">
        <f t="shared" si="711"/>
        <v/>
      </c>
      <c r="AK945" s="31">
        <f t="shared" si="712"/>
        <v>0</v>
      </c>
      <c r="AL945" s="21">
        <f t="shared" si="713"/>
        <v>0</v>
      </c>
      <c r="AM945" s="62" t="str">
        <f t="shared" si="714"/>
        <v/>
      </c>
      <c r="AN945" s="21">
        <f t="shared" si="715"/>
        <v>0</v>
      </c>
      <c r="AO945" s="62" t="str">
        <f t="shared" si="716"/>
        <v/>
      </c>
      <c r="AP945" s="21">
        <f t="shared" si="717"/>
        <v>0</v>
      </c>
      <c r="AQ945" s="62" t="str">
        <f t="shared" si="718"/>
        <v/>
      </c>
      <c r="AR945" s="31">
        <f t="shared" si="719"/>
        <v>0</v>
      </c>
      <c r="AS945" s="21">
        <f t="shared" si="720"/>
        <v>0</v>
      </c>
      <c r="AT945" s="62" t="str">
        <f t="shared" si="721"/>
        <v/>
      </c>
      <c r="AU945" s="84">
        <f t="shared" si="722"/>
        <v>0</v>
      </c>
      <c r="AV945" s="32">
        <f t="shared" si="723"/>
        <v>0</v>
      </c>
      <c r="AW945" s="85" t="str">
        <f t="shared" si="724"/>
        <v/>
      </c>
      <c r="AX945" s="86" t="str">
        <f t="shared" si="725"/>
        <v/>
      </c>
    </row>
    <row r="946" spans="1:50" x14ac:dyDescent="0.2">
      <c r="A946" s="29" t="str">
        <f t="shared" si="683"/>
        <v/>
      </c>
      <c r="B946" s="32" t="str">
        <f t="shared" si="684"/>
        <v/>
      </c>
      <c r="C946" s="35"/>
      <c r="D946" s="33" t="str">
        <f t="shared" si="685"/>
        <v/>
      </c>
      <c r="E946" s="22" t="str">
        <f t="shared" si="686"/>
        <v/>
      </c>
      <c r="F946" s="23" t="str">
        <f t="shared" si="687"/>
        <v/>
      </c>
      <c r="G946" s="23"/>
      <c r="H946" s="22"/>
      <c r="I946" s="23"/>
      <c r="J946" s="18"/>
      <c r="K946" s="13" t="str">
        <f t="shared" si="688"/>
        <v/>
      </c>
      <c r="L946" s="28" t="str">
        <f t="shared" si="689"/>
        <v/>
      </c>
      <c r="M946" s="10" t="str">
        <f t="shared" si="690"/>
        <v/>
      </c>
      <c r="N946" s="17" t="str">
        <f t="shared" si="691"/>
        <v/>
      </c>
      <c r="O946" s="39" t="str">
        <f t="shared" si="692"/>
        <v/>
      </c>
      <c r="P946" s="41" t="str">
        <f t="shared" si="693"/>
        <v/>
      </c>
      <c r="Q946" s="9" t="str">
        <f t="shared" si="694"/>
        <v/>
      </c>
      <c r="R946" s="14">
        <f t="shared" si="695"/>
        <v>0</v>
      </c>
      <c r="S946" s="61" t="str">
        <f t="shared" si="696"/>
        <v/>
      </c>
      <c r="T946" s="14">
        <f t="shared" si="697"/>
        <v>0</v>
      </c>
      <c r="U946" s="58" t="str">
        <f t="shared" si="698"/>
        <v/>
      </c>
      <c r="V946" s="14">
        <f t="shared" si="699"/>
        <v>0</v>
      </c>
      <c r="W946" s="58" t="str">
        <f t="shared" si="700"/>
        <v/>
      </c>
      <c r="X946" s="14">
        <f t="shared" si="701"/>
        <v>0</v>
      </c>
      <c r="Y946" s="58" t="str">
        <f t="shared" si="702"/>
        <v/>
      </c>
      <c r="Z946" s="31">
        <f t="shared" si="703"/>
        <v>0</v>
      </c>
      <c r="AA946" s="21">
        <f t="shared" si="704"/>
        <v>0</v>
      </c>
      <c r="AB946" s="58" t="str">
        <f t="shared" si="705"/>
        <v/>
      </c>
      <c r="AC946" s="630">
        <f t="shared" si="682"/>
        <v>0</v>
      </c>
      <c r="AD946" s="627"/>
      <c r="AE946" s="21">
        <f t="shared" si="706"/>
        <v>0</v>
      </c>
      <c r="AF946" s="58" t="str">
        <f t="shared" si="707"/>
        <v/>
      </c>
      <c r="AG946" s="21">
        <f t="shared" si="708"/>
        <v>0</v>
      </c>
      <c r="AH946" s="58" t="str">
        <f t="shared" si="709"/>
        <v/>
      </c>
      <c r="AI946" s="21">
        <f t="shared" si="710"/>
        <v>0</v>
      </c>
      <c r="AJ946" s="58" t="str">
        <f t="shared" si="711"/>
        <v/>
      </c>
      <c r="AK946" s="31">
        <f t="shared" si="712"/>
        <v>0</v>
      </c>
      <c r="AL946" s="21">
        <f t="shared" si="713"/>
        <v>0</v>
      </c>
      <c r="AM946" s="62" t="str">
        <f t="shared" si="714"/>
        <v/>
      </c>
      <c r="AN946" s="21">
        <f t="shared" si="715"/>
        <v>0</v>
      </c>
      <c r="AO946" s="62" t="str">
        <f t="shared" si="716"/>
        <v/>
      </c>
      <c r="AP946" s="21">
        <f t="shared" si="717"/>
        <v>0</v>
      </c>
      <c r="AQ946" s="62" t="str">
        <f t="shared" si="718"/>
        <v/>
      </c>
      <c r="AR946" s="31">
        <f t="shared" si="719"/>
        <v>0</v>
      </c>
      <c r="AS946" s="21">
        <f t="shared" si="720"/>
        <v>0</v>
      </c>
      <c r="AT946" s="62" t="str">
        <f t="shared" si="721"/>
        <v/>
      </c>
      <c r="AU946" s="84">
        <f t="shared" si="722"/>
        <v>0</v>
      </c>
      <c r="AV946" s="32">
        <f t="shared" si="723"/>
        <v>0</v>
      </c>
      <c r="AW946" s="85" t="str">
        <f t="shared" si="724"/>
        <v/>
      </c>
      <c r="AX946" s="86" t="str">
        <f t="shared" si="725"/>
        <v/>
      </c>
    </row>
    <row r="947" spans="1:50" x14ac:dyDescent="0.2">
      <c r="A947" s="29" t="str">
        <f t="shared" si="683"/>
        <v/>
      </c>
      <c r="B947" s="32" t="str">
        <f t="shared" si="684"/>
        <v/>
      </c>
      <c r="C947" s="35"/>
      <c r="D947" s="33" t="str">
        <f t="shared" si="685"/>
        <v/>
      </c>
      <c r="E947" s="22" t="str">
        <f t="shared" si="686"/>
        <v/>
      </c>
      <c r="F947" s="23" t="str">
        <f t="shared" si="687"/>
        <v/>
      </c>
      <c r="G947" s="23"/>
      <c r="H947" s="22"/>
      <c r="I947" s="23"/>
      <c r="J947" s="18"/>
      <c r="K947" s="13" t="str">
        <f t="shared" si="688"/>
        <v/>
      </c>
      <c r="L947" s="28" t="str">
        <f t="shared" si="689"/>
        <v/>
      </c>
      <c r="M947" s="10" t="str">
        <f t="shared" si="690"/>
        <v/>
      </c>
      <c r="N947" s="17" t="str">
        <f t="shared" si="691"/>
        <v/>
      </c>
      <c r="O947" s="39" t="str">
        <f t="shared" si="692"/>
        <v/>
      </c>
      <c r="P947" s="41" t="str">
        <f t="shared" si="693"/>
        <v/>
      </c>
      <c r="Q947" s="9" t="str">
        <f t="shared" si="694"/>
        <v/>
      </c>
      <c r="R947" s="14">
        <f t="shared" si="695"/>
        <v>0</v>
      </c>
      <c r="S947" s="61" t="str">
        <f t="shared" si="696"/>
        <v/>
      </c>
      <c r="T947" s="14">
        <f t="shared" si="697"/>
        <v>0</v>
      </c>
      <c r="U947" s="58" t="str">
        <f t="shared" si="698"/>
        <v/>
      </c>
      <c r="V947" s="14">
        <f t="shared" si="699"/>
        <v>0</v>
      </c>
      <c r="W947" s="58" t="str">
        <f t="shared" si="700"/>
        <v/>
      </c>
      <c r="X947" s="14">
        <f t="shared" si="701"/>
        <v>0</v>
      </c>
      <c r="Y947" s="58" t="str">
        <f t="shared" si="702"/>
        <v/>
      </c>
      <c r="Z947" s="31">
        <f t="shared" si="703"/>
        <v>0</v>
      </c>
      <c r="AA947" s="21">
        <f t="shared" si="704"/>
        <v>0</v>
      </c>
      <c r="AB947" s="58" t="str">
        <f t="shared" si="705"/>
        <v/>
      </c>
      <c r="AC947" s="630">
        <f t="shared" si="682"/>
        <v>0</v>
      </c>
      <c r="AD947" s="627"/>
      <c r="AE947" s="21">
        <f t="shared" si="706"/>
        <v>0</v>
      </c>
      <c r="AF947" s="58" t="str">
        <f t="shared" si="707"/>
        <v/>
      </c>
      <c r="AG947" s="21">
        <f t="shared" si="708"/>
        <v>0</v>
      </c>
      <c r="AH947" s="58" t="str">
        <f t="shared" si="709"/>
        <v/>
      </c>
      <c r="AI947" s="21">
        <f t="shared" si="710"/>
        <v>0</v>
      </c>
      <c r="AJ947" s="58" t="str">
        <f t="shared" si="711"/>
        <v/>
      </c>
      <c r="AK947" s="31">
        <f t="shared" si="712"/>
        <v>0</v>
      </c>
      <c r="AL947" s="21">
        <f t="shared" si="713"/>
        <v>0</v>
      </c>
      <c r="AM947" s="62" t="str">
        <f t="shared" si="714"/>
        <v/>
      </c>
      <c r="AN947" s="21">
        <f t="shared" si="715"/>
        <v>0</v>
      </c>
      <c r="AO947" s="62" t="str">
        <f t="shared" si="716"/>
        <v/>
      </c>
      <c r="AP947" s="21">
        <f t="shared" si="717"/>
        <v>0</v>
      </c>
      <c r="AQ947" s="62" t="str">
        <f t="shared" si="718"/>
        <v/>
      </c>
      <c r="AR947" s="31">
        <f t="shared" si="719"/>
        <v>0</v>
      </c>
      <c r="AS947" s="21">
        <f t="shared" si="720"/>
        <v>0</v>
      </c>
      <c r="AT947" s="62" t="str">
        <f t="shared" si="721"/>
        <v/>
      </c>
      <c r="AU947" s="84">
        <f t="shared" si="722"/>
        <v>0</v>
      </c>
      <c r="AV947" s="32">
        <f t="shared" si="723"/>
        <v>0</v>
      </c>
      <c r="AW947" s="85" t="str">
        <f t="shared" si="724"/>
        <v/>
      </c>
      <c r="AX947" s="86" t="str">
        <f t="shared" si="725"/>
        <v/>
      </c>
    </row>
    <row r="948" spans="1:50" x14ac:dyDescent="0.2">
      <c r="A948" s="29" t="str">
        <f t="shared" si="683"/>
        <v/>
      </c>
      <c r="B948" s="32" t="str">
        <f t="shared" si="684"/>
        <v/>
      </c>
      <c r="C948" s="35"/>
      <c r="D948" s="33" t="str">
        <f t="shared" si="685"/>
        <v/>
      </c>
      <c r="E948" s="22" t="str">
        <f t="shared" si="686"/>
        <v/>
      </c>
      <c r="F948" s="23" t="str">
        <f t="shared" si="687"/>
        <v/>
      </c>
      <c r="G948" s="23"/>
      <c r="H948" s="22"/>
      <c r="I948" s="23"/>
      <c r="J948" s="18"/>
      <c r="K948" s="13" t="str">
        <f t="shared" si="688"/>
        <v/>
      </c>
      <c r="L948" s="28" t="str">
        <f t="shared" si="689"/>
        <v/>
      </c>
      <c r="M948" s="10" t="str">
        <f t="shared" si="690"/>
        <v/>
      </c>
      <c r="N948" s="17" t="str">
        <f t="shared" si="691"/>
        <v/>
      </c>
      <c r="O948" s="39" t="str">
        <f t="shared" si="692"/>
        <v/>
      </c>
      <c r="P948" s="41" t="str">
        <f t="shared" si="693"/>
        <v/>
      </c>
      <c r="Q948" s="9" t="str">
        <f t="shared" si="694"/>
        <v/>
      </c>
      <c r="R948" s="14">
        <f t="shared" si="695"/>
        <v>0</v>
      </c>
      <c r="S948" s="61" t="str">
        <f t="shared" si="696"/>
        <v/>
      </c>
      <c r="T948" s="14">
        <f t="shared" si="697"/>
        <v>0</v>
      </c>
      <c r="U948" s="58" t="str">
        <f t="shared" si="698"/>
        <v/>
      </c>
      <c r="V948" s="14">
        <f t="shared" si="699"/>
        <v>0</v>
      </c>
      <c r="W948" s="58" t="str">
        <f t="shared" si="700"/>
        <v/>
      </c>
      <c r="X948" s="14">
        <f t="shared" si="701"/>
        <v>0</v>
      </c>
      <c r="Y948" s="58" t="str">
        <f t="shared" si="702"/>
        <v/>
      </c>
      <c r="Z948" s="31">
        <f t="shared" si="703"/>
        <v>0</v>
      </c>
      <c r="AA948" s="21">
        <f t="shared" si="704"/>
        <v>0</v>
      </c>
      <c r="AB948" s="58" t="str">
        <f t="shared" si="705"/>
        <v/>
      </c>
      <c r="AC948" s="630">
        <f t="shared" si="682"/>
        <v>0</v>
      </c>
      <c r="AD948" s="627"/>
      <c r="AE948" s="21">
        <f t="shared" si="706"/>
        <v>0</v>
      </c>
      <c r="AF948" s="58" t="str">
        <f t="shared" si="707"/>
        <v/>
      </c>
      <c r="AG948" s="21">
        <f t="shared" si="708"/>
        <v>0</v>
      </c>
      <c r="AH948" s="58" t="str">
        <f t="shared" si="709"/>
        <v/>
      </c>
      <c r="AI948" s="21">
        <f t="shared" si="710"/>
        <v>0</v>
      </c>
      <c r="AJ948" s="58" t="str">
        <f t="shared" si="711"/>
        <v/>
      </c>
      <c r="AK948" s="31">
        <f t="shared" si="712"/>
        <v>0</v>
      </c>
      <c r="AL948" s="21">
        <f t="shared" si="713"/>
        <v>0</v>
      </c>
      <c r="AM948" s="62" t="str">
        <f t="shared" si="714"/>
        <v/>
      </c>
      <c r="AN948" s="21">
        <f t="shared" si="715"/>
        <v>0</v>
      </c>
      <c r="AO948" s="62" t="str">
        <f t="shared" si="716"/>
        <v/>
      </c>
      <c r="AP948" s="21">
        <f t="shared" si="717"/>
        <v>0</v>
      </c>
      <c r="AQ948" s="62" t="str">
        <f t="shared" si="718"/>
        <v/>
      </c>
      <c r="AR948" s="31">
        <f t="shared" si="719"/>
        <v>0</v>
      </c>
      <c r="AS948" s="21">
        <f t="shared" si="720"/>
        <v>0</v>
      </c>
      <c r="AT948" s="62" t="str">
        <f t="shared" si="721"/>
        <v/>
      </c>
      <c r="AU948" s="84">
        <f t="shared" si="722"/>
        <v>0</v>
      </c>
      <c r="AV948" s="32">
        <f t="shared" si="723"/>
        <v>0</v>
      </c>
      <c r="AW948" s="85" t="str">
        <f t="shared" si="724"/>
        <v/>
      </c>
      <c r="AX948" s="86" t="str">
        <f t="shared" si="725"/>
        <v/>
      </c>
    </row>
    <row r="949" spans="1:50" x14ac:dyDescent="0.2">
      <c r="A949" s="29" t="str">
        <f t="shared" si="683"/>
        <v/>
      </c>
      <c r="B949" s="32" t="str">
        <f t="shared" si="684"/>
        <v/>
      </c>
      <c r="C949" s="35"/>
      <c r="D949" s="33" t="str">
        <f t="shared" si="685"/>
        <v/>
      </c>
      <c r="E949" s="22" t="str">
        <f t="shared" si="686"/>
        <v/>
      </c>
      <c r="F949" s="23" t="str">
        <f t="shared" si="687"/>
        <v/>
      </c>
      <c r="G949" s="23"/>
      <c r="H949" s="22"/>
      <c r="I949" s="23"/>
      <c r="J949" s="18"/>
      <c r="K949" s="13" t="str">
        <f t="shared" si="688"/>
        <v/>
      </c>
      <c r="L949" s="28" t="str">
        <f t="shared" si="689"/>
        <v/>
      </c>
      <c r="M949" s="10" t="str">
        <f t="shared" si="690"/>
        <v/>
      </c>
      <c r="N949" s="17" t="str">
        <f t="shared" si="691"/>
        <v/>
      </c>
      <c r="O949" s="39" t="str">
        <f t="shared" si="692"/>
        <v/>
      </c>
      <c r="P949" s="41" t="str">
        <f t="shared" si="693"/>
        <v/>
      </c>
      <c r="Q949" s="9" t="str">
        <f t="shared" si="694"/>
        <v/>
      </c>
      <c r="R949" s="14">
        <f t="shared" si="695"/>
        <v>0</v>
      </c>
      <c r="S949" s="61" t="str">
        <f t="shared" si="696"/>
        <v/>
      </c>
      <c r="T949" s="14">
        <f t="shared" si="697"/>
        <v>0</v>
      </c>
      <c r="U949" s="58" t="str">
        <f t="shared" si="698"/>
        <v/>
      </c>
      <c r="V949" s="14">
        <f t="shared" si="699"/>
        <v>0</v>
      </c>
      <c r="W949" s="58" t="str">
        <f t="shared" si="700"/>
        <v/>
      </c>
      <c r="X949" s="14">
        <f t="shared" si="701"/>
        <v>0</v>
      </c>
      <c r="Y949" s="58" t="str">
        <f t="shared" si="702"/>
        <v/>
      </c>
      <c r="Z949" s="31">
        <f t="shared" si="703"/>
        <v>0</v>
      </c>
      <c r="AA949" s="21">
        <f t="shared" si="704"/>
        <v>0</v>
      </c>
      <c r="AB949" s="58" t="str">
        <f t="shared" si="705"/>
        <v/>
      </c>
      <c r="AC949" s="630">
        <f t="shared" si="682"/>
        <v>0</v>
      </c>
      <c r="AD949" s="627"/>
      <c r="AE949" s="21">
        <f t="shared" si="706"/>
        <v>0</v>
      </c>
      <c r="AF949" s="58" t="str">
        <f t="shared" si="707"/>
        <v/>
      </c>
      <c r="AG949" s="21">
        <f t="shared" si="708"/>
        <v>0</v>
      </c>
      <c r="AH949" s="58" t="str">
        <f t="shared" si="709"/>
        <v/>
      </c>
      <c r="AI949" s="21">
        <f t="shared" si="710"/>
        <v>0</v>
      </c>
      <c r="AJ949" s="58" t="str">
        <f t="shared" si="711"/>
        <v/>
      </c>
      <c r="AK949" s="31">
        <f t="shared" si="712"/>
        <v>0</v>
      </c>
      <c r="AL949" s="21">
        <f t="shared" si="713"/>
        <v>0</v>
      </c>
      <c r="AM949" s="62" t="str">
        <f t="shared" si="714"/>
        <v/>
      </c>
      <c r="AN949" s="21">
        <f t="shared" si="715"/>
        <v>0</v>
      </c>
      <c r="AO949" s="62" t="str">
        <f t="shared" si="716"/>
        <v/>
      </c>
      <c r="AP949" s="21">
        <f t="shared" si="717"/>
        <v>0</v>
      </c>
      <c r="AQ949" s="62" t="str">
        <f t="shared" si="718"/>
        <v/>
      </c>
      <c r="AR949" s="31">
        <f t="shared" si="719"/>
        <v>0</v>
      </c>
      <c r="AS949" s="21">
        <f t="shared" si="720"/>
        <v>0</v>
      </c>
      <c r="AT949" s="62" t="str">
        <f t="shared" si="721"/>
        <v/>
      </c>
      <c r="AU949" s="84">
        <f t="shared" si="722"/>
        <v>0</v>
      </c>
      <c r="AV949" s="32">
        <f t="shared" si="723"/>
        <v>0</v>
      </c>
      <c r="AW949" s="85" t="str">
        <f t="shared" si="724"/>
        <v/>
      </c>
      <c r="AX949" s="86" t="str">
        <f t="shared" si="725"/>
        <v/>
      </c>
    </row>
    <row r="950" spans="1:50" x14ac:dyDescent="0.2">
      <c r="A950" s="29" t="str">
        <f t="shared" si="683"/>
        <v/>
      </c>
      <c r="B950" s="32" t="str">
        <f t="shared" si="684"/>
        <v/>
      </c>
      <c r="C950" s="35"/>
      <c r="D950" s="33" t="str">
        <f t="shared" si="685"/>
        <v/>
      </c>
      <c r="E950" s="22" t="str">
        <f t="shared" si="686"/>
        <v/>
      </c>
      <c r="F950" s="23" t="str">
        <f t="shared" si="687"/>
        <v/>
      </c>
      <c r="G950" s="23"/>
      <c r="H950" s="22"/>
      <c r="I950" s="23"/>
      <c r="J950" s="18"/>
      <c r="K950" s="13" t="str">
        <f t="shared" si="688"/>
        <v/>
      </c>
      <c r="L950" s="28" t="str">
        <f t="shared" si="689"/>
        <v/>
      </c>
      <c r="M950" s="10" t="str">
        <f t="shared" si="690"/>
        <v/>
      </c>
      <c r="N950" s="17" t="str">
        <f t="shared" si="691"/>
        <v/>
      </c>
      <c r="O950" s="39" t="str">
        <f t="shared" si="692"/>
        <v/>
      </c>
      <c r="P950" s="41" t="str">
        <f t="shared" si="693"/>
        <v/>
      </c>
      <c r="Q950" s="9" t="str">
        <f t="shared" si="694"/>
        <v/>
      </c>
      <c r="R950" s="14">
        <f t="shared" si="695"/>
        <v>0</v>
      </c>
      <c r="S950" s="61" t="str">
        <f t="shared" si="696"/>
        <v/>
      </c>
      <c r="T950" s="14">
        <f t="shared" si="697"/>
        <v>0</v>
      </c>
      <c r="U950" s="58" t="str">
        <f t="shared" si="698"/>
        <v/>
      </c>
      <c r="V950" s="14">
        <f t="shared" si="699"/>
        <v>0</v>
      </c>
      <c r="W950" s="58" t="str">
        <f t="shared" si="700"/>
        <v/>
      </c>
      <c r="X950" s="14">
        <f t="shared" si="701"/>
        <v>0</v>
      </c>
      <c r="Y950" s="58" t="str">
        <f t="shared" si="702"/>
        <v/>
      </c>
      <c r="Z950" s="31">
        <f t="shared" si="703"/>
        <v>0</v>
      </c>
      <c r="AA950" s="21">
        <f t="shared" si="704"/>
        <v>0</v>
      </c>
      <c r="AB950" s="58" t="str">
        <f t="shared" si="705"/>
        <v/>
      </c>
      <c r="AC950" s="630">
        <f t="shared" si="682"/>
        <v>0</v>
      </c>
      <c r="AD950" s="627"/>
      <c r="AE950" s="21">
        <f t="shared" si="706"/>
        <v>0</v>
      </c>
      <c r="AF950" s="58" t="str">
        <f t="shared" si="707"/>
        <v/>
      </c>
      <c r="AG950" s="21">
        <f t="shared" si="708"/>
        <v>0</v>
      </c>
      <c r="AH950" s="58" t="str">
        <f t="shared" si="709"/>
        <v/>
      </c>
      <c r="AI950" s="21">
        <f t="shared" si="710"/>
        <v>0</v>
      </c>
      <c r="AJ950" s="58" t="str">
        <f t="shared" si="711"/>
        <v/>
      </c>
      <c r="AK950" s="31">
        <f t="shared" si="712"/>
        <v>0</v>
      </c>
      <c r="AL950" s="21">
        <f t="shared" si="713"/>
        <v>0</v>
      </c>
      <c r="AM950" s="62" t="str">
        <f t="shared" si="714"/>
        <v/>
      </c>
      <c r="AN950" s="21">
        <f t="shared" si="715"/>
        <v>0</v>
      </c>
      <c r="AO950" s="62" t="str">
        <f t="shared" si="716"/>
        <v/>
      </c>
      <c r="AP950" s="21">
        <f t="shared" si="717"/>
        <v>0</v>
      </c>
      <c r="AQ950" s="62" t="str">
        <f t="shared" si="718"/>
        <v/>
      </c>
      <c r="AR950" s="31">
        <f t="shared" si="719"/>
        <v>0</v>
      </c>
      <c r="AS950" s="21">
        <f t="shared" si="720"/>
        <v>0</v>
      </c>
      <c r="AT950" s="62" t="str">
        <f t="shared" si="721"/>
        <v/>
      </c>
      <c r="AU950" s="84">
        <f t="shared" si="722"/>
        <v>0</v>
      </c>
      <c r="AV950" s="32">
        <f t="shared" si="723"/>
        <v>0</v>
      </c>
      <c r="AW950" s="85" t="str">
        <f t="shared" si="724"/>
        <v/>
      </c>
      <c r="AX950" s="86" t="str">
        <f t="shared" si="725"/>
        <v/>
      </c>
    </row>
    <row r="951" spans="1:50" x14ac:dyDescent="0.2">
      <c r="A951" s="29" t="str">
        <f t="shared" si="683"/>
        <v/>
      </c>
      <c r="B951" s="32" t="str">
        <f t="shared" si="684"/>
        <v/>
      </c>
      <c r="C951" s="35"/>
      <c r="D951" s="33" t="str">
        <f t="shared" si="685"/>
        <v/>
      </c>
      <c r="E951" s="22" t="str">
        <f t="shared" si="686"/>
        <v/>
      </c>
      <c r="F951" s="23" t="str">
        <f t="shared" si="687"/>
        <v/>
      </c>
      <c r="G951" s="23"/>
      <c r="H951" s="22"/>
      <c r="I951" s="23"/>
      <c r="J951" s="18"/>
      <c r="K951" s="13" t="str">
        <f t="shared" si="688"/>
        <v/>
      </c>
      <c r="L951" s="28" t="str">
        <f t="shared" si="689"/>
        <v/>
      </c>
      <c r="M951" s="10" t="str">
        <f t="shared" si="690"/>
        <v/>
      </c>
      <c r="N951" s="17" t="str">
        <f t="shared" si="691"/>
        <v/>
      </c>
      <c r="O951" s="39" t="str">
        <f t="shared" si="692"/>
        <v/>
      </c>
      <c r="P951" s="41" t="str">
        <f t="shared" si="693"/>
        <v/>
      </c>
      <c r="Q951" s="9" t="str">
        <f t="shared" si="694"/>
        <v/>
      </c>
      <c r="R951" s="14">
        <f t="shared" si="695"/>
        <v>0</v>
      </c>
      <c r="S951" s="61" t="str">
        <f t="shared" si="696"/>
        <v/>
      </c>
      <c r="T951" s="14">
        <f t="shared" si="697"/>
        <v>0</v>
      </c>
      <c r="U951" s="58" t="str">
        <f t="shared" si="698"/>
        <v/>
      </c>
      <c r="V951" s="14">
        <f t="shared" si="699"/>
        <v>0</v>
      </c>
      <c r="W951" s="58" t="str">
        <f t="shared" si="700"/>
        <v/>
      </c>
      <c r="X951" s="14">
        <f t="shared" si="701"/>
        <v>0</v>
      </c>
      <c r="Y951" s="58" t="str">
        <f t="shared" si="702"/>
        <v/>
      </c>
      <c r="Z951" s="31">
        <f t="shared" si="703"/>
        <v>0</v>
      </c>
      <c r="AA951" s="21">
        <f t="shared" si="704"/>
        <v>0</v>
      </c>
      <c r="AB951" s="58" t="str">
        <f t="shared" si="705"/>
        <v/>
      </c>
      <c r="AC951" s="630">
        <f t="shared" si="682"/>
        <v>0</v>
      </c>
      <c r="AD951" s="627"/>
      <c r="AE951" s="21">
        <f t="shared" si="706"/>
        <v>0</v>
      </c>
      <c r="AF951" s="58" t="str">
        <f t="shared" si="707"/>
        <v/>
      </c>
      <c r="AG951" s="21">
        <f t="shared" si="708"/>
        <v>0</v>
      </c>
      <c r="AH951" s="58" t="str">
        <f t="shared" si="709"/>
        <v/>
      </c>
      <c r="AI951" s="21">
        <f t="shared" si="710"/>
        <v>0</v>
      </c>
      <c r="AJ951" s="58" t="str">
        <f t="shared" si="711"/>
        <v/>
      </c>
      <c r="AK951" s="31">
        <f t="shared" si="712"/>
        <v>0</v>
      </c>
      <c r="AL951" s="21">
        <f t="shared" si="713"/>
        <v>0</v>
      </c>
      <c r="AM951" s="62" t="str">
        <f t="shared" si="714"/>
        <v/>
      </c>
      <c r="AN951" s="21">
        <f t="shared" si="715"/>
        <v>0</v>
      </c>
      <c r="AO951" s="62" t="str">
        <f t="shared" si="716"/>
        <v/>
      </c>
      <c r="AP951" s="21">
        <f t="shared" si="717"/>
        <v>0</v>
      </c>
      <c r="AQ951" s="62" t="str">
        <f t="shared" si="718"/>
        <v/>
      </c>
      <c r="AR951" s="31">
        <f t="shared" si="719"/>
        <v>0</v>
      </c>
      <c r="AS951" s="21">
        <f t="shared" si="720"/>
        <v>0</v>
      </c>
      <c r="AT951" s="62" t="str">
        <f t="shared" si="721"/>
        <v/>
      </c>
      <c r="AU951" s="84">
        <f t="shared" si="722"/>
        <v>0</v>
      </c>
      <c r="AV951" s="32">
        <f t="shared" si="723"/>
        <v>0</v>
      </c>
      <c r="AW951" s="85" t="str">
        <f t="shared" si="724"/>
        <v/>
      </c>
      <c r="AX951" s="86" t="str">
        <f t="shared" si="725"/>
        <v/>
      </c>
    </row>
    <row r="952" spans="1:50" x14ac:dyDescent="0.2">
      <c r="A952" s="29" t="str">
        <f t="shared" si="683"/>
        <v/>
      </c>
      <c r="B952" s="32" t="str">
        <f t="shared" si="684"/>
        <v/>
      </c>
      <c r="C952" s="35"/>
      <c r="D952" s="33" t="str">
        <f t="shared" si="685"/>
        <v/>
      </c>
      <c r="E952" s="22" t="str">
        <f t="shared" si="686"/>
        <v/>
      </c>
      <c r="F952" s="23" t="str">
        <f t="shared" si="687"/>
        <v/>
      </c>
      <c r="G952" s="23"/>
      <c r="H952" s="22"/>
      <c r="I952" s="23"/>
      <c r="J952" s="18"/>
      <c r="K952" s="13" t="str">
        <f t="shared" si="688"/>
        <v/>
      </c>
      <c r="L952" s="28" t="str">
        <f t="shared" si="689"/>
        <v/>
      </c>
      <c r="M952" s="10" t="str">
        <f t="shared" si="690"/>
        <v/>
      </c>
      <c r="N952" s="17" t="str">
        <f t="shared" si="691"/>
        <v/>
      </c>
      <c r="O952" s="39" t="str">
        <f t="shared" si="692"/>
        <v/>
      </c>
      <c r="P952" s="41" t="str">
        <f t="shared" si="693"/>
        <v/>
      </c>
      <c r="Q952" s="9" t="str">
        <f t="shared" si="694"/>
        <v/>
      </c>
      <c r="R952" s="14">
        <f t="shared" si="695"/>
        <v>0</v>
      </c>
      <c r="S952" s="61" t="str">
        <f t="shared" si="696"/>
        <v/>
      </c>
      <c r="T952" s="14">
        <f t="shared" si="697"/>
        <v>0</v>
      </c>
      <c r="U952" s="58" t="str">
        <f t="shared" si="698"/>
        <v/>
      </c>
      <c r="V952" s="14">
        <f t="shared" si="699"/>
        <v>0</v>
      </c>
      <c r="W952" s="58" t="str">
        <f t="shared" si="700"/>
        <v/>
      </c>
      <c r="X952" s="14">
        <f t="shared" si="701"/>
        <v>0</v>
      </c>
      <c r="Y952" s="58" t="str">
        <f t="shared" si="702"/>
        <v/>
      </c>
      <c r="Z952" s="31">
        <f t="shared" si="703"/>
        <v>0</v>
      </c>
      <c r="AA952" s="21">
        <f t="shared" si="704"/>
        <v>0</v>
      </c>
      <c r="AB952" s="58" t="str">
        <f t="shared" si="705"/>
        <v/>
      </c>
      <c r="AC952" s="630">
        <f t="shared" si="682"/>
        <v>0</v>
      </c>
      <c r="AD952" s="627"/>
      <c r="AE952" s="21">
        <f t="shared" si="706"/>
        <v>0</v>
      </c>
      <c r="AF952" s="58" t="str">
        <f t="shared" si="707"/>
        <v/>
      </c>
      <c r="AG952" s="21">
        <f t="shared" si="708"/>
        <v>0</v>
      </c>
      <c r="AH952" s="58" t="str">
        <f t="shared" si="709"/>
        <v/>
      </c>
      <c r="AI952" s="21">
        <f t="shared" si="710"/>
        <v>0</v>
      </c>
      <c r="AJ952" s="58" t="str">
        <f t="shared" si="711"/>
        <v/>
      </c>
      <c r="AK952" s="31">
        <f t="shared" si="712"/>
        <v>0</v>
      </c>
      <c r="AL952" s="21">
        <f t="shared" si="713"/>
        <v>0</v>
      </c>
      <c r="AM952" s="62" t="str">
        <f t="shared" si="714"/>
        <v/>
      </c>
      <c r="AN952" s="21">
        <f t="shared" si="715"/>
        <v>0</v>
      </c>
      <c r="AO952" s="62" t="str">
        <f t="shared" si="716"/>
        <v/>
      </c>
      <c r="AP952" s="21">
        <f t="shared" si="717"/>
        <v>0</v>
      </c>
      <c r="AQ952" s="62" t="str">
        <f t="shared" si="718"/>
        <v/>
      </c>
      <c r="AR952" s="31">
        <f t="shared" si="719"/>
        <v>0</v>
      </c>
      <c r="AS952" s="21">
        <f t="shared" si="720"/>
        <v>0</v>
      </c>
      <c r="AT952" s="62" t="str">
        <f t="shared" si="721"/>
        <v/>
      </c>
      <c r="AU952" s="84">
        <f t="shared" si="722"/>
        <v>0</v>
      </c>
      <c r="AV952" s="32">
        <f t="shared" si="723"/>
        <v>0</v>
      </c>
      <c r="AW952" s="85" t="str">
        <f t="shared" si="724"/>
        <v/>
      </c>
      <c r="AX952" s="86" t="str">
        <f t="shared" si="725"/>
        <v/>
      </c>
    </row>
    <row r="953" spans="1:50" x14ac:dyDescent="0.2">
      <c r="A953" s="29" t="str">
        <f t="shared" si="683"/>
        <v/>
      </c>
      <c r="B953" s="32" t="str">
        <f t="shared" si="684"/>
        <v/>
      </c>
      <c r="C953" s="35"/>
      <c r="D953" s="33" t="str">
        <f t="shared" si="685"/>
        <v/>
      </c>
      <c r="E953" s="22" t="str">
        <f t="shared" si="686"/>
        <v/>
      </c>
      <c r="F953" s="23" t="str">
        <f t="shared" si="687"/>
        <v/>
      </c>
      <c r="G953" s="23"/>
      <c r="H953" s="22"/>
      <c r="I953" s="23"/>
      <c r="J953" s="18"/>
      <c r="K953" s="13" t="str">
        <f t="shared" si="688"/>
        <v/>
      </c>
      <c r="L953" s="28" t="str">
        <f t="shared" si="689"/>
        <v/>
      </c>
      <c r="M953" s="10" t="str">
        <f t="shared" si="690"/>
        <v/>
      </c>
      <c r="N953" s="17" t="str">
        <f t="shared" si="691"/>
        <v/>
      </c>
      <c r="O953" s="39" t="str">
        <f t="shared" si="692"/>
        <v/>
      </c>
      <c r="P953" s="41" t="str">
        <f t="shared" si="693"/>
        <v/>
      </c>
      <c r="Q953" s="9" t="str">
        <f t="shared" si="694"/>
        <v/>
      </c>
      <c r="R953" s="14">
        <f t="shared" si="695"/>
        <v>0</v>
      </c>
      <c r="S953" s="61" t="str">
        <f t="shared" si="696"/>
        <v/>
      </c>
      <c r="T953" s="14">
        <f t="shared" si="697"/>
        <v>0</v>
      </c>
      <c r="U953" s="58" t="str">
        <f t="shared" si="698"/>
        <v/>
      </c>
      <c r="V953" s="14">
        <f t="shared" si="699"/>
        <v>0</v>
      </c>
      <c r="W953" s="58" t="str">
        <f t="shared" si="700"/>
        <v/>
      </c>
      <c r="X953" s="14">
        <f t="shared" si="701"/>
        <v>0</v>
      </c>
      <c r="Y953" s="58" t="str">
        <f t="shared" si="702"/>
        <v/>
      </c>
      <c r="Z953" s="31">
        <f t="shared" si="703"/>
        <v>0</v>
      </c>
      <c r="AA953" s="21">
        <f t="shared" si="704"/>
        <v>0</v>
      </c>
      <c r="AB953" s="58" t="str">
        <f t="shared" si="705"/>
        <v/>
      </c>
      <c r="AC953" s="630">
        <f t="shared" si="682"/>
        <v>0</v>
      </c>
      <c r="AD953" s="627"/>
      <c r="AE953" s="21">
        <f t="shared" si="706"/>
        <v>0</v>
      </c>
      <c r="AF953" s="58" t="str">
        <f t="shared" si="707"/>
        <v/>
      </c>
      <c r="AG953" s="21">
        <f t="shared" si="708"/>
        <v>0</v>
      </c>
      <c r="AH953" s="58" t="str">
        <f t="shared" si="709"/>
        <v/>
      </c>
      <c r="AI953" s="21">
        <f t="shared" si="710"/>
        <v>0</v>
      </c>
      <c r="AJ953" s="58" t="str">
        <f t="shared" si="711"/>
        <v/>
      </c>
      <c r="AK953" s="31">
        <f t="shared" si="712"/>
        <v>0</v>
      </c>
      <c r="AL953" s="21">
        <f t="shared" si="713"/>
        <v>0</v>
      </c>
      <c r="AM953" s="62" t="str">
        <f t="shared" si="714"/>
        <v/>
      </c>
      <c r="AN953" s="21">
        <f t="shared" si="715"/>
        <v>0</v>
      </c>
      <c r="AO953" s="62" t="str">
        <f t="shared" si="716"/>
        <v/>
      </c>
      <c r="AP953" s="21">
        <f t="shared" si="717"/>
        <v>0</v>
      </c>
      <c r="AQ953" s="62" t="str">
        <f t="shared" si="718"/>
        <v/>
      </c>
      <c r="AR953" s="31">
        <f t="shared" si="719"/>
        <v>0</v>
      </c>
      <c r="AS953" s="21">
        <f t="shared" si="720"/>
        <v>0</v>
      </c>
      <c r="AT953" s="62" t="str">
        <f t="shared" si="721"/>
        <v/>
      </c>
      <c r="AU953" s="84">
        <f t="shared" si="722"/>
        <v>0</v>
      </c>
      <c r="AV953" s="32">
        <f t="shared" si="723"/>
        <v>0</v>
      </c>
      <c r="AW953" s="85" t="str">
        <f t="shared" si="724"/>
        <v/>
      </c>
      <c r="AX953" s="86" t="str">
        <f t="shared" si="725"/>
        <v/>
      </c>
    </row>
    <row r="954" spans="1:50" x14ac:dyDescent="0.2">
      <c r="A954" s="29" t="str">
        <f t="shared" si="683"/>
        <v/>
      </c>
      <c r="B954" s="32" t="str">
        <f t="shared" si="684"/>
        <v/>
      </c>
      <c r="C954" s="35"/>
      <c r="D954" s="33" t="str">
        <f t="shared" si="685"/>
        <v/>
      </c>
      <c r="E954" s="22" t="str">
        <f t="shared" si="686"/>
        <v/>
      </c>
      <c r="F954" s="23" t="str">
        <f t="shared" si="687"/>
        <v/>
      </c>
      <c r="G954" s="23"/>
      <c r="H954" s="22"/>
      <c r="I954" s="23"/>
      <c r="J954" s="18"/>
      <c r="K954" s="13" t="str">
        <f t="shared" si="688"/>
        <v/>
      </c>
      <c r="L954" s="28" t="str">
        <f t="shared" si="689"/>
        <v/>
      </c>
      <c r="M954" s="10" t="str">
        <f t="shared" si="690"/>
        <v/>
      </c>
      <c r="N954" s="17" t="str">
        <f t="shared" si="691"/>
        <v/>
      </c>
      <c r="O954" s="39" t="str">
        <f t="shared" si="692"/>
        <v/>
      </c>
      <c r="P954" s="41" t="str">
        <f t="shared" si="693"/>
        <v/>
      </c>
      <c r="Q954" s="9" t="str">
        <f t="shared" si="694"/>
        <v/>
      </c>
      <c r="R954" s="14">
        <f t="shared" si="695"/>
        <v>0</v>
      </c>
      <c r="S954" s="61" t="str">
        <f t="shared" si="696"/>
        <v/>
      </c>
      <c r="T954" s="14">
        <f t="shared" si="697"/>
        <v>0</v>
      </c>
      <c r="U954" s="58" t="str">
        <f t="shared" si="698"/>
        <v/>
      </c>
      <c r="V954" s="14">
        <f t="shared" si="699"/>
        <v>0</v>
      </c>
      <c r="W954" s="58" t="str">
        <f t="shared" si="700"/>
        <v/>
      </c>
      <c r="X954" s="14">
        <f t="shared" si="701"/>
        <v>0</v>
      </c>
      <c r="Y954" s="58" t="str">
        <f t="shared" si="702"/>
        <v/>
      </c>
      <c r="Z954" s="31">
        <f t="shared" si="703"/>
        <v>0</v>
      </c>
      <c r="AA954" s="21">
        <f t="shared" si="704"/>
        <v>0</v>
      </c>
      <c r="AB954" s="58" t="str">
        <f t="shared" si="705"/>
        <v/>
      </c>
      <c r="AC954" s="630">
        <f t="shared" si="682"/>
        <v>0</v>
      </c>
      <c r="AD954" s="627"/>
      <c r="AE954" s="21">
        <f t="shared" si="706"/>
        <v>0</v>
      </c>
      <c r="AF954" s="58" t="str">
        <f t="shared" si="707"/>
        <v/>
      </c>
      <c r="AG954" s="21">
        <f t="shared" si="708"/>
        <v>0</v>
      </c>
      <c r="AH954" s="58" t="str">
        <f t="shared" si="709"/>
        <v/>
      </c>
      <c r="AI954" s="21">
        <f t="shared" si="710"/>
        <v>0</v>
      </c>
      <c r="AJ954" s="58" t="str">
        <f t="shared" si="711"/>
        <v/>
      </c>
      <c r="AK954" s="31">
        <f t="shared" si="712"/>
        <v>0</v>
      </c>
      <c r="AL954" s="21">
        <f t="shared" si="713"/>
        <v>0</v>
      </c>
      <c r="AM954" s="62" t="str">
        <f t="shared" si="714"/>
        <v/>
      </c>
      <c r="AN954" s="21">
        <f t="shared" si="715"/>
        <v>0</v>
      </c>
      <c r="AO954" s="62" t="str">
        <f t="shared" si="716"/>
        <v/>
      </c>
      <c r="AP954" s="21">
        <f t="shared" si="717"/>
        <v>0</v>
      </c>
      <c r="AQ954" s="62" t="str">
        <f t="shared" si="718"/>
        <v/>
      </c>
      <c r="AR954" s="31">
        <f t="shared" si="719"/>
        <v>0</v>
      </c>
      <c r="AS954" s="21">
        <f t="shared" si="720"/>
        <v>0</v>
      </c>
      <c r="AT954" s="62" t="str">
        <f t="shared" si="721"/>
        <v/>
      </c>
      <c r="AU954" s="84">
        <f t="shared" si="722"/>
        <v>0</v>
      </c>
      <c r="AV954" s="32">
        <f t="shared" si="723"/>
        <v>0</v>
      </c>
      <c r="AW954" s="85" t="str">
        <f t="shared" si="724"/>
        <v/>
      </c>
      <c r="AX954" s="86" t="str">
        <f t="shared" si="725"/>
        <v/>
      </c>
    </row>
    <row r="955" spans="1:50" x14ac:dyDescent="0.2">
      <c r="A955" s="29" t="str">
        <f t="shared" si="683"/>
        <v/>
      </c>
      <c r="B955" s="32" t="str">
        <f t="shared" si="684"/>
        <v/>
      </c>
      <c r="C955" s="35"/>
      <c r="D955" s="33" t="str">
        <f t="shared" si="685"/>
        <v/>
      </c>
      <c r="E955" s="22" t="str">
        <f t="shared" si="686"/>
        <v/>
      </c>
      <c r="F955" s="23" t="str">
        <f t="shared" si="687"/>
        <v/>
      </c>
      <c r="G955" s="23"/>
      <c r="H955" s="22"/>
      <c r="I955" s="23"/>
      <c r="J955" s="18"/>
      <c r="K955" s="13" t="str">
        <f t="shared" si="688"/>
        <v/>
      </c>
      <c r="L955" s="28" t="str">
        <f t="shared" si="689"/>
        <v/>
      </c>
      <c r="M955" s="10" t="str">
        <f t="shared" si="690"/>
        <v/>
      </c>
      <c r="N955" s="17" t="str">
        <f t="shared" si="691"/>
        <v/>
      </c>
      <c r="O955" s="39" t="str">
        <f t="shared" si="692"/>
        <v/>
      </c>
      <c r="P955" s="41" t="str">
        <f t="shared" si="693"/>
        <v/>
      </c>
      <c r="Q955" s="9" t="str">
        <f t="shared" si="694"/>
        <v/>
      </c>
      <c r="R955" s="14">
        <f t="shared" si="695"/>
        <v>0</v>
      </c>
      <c r="S955" s="61" t="str">
        <f t="shared" si="696"/>
        <v/>
      </c>
      <c r="T955" s="14">
        <f t="shared" si="697"/>
        <v>0</v>
      </c>
      <c r="U955" s="58" t="str">
        <f t="shared" si="698"/>
        <v/>
      </c>
      <c r="V955" s="14">
        <f t="shared" si="699"/>
        <v>0</v>
      </c>
      <c r="W955" s="58" t="str">
        <f t="shared" si="700"/>
        <v/>
      </c>
      <c r="X955" s="14">
        <f t="shared" si="701"/>
        <v>0</v>
      </c>
      <c r="Y955" s="58" t="str">
        <f t="shared" si="702"/>
        <v/>
      </c>
      <c r="Z955" s="31">
        <f t="shared" si="703"/>
        <v>0</v>
      </c>
      <c r="AA955" s="21">
        <f t="shared" si="704"/>
        <v>0</v>
      </c>
      <c r="AB955" s="58" t="str">
        <f t="shared" si="705"/>
        <v/>
      </c>
      <c r="AC955" s="630">
        <f t="shared" si="682"/>
        <v>0</v>
      </c>
      <c r="AD955" s="627"/>
      <c r="AE955" s="21">
        <f t="shared" si="706"/>
        <v>0</v>
      </c>
      <c r="AF955" s="58" t="str">
        <f t="shared" si="707"/>
        <v/>
      </c>
      <c r="AG955" s="21">
        <f t="shared" si="708"/>
        <v>0</v>
      </c>
      <c r="AH955" s="58" t="str">
        <f t="shared" si="709"/>
        <v/>
      </c>
      <c r="AI955" s="21">
        <f t="shared" si="710"/>
        <v>0</v>
      </c>
      <c r="AJ955" s="58" t="str">
        <f t="shared" si="711"/>
        <v/>
      </c>
      <c r="AK955" s="31">
        <f t="shared" si="712"/>
        <v>0</v>
      </c>
      <c r="AL955" s="21">
        <f t="shared" si="713"/>
        <v>0</v>
      </c>
      <c r="AM955" s="62" t="str">
        <f t="shared" si="714"/>
        <v/>
      </c>
      <c r="AN955" s="21">
        <f t="shared" si="715"/>
        <v>0</v>
      </c>
      <c r="AO955" s="62" t="str">
        <f t="shared" si="716"/>
        <v/>
      </c>
      <c r="AP955" s="21">
        <f t="shared" si="717"/>
        <v>0</v>
      </c>
      <c r="AQ955" s="62" t="str">
        <f t="shared" si="718"/>
        <v/>
      </c>
      <c r="AR955" s="31">
        <f t="shared" si="719"/>
        <v>0</v>
      </c>
      <c r="AS955" s="21">
        <f t="shared" si="720"/>
        <v>0</v>
      </c>
      <c r="AT955" s="62" t="str">
        <f t="shared" si="721"/>
        <v/>
      </c>
      <c r="AU955" s="84">
        <f t="shared" si="722"/>
        <v>0</v>
      </c>
      <c r="AV955" s="32">
        <f t="shared" si="723"/>
        <v>0</v>
      </c>
      <c r="AW955" s="85" t="str">
        <f t="shared" si="724"/>
        <v/>
      </c>
      <c r="AX955" s="86" t="str">
        <f t="shared" si="725"/>
        <v/>
      </c>
    </row>
    <row r="956" spans="1:50" x14ac:dyDescent="0.2">
      <c r="A956" s="29" t="str">
        <f t="shared" si="683"/>
        <v/>
      </c>
      <c r="B956" s="32" t="str">
        <f t="shared" si="684"/>
        <v/>
      </c>
      <c r="C956" s="35"/>
      <c r="D956" s="33" t="str">
        <f t="shared" si="685"/>
        <v/>
      </c>
      <c r="E956" s="22" t="str">
        <f t="shared" si="686"/>
        <v/>
      </c>
      <c r="F956" s="23" t="str">
        <f t="shared" si="687"/>
        <v/>
      </c>
      <c r="G956" s="23"/>
      <c r="H956" s="22"/>
      <c r="I956" s="23"/>
      <c r="J956" s="18"/>
      <c r="K956" s="13" t="str">
        <f t="shared" si="688"/>
        <v/>
      </c>
      <c r="L956" s="28" t="str">
        <f t="shared" si="689"/>
        <v/>
      </c>
      <c r="M956" s="10" t="str">
        <f t="shared" si="690"/>
        <v/>
      </c>
      <c r="N956" s="17" t="str">
        <f t="shared" si="691"/>
        <v/>
      </c>
      <c r="O956" s="39" t="str">
        <f t="shared" si="692"/>
        <v/>
      </c>
      <c r="P956" s="41" t="str">
        <f t="shared" si="693"/>
        <v/>
      </c>
      <c r="Q956" s="9" t="str">
        <f t="shared" si="694"/>
        <v/>
      </c>
      <c r="R956" s="14">
        <f t="shared" si="695"/>
        <v>0</v>
      </c>
      <c r="S956" s="61" t="str">
        <f t="shared" si="696"/>
        <v/>
      </c>
      <c r="T956" s="14">
        <f t="shared" si="697"/>
        <v>0</v>
      </c>
      <c r="U956" s="58" t="str">
        <f t="shared" si="698"/>
        <v/>
      </c>
      <c r="V956" s="14">
        <f t="shared" si="699"/>
        <v>0</v>
      </c>
      <c r="W956" s="58" t="str">
        <f t="shared" si="700"/>
        <v/>
      </c>
      <c r="X956" s="14">
        <f t="shared" si="701"/>
        <v>0</v>
      </c>
      <c r="Y956" s="58" t="str">
        <f t="shared" si="702"/>
        <v/>
      </c>
      <c r="Z956" s="31">
        <f t="shared" si="703"/>
        <v>0</v>
      </c>
      <c r="AA956" s="21">
        <f t="shared" si="704"/>
        <v>0</v>
      </c>
      <c r="AB956" s="58" t="str">
        <f t="shared" si="705"/>
        <v/>
      </c>
      <c r="AC956" s="630">
        <f t="shared" si="682"/>
        <v>0</v>
      </c>
      <c r="AD956" s="627"/>
      <c r="AE956" s="21">
        <f t="shared" si="706"/>
        <v>0</v>
      </c>
      <c r="AF956" s="58" t="str">
        <f t="shared" si="707"/>
        <v/>
      </c>
      <c r="AG956" s="21">
        <f t="shared" si="708"/>
        <v>0</v>
      </c>
      <c r="AH956" s="58" t="str">
        <f t="shared" si="709"/>
        <v/>
      </c>
      <c r="AI956" s="21">
        <f t="shared" si="710"/>
        <v>0</v>
      </c>
      <c r="AJ956" s="58" t="str">
        <f t="shared" si="711"/>
        <v/>
      </c>
      <c r="AK956" s="31">
        <f t="shared" si="712"/>
        <v>0</v>
      </c>
      <c r="AL956" s="21">
        <f t="shared" si="713"/>
        <v>0</v>
      </c>
      <c r="AM956" s="62" t="str">
        <f t="shared" si="714"/>
        <v/>
      </c>
      <c r="AN956" s="21">
        <f t="shared" si="715"/>
        <v>0</v>
      </c>
      <c r="AO956" s="62" t="str">
        <f t="shared" si="716"/>
        <v/>
      </c>
      <c r="AP956" s="21">
        <f t="shared" si="717"/>
        <v>0</v>
      </c>
      <c r="AQ956" s="62" t="str">
        <f t="shared" si="718"/>
        <v/>
      </c>
      <c r="AR956" s="31">
        <f t="shared" si="719"/>
        <v>0</v>
      </c>
      <c r="AS956" s="21">
        <f t="shared" si="720"/>
        <v>0</v>
      </c>
      <c r="AT956" s="62" t="str">
        <f t="shared" si="721"/>
        <v/>
      </c>
      <c r="AU956" s="84">
        <f t="shared" si="722"/>
        <v>0</v>
      </c>
      <c r="AV956" s="32">
        <f t="shared" si="723"/>
        <v>0</v>
      </c>
      <c r="AW956" s="85" t="str">
        <f t="shared" si="724"/>
        <v/>
      </c>
      <c r="AX956" s="86" t="str">
        <f t="shared" si="725"/>
        <v/>
      </c>
    </row>
    <row r="957" spans="1:50" x14ac:dyDescent="0.2">
      <c r="A957" s="29" t="str">
        <f t="shared" si="683"/>
        <v/>
      </c>
      <c r="B957" s="32" t="str">
        <f t="shared" si="684"/>
        <v/>
      </c>
      <c r="C957" s="35"/>
      <c r="D957" s="33" t="str">
        <f t="shared" si="685"/>
        <v/>
      </c>
      <c r="E957" s="22" t="str">
        <f t="shared" si="686"/>
        <v/>
      </c>
      <c r="F957" s="23" t="str">
        <f t="shared" si="687"/>
        <v/>
      </c>
      <c r="G957" s="23"/>
      <c r="H957" s="22"/>
      <c r="I957" s="23"/>
      <c r="J957" s="18"/>
      <c r="K957" s="13" t="str">
        <f t="shared" si="688"/>
        <v/>
      </c>
      <c r="L957" s="28" t="str">
        <f t="shared" si="689"/>
        <v/>
      </c>
      <c r="M957" s="10" t="str">
        <f t="shared" si="690"/>
        <v/>
      </c>
      <c r="N957" s="17" t="str">
        <f t="shared" si="691"/>
        <v/>
      </c>
      <c r="O957" s="39" t="str">
        <f t="shared" si="692"/>
        <v/>
      </c>
      <c r="P957" s="41" t="str">
        <f t="shared" si="693"/>
        <v/>
      </c>
      <c r="Q957" s="9" t="str">
        <f t="shared" si="694"/>
        <v/>
      </c>
      <c r="R957" s="14">
        <f t="shared" si="695"/>
        <v>0</v>
      </c>
      <c r="S957" s="61" t="str">
        <f t="shared" si="696"/>
        <v/>
      </c>
      <c r="T957" s="14">
        <f t="shared" si="697"/>
        <v>0</v>
      </c>
      <c r="U957" s="58" t="str">
        <f t="shared" si="698"/>
        <v/>
      </c>
      <c r="V957" s="14">
        <f t="shared" si="699"/>
        <v>0</v>
      </c>
      <c r="W957" s="58" t="str">
        <f t="shared" si="700"/>
        <v/>
      </c>
      <c r="X957" s="14">
        <f t="shared" si="701"/>
        <v>0</v>
      </c>
      <c r="Y957" s="58" t="str">
        <f t="shared" si="702"/>
        <v/>
      </c>
      <c r="Z957" s="31">
        <f t="shared" si="703"/>
        <v>0</v>
      </c>
      <c r="AA957" s="21">
        <f t="shared" si="704"/>
        <v>0</v>
      </c>
      <c r="AB957" s="58" t="str">
        <f t="shared" si="705"/>
        <v/>
      </c>
      <c r="AC957" s="630">
        <f t="shared" si="682"/>
        <v>0</v>
      </c>
      <c r="AD957" s="627"/>
      <c r="AE957" s="21">
        <f t="shared" si="706"/>
        <v>0</v>
      </c>
      <c r="AF957" s="58" t="str">
        <f t="shared" si="707"/>
        <v/>
      </c>
      <c r="AG957" s="21">
        <f t="shared" si="708"/>
        <v>0</v>
      </c>
      <c r="AH957" s="58" t="str">
        <f t="shared" si="709"/>
        <v/>
      </c>
      <c r="AI957" s="21">
        <f t="shared" si="710"/>
        <v>0</v>
      </c>
      <c r="AJ957" s="58" t="str">
        <f t="shared" si="711"/>
        <v/>
      </c>
      <c r="AK957" s="31">
        <f t="shared" si="712"/>
        <v>0</v>
      </c>
      <c r="AL957" s="21">
        <f t="shared" si="713"/>
        <v>0</v>
      </c>
      <c r="AM957" s="62" t="str">
        <f t="shared" si="714"/>
        <v/>
      </c>
      <c r="AN957" s="21">
        <f t="shared" si="715"/>
        <v>0</v>
      </c>
      <c r="AO957" s="62" t="str">
        <f t="shared" si="716"/>
        <v/>
      </c>
      <c r="AP957" s="21">
        <f t="shared" si="717"/>
        <v>0</v>
      </c>
      <c r="AQ957" s="62" t="str">
        <f t="shared" si="718"/>
        <v/>
      </c>
      <c r="AR957" s="31">
        <f t="shared" si="719"/>
        <v>0</v>
      </c>
      <c r="AS957" s="21">
        <f t="shared" si="720"/>
        <v>0</v>
      </c>
      <c r="AT957" s="62" t="str">
        <f t="shared" si="721"/>
        <v/>
      </c>
      <c r="AU957" s="84">
        <f t="shared" si="722"/>
        <v>0</v>
      </c>
      <c r="AV957" s="32">
        <f t="shared" si="723"/>
        <v>0</v>
      </c>
      <c r="AW957" s="85" t="str">
        <f t="shared" si="724"/>
        <v/>
      </c>
      <c r="AX957" s="86" t="str">
        <f t="shared" si="725"/>
        <v/>
      </c>
    </row>
    <row r="958" spans="1:50" x14ac:dyDescent="0.2">
      <c r="A958" s="29" t="str">
        <f t="shared" si="683"/>
        <v/>
      </c>
      <c r="B958" s="32" t="str">
        <f t="shared" si="684"/>
        <v/>
      </c>
      <c r="C958" s="35"/>
      <c r="D958" s="33" t="str">
        <f t="shared" si="685"/>
        <v/>
      </c>
      <c r="E958" s="22" t="str">
        <f t="shared" si="686"/>
        <v/>
      </c>
      <c r="F958" s="23" t="str">
        <f t="shared" si="687"/>
        <v/>
      </c>
      <c r="G958" s="23"/>
      <c r="H958" s="22"/>
      <c r="I958" s="23"/>
      <c r="J958" s="18"/>
      <c r="K958" s="13" t="str">
        <f t="shared" si="688"/>
        <v/>
      </c>
      <c r="L958" s="28" t="str">
        <f t="shared" si="689"/>
        <v/>
      </c>
      <c r="M958" s="10" t="str">
        <f t="shared" si="690"/>
        <v/>
      </c>
      <c r="N958" s="17" t="str">
        <f t="shared" si="691"/>
        <v/>
      </c>
      <c r="O958" s="39" t="str">
        <f t="shared" si="692"/>
        <v/>
      </c>
      <c r="P958" s="41" t="str">
        <f t="shared" si="693"/>
        <v/>
      </c>
      <c r="Q958" s="9" t="str">
        <f t="shared" si="694"/>
        <v/>
      </c>
      <c r="R958" s="14">
        <f t="shared" si="695"/>
        <v>0</v>
      </c>
      <c r="S958" s="61" t="str">
        <f t="shared" si="696"/>
        <v/>
      </c>
      <c r="T958" s="14">
        <f t="shared" si="697"/>
        <v>0</v>
      </c>
      <c r="U958" s="58" t="str">
        <f t="shared" si="698"/>
        <v/>
      </c>
      <c r="V958" s="14">
        <f t="shared" si="699"/>
        <v>0</v>
      </c>
      <c r="W958" s="58" t="str">
        <f t="shared" si="700"/>
        <v/>
      </c>
      <c r="X958" s="14">
        <f t="shared" si="701"/>
        <v>0</v>
      </c>
      <c r="Y958" s="58" t="str">
        <f t="shared" si="702"/>
        <v/>
      </c>
      <c r="Z958" s="31">
        <f t="shared" si="703"/>
        <v>0</v>
      </c>
      <c r="AA958" s="21">
        <f t="shared" si="704"/>
        <v>0</v>
      </c>
      <c r="AB958" s="58" t="str">
        <f t="shared" si="705"/>
        <v/>
      </c>
      <c r="AC958" s="630">
        <f t="shared" si="682"/>
        <v>0</v>
      </c>
      <c r="AD958" s="627"/>
      <c r="AE958" s="21">
        <f t="shared" si="706"/>
        <v>0</v>
      </c>
      <c r="AF958" s="58" t="str">
        <f t="shared" si="707"/>
        <v/>
      </c>
      <c r="AG958" s="21">
        <f t="shared" si="708"/>
        <v>0</v>
      </c>
      <c r="AH958" s="58" t="str">
        <f t="shared" si="709"/>
        <v/>
      </c>
      <c r="AI958" s="21">
        <f t="shared" si="710"/>
        <v>0</v>
      </c>
      <c r="AJ958" s="58" t="str">
        <f t="shared" si="711"/>
        <v/>
      </c>
      <c r="AK958" s="31">
        <f t="shared" si="712"/>
        <v>0</v>
      </c>
      <c r="AL958" s="21">
        <f t="shared" si="713"/>
        <v>0</v>
      </c>
      <c r="AM958" s="62" t="str">
        <f t="shared" si="714"/>
        <v/>
      </c>
      <c r="AN958" s="21">
        <f t="shared" si="715"/>
        <v>0</v>
      </c>
      <c r="AO958" s="62" t="str">
        <f t="shared" si="716"/>
        <v/>
      </c>
      <c r="AP958" s="21">
        <f t="shared" si="717"/>
        <v>0</v>
      </c>
      <c r="AQ958" s="62" t="str">
        <f t="shared" si="718"/>
        <v/>
      </c>
      <c r="AR958" s="31">
        <f t="shared" si="719"/>
        <v>0</v>
      </c>
      <c r="AS958" s="21">
        <f t="shared" si="720"/>
        <v>0</v>
      </c>
      <c r="AT958" s="62" t="str">
        <f t="shared" si="721"/>
        <v/>
      </c>
      <c r="AU958" s="84">
        <f t="shared" si="722"/>
        <v>0</v>
      </c>
      <c r="AV958" s="32">
        <f t="shared" si="723"/>
        <v>0</v>
      </c>
      <c r="AW958" s="85" t="str">
        <f t="shared" si="724"/>
        <v/>
      </c>
      <c r="AX958" s="86" t="str">
        <f t="shared" si="725"/>
        <v/>
      </c>
    </row>
    <row r="959" spans="1:50" x14ac:dyDescent="0.2">
      <c r="A959" s="29" t="str">
        <f t="shared" si="683"/>
        <v/>
      </c>
      <c r="B959" s="32" t="str">
        <f t="shared" si="684"/>
        <v/>
      </c>
      <c r="C959" s="35"/>
      <c r="D959" s="33" t="str">
        <f t="shared" si="685"/>
        <v/>
      </c>
      <c r="E959" s="22" t="str">
        <f t="shared" si="686"/>
        <v/>
      </c>
      <c r="F959" s="23" t="str">
        <f t="shared" si="687"/>
        <v/>
      </c>
      <c r="G959" s="23"/>
      <c r="H959" s="22"/>
      <c r="I959" s="23"/>
      <c r="J959" s="18"/>
      <c r="K959" s="13" t="str">
        <f t="shared" si="688"/>
        <v/>
      </c>
      <c r="L959" s="28" t="str">
        <f t="shared" si="689"/>
        <v/>
      </c>
      <c r="M959" s="10" t="str">
        <f t="shared" si="690"/>
        <v/>
      </c>
      <c r="N959" s="17" t="str">
        <f t="shared" si="691"/>
        <v/>
      </c>
      <c r="O959" s="39" t="str">
        <f t="shared" si="692"/>
        <v/>
      </c>
      <c r="P959" s="41" t="str">
        <f t="shared" si="693"/>
        <v/>
      </c>
      <c r="Q959" s="9" t="str">
        <f t="shared" si="694"/>
        <v/>
      </c>
      <c r="R959" s="14">
        <f t="shared" si="695"/>
        <v>0</v>
      </c>
      <c r="S959" s="61" t="str">
        <f t="shared" si="696"/>
        <v/>
      </c>
      <c r="T959" s="14">
        <f t="shared" si="697"/>
        <v>0</v>
      </c>
      <c r="U959" s="58" t="str">
        <f t="shared" si="698"/>
        <v/>
      </c>
      <c r="V959" s="14">
        <f t="shared" si="699"/>
        <v>0</v>
      </c>
      <c r="W959" s="58" t="str">
        <f t="shared" si="700"/>
        <v/>
      </c>
      <c r="X959" s="14">
        <f t="shared" si="701"/>
        <v>0</v>
      </c>
      <c r="Y959" s="58" t="str">
        <f t="shared" si="702"/>
        <v/>
      </c>
      <c r="Z959" s="31">
        <f t="shared" si="703"/>
        <v>0</v>
      </c>
      <c r="AA959" s="21">
        <f t="shared" si="704"/>
        <v>0</v>
      </c>
      <c r="AB959" s="58" t="str">
        <f t="shared" si="705"/>
        <v/>
      </c>
      <c r="AC959" s="630">
        <f t="shared" si="682"/>
        <v>0</v>
      </c>
      <c r="AD959" s="627"/>
      <c r="AE959" s="21">
        <f t="shared" si="706"/>
        <v>0</v>
      </c>
      <c r="AF959" s="58" t="str">
        <f t="shared" si="707"/>
        <v/>
      </c>
      <c r="AG959" s="21">
        <f t="shared" si="708"/>
        <v>0</v>
      </c>
      <c r="AH959" s="58" t="str">
        <f t="shared" si="709"/>
        <v/>
      </c>
      <c r="AI959" s="21">
        <f t="shared" si="710"/>
        <v>0</v>
      </c>
      <c r="AJ959" s="58" t="str">
        <f t="shared" si="711"/>
        <v/>
      </c>
      <c r="AK959" s="31">
        <f t="shared" si="712"/>
        <v>0</v>
      </c>
      <c r="AL959" s="21">
        <f t="shared" si="713"/>
        <v>0</v>
      </c>
      <c r="AM959" s="62" t="str">
        <f t="shared" si="714"/>
        <v/>
      </c>
      <c r="AN959" s="21">
        <f t="shared" si="715"/>
        <v>0</v>
      </c>
      <c r="AO959" s="62" t="str">
        <f t="shared" si="716"/>
        <v/>
      </c>
      <c r="AP959" s="21">
        <f t="shared" si="717"/>
        <v>0</v>
      </c>
      <c r="AQ959" s="62" t="str">
        <f t="shared" si="718"/>
        <v/>
      </c>
      <c r="AR959" s="31">
        <f t="shared" si="719"/>
        <v>0</v>
      </c>
      <c r="AS959" s="21">
        <f t="shared" si="720"/>
        <v>0</v>
      </c>
      <c r="AT959" s="62" t="str">
        <f t="shared" si="721"/>
        <v/>
      </c>
      <c r="AU959" s="84">
        <f t="shared" si="722"/>
        <v>0</v>
      </c>
      <c r="AV959" s="32">
        <f t="shared" si="723"/>
        <v>0</v>
      </c>
      <c r="AW959" s="85" t="str">
        <f t="shared" si="724"/>
        <v/>
      </c>
      <c r="AX959" s="86" t="str">
        <f t="shared" si="725"/>
        <v/>
      </c>
    </row>
    <row r="960" spans="1:50" x14ac:dyDescent="0.2">
      <c r="A960" s="29" t="str">
        <f t="shared" si="683"/>
        <v/>
      </c>
      <c r="B960" s="32" t="str">
        <f t="shared" si="684"/>
        <v/>
      </c>
      <c r="C960" s="35"/>
      <c r="D960" s="33" t="str">
        <f t="shared" si="685"/>
        <v/>
      </c>
      <c r="E960" s="22" t="str">
        <f t="shared" si="686"/>
        <v/>
      </c>
      <c r="F960" s="23" t="str">
        <f t="shared" si="687"/>
        <v/>
      </c>
      <c r="G960" s="23"/>
      <c r="H960" s="22"/>
      <c r="I960" s="23"/>
      <c r="J960" s="18"/>
      <c r="K960" s="13" t="str">
        <f t="shared" si="688"/>
        <v/>
      </c>
      <c r="L960" s="28" t="str">
        <f t="shared" si="689"/>
        <v/>
      </c>
      <c r="M960" s="10" t="str">
        <f t="shared" si="690"/>
        <v/>
      </c>
      <c r="N960" s="17" t="str">
        <f t="shared" si="691"/>
        <v/>
      </c>
      <c r="O960" s="39" t="str">
        <f t="shared" si="692"/>
        <v/>
      </c>
      <c r="P960" s="41" t="str">
        <f t="shared" si="693"/>
        <v/>
      </c>
      <c r="Q960" s="9" t="str">
        <f t="shared" si="694"/>
        <v/>
      </c>
      <c r="R960" s="14">
        <f t="shared" si="695"/>
        <v>0</v>
      </c>
      <c r="S960" s="61" t="str">
        <f t="shared" si="696"/>
        <v/>
      </c>
      <c r="T960" s="14">
        <f t="shared" si="697"/>
        <v>0</v>
      </c>
      <c r="U960" s="58" t="str">
        <f t="shared" si="698"/>
        <v/>
      </c>
      <c r="V960" s="14">
        <f t="shared" si="699"/>
        <v>0</v>
      </c>
      <c r="W960" s="58" t="str">
        <f t="shared" si="700"/>
        <v/>
      </c>
      <c r="X960" s="14">
        <f t="shared" si="701"/>
        <v>0</v>
      </c>
      <c r="Y960" s="58" t="str">
        <f t="shared" si="702"/>
        <v/>
      </c>
      <c r="Z960" s="31">
        <f t="shared" si="703"/>
        <v>0</v>
      </c>
      <c r="AA960" s="21">
        <f t="shared" si="704"/>
        <v>0</v>
      </c>
      <c r="AB960" s="58" t="str">
        <f t="shared" si="705"/>
        <v/>
      </c>
      <c r="AC960" s="630">
        <f t="shared" si="682"/>
        <v>0</v>
      </c>
      <c r="AD960" s="627"/>
      <c r="AE960" s="21">
        <f t="shared" si="706"/>
        <v>0</v>
      </c>
      <c r="AF960" s="58" t="str">
        <f t="shared" si="707"/>
        <v/>
      </c>
      <c r="AG960" s="21">
        <f t="shared" si="708"/>
        <v>0</v>
      </c>
      <c r="AH960" s="58" t="str">
        <f t="shared" si="709"/>
        <v/>
      </c>
      <c r="AI960" s="21">
        <f t="shared" si="710"/>
        <v>0</v>
      </c>
      <c r="AJ960" s="58" t="str">
        <f t="shared" si="711"/>
        <v/>
      </c>
      <c r="AK960" s="31">
        <f t="shared" si="712"/>
        <v>0</v>
      </c>
      <c r="AL960" s="21">
        <f t="shared" si="713"/>
        <v>0</v>
      </c>
      <c r="AM960" s="62" t="str">
        <f t="shared" si="714"/>
        <v/>
      </c>
      <c r="AN960" s="21">
        <f t="shared" si="715"/>
        <v>0</v>
      </c>
      <c r="AO960" s="62" t="str">
        <f t="shared" si="716"/>
        <v/>
      </c>
      <c r="AP960" s="21">
        <f t="shared" si="717"/>
        <v>0</v>
      </c>
      <c r="AQ960" s="62" t="str">
        <f t="shared" si="718"/>
        <v/>
      </c>
      <c r="AR960" s="31">
        <f t="shared" si="719"/>
        <v>0</v>
      </c>
      <c r="AS960" s="21">
        <f t="shared" si="720"/>
        <v>0</v>
      </c>
      <c r="AT960" s="62" t="str">
        <f t="shared" si="721"/>
        <v/>
      </c>
      <c r="AU960" s="84">
        <f t="shared" si="722"/>
        <v>0</v>
      </c>
      <c r="AV960" s="32">
        <f t="shared" si="723"/>
        <v>0</v>
      </c>
      <c r="AW960" s="85" t="str">
        <f t="shared" si="724"/>
        <v/>
      </c>
      <c r="AX960" s="86" t="str">
        <f t="shared" si="725"/>
        <v/>
      </c>
    </row>
    <row r="961" spans="1:50" x14ac:dyDescent="0.2">
      <c r="A961" s="29" t="str">
        <f t="shared" si="683"/>
        <v/>
      </c>
      <c r="B961" s="32" t="str">
        <f t="shared" si="684"/>
        <v/>
      </c>
      <c r="C961" s="35"/>
      <c r="D961" s="33" t="str">
        <f t="shared" si="685"/>
        <v/>
      </c>
      <c r="E961" s="22" t="str">
        <f t="shared" si="686"/>
        <v/>
      </c>
      <c r="F961" s="23" t="str">
        <f t="shared" si="687"/>
        <v/>
      </c>
      <c r="G961" s="23"/>
      <c r="H961" s="22"/>
      <c r="I961" s="23"/>
      <c r="J961" s="18"/>
      <c r="K961" s="13" t="str">
        <f t="shared" si="688"/>
        <v/>
      </c>
      <c r="L961" s="28" t="str">
        <f t="shared" si="689"/>
        <v/>
      </c>
      <c r="M961" s="10" t="str">
        <f t="shared" si="690"/>
        <v/>
      </c>
      <c r="N961" s="17" t="str">
        <f t="shared" si="691"/>
        <v/>
      </c>
      <c r="O961" s="39" t="str">
        <f t="shared" si="692"/>
        <v/>
      </c>
      <c r="P961" s="41" t="str">
        <f t="shared" si="693"/>
        <v/>
      </c>
      <c r="Q961" s="9" t="str">
        <f t="shared" si="694"/>
        <v/>
      </c>
      <c r="R961" s="14">
        <f t="shared" si="695"/>
        <v>0</v>
      </c>
      <c r="S961" s="61" t="str">
        <f t="shared" si="696"/>
        <v/>
      </c>
      <c r="T961" s="14">
        <f t="shared" si="697"/>
        <v>0</v>
      </c>
      <c r="U961" s="58" t="str">
        <f t="shared" si="698"/>
        <v/>
      </c>
      <c r="V961" s="14">
        <f t="shared" si="699"/>
        <v>0</v>
      </c>
      <c r="W961" s="58" t="str">
        <f t="shared" si="700"/>
        <v/>
      </c>
      <c r="X961" s="14">
        <f t="shared" si="701"/>
        <v>0</v>
      </c>
      <c r="Y961" s="58" t="str">
        <f t="shared" si="702"/>
        <v/>
      </c>
      <c r="Z961" s="31">
        <f t="shared" si="703"/>
        <v>0</v>
      </c>
      <c r="AA961" s="21">
        <f t="shared" si="704"/>
        <v>0</v>
      </c>
      <c r="AB961" s="58" t="str">
        <f t="shared" si="705"/>
        <v/>
      </c>
      <c r="AC961" s="630">
        <f t="shared" si="682"/>
        <v>0</v>
      </c>
      <c r="AD961" s="627"/>
      <c r="AE961" s="21">
        <f t="shared" si="706"/>
        <v>0</v>
      </c>
      <c r="AF961" s="58" t="str">
        <f t="shared" si="707"/>
        <v/>
      </c>
      <c r="AG961" s="21">
        <f t="shared" si="708"/>
        <v>0</v>
      </c>
      <c r="AH961" s="58" t="str">
        <f t="shared" si="709"/>
        <v/>
      </c>
      <c r="AI961" s="21">
        <f t="shared" si="710"/>
        <v>0</v>
      </c>
      <c r="AJ961" s="58" t="str">
        <f t="shared" si="711"/>
        <v/>
      </c>
      <c r="AK961" s="31">
        <f t="shared" si="712"/>
        <v>0</v>
      </c>
      <c r="AL961" s="21">
        <f t="shared" si="713"/>
        <v>0</v>
      </c>
      <c r="AM961" s="62" t="str">
        <f t="shared" si="714"/>
        <v/>
      </c>
      <c r="AN961" s="21">
        <f t="shared" si="715"/>
        <v>0</v>
      </c>
      <c r="AO961" s="62" t="str">
        <f t="shared" si="716"/>
        <v/>
      </c>
      <c r="AP961" s="21">
        <f t="shared" si="717"/>
        <v>0</v>
      </c>
      <c r="AQ961" s="62" t="str">
        <f t="shared" si="718"/>
        <v/>
      </c>
      <c r="AR961" s="31">
        <f t="shared" si="719"/>
        <v>0</v>
      </c>
      <c r="AS961" s="21">
        <f t="shared" si="720"/>
        <v>0</v>
      </c>
      <c r="AT961" s="62" t="str">
        <f t="shared" si="721"/>
        <v/>
      </c>
      <c r="AU961" s="84">
        <f t="shared" si="722"/>
        <v>0</v>
      </c>
      <c r="AV961" s="32">
        <f t="shared" si="723"/>
        <v>0</v>
      </c>
      <c r="AW961" s="85" t="str">
        <f t="shared" si="724"/>
        <v/>
      </c>
      <c r="AX961" s="86" t="str">
        <f t="shared" si="725"/>
        <v/>
      </c>
    </row>
    <row r="962" spans="1:50" x14ac:dyDescent="0.2">
      <c r="A962" s="29" t="str">
        <f t="shared" si="683"/>
        <v/>
      </c>
      <c r="B962" s="32" t="str">
        <f t="shared" si="684"/>
        <v/>
      </c>
      <c r="C962" s="35"/>
      <c r="D962" s="33" t="str">
        <f t="shared" si="685"/>
        <v/>
      </c>
      <c r="E962" s="22" t="str">
        <f t="shared" si="686"/>
        <v/>
      </c>
      <c r="F962" s="23" t="str">
        <f t="shared" si="687"/>
        <v/>
      </c>
      <c r="G962" s="23"/>
      <c r="H962" s="22"/>
      <c r="I962" s="23"/>
      <c r="J962" s="18"/>
      <c r="K962" s="13" t="str">
        <f t="shared" si="688"/>
        <v/>
      </c>
      <c r="L962" s="28" t="str">
        <f t="shared" si="689"/>
        <v/>
      </c>
      <c r="M962" s="10" t="str">
        <f t="shared" si="690"/>
        <v/>
      </c>
      <c r="N962" s="17" t="str">
        <f t="shared" si="691"/>
        <v/>
      </c>
      <c r="O962" s="39" t="str">
        <f t="shared" si="692"/>
        <v/>
      </c>
      <c r="P962" s="41" t="str">
        <f t="shared" si="693"/>
        <v/>
      </c>
      <c r="Q962" s="9" t="str">
        <f t="shared" si="694"/>
        <v/>
      </c>
      <c r="R962" s="14">
        <f t="shared" si="695"/>
        <v>0</v>
      </c>
      <c r="S962" s="61" t="str">
        <f t="shared" si="696"/>
        <v/>
      </c>
      <c r="T962" s="14">
        <f t="shared" si="697"/>
        <v>0</v>
      </c>
      <c r="U962" s="58" t="str">
        <f t="shared" si="698"/>
        <v/>
      </c>
      <c r="V962" s="14">
        <f t="shared" si="699"/>
        <v>0</v>
      </c>
      <c r="W962" s="58" t="str">
        <f t="shared" si="700"/>
        <v/>
      </c>
      <c r="X962" s="14">
        <f t="shared" si="701"/>
        <v>0</v>
      </c>
      <c r="Y962" s="58" t="str">
        <f t="shared" si="702"/>
        <v/>
      </c>
      <c r="Z962" s="31">
        <f t="shared" si="703"/>
        <v>0</v>
      </c>
      <c r="AA962" s="21">
        <f t="shared" si="704"/>
        <v>0</v>
      </c>
      <c r="AB962" s="58" t="str">
        <f t="shared" si="705"/>
        <v/>
      </c>
      <c r="AC962" s="630">
        <f t="shared" si="682"/>
        <v>0</v>
      </c>
      <c r="AD962" s="627"/>
      <c r="AE962" s="21">
        <f t="shared" si="706"/>
        <v>0</v>
      </c>
      <c r="AF962" s="58" t="str">
        <f t="shared" si="707"/>
        <v/>
      </c>
      <c r="AG962" s="21">
        <f t="shared" si="708"/>
        <v>0</v>
      </c>
      <c r="AH962" s="58" t="str">
        <f t="shared" si="709"/>
        <v/>
      </c>
      <c r="AI962" s="21">
        <f t="shared" si="710"/>
        <v>0</v>
      </c>
      <c r="AJ962" s="58" t="str">
        <f t="shared" si="711"/>
        <v/>
      </c>
      <c r="AK962" s="31">
        <f t="shared" si="712"/>
        <v>0</v>
      </c>
      <c r="AL962" s="21">
        <f t="shared" si="713"/>
        <v>0</v>
      </c>
      <c r="AM962" s="62" t="str">
        <f t="shared" si="714"/>
        <v/>
      </c>
      <c r="AN962" s="21">
        <f t="shared" si="715"/>
        <v>0</v>
      </c>
      <c r="AO962" s="62" t="str">
        <f t="shared" si="716"/>
        <v/>
      </c>
      <c r="AP962" s="21">
        <f t="shared" si="717"/>
        <v>0</v>
      </c>
      <c r="AQ962" s="62" t="str">
        <f t="shared" si="718"/>
        <v/>
      </c>
      <c r="AR962" s="31">
        <f t="shared" si="719"/>
        <v>0</v>
      </c>
      <c r="AS962" s="21">
        <f t="shared" si="720"/>
        <v>0</v>
      </c>
      <c r="AT962" s="62" t="str">
        <f t="shared" si="721"/>
        <v/>
      </c>
      <c r="AU962" s="84">
        <f t="shared" si="722"/>
        <v>0</v>
      </c>
      <c r="AV962" s="32">
        <f t="shared" si="723"/>
        <v>0</v>
      </c>
      <c r="AW962" s="85" t="str">
        <f t="shared" si="724"/>
        <v/>
      </c>
      <c r="AX962" s="86" t="str">
        <f t="shared" si="725"/>
        <v/>
      </c>
    </row>
    <row r="963" spans="1:50" x14ac:dyDescent="0.2">
      <c r="A963" s="29" t="str">
        <f t="shared" si="683"/>
        <v/>
      </c>
      <c r="B963" s="32" t="str">
        <f t="shared" si="684"/>
        <v/>
      </c>
      <c r="C963" s="35"/>
      <c r="D963" s="33" t="str">
        <f t="shared" si="685"/>
        <v/>
      </c>
      <c r="E963" s="22" t="str">
        <f t="shared" si="686"/>
        <v/>
      </c>
      <c r="F963" s="23" t="str">
        <f t="shared" si="687"/>
        <v/>
      </c>
      <c r="G963" s="23"/>
      <c r="H963" s="22"/>
      <c r="I963" s="23"/>
      <c r="J963" s="18"/>
      <c r="K963" s="13" t="str">
        <f t="shared" si="688"/>
        <v/>
      </c>
      <c r="L963" s="28" t="str">
        <f t="shared" si="689"/>
        <v/>
      </c>
      <c r="M963" s="10" t="str">
        <f t="shared" si="690"/>
        <v/>
      </c>
      <c r="N963" s="17" t="str">
        <f t="shared" si="691"/>
        <v/>
      </c>
      <c r="O963" s="39" t="str">
        <f t="shared" si="692"/>
        <v/>
      </c>
      <c r="P963" s="41" t="str">
        <f t="shared" si="693"/>
        <v/>
      </c>
      <c r="Q963" s="9" t="str">
        <f t="shared" si="694"/>
        <v/>
      </c>
      <c r="R963" s="14">
        <f t="shared" si="695"/>
        <v>0</v>
      </c>
      <c r="S963" s="61" t="str">
        <f t="shared" si="696"/>
        <v/>
      </c>
      <c r="T963" s="14">
        <f t="shared" si="697"/>
        <v>0</v>
      </c>
      <c r="U963" s="58" t="str">
        <f t="shared" si="698"/>
        <v/>
      </c>
      <c r="V963" s="14">
        <f t="shared" si="699"/>
        <v>0</v>
      </c>
      <c r="W963" s="58" t="str">
        <f t="shared" si="700"/>
        <v/>
      </c>
      <c r="X963" s="14">
        <f t="shared" si="701"/>
        <v>0</v>
      </c>
      <c r="Y963" s="58" t="str">
        <f t="shared" si="702"/>
        <v/>
      </c>
      <c r="Z963" s="31">
        <f t="shared" si="703"/>
        <v>0</v>
      </c>
      <c r="AA963" s="21">
        <f t="shared" si="704"/>
        <v>0</v>
      </c>
      <c r="AB963" s="58" t="str">
        <f t="shared" si="705"/>
        <v/>
      </c>
      <c r="AC963" s="630">
        <f t="shared" si="682"/>
        <v>0</v>
      </c>
      <c r="AD963" s="627"/>
      <c r="AE963" s="21">
        <f t="shared" si="706"/>
        <v>0</v>
      </c>
      <c r="AF963" s="58" t="str">
        <f t="shared" si="707"/>
        <v/>
      </c>
      <c r="AG963" s="21">
        <f t="shared" si="708"/>
        <v>0</v>
      </c>
      <c r="AH963" s="58" t="str">
        <f t="shared" si="709"/>
        <v/>
      </c>
      <c r="AI963" s="21">
        <f t="shared" si="710"/>
        <v>0</v>
      </c>
      <c r="AJ963" s="58" t="str">
        <f t="shared" si="711"/>
        <v/>
      </c>
      <c r="AK963" s="31">
        <f t="shared" si="712"/>
        <v>0</v>
      </c>
      <c r="AL963" s="21">
        <f t="shared" si="713"/>
        <v>0</v>
      </c>
      <c r="AM963" s="62" t="str">
        <f t="shared" si="714"/>
        <v/>
      </c>
      <c r="AN963" s="21">
        <f t="shared" si="715"/>
        <v>0</v>
      </c>
      <c r="AO963" s="62" t="str">
        <f t="shared" si="716"/>
        <v/>
      </c>
      <c r="AP963" s="21">
        <f t="shared" si="717"/>
        <v>0</v>
      </c>
      <c r="AQ963" s="62" t="str">
        <f t="shared" si="718"/>
        <v/>
      </c>
      <c r="AR963" s="31">
        <f t="shared" si="719"/>
        <v>0</v>
      </c>
      <c r="AS963" s="21">
        <f t="shared" si="720"/>
        <v>0</v>
      </c>
      <c r="AT963" s="62" t="str">
        <f t="shared" si="721"/>
        <v/>
      </c>
      <c r="AU963" s="84">
        <f t="shared" si="722"/>
        <v>0</v>
      </c>
      <c r="AV963" s="32">
        <f t="shared" si="723"/>
        <v>0</v>
      </c>
      <c r="AW963" s="85" t="str">
        <f t="shared" si="724"/>
        <v/>
      </c>
      <c r="AX963" s="86" t="str">
        <f t="shared" si="725"/>
        <v/>
      </c>
    </row>
    <row r="964" spans="1:50" x14ac:dyDescent="0.2">
      <c r="A964" s="29" t="str">
        <f t="shared" si="683"/>
        <v/>
      </c>
      <c r="B964" s="32" t="str">
        <f t="shared" si="684"/>
        <v/>
      </c>
      <c r="C964" s="35"/>
      <c r="D964" s="33" t="str">
        <f t="shared" si="685"/>
        <v/>
      </c>
      <c r="E964" s="22" t="str">
        <f t="shared" si="686"/>
        <v/>
      </c>
      <c r="F964" s="23" t="str">
        <f t="shared" si="687"/>
        <v/>
      </c>
      <c r="G964" s="23"/>
      <c r="H964" s="22"/>
      <c r="I964" s="23"/>
      <c r="J964" s="18"/>
      <c r="K964" s="13" t="str">
        <f t="shared" si="688"/>
        <v/>
      </c>
      <c r="L964" s="28" t="str">
        <f t="shared" si="689"/>
        <v/>
      </c>
      <c r="M964" s="10" t="str">
        <f t="shared" si="690"/>
        <v/>
      </c>
      <c r="N964" s="17" t="str">
        <f t="shared" si="691"/>
        <v/>
      </c>
      <c r="O964" s="39" t="str">
        <f t="shared" si="692"/>
        <v/>
      </c>
      <c r="P964" s="41" t="str">
        <f t="shared" si="693"/>
        <v/>
      </c>
      <c r="Q964" s="9" t="str">
        <f t="shared" si="694"/>
        <v/>
      </c>
      <c r="R964" s="14">
        <f t="shared" si="695"/>
        <v>0</v>
      </c>
      <c r="S964" s="61" t="str">
        <f t="shared" si="696"/>
        <v/>
      </c>
      <c r="T964" s="14">
        <f t="shared" si="697"/>
        <v>0</v>
      </c>
      <c r="U964" s="58" t="str">
        <f t="shared" si="698"/>
        <v/>
      </c>
      <c r="V964" s="14">
        <f t="shared" si="699"/>
        <v>0</v>
      </c>
      <c r="W964" s="58" t="str">
        <f t="shared" si="700"/>
        <v/>
      </c>
      <c r="X964" s="14">
        <f t="shared" si="701"/>
        <v>0</v>
      </c>
      <c r="Y964" s="58" t="str">
        <f t="shared" si="702"/>
        <v/>
      </c>
      <c r="Z964" s="31">
        <f t="shared" si="703"/>
        <v>0</v>
      </c>
      <c r="AA964" s="21">
        <f t="shared" si="704"/>
        <v>0</v>
      </c>
      <c r="AB964" s="58" t="str">
        <f t="shared" si="705"/>
        <v/>
      </c>
      <c r="AC964" s="630">
        <f t="shared" si="682"/>
        <v>0</v>
      </c>
      <c r="AD964" s="627"/>
      <c r="AE964" s="21">
        <f t="shared" si="706"/>
        <v>0</v>
      </c>
      <c r="AF964" s="58" t="str">
        <f t="shared" si="707"/>
        <v/>
      </c>
      <c r="AG964" s="21">
        <f t="shared" si="708"/>
        <v>0</v>
      </c>
      <c r="AH964" s="58" t="str">
        <f t="shared" si="709"/>
        <v/>
      </c>
      <c r="AI964" s="21">
        <f t="shared" si="710"/>
        <v>0</v>
      </c>
      <c r="AJ964" s="58" t="str">
        <f t="shared" si="711"/>
        <v/>
      </c>
      <c r="AK964" s="31">
        <f t="shared" si="712"/>
        <v>0</v>
      </c>
      <c r="AL964" s="21">
        <f t="shared" si="713"/>
        <v>0</v>
      </c>
      <c r="AM964" s="62" t="str">
        <f t="shared" si="714"/>
        <v/>
      </c>
      <c r="AN964" s="21">
        <f t="shared" si="715"/>
        <v>0</v>
      </c>
      <c r="AO964" s="62" t="str">
        <f t="shared" si="716"/>
        <v/>
      </c>
      <c r="AP964" s="21">
        <f t="shared" si="717"/>
        <v>0</v>
      </c>
      <c r="AQ964" s="62" t="str">
        <f t="shared" si="718"/>
        <v/>
      </c>
      <c r="AR964" s="31">
        <f t="shared" si="719"/>
        <v>0</v>
      </c>
      <c r="AS964" s="21">
        <f t="shared" si="720"/>
        <v>0</v>
      </c>
      <c r="AT964" s="62" t="str">
        <f t="shared" si="721"/>
        <v/>
      </c>
      <c r="AU964" s="84">
        <f t="shared" si="722"/>
        <v>0</v>
      </c>
      <c r="AV964" s="32">
        <f t="shared" si="723"/>
        <v>0</v>
      </c>
      <c r="AW964" s="85" t="str">
        <f t="shared" si="724"/>
        <v/>
      </c>
      <c r="AX964" s="86" t="str">
        <f t="shared" si="725"/>
        <v/>
      </c>
    </row>
    <row r="965" spans="1:50" x14ac:dyDescent="0.2">
      <c r="A965" s="29" t="str">
        <f t="shared" si="683"/>
        <v/>
      </c>
      <c r="B965" s="32" t="str">
        <f t="shared" si="684"/>
        <v/>
      </c>
      <c r="C965" s="35"/>
      <c r="D965" s="33" t="str">
        <f t="shared" si="685"/>
        <v/>
      </c>
      <c r="E965" s="22" t="str">
        <f t="shared" si="686"/>
        <v/>
      </c>
      <c r="F965" s="23" t="str">
        <f t="shared" si="687"/>
        <v/>
      </c>
      <c r="G965" s="23"/>
      <c r="H965" s="22"/>
      <c r="I965" s="23"/>
      <c r="J965" s="18"/>
      <c r="K965" s="13" t="str">
        <f t="shared" si="688"/>
        <v/>
      </c>
      <c r="L965" s="28" t="str">
        <f t="shared" si="689"/>
        <v/>
      </c>
      <c r="M965" s="10" t="str">
        <f t="shared" si="690"/>
        <v/>
      </c>
      <c r="N965" s="17" t="str">
        <f t="shared" si="691"/>
        <v/>
      </c>
      <c r="O965" s="39" t="str">
        <f t="shared" si="692"/>
        <v/>
      </c>
      <c r="P965" s="41" t="str">
        <f t="shared" si="693"/>
        <v/>
      </c>
      <c r="Q965" s="9" t="str">
        <f t="shared" si="694"/>
        <v/>
      </c>
      <c r="R965" s="14">
        <f t="shared" si="695"/>
        <v>0</v>
      </c>
      <c r="S965" s="61" t="str">
        <f t="shared" si="696"/>
        <v/>
      </c>
      <c r="T965" s="14">
        <f t="shared" si="697"/>
        <v>0</v>
      </c>
      <c r="U965" s="58" t="str">
        <f t="shared" si="698"/>
        <v/>
      </c>
      <c r="V965" s="14">
        <f t="shared" si="699"/>
        <v>0</v>
      </c>
      <c r="W965" s="58" t="str">
        <f t="shared" si="700"/>
        <v/>
      </c>
      <c r="X965" s="14">
        <f t="shared" si="701"/>
        <v>0</v>
      </c>
      <c r="Y965" s="58" t="str">
        <f t="shared" si="702"/>
        <v/>
      </c>
      <c r="Z965" s="31">
        <f t="shared" si="703"/>
        <v>0</v>
      </c>
      <c r="AA965" s="21">
        <f t="shared" si="704"/>
        <v>0</v>
      </c>
      <c r="AB965" s="58" t="str">
        <f t="shared" si="705"/>
        <v/>
      </c>
      <c r="AC965" s="630">
        <f t="shared" si="682"/>
        <v>0</v>
      </c>
      <c r="AD965" s="627"/>
      <c r="AE965" s="21">
        <f t="shared" si="706"/>
        <v>0</v>
      </c>
      <c r="AF965" s="58" t="str">
        <f t="shared" si="707"/>
        <v/>
      </c>
      <c r="AG965" s="21">
        <f t="shared" si="708"/>
        <v>0</v>
      </c>
      <c r="AH965" s="58" t="str">
        <f t="shared" si="709"/>
        <v/>
      </c>
      <c r="AI965" s="21">
        <f t="shared" si="710"/>
        <v>0</v>
      </c>
      <c r="AJ965" s="58" t="str">
        <f t="shared" si="711"/>
        <v/>
      </c>
      <c r="AK965" s="31">
        <f t="shared" si="712"/>
        <v>0</v>
      </c>
      <c r="AL965" s="21">
        <f t="shared" si="713"/>
        <v>0</v>
      </c>
      <c r="AM965" s="62" t="str">
        <f t="shared" si="714"/>
        <v/>
      </c>
      <c r="AN965" s="21">
        <f t="shared" si="715"/>
        <v>0</v>
      </c>
      <c r="AO965" s="62" t="str">
        <f t="shared" si="716"/>
        <v/>
      </c>
      <c r="AP965" s="21">
        <f t="shared" si="717"/>
        <v>0</v>
      </c>
      <c r="AQ965" s="62" t="str">
        <f t="shared" si="718"/>
        <v/>
      </c>
      <c r="AR965" s="31">
        <f t="shared" si="719"/>
        <v>0</v>
      </c>
      <c r="AS965" s="21">
        <f t="shared" si="720"/>
        <v>0</v>
      </c>
      <c r="AT965" s="62" t="str">
        <f t="shared" si="721"/>
        <v/>
      </c>
      <c r="AU965" s="84">
        <f t="shared" si="722"/>
        <v>0</v>
      </c>
      <c r="AV965" s="32">
        <f t="shared" si="723"/>
        <v>0</v>
      </c>
      <c r="AW965" s="85" t="str">
        <f t="shared" si="724"/>
        <v/>
      </c>
      <c r="AX965" s="86" t="str">
        <f t="shared" si="725"/>
        <v/>
      </c>
    </row>
    <row r="966" spans="1:50" x14ac:dyDescent="0.2">
      <c r="A966" s="29" t="str">
        <f t="shared" si="683"/>
        <v/>
      </c>
      <c r="B966" s="32" t="str">
        <f t="shared" si="684"/>
        <v/>
      </c>
      <c r="C966" s="35"/>
      <c r="D966" s="33" t="str">
        <f t="shared" si="685"/>
        <v/>
      </c>
      <c r="E966" s="22" t="str">
        <f t="shared" si="686"/>
        <v/>
      </c>
      <c r="F966" s="23" t="str">
        <f t="shared" si="687"/>
        <v/>
      </c>
      <c r="G966" s="23"/>
      <c r="H966" s="22"/>
      <c r="I966" s="23"/>
      <c r="J966" s="18"/>
      <c r="K966" s="13" t="str">
        <f t="shared" si="688"/>
        <v/>
      </c>
      <c r="L966" s="28" t="str">
        <f t="shared" si="689"/>
        <v/>
      </c>
      <c r="M966" s="10" t="str">
        <f t="shared" si="690"/>
        <v/>
      </c>
      <c r="N966" s="17" t="str">
        <f t="shared" si="691"/>
        <v/>
      </c>
      <c r="O966" s="39" t="str">
        <f t="shared" si="692"/>
        <v/>
      </c>
      <c r="P966" s="41" t="str">
        <f t="shared" si="693"/>
        <v/>
      </c>
      <c r="Q966" s="9" t="str">
        <f t="shared" si="694"/>
        <v/>
      </c>
      <c r="R966" s="14">
        <f t="shared" si="695"/>
        <v>0</v>
      </c>
      <c r="S966" s="61" t="str">
        <f t="shared" si="696"/>
        <v/>
      </c>
      <c r="T966" s="14">
        <f t="shared" si="697"/>
        <v>0</v>
      </c>
      <c r="U966" s="58" t="str">
        <f t="shared" si="698"/>
        <v/>
      </c>
      <c r="V966" s="14">
        <f t="shared" si="699"/>
        <v>0</v>
      </c>
      <c r="W966" s="58" t="str">
        <f t="shared" si="700"/>
        <v/>
      </c>
      <c r="X966" s="14">
        <f t="shared" si="701"/>
        <v>0</v>
      </c>
      <c r="Y966" s="58" t="str">
        <f t="shared" si="702"/>
        <v/>
      </c>
      <c r="Z966" s="31">
        <f t="shared" si="703"/>
        <v>0</v>
      </c>
      <c r="AA966" s="21">
        <f t="shared" si="704"/>
        <v>0</v>
      </c>
      <c r="AB966" s="58" t="str">
        <f t="shared" si="705"/>
        <v/>
      </c>
      <c r="AC966" s="630">
        <f t="shared" si="682"/>
        <v>0</v>
      </c>
      <c r="AD966" s="627"/>
      <c r="AE966" s="21">
        <f t="shared" si="706"/>
        <v>0</v>
      </c>
      <c r="AF966" s="58" t="str">
        <f t="shared" si="707"/>
        <v/>
      </c>
      <c r="AG966" s="21">
        <f t="shared" si="708"/>
        <v>0</v>
      </c>
      <c r="AH966" s="58" t="str">
        <f t="shared" si="709"/>
        <v/>
      </c>
      <c r="AI966" s="21">
        <f t="shared" si="710"/>
        <v>0</v>
      </c>
      <c r="AJ966" s="58" t="str">
        <f t="shared" si="711"/>
        <v/>
      </c>
      <c r="AK966" s="31">
        <f t="shared" si="712"/>
        <v>0</v>
      </c>
      <c r="AL966" s="21">
        <f t="shared" si="713"/>
        <v>0</v>
      </c>
      <c r="AM966" s="62" t="str">
        <f t="shared" si="714"/>
        <v/>
      </c>
      <c r="AN966" s="21">
        <f t="shared" si="715"/>
        <v>0</v>
      </c>
      <c r="AO966" s="62" t="str">
        <f t="shared" si="716"/>
        <v/>
      </c>
      <c r="AP966" s="21">
        <f t="shared" si="717"/>
        <v>0</v>
      </c>
      <c r="AQ966" s="62" t="str">
        <f t="shared" si="718"/>
        <v/>
      </c>
      <c r="AR966" s="31">
        <f t="shared" si="719"/>
        <v>0</v>
      </c>
      <c r="AS966" s="21">
        <f t="shared" si="720"/>
        <v>0</v>
      </c>
      <c r="AT966" s="62" t="str">
        <f t="shared" si="721"/>
        <v/>
      </c>
      <c r="AU966" s="84">
        <f t="shared" si="722"/>
        <v>0</v>
      </c>
      <c r="AV966" s="32">
        <f t="shared" si="723"/>
        <v>0</v>
      </c>
      <c r="AW966" s="85" t="str">
        <f t="shared" si="724"/>
        <v/>
      </c>
      <c r="AX966" s="86" t="str">
        <f t="shared" si="725"/>
        <v/>
      </c>
    </row>
    <row r="967" spans="1:50" x14ac:dyDescent="0.2">
      <c r="A967" s="29" t="str">
        <f t="shared" si="683"/>
        <v/>
      </c>
      <c r="B967" s="32" t="str">
        <f t="shared" si="684"/>
        <v/>
      </c>
      <c r="C967" s="35"/>
      <c r="D967" s="33" t="str">
        <f t="shared" si="685"/>
        <v/>
      </c>
      <c r="E967" s="22" t="str">
        <f t="shared" si="686"/>
        <v/>
      </c>
      <c r="F967" s="23" t="str">
        <f t="shared" si="687"/>
        <v/>
      </c>
      <c r="G967" s="23"/>
      <c r="H967" s="22"/>
      <c r="I967" s="23"/>
      <c r="J967" s="18"/>
      <c r="K967" s="13" t="str">
        <f t="shared" si="688"/>
        <v/>
      </c>
      <c r="L967" s="28" t="str">
        <f t="shared" si="689"/>
        <v/>
      </c>
      <c r="M967" s="10" t="str">
        <f t="shared" si="690"/>
        <v/>
      </c>
      <c r="N967" s="17" t="str">
        <f t="shared" si="691"/>
        <v/>
      </c>
      <c r="O967" s="39" t="str">
        <f t="shared" si="692"/>
        <v/>
      </c>
      <c r="P967" s="41" t="str">
        <f t="shared" si="693"/>
        <v/>
      </c>
      <c r="Q967" s="9" t="str">
        <f t="shared" si="694"/>
        <v/>
      </c>
      <c r="R967" s="14">
        <f t="shared" si="695"/>
        <v>0</v>
      </c>
      <c r="S967" s="61" t="str">
        <f t="shared" si="696"/>
        <v/>
      </c>
      <c r="T967" s="14">
        <f t="shared" si="697"/>
        <v>0</v>
      </c>
      <c r="U967" s="58" t="str">
        <f t="shared" si="698"/>
        <v/>
      </c>
      <c r="V967" s="14">
        <f t="shared" si="699"/>
        <v>0</v>
      </c>
      <c r="W967" s="58" t="str">
        <f t="shared" si="700"/>
        <v/>
      </c>
      <c r="X967" s="14">
        <f t="shared" si="701"/>
        <v>0</v>
      </c>
      <c r="Y967" s="58" t="str">
        <f t="shared" si="702"/>
        <v/>
      </c>
      <c r="Z967" s="31">
        <f t="shared" si="703"/>
        <v>0</v>
      </c>
      <c r="AA967" s="21">
        <f t="shared" si="704"/>
        <v>0</v>
      </c>
      <c r="AB967" s="58" t="str">
        <f t="shared" si="705"/>
        <v/>
      </c>
      <c r="AC967" s="630">
        <f t="shared" si="682"/>
        <v>0</v>
      </c>
      <c r="AD967" s="627"/>
      <c r="AE967" s="21">
        <f t="shared" si="706"/>
        <v>0</v>
      </c>
      <c r="AF967" s="58" t="str">
        <f t="shared" si="707"/>
        <v/>
      </c>
      <c r="AG967" s="21">
        <f t="shared" si="708"/>
        <v>0</v>
      </c>
      <c r="AH967" s="58" t="str">
        <f t="shared" si="709"/>
        <v/>
      </c>
      <c r="AI967" s="21">
        <f t="shared" si="710"/>
        <v>0</v>
      </c>
      <c r="AJ967" s="58" t="str">
        <f t="shared" si="711"/>
        <v/>
      </c>
      <c r="AK967" s="31">
        <f t="shared" si="712"/>
        <v>0</v>
      </c>
      <c r="AL967" s="21">
        <f t="shared" si="713"/>
        <v>0</v>
      </c>
      <c r="AM967" s="62" t="str">
        <f t="shared" si="714"/>
        <v/>
      </c>
      <c r="AN967" s="21">
        <f t="shared" si="715"/>
        <v>0</v>
      </c>
      <c r="AO967" s="62" t="str">
        <f t="shared" si="716"/>
        <v/>
      </c>
      <c r="AP967" s="21">
        <f t="shared" si="717"/>
        <v>0</v>
      </c>
      <c r="AQ967" s="62" t="str">
        <f t="shared" si="718"/>
        <v/>
      </c>
      <c r="AR967" s="31">
        <f t="shared" si="719"/>
        <v>0</v>
      </c>
      <c r="AS967" s="21">
        <f t="shared" si="720"/>
        <v>0</v>
      </c>
      <c r="AT967" s="62" t="str">
        <f t="shared" si="721"/>
        <v/>
      </c>
      <c r="AU967" s="84">
        <f t="shared" si="722"/>
        <v>0</v>
      </c>
      <c r="AV967" s="32">
        <f t="shared" si="723"/>
        <v>0</v>
      </c>
      <c r="AW967" s="85" t="str">
        <f t="shared" si="724"/>
        <v/>
      </c>
      <c r="AX967" s="86" t="str">
        <f t="shared" si="725"/>
        <v/>
      </c>
    </row>
    <row r="968" spans="1:50" x14ac:dyDescent="0.2">
      <c r="A968" s="29" t="str">
        <f t="shared" si="683"/>
        <v/>
      </c>
      <c r="B968" s="32" t="str">
        <f t="shared" si="684"/>
        <v/>
      </c>
      <c r="C968" s="35"/>
      <c r="D968" s="33" t="str">
        <f t="shared" si="685"/>
        <v/>
      </c>
      <c r="E968" s="22" t="str">
        <f t="shared" si="686"/>
        <v/>
      </c>
      <c r="F968" s="23" t="str">
        <f t="shared" si="687"/>
        <v/>
      </c>
      <c r="G968" s="23"/>
      <c r="H968" s="22"/>
      <c r="I968" s="23"/>
      <c r="J968" s="18"/>
      <c r="K968" s="13" t="str">
        <f t="shared" si="688"/>
        <v/>
      </c>
      <c r="L968" s="28" t="str">
        <f t="shared" si="689"/>
        <v/>
      </c>
      <c r="M968" s="10" t="str">
        <f t="shared" si="690"/>
        <v/>
      </c>
      <c r="N968" s="17" t="str">
        <f t="shared" si="691"/>
        <v/>
      </c>
      <c r="O968" s="39" t="str">
        <f t="shared" si="692"/>
        <v/>
      </c>
      <c r="P968" s="41" t="str">
        <f t="shared" si="693"/>
        <v/>
      </c>
      <c r="Q968" s="9" t="str">
        <f t="shared" si="694"/>
        <v/>
      </c>
      <c r="R968" s="14">
        <f t="shared" si="695"/>
        <v>0</v>
      </c>
      <c r="S968" s="61" t="str">
        <f t="shared" si="696"/>
        <v/>
      </c>
      <c r="T968" s="14">
        <f t="shared" si="697"/>
        <v>0</v>
      </c>
      <c r="U968" s="58" t="str">
        <f t="shared" si="698"/>
        <v/>
      </c>
      <c r="V968" s="14">
        <f t="shared" si="699"/>
        <v>0</v>
      </c>
      <c r="W968" s="58" t="str">
        <f t="shared" si="700"/>
        <v/>
      </c>
      <c r="X968" s="14">
        <f t="shared" si="701"/>
        <v>0</v>
      </c>
      <c r="Y968" s="58" t="str">
        <f t="shared" si="702"/>
        <v/>
      </c>
      <c r="Z968" s="31">
        <f t="shared" si="703"/>
        <v>0</v>
      </c>
      <c r="AA968" s="21">
        <f t="shared" si="704"/>
        <v>0</v>
      </c>
      <c r="AB968" s="58" t="str">
        <f t="shared" si="705"/>
        <v/>
      </c>
      <c r="AC968" s="630">
        <f t="shared" si="682"/>
        <v>0</v>
      </c>
      <c r="AD968" s="627"/>
      <c r="AE968" s="21">
        <f t="shared" si="706"/>
        <v>0</v>
      </c>
      <c r="AF968" s="58" t="str">
        <f t="shared" si="707"/>
        <v/>
      </c>
      <c r="AG968" s="21">
        <f t="shared" si="708"/>
        <v>0</v>
      </c>
      <c r="AH968" s="58" t="str">
        <f t="shared" si="709"/>
        <v/>
      </c>
      <c r="AI968" s="21">
        <f t="shared" si="710"/>
        <v>0</v>
      </c>
      <c r="AJ968" s="58" t="str">
        <f t="shared" si="711"/>
        <v/>
      </c>
      <c r="AK968" s="31">
        <f t="shared" si="712"/>
        <v>0</v>
      </c>
      <c r="AL968" s="21">
        <f t="shared" si="713"/>
        <v>0</v>
      </c>
      <c r="AM968" s="62" t="str">
        <f t="shared" si="714"/>
        <v/>
      </c>
      <c r="AN968" s="21">
        <f t="shared" si="715"/>
        <v>0</v>
      </c>
      <c r="AO968" s="62" t="str">
        <f t="shared" si="716"/>
        <v/>
      </c>
      <c r="AP968" s="21">
        <f t="shared" si="717"/>
        <v>0</v>
      </c>
      <c r="AQ968" s="62" t="str">
        <f t="shared" si="718"/>
        <v/>
      </c>
      <c r="AR968" s="31">
        <f t="shared" si="719"/>
        <v>0</v>
      </c>
      <c r="AS968" s="21">
        <f t="shared" si="720"/>
        <v>0</v>
      </c>
      <c r="AT968" s="62" t="str">
        <f t="shared" si="721"/>
        <v/>
      </c>
      <c r="AU968" s="84">
        <f t="shared" si="722"/>
        <v>0</v>
      </c>
      <c r="AV968" s="32">
        <f t="shared" si="723"/>
        <v>0</v>
      </c>
      <c r="AW968" s="85" t="str">
        <f t="shared" si="724"/>
        <v/>
      </c>
      <c r="AX968" s="86" t="str">
        <f t="shared" si="725"/>
        <v/>
      </c>
    </row>
    <row r="969" spans="1:50" x14ac:dyDescent="0.2">
      <c r="A969" s="29" t="str">
        <f t="shared" si="683"/>
        <v/>
      </c>
      <c r="B969" s="32" t="str">
        <f t="shared" si="684"/>
        <v/>
      </c>
      <c r="C969" s="35"/>
      <c r="D969" s="33" t="str">
        <f t="shared" si="685"/>
        <v/>
      </c>
      <c r="E969" s="22" t="str">
        <f t="shared" si="686"/>
        <v/>
      </c>
      <c r="F969" s="23" t="str">
        <f t="shared" si="687"/>
        <v/>
      </c>
      <c r="G969" s="23"/>
      <c r="H969" s="22"/>
      <c r="I969" s="23"/>
      <c r="J969" s="18"/>
      <c r="K969" s="13" t="str">
        <f t="shared" si="688"/>
        <v/>
      </c>
      <c r="L969" s="28" t="str">
        <f t="shared" si="689"/>
        <v/>
      </c>
      <c r="M969" s="10" t="str">
        <f t="shared" si="690"/>
        <v/>
      </c>
      <c r="N969" s="17" t="str">
        <f t="shared" si="691"/>
        <v/>
      </c>
      <c r="O969" s="39" t="str">
        <f t="shared" si="692"/>
        <v/>
      </c>
      <c r="P969" s="41" t="str">
        <f t="shared" si="693"/>
        <v/>
      </c>
      <c r="Q969" s="9" t="str">
        <f t="shared" si="694"/>
        <v/>
      </c>
      <c r="R969" s="14">
        <f t="shared" si="695"/>
        <v>0</v>
      </c>
      <c r="S969" s="61" t="str">
        <f t="shared" si="696"/>
        <v/>
      </c>
      <c r="T969" s="14">
        <f t="shared" si="697"/>
        <v>0</v>
      </c>
      <c r="U969" s="58" t="str">
        <f t="shared" si="698"/>
        <v/>
      </c>
      <c r="V969" s="14">
        <f t="shared" si="699"/>
        <v>0</v>
      </c>
      <c r="W969" s="58" t="str">
        <f t="shared" si="700"/>
        <v/>
      </c>
      <c r="X969" s="14">
        <f t="shared" si="701"/>
        <v>0</v>
      </c>
      <c r="Y969" s="58" t="str">
        <f t="shared" si="702"/>
        <v/>
      </c>
      <c r="Z969" s="31">
        <f t="shared" si="703"/>
        <v>0</v>
      </c>
      <c r="AA969" s="21">
        <f t="shared" si="704"/>
        <v>0</v>
      </c>
      <c r="AB969" s="58" t="str">
        <f t="shared" si="705"/>
        <v/>
      </c>
      <c r="AC969" s="630">
        <f t="shared" si="682"/>
        <v>0</v>
      </c>
      <c r="AD969" s="627"/>
      <c r="AE969" s="21">
        <f t="shared" si="706"/>
        <v>0</v>
      </c>
      <c r="AF969" s="58" t="str">
        <f t="shared" si="707"/>
        <v/>
      </c>
      <c r="AG969" s="21">
        <f t="shared" si="708"/>
        <v>0</v>
      </c>
      <c r="AH969" s="58" t="str">
        <f t="shared" si="709"/>
        <v/>
      </c>
      <c r="AI969" s="21">
        <f t="shared" si="710"/>
        <v>0</v>
      </c>
      <c r="AJ969" s="58" t="str">
        <f t="shared" si="711"/>
        <v/>
      </c>
      <c r="AK969" s="31">
        <f t="shared" si="712"/>
        <v>0</v>
      </c>
      <c r="AL969" s="21">
        <f t="shared" si="713"/>
        <v>0</v>
      </c>
      <c r="AM969" s="62" t="str">
        <f t="shared" si="714"/>
        <v/>
      </c>
      <c r="AN969" s="21">
        <f t="shared" si="715"/>
        <v>0</v>
      </c>
      <c r="AO969" s="62" t="str">
        <f t="shared" si="716"/>
        <v/>
      </c>
      <c r="AP969" s="21">
        <f t="shared" si="717"/>
        <v>0</v>
      </c>
      <c r="AQ969" s="62" t="str">
        <f t="shared" si="718"/>
        <v/>
      </c>
      <c r="AR969" s="31">
        <f t="shared" si="719"/>
        <v>0</v>
      </c>
      <c r="AS969" s="21">
        <f t="shared" si="720"/>
        <v>0</v>
      </c>
      <c r="AT969" s="62" t="str">
        <f t="shared" si="721"/>
        <v/>
      </c>
      <c r="AU969" s="84">
        <f t="shared" si="722"/>
        <v>0</v>
      </c>
      <c r="AV969" s="32">
        <f t="shared" si="723"/>
        <v>0</v>
      </c>
      <c r="AW969" s="85" t="str">
        <f t="shared" si="724"/>
        <v/>
      </c>
      <c r="AX969" s="86" t="str">
        <f t="shared" si="725"/>
        <v/>
      </c>
    </row>
    <row r="970" spans="1:50" x14ac:dyDescent="0.2">
      <c r="A970" s="29"/>
      <c r="B970" s="32"/>
      <c r="C970" s="35"/>
      <c r="D970" s="33" t="str">
        <f t="shared" si="685"/>
        <v/>
      </c>
      <c r="E970" s="22" t="str">
        <f t="shared" ref="E970" si="726">IF(A970="","",IF(E969="","",E969))</f>
        <v/>
      </c>
      <c r="F970" s="23" t="str">
        <f t="shared" ref="F970" si="727">IF(A970="","",IF(F969="","",F969))</f>
        <v/>
      </c>
      <c r="G970" s="23"/>
      <c r="H970" s="22"/>
      <c r="I970" s="23"/>
      <c r="J970" s="18"/>
      <c r="K970" s="13" t="str">
        <f t="shared" si="688"/>
        <v/>
      </c>
      <c r="L970" s="28" t="str">
        <f t="shared" si="689"/>
        <v/>
      </c>
      <c r="M970" s="10" t="str">
        <f t="shared" si="690"/>
        <v/>
      </c>
      <c r="N970" s="17" t="str">
        <f t="shared" si="691"/>
        <v/>
      </c>
      <c r="O970" s="39" t="str">
        <f t="shared" si="692"/>
        <v/>
      </c>
      <c r="P970" s="41" t="str">
        <f t="shared" si="693"/>
        <v/>
      </c>
      <c r="Q970" s="9" t="str">
        <f t="shared" si="694"/>
        <v/>
      </c>
      <c r="R970" s="14">
        <f t="shared" si="695"/>
        <v>0</v>
      </c>
      <c r="S970" s="61" t="str">
        <f t="shared" si="696"/>
        <v/>
      </c>
      <c r="T970" s="14">
        <f t="shared" si="697"/>
        <v>0</v>
      </c>
      <c r="U970" s="58" t="str">
        <f t="shared" si="698"/>
        <v/>
      </c>
      <c r="V970" s="14">
        <f t="shared" si="699"/>
        <v>0</v>
      </c>
      <c r="W970" s="58" t="str">
        <f t="shared" si="700"/>
        <v/>
      </c>
      <c r="X970" s="14">
        <f t="shared" si="701"/>
        <v>0</v>
      </c>
      <c r="Y970" s="58" t="str">
        <f t="shared" si="702"/>
        <v/>
      </c>
      <c r="Z970" s="31">
        <f t="shared" si="703"/>
        <v>0</v>
      </c>
      <c r="AA970" s="21">
        <f t="shared" si="704"/>
        <v>0</v>
      </c>
      <c r="AB970" s="58" t="str">
        <f t="shared" si="705"/>
        <v/>
      </c>
      <c r="AC970" s="630">
        <f t="shared" si="682"/>
        <v>0</v>
      </c>
      <c r="AD970" s="627"/>
      <c r="AE970" s="21">
        <f t="shared" si="706"/>
        <v>0</v>
      </c>
      <c r="AF970" s="58" t="str">
        <f t="shared" si="707"/>
        <v/>
      </c>
      <c r="AG970" s="21">
        <f t="shared" si="708"/>
        <v>0</v>
      </c>
      <c r="AH970" s="58" t="str">
        <f t="shared" si="709"/>
        <v/>
      </c>
      <c r="AI970" s="21">
        <f t="shared" si="710"/>
        <v>0</v>
      </c>
      <c r="AJ970" s="58" t="str">
        <f t="shared" si="711"/>
        <v/>
      </c>
      <c r="AK970" s="31">
        <f t="shared" si="712"/>
        <v>0</v>
      </c>
      <c r="AL970" s="21">
        <f t="shared" si="713"/>
        <v>0</v>
      </c>
      <c r="AM970" s="62" t="str">
        <f t="shared" si="714"/>
        <v/>
      </c>
      <c r="AN970" s="21">
        <f t="shared" si="715"/>
        <v>0</v>
      </c>
      <c r="AO970" s="62" t="str">
        <f t="shared" si="716"/>
        <v/>
      </c>
      <c r="AP970" s="21">
        <f t="shared" si="717"/>
        <v>0</v>
      </c>
      <c r="AQ970" s="62" t="str">
        <f t="shared" si="718"/>
        <v/>
      </c>
      <c r="AR970" s="31">
        <f t="shared" si="719"/>
        <v>0</v>
      </c>
      <c r="AS970" s="21">
        <f t="shared" si="720"/>
        <v>0</v>
      </c>
      <c r="AT970" s="62" t="str">
        <f t="shared" si="721"/>
        <v/>
      </c>
      <c r="AU970" s="84">
        <f t="shared" si="722"/>
        <v>0</v>
      </c>
      <c r="AV970" s="32">
        <f t="shared" si="723"/>
        <v>0</v>
      </c>
      <c r="AW970" s="85" t="str">
        <f t="shared" si="724"/>
        <v/>
      </c>
      <c r="AX970" s="86" t="str">
        <f t="shared" si="725"/>
        <v/>
      </c>
    </row>
    <row r="971" spans="1:50" x14ac:dyDescent="0.2">
      <c r="A971" s="29" t="str">
        <f t="shared" si="683"/>
        <v/>
      </c>
      <c r="B971" s="32" t="str">
        <f t="shared" si="684"/>
        <v/>
      </c>
      <c r="C971" s="35"/>
      <c r="D971" s="33" t="str">
        <f t="shared" si="685"/>
        <v/>
      </c>
      <c r="E971" s="22" t="str">
        <f t="shared" si="686"/>
        <v/>
      </c>
      <c r="F971" s="23" t="str">
        <f t="shared" si="687"/>
        <v/>
      </c>
      <c r="G971" s="23"/>
      <c r="H971" s="22"/>
      <c r="I971" s="23"/>
      <c r="J971" s="18"/>
      <c r="K971" s="13" t="str">
        <f t="shared" si="688"/>
        <v/>
      </c>
      <c r="L971" s="28" t="str">
        <f t="shared" si="689"/>
        <v/>
      </c>
      <c r="M971" s="10" t="str">
        <f t="shared" si="690"/>
        <v/>
      </c>
      <c r="N971" s="17" t="str">
        <f t="shared" si="691"/>
        <v/>
      </c>
      <c r="O971" s="39" t="str">
        <f t="shared" si="692"/>
        <v/>
      </c>
      <c r="P971" s="41" t="str">
        <f t="shared" si="693"/>
        <v/>
      </c>
      <c r="Q971" s="9" t="str">
        <f t="shared" si="694"/>
        <v/>
      </c>
      <c r="R971" s="14">
        <f t="shared" si="695"/>
        <v>0</v>
      </c>
      <c r="S971" s="61" t="str">
        <f t="shared" si="696"/>
        <v/>
      </c>
      <c r="T971" s="14">
        <f t="shared" si="697"/>
        <v>0</v>
      </c>
      <c r="U971" s="58" t="str">
        <f t="shared" si="698"/>
        <v/>
      </c>
      <c r="V971" s="14">
        <f t="shared" si="699"/>
        <v>0</v>
      </c>
      <c r="W971" s="58" t="str">
        <f t="shared" si="700"/>
        <v/>
      </c>
      <c r="X971" s="14">
        <f t="shared" si="701"/>
        <v>0</v>
      </c>
      <c r="Y971" s="58" t="str">
        <f t="shared" si="702"/>
        <v/>
      </c>
      <c r="Z971" s="31">
        <f t="shared" si="703"/>
        <v>0</v>
      </c>
      <c r="AA971" s="21">
        <f t="shared" si="704"/>
        <v>0</v>
      </c>
      <c r="AB971" s="58" t="str">
        <f t="shared" si="705"/>
        <v/>
      </c>
      <c r="AC971" s="630">
        <f t="shared" si="682"/>
        <v>0</v>
      </c>
      <c r="AD971" s="627"/>
      <c r="AE971" s="21">
        <f t="shared" si="706"/>
        <v>0</v>
      </c>
      <c r="AF971" s="58" t="str">
        <f t="shared" si="707"/>
        <v/>
      </c>
      <c r="AG971" s="21">
        <f t="shared" si="708"/>
        <v>0</v>
      </c>
      <c r="AH971" s="58" t="str">
        <f t="shared" si="709"/>
        <v/>
      </c>
      <c r="AI971" s="21">
        <f t="shared" si="710"/>
        <v>0</v>
      </c>
      <c r="AJ971" s="58" t="str">
        <f t="shared" si="711"/>
        <v/>
      </c>
      <c r="AK971" s="31">
        <f t="shared" si="712"/>
        <v>0</v>
      </c>
      <c r="AL971" s="21">
        <f t="shared" si="713"/>
        <v>0</v>
      </c>
      <c r="AM971" s="62" t="str">
        <f t="shared" si="714"/>
        <v/>
      </c>
      <c r="AN971" s="21">
        <f t="shared" si="715"/>
        <v>0</v>
      </c>
      <c r="AO971" s="62" t="str">
        <f t="shared" si="716"/>
        <v/>
      </c>
      <c r="AP971" s="21">
        <f t="shared" si="717"/>
        <v>0</v>
      </c>
      <c r="AQ971" s="62" t="str">
        <f t="shared" si="718"/>
        <v/>
      </c>
      <c r="AR971" s="31">
        <f t="shared" si="719"/>
        <v>0</v>
      </c>
      <c r="AS971" s="21">
        <f t="shared" si="720"/>
        <v>0</v>
      </c>
      <c r="AT971" s="62" t="str">
        <f t="shared" si="721"/>
        <v/>
      </c>
      <c r="AU971" s="84">
        <f t="shared" si="722"/>
        <v>0</v>
      </c>
      <c r="AV971" s="32">
        <f t="shared" si="723"/>
        <v>0</v>
      </c>
      <c r="AW971" s="85" t="str">
        <f t="shared" si="724"/>
        <v/>
      </c>
      <c r="AX971" s="86" t="str">
        <f t="shared" si="725"/>
        <v/>
      </c>
    </row>
    <row r="972" spans="1:50" x14ac:dyDescent="0.2">
      <c r="A972" s="29" t="str">
        <f t="shared" si="683"/>
        <v/>
      </c>
      <c r="B972" s="32" t="str">
        <f t="shared" si="684"/>
        <v/>
      </c>
      <c r="C972" s="35"/>
      <c r="D972" s="33" t="str">
        <f t="shared" si="685"/>
        <v/>
      </c>
      <c r="E972" s="22" t="str">
        <f t="shared" si="686"/>
        <v/>
      </c>
      <c r="F972" s="23" t="str">
        <f t="shared" si="687"/>
        <v/>
      </c>
      <c r="G972" s="23"/>
      <c r="H972" s="22"/>
      <c r="I972" s="23"/>
      <c r="J972" s="18"/>
      <c r="K972" s="13" t="str">
        <f t="shared" si="688"/>
        <v/>
      </c>
      <c r="L972" s="28" t="str">
        <f t="shared" si="689"/>
        <v/>
      </c>
      <c r="M972" s="10" t="str">
        <f t="shared" si="690"/>
        <v/>
      </c>
      <c r="N972" s="17" t="str">
        <f t="shared" si="691"/>
        <v/>
      </c>
      <c r="O972" s="39" t="str">
        <f t="shared" si="692"/>
        <v/>
      </c>
      <c r="P972" s="41" t="str">
        <f t="shared" si="693"/>
        <v/>
      </c>
      <c r="Q972" s="9" t="str">
        <f t="shared" si="694"/>
        <v/>
      </c>
      <c r="R972" s="14">
        <f t="shared" si="695"/>
        <v>0</v>
      </c>
      <c r="S972" s="61" t="str">
        <f t="shared" si="696"/>
        <v/>
      </c>
      <c r="T972" s="14">
        <f t="shared" si="697"/>
        <v>0</v>
      </c>
      <c r="U972" s="58" t="str">
        <f t="shared" si="698"/>
        <v/>
      </c>
      <c r="V972" s="14">
        <f t="shared" si="699"/>
        <v>0</v>
      </c>
      <c r="W972" s="58" t="str">
        <f t="shared" si="700"/>
        <v/>
      </c>
      <c r="X972" s="14">
        <f t="shared" si="701"/>
        <v>0</v>
      </c>
      <c r="Y972" s="58" t="str">
        <f t="shared" si="702"/>
        <v/>
      </c>
      <c r="Z972" s="31">
        <f t="shared" si="703"/>
        <v>0</v>
      </c>
      <c r="AA972" s="21">
        <f t="shared" si="704"/>
        <v>0</v>
      </c>
      <c r="AB972" s="58" t="str">
        <f t="shared" si="705"/>
        <v/>
      </c>
      <c r="AC972" s="630">
        <f t="shared" si="682"/>
        <v>0</v>
      </c>
      <c r="AD972" s="627"/>
      <c r="AE972" s="21">
        <f t="shared" si="706"/>
        <v>0</v>
      </c>
      <c r="AF972" s="58" t="str">
        <f t="shared" si="707"/>
        <v/>
      </c>
      <c r="AG972" s="21">
        <f t="shared" si="708"/>
        <v>0</v>
      </c>
      <c r="AH972" s="58" t="str">
        <f t="shared" si="709"/>
        <v/>
      </c>
      <c r="AI972" s="21">
        <f t="shared" si="710"/>
        <v>0</v>
      </c>
      <c r="AJ972" s="58" t="str">
        <f t="shared" si="711"/>
        <v/>
      </c>
      <c r="AK972" s="31">
        <f t="shared" si="712"/>
        <v>0</v>
      </c>
      <c r="AL972" s="21">
        <f t="shared" si="713"/>
        <v>0</v>
      </c>
      <c r="AM972" s="62" t="str">
        <f t="shared" si="714"/>
        <v/>
      </c>
      <c r="AN972" s="21">
        <f t="shared" si="715"/>
        <v>0</v>
      </c>
      <c r="AO972" s="62" t="str">
        <f t="shared" si="716"/>
        <v/>
      </c>
      <c r="AP972" s="21">
        <f t="shared" si="717"/>
        <v>0</v>
      </c>
      <c r="AQ972" s="62" t="str">
        <f t="shared" si="718"/>
        <v/>
      </c>
      <c r="AR972" s="31">
        <f t="shared" si="719"/>
        <v>0</v>
      </c>
      <c r="AS972" s="21">
        <f t="shared" si="720"/>
        <v>0</v>
      </c>
      <c r="AT972" s="62" t="str">
        <f t="shared" si="721"/>
        <v/>
      </c>
      <c r="AU972" s="84">
        <f t="shared" si="722"/>
        <v>0</v>
      </c>
      <c r="AV972" s="32">
        <f t="shared" si="723"/>
        <v>0</v>
      </c>
      <c r="AW972" s="85" t="str">
        <f t="shared" si="724"/>
        <v/>
      </c>
      <c r="AX972" s="86" t="str">
        <f t="shared" si="725"/>
        <v/>
      </c>
    </row>
    <row r="973" spans="1:50" x14ac:dyDescent="0.2">
      <c r="A973" s="29" t="str">
        <f t="shared" si="683"/>
        <v/>
      </c>
      <c r="B973" s="32" t="str">
        <f t="shared" si="684"/>
        <v/>
      </c>
      <c r="C973" s="35"/>
      <c r="D973" s="33" t="str">
        <f t="shared" si="685"/>
        <v/>
      </c>
      <c r="E973" s="22" t="str">
        <f t="shared" si="686"/>
        <v/>
      </c>
      <c r="F973" s="23" t="str">
        <f t="shared" si="687"/>
        <v/>
      </c>
      <c r="G973" s="23"/>
      <c r="H973" s="22"/>
      <c r="I973" s="23"/>
      <c r="J973" s="18"/>
      <c r="K973" s="13" t="str">
        <f t="shared" si="688"/>
        <v/>
      </c>
      <c r="L973" s="28" t="str">
        <f t="shared" si="689"/>
        <v/>
      </c>
      <c r="M973" s="10" t="str">
        <f t="shared" si="690"/>
        <v/>
      </c>
      <c r="N973" s="17" t="str">
        <f t="shared" si="691"/>
        <v/>
      </c>
      <c r="O973" s="39" t="str">
        <f t="shared" si="692"/>
        <v/>
      </c>
      <c r="P973" s="41" t="str">
        <f t="shared" si="693"/>
        <v/>
      </c>
      <c r="Q973" s="9" t="str">
        <f t="shared" si="694"/>
        <v/>
      </c>
      <c r="R973" s="14">
        <f t="shared" si="695"/>
        <v>0</v>
      </c>
      <c r="S973" s="61" t="str">
        <f t="shared" si="696"/>
        <v/>
      </c>
      <c r="T973" s="14">
        <f t="shared" si="697"/>
        <v>0</v>
      </c>
      <c r="U973" s="58" t="str">
        <f t="shared" si="698"/>
        <v/>
      </c>
      <c r="V973" s="14">
        <f t="shared" si="699"/>
        <v>0</v>
      </c>
      <c r="W973" s="58" t="str">
        <f t="shared" si="700"/>
        <v/>
      </c>
      <c r="X973" s="14">
        <f t="shared" si="701"/>
        <v>0</v>
      </c>
      <c r="Y973" s="58" t="str">
        <f t="shared" si="702"/>
        <v/>
      </c>
      <c r="Z973" s="31">
        <f t="shared" si="703"/>
        <v>0</v>
      </c>
      <c r="AA973" s="21">
        <f t="shared" si="704"/>
        <v>0</v>
      </c>
      <c r="AB973" s="58" t="str">
        <f t="shared" si="705"/>
        <v/>
      </c>
      <c r="AC973" s="630">
        <f t="shared" si="682"/>
        <v>0</v>
      </c>
      <c r="AD973" s="627"/>
      <c r="AE973" s="21">
        <f t="shared" si="706"/>
        <v>0</v>
      </c>
      <c r="AF973" s="58" t="str">
        <f t="shared" si="707"/>
        <v/>
      </c>
      <c r="AG973" s="21">
        <f t="shared" si="708"/>
        <v>0</v>
      </c>
      <c r="AH973" s="58" t="str">
        <f t="shared" si="709"/>
        <v/>
      </c>
      <c r="AI973" s="21">
        <f t="shared" si="710"/>
        <v>0</v>
      </c>
      <c r="AJ973" s="58" t="str">
        <f t="shared" si="711"/>
        <v/>
      </c>
      <c r="AK973" s="31">
        <f t="shared" si="712"/>
        <v>0</v>
      </c>
      <c r="AL973" s="21">
        <f t="shared" si="713"/>
        <v>0</v>
      </c>
      <c r="AM973" s="62" t="str">
        <f t="shared" si="714"/>
        <v/>
      </c>
      <c r="AN973" s="21">
        <f t="shared" si="715"/>
        <v>0</v>
      </c>
      <c r="AO973" s="62" t="str">
        <f t="shared" si="716"/>
        <v/>
      </c>
      <c r="AP973" s="21">
        <f t="shared" si="717"/>
        <v>0</v>
      </c>
      <c r="AQ973" s="62" t="str">
        <f t="shared" si="718"/>
        <v/>
      </c>
      <c r="AR973" s="31">
        <f t="shared" si="719"/>
        <v>0</v>
      </c>
      <c r="AS973" s="21">
        <f t="shared" si="720"/>
        <v>0</v>
      </c>
      <c r="AT973" s="62" t="str">
        <f t="shared" si="721"/>
        <v/>
      </c>
      <c r="AU973" s="84">
        <f t="shared" si="722"/>
        <v>0</v>
      </c>
      <c r="AV973" s="32">
        <f t="shared" si="723"/>
        <v>0</v>
      </c>
      <c r="AW973" s="85" t="str">
        <f t="shared" si="724"/>
        <v/>
      </c>
      <c r="AX973" s="86" t="str">
        <f t="shared" si="725"/>
        <v/>
      </c>
    </row>
    <row r="974" spans="1:50" x14ac:dyDescent="0.2">
      <c r="A974" s="29" t="str">
        <f t="shared" si="683"/>
        <v/>
      </c>
      <c r="B974" s="32" t="str">
        <f t="shared" si="684"/>
        <v/>
      </c>
      <c r="C974" s="35"/>
      <c r="D974" s="33" t="str">
        <f t="shared" si="685"/>
        <v/>
      </c>
      <c r="E974" s="22" t="str">
        <f t="shared" si="686"/>
        <v/>
      </c>
      <c r="F974" s="23" t="str">
        <f t="shared" si="687"/>
        <v/>
      </c>
      <c r="G974" s="23"/>
      <c r="H974" s="22"/>
      <c r="I974" s="23"/>
      <c r="J974" s="18"/>
      <c r="K974" s="13" t="str">
        <f t="shared" si="688"/>
        <v/>
      </c>
      <c r="L974" s="28" t="str">
        <f t="shared" si="689"/>
        <v/>
      </c>
      <c r="M974" s="10" t="str">
        <f t="shared" si="690"/>
        <v/>
      </c>
      <c r="N974" s="17" t="str">
        <f t="shared" si="691"/>
        <v/>
      </c>
      <c r="O974" s="39" t="str">
        <f t="shared" si="692"/>
        <v/>
      </c>
      <c r="P974" s="41" t="str">
        <f t="shared" si="693"/>
        <v/>
      </c>
      <c r="Q974" s="9" t="str">
        <f t="shared" si="694"/>
        <v/>
      </c>
      <c r="R974" s="14">
        <f t="shared" si="695"/>
        <v>0</v>
      </c>
      <c r="S974" s="61" t="str">
        <f t="shared" si="696"/>
        <v/>
      </c>
      <c r="T974" s="14">
        <f t="shared" si="697"/>
        <v>0</v>
      </c>
      <c r="U974" s="58" t="str">
        <f t="shared" si="698"/>
        <v/>
      </c>
      <c r="V974" s="14">
        <f t="shared" si="699"/>
        <v>0</v>
      </c>
      <c r="W974" s="58" t="str">
        <f t="shared" si="700"/>
        <v/>
      </c>
      <c r="X974" s="14">
        <f t="shared" si="701"/>
        <v>0</v>
      </c>
      <c r="Y974" s="58" t="str">
        <f t="shared" si="702"/>
        <v/>
      </c>
      <c r="Z974" s="31">
        <f t="shared" si="703"/>
        <v>0</v>
      </c>
      <c r="AA974" s="21">
        <f t="shared" si="704"/>
        <v>0</v>
      </c>
      <c r="AB974" s="58" t="str">
        <f t="shared" si="705"/>
        <v/>
      </c>
      <c r="AC974" s="630">
        <f t="shared" si="682"/>
        <v>0</v>
      </c>
      <c r="AD974" s="627"/>
      <c r="AE974" s="21">
        <f t="shared" si="706"/>
        <v>0</v>
      </c>
      <c r="AF974" s="58" t="str">
        <f t="shared" si="707"/>
        <v/>
      </c>
      <c r="AG974" s="21">
        <f t="shared" si="708"/>
        <v>0</v>
      </c>
      <c r="AH974" s="58" t="str">
        <f t="shared" si="709"/>
        <v/>
      </c>
      <c r="AI974" s="21">
        <f t="shared" si="710"/>
        <v>0</v>
      </c>
      <c r="AJ974" s="58" t="str">
        <f t="shared" si="711"/>
        <v/>
      </c>
      <c r="AK974" s="31">
        <f t="shared" si="712"/>
        <v>0</v>
      </c>
      <c r="AL974" s="21">
        <f t="shared" si="713"/>
        <v>0</v>
      </c>
      <c r="AM974" s="62" t="str">
        <f t="shared" si="714"/>
        <v/>
      </c>
      <c r="AN974" s="21">
        <f t="shared" si="715"/>
        <v>0</v>
      </c>
      <c r="AO974" s="62" t="str">
        <f t="shared" si="716"/>
        <v/>
      </c>
      <c r="AP974" s="21">
        <f t="shared" si="717"/>
        <v>0</v>
      </c>
      <c r="AQ974" s="62" t="str">
        <f t="shared" si="718"/>
        <v/>
      </c>
      <c r="AR974" s="31">
        <f t="shared" si="719"/>
        <v>0</v>
      </c>
      <c r="AS974" s="21">
        <f t="shared" si="720"/>
        <v>0</v>
      </c>
      <c r="AT974" s="62" t="str">
        <f t="shared" si="721"/>
        <v/>
      </c>
      <c r="AU974" s="84">
        <f t="shared" si="722"/>
        <v>0</v>
      </c>
      <c r="AV974" s="32">
        <f t="shared" si="723"/>
        <v>0</v>
      </c>
      <c r="AW974" s="85" t="str">
        <f t="shared" si="724"/>
        <v/>
      </c>
      <c r="AX974" s="86" t="str">
        <f t="shared" si="725"/>
        <v/>
      </c>
    </row>
    <row r="975" spans="1:50" x14ac:dyDescent="0.2">
      <c r="A975" s="29" t="str">
        <f t="shared" si="683"/>
        <v/>
      </c>
      <c r="B975" s="32" t="str">
        <f t="shared" si="684"/>
        <v/>
      </c>
      <c r="C975" s="35"/>
      <c r="D975" s="33" t="str">
        <f t="shared" si="685"/>
        <v/>
      </c>
      <c r="E975" s="22" t="str">
        <f t="shared" si="686"/>
        <v/>
      </c>
      <c r="F975" s="23" t="str">
        <f t="shared" si="687"/>
        <v/>
      </c>
      <c r="G975" s="23"/>
      <c r="H975" s="22"/>
      <c r="I975" s="23"/>
      <c r="J975" s="18"/>
      <c r="K975" s="13" t="str">
        <f t="shared" si="688"/>
        <v/>
      </c>
      <c r="L975" s="28" t="str">
        <f t="shared" si="689"/>
        <v/>
      </c>
      <c r="M975" s="10" t="str">
        <f t="shared" si="690"/>
        <v/>
      </c>
      <c r="N975" s="17" t="str">
        <f t="shared" si="691"/>
        <v/>
      </c>
      <c r="O975" s="39" t="str">
        <f t="shared" si="692"/>
        <v/>
      </c>
      <c r="P975" s="41" t="str">
        <f t="shared" si="693"/>
        <v/>
      </c>
      <c r="Q975" s="9" t="str">
        <f t="shared" si="694"/>
        <v/>
      </c>
      <c r="R975" s="14">
        <f t="shared" si="695"/>
        <v>0</v>
      </c>
      <c r="S975" s="61" t="str">
        <f t="shared" si="696"/>
        <v/>
      </c>
      <c r="T975" s="14">
        <f t="shared" si="697"/>
        <v>0</v>
      </c>
      <c r="U975" s="58" t="str">
        <f t="shared" si="698"/>
        <v/>
      </c>
      <c r="V975" s="14">
        <f t="shared" si="699"/>
        <v>0</v>
      </c>
      <c r="W975" s="58" t="str">
        <f t="shared" si="700"/>
        <v/>
      </c>
      <c r="X975" s="14">
        <f t="shared" si="701"/>
        <v>0</v>
      </c>
      <c r="Y975" s="58" t="str">
        <f t="shared" si="702"/>
        <v/>
      </c>
      <c r="Z975" s="31">
        <f t="shared" si="703"/>
        <v>0</v>
      </c>
      <c r="AA975" s="21">
        <f t="shared" si="704"/>
        <v>0</v>
      </c>
      <c r="AB975" s="58" t="str">
        <f t="shared" si="705"/>
        <v/>
      </c>
      <c r="AC975" s="630">
        <f t="shared" si="682"/>
        <v>0</v>
      </c>
      <c r="AD975" s="627"/>
      <c r="AE975" s="21">
        <f t="shared" si="706"/>
        <v>0</v>
      </c>
      <c r="AF975" s="58" t="str">
        <f t="shared" si="707"/>
        <v/>
      </c>
      <c r="AG975" s="21">
        <f t="shared" si="708"/>
        <v>0</v>
      </c>
      <c r="AH975" s="58" t="str">
        <f t="shared" si="709"/>
        <v/>
      </c>
      <c r="AI975" s="21">
        <f t="shared" si="710"/>
        <v>0</v>
      </c>
      <c r="AJ975" s="58" t="str">
        <f t="shared" si="711"/>
        <v/>
      </c>
      <c r="AK975" s="31">
        <f t="shared" si="712"/>
        <v>0</v>
      </c>
      <c r="AL975" s="21">
        <f t="shared" si="713"/>
        <v>0</v>
      </c>
      <c r="AM975" s="62" t="str">
        <f t="shared" si="714"/>
        <v/>
      </c>
      <c r="AN975" s="21">
        <f t="shared" si="715"/>
        <v>0</v>
      </c>
      <c r="AO975" s="62" t="str">
        <f t="shared" si="716"/>
        <v/>
      </c>
      <c r="AP975" s="21">
        <f t="shared" si="717"/>
        <v>0</v>
      </c>
      <c r="AQ975" s="62" t="str">
        <f t="shared" si="718"/>
        <v/>
      </c>
      <c r="AR975" s="31">
        <f t="shared" si="719"/>
        <v>0</v>
      </c>
      <c r="AS975" s="21">
        <f t="shared" si="720"/>
        <v>0</v>
      </c>
      <c r="AT975" s="62" t="str">
        <f t="shared" si="721"/>
        <v/>
      </c>
      <c r="AU975" s="84">
        <f t="shared" si="722"/>
        <v>0</v>
      </c>
      <c r="AV975" s="32">
        <f t="shared" si="723"/>
        <v>0</v>
      </c>
      <c r="AW975" s="85" t="str">
        <f t="shared" si="724"/>
        <v/>
      </c>
      <c r="AX975" s="86" t="str">
        <f t="shared" si="725"/>
        <v/>
      </c>
    </row>
    <row r="976" spans="1:50" x14ac:dyDescent="0.2">
      <c r="A976" s="29" t="str">
        <f t="shared" si="683"/>
        <v/>
      </c>
      <c r="B976" s="32" t="str">
        <f t="shared" si="684"/>
        <v/>
      </c>
      <c r="C976" s="35"/>
      <c r="D976" s="33" t="str">
        <f t="shared" si="685"/>
        <v/>
      </c>
      <c r="E976" s="22" t="str">
        <f t="shared" si="686"/>
        <v/>
      </c>
      <c r="F976" s="23" t="str">
        <f t="shared" si="687"/>
        <v/>
      </c>
      <c r="G976" s="23"/>
      <c r="H976" s="22"/>
      <c r="I976" s="23"/>
      <c r="J976" s="18"/>
      <c r="K976" s="13" t="str">
        <f t="shared" si="688"/>
        <v/>
      </c>
      <c r="L976" s="28" t="str">
        <f t="shared" si="689"/>
        <v/>
      </c>
      <c r="M976" s="10" t="str">
        <f t="shared" si="690"/>
        <v/>
      </c>
      <c r="N976" s="17" t="str">
        <f t="shared" si="691"/>
        <v/>
      </c>
      <c r="O976" s="39" t="str">
        <f t="shared" si="692"/>
        <v/>
      </c>
      <c r="P976" s="41" t="str">
        <f t="shared" si="693"/>
        <v/>
      </c>
      <c r="Q976" s="9" t="str">
        <f t="shared" si="694"/>
        <v/>
      </c>
      <c r="R976" s="14">
        <f t="shared" si="695"/>
        <v>0</v>
      </c>
      <c r="S976" s="61" t="str">
        <f t="shared" si="696"/>
        <v/>
      </c>
      <c r="T976" s="14">
        <f t="shared" si="697"/>
        <v>0</v>
      </c>
      <c r="U976" s="58" t="str">
        <f t="shared" si="698"/>
        <v/>
      </c>
      <c r="V976" s="14">
        <f t="shared" si="699"/>
        <v>0</v>
      </c>
      <c r="W976" s="58" t="str">
        <f t="shared" si="700"/>
        <v/>
      </c>
      <c r="X976" s="14">
        <f t="shared" si="701"/>
        <v>0</v>
      </c>
      <c r="Y976" s="58" t="str">
        <f t="shared" si="702"/>
        <v/>
      </c>
      <c r="Z976" s="31">
        <f t="shared" si="703"/>
        <v>0</v>
      </c>
      <c r="AA976" s="21">
        <f t="shared" si="704"/>
        <v>0</v>
      </c>
      <c r="AB976" s="58" t="str">
        <f t="shared" si="705"/>
        <v/>
      </c>
      <c r="AC976" s="630">
        <f t="shared" si="682"/>
        <v>0</v>
      </c>
      <c r="AD976" s="627"/>
      <c r="AE976" s="21">
        <f t="shared" si="706"/>
        <v>0</v>
      </c>
      <c r="AF976" s="58" t="str">
        <f t="shared" si="707"/>
        <v/>
      </c>
      <c r="AG976" s="21">
        <f t="shared" si="708"/>
        <v>0</v>
      </c>
      <c r="AH976" s="58" t="str">
        <f t="shared" si="709"/>
        <v/>
      </c>
      <c r="AI976" s="21">
        <f t="shared" si="710"/>
        <v>0</v>
      </c>
      <c r="AJ976" s="58" t="str">
        <f t="shared" si="711"/>
        <v/>
      </c>
      <c r="AK976" s="31">
        <f t="shared" si="712"/>
        <v>0</v>
      </c>
      <c r="AL976" s="21">
        <f t="shared" si="713"/>
        <v>0</v>
      </c>
      <c r="AM976" s="62" t="str">
        <f t="shared" si="714"/>
        <v/>
      </c>
      <c r="AN976" s="21">
        <f t="shared" si="715"/>
        <v>0</v>
      </c>
      <c r="AO976" s="62" t="str">
        <f t="shared" si="716"/>
        <v/>
      </c>
      <c r="AP976" s="21">
        <f t="shared" si="717"/>
        <v>0</v>
      </c>
      <c r="AQ976" s="62" t="str">
        <f t="shared" si="718"/>
        <v/>
      </c>
      <c r="AR976" s="31">
        <f t="shared" si="719"/>
        <v>0</v>
      </c>
      <c r="AS976" s="21">
        <f t="shared" si="720"/>
        <v>0</v>
      </c>
      <c r="AT976" s="62" t="str">
        <f t="shared" si="721"/>
        <v/>
      </c>
      <c r="AU976" s="84">
        <f t="shared" si="722"/>
        <v>0</v>
      </c>
      <c r="AV976" s="32">
        <f t="shared" si="723"/>
        <v>0</v>
      </c>
      <c r="AW976" s="85" t="str">
        <f t="shared" si="724"/>
        <v/>
      </c>
      <c r="AX976" s="86" t="str">
        <f t="shared" si="725"/>
        <v/>
      </c>
    </row>
    <row r="977" spans="1:50" x14ac:dyDescent="0.2">
      <c r="A977" s="29" t="str">
        <f t="shared" si="683"/>
        <v/>
      </c>
      <c r="B977" s="32" t="str">
        <f t="shared" si="684"/>
        <v/>
      </c>
      <c r="C977" s="35"/>
      <c r="D977" s="33" t="str">
        <f t="shared" si="685"/>
        <v/>
      </c>
      <c r="E977" s="22" t="str">
        <f t="shared" si="686"/>
        <v/>
      </c>
      <c r="F977" s="23" t="str">
        <f t="shared" si="687"/>
        <v/>
      </c>
      <c r="G977" s="23"/>
      <c r="H977" s="22"/>
      <c r="I977" s="23"/>
      <c r="J977" s="18"/>
      <c r="K977" s="13" t="str">
        <f t="shared" si="688"/>
        <v/>
      </c>
      <c r="L977" s="28" t="str">
        <f t="shared" si="689"/>
        <v/>
      </c>
      <c r="M977" s="10" t="str">
        <f t="shared" si="690"/>
        <v/>
      </c>
      <c r="N977" s="17" t="str">
        <f t="shared" si="691"/>
        <v/>
      </c>
      <c r="O977" s="39" t="str">
        <f t="shared" si="692"/>
        <v/>
      </c>
      <c r="P977" s="41" t="str">
        <f t="shared" si="693"/>
        <v/>
      </c>
      <c r="Q977" s="9" t="str">
        <f t="shared" si="694"/>
        <v/>
      </c>
      <c r="R977" s="14">
        <f t="shared" si="695"/>
        <v>0</v>
      </c>
      <c r="S977" s="61" t="str">
        <f t="shared" si="696"/>
        <v/>
      </c>
      <c r="T977" s="14">
        <f t="shared" si="697"/>
        <v>0</v>
      </c>
      <c r="U977" s="58" t="str">
        <f t="shared" si="698"/>
        <v/>
      </c>
      <c r="V977" s="14">
        <f t="shared" si="699"/>
        <v>0</v>
      </c>
      <c r="W977" s="58" t="str">
        <f t="shared" si="700"/>
        <v/>
      </c>
      <c r="X977" s="14">
        <f t="shared" si="701"/>
        <v>0</v>
      </c>
      <c r="Y977" s="58" t="str">
        <f t="shared" si="702"/>
        <v/>
      </c>
      <c r="Z977" s="31">
        <f t="shared" si="703"/>
        <v>0</v>
      </c>
      <c r="AA977" s="21">
        <f t="shared" si="704"/>
        <v>0</v>
      </c>
      <c r="AB977" s="58" t="str">
        <f t="shared" si="705"/>
        <v/>
      </c>
      <c r="AC977" s="630">
        <f t="shared" si="682"/>
        <v>0</v>
      </c>
      <c r="AD977" s="627"/>
      <c r="AE977" s="21">
        <f t="shared" si="706"/>
        <v>0</v>
      </c>
      <c r="AF977" s="58" t="str">
        <f t="shared" si="707"/>
        <v/>
      </c>
      <c r="AG977" s="21">
        <f t="shared" si="708"/>
        <v>0</v>
      </c>
      <c r="AH977" s="58" t="str">
        <f t="shared" si="709"/>
        <v/>
      </c>
      <c r="AI977" s="21">
        <f t="shared" si="710"/>
        <v>0</v>
      </c>
      <c r="AJ977" s="58" t="str">
        <f t="shared" si="711"/>
        <v/>
      </c>
      <c r="AK977" s="31">
        <f t="shared" si="712"/>
        <v>0</v>
      </c>
      <c r="AL977" s="21">
        <f t="shared" si="713"/>
        <v>0</v>
      </c>
      <c r="AM977" s="62" t="str">
        <f t="shared" si="714"/>
        <v/>
      </c>
      <c r="AN977" s="21">
        <f t="shared" si="715"/>
        <v>0</v>
      </c>
      <c r="AO977" s="62" t="str">
        <f t="shared" si="716"/>
        <v/>
      </c>
      <c r="AP977" s="21">
        <f t="shared" si="717"/>
        <v>0</v>
      </c>
      <c r="AQ977" s="62" t="str">
        <f t="shared" si="718"/>
        <v/>
      </c>
      <c r="AR977" s="31">
        <f t="shared" si="719"/>
        <v>0</v>
      </c>
      <c r="AS977" s="21">
        <f t="shared" si="720"/>
        <v>0</v>
      </c>
      <c r="AT977" s="62" t="str">
        <f t="shared" si="721"/>
        <v/>
      </c>
      <c r="AU977" s="84">
        <f t="shared" si="722"/>
        <v>0</v>
      </c>
      <c r="AV977" s="32">
        <f t="shared" si="723"/>
        <v>0</v>
      </c>
      <c r="AW977" s="85" t="str">
        <f t="shared" si="724"/>
        <v/>
      </c>
      <c r="AX977" s="86" t="str">
        <f t="shared" si="725"/>
        <v/>
      </c>
    </row>
    <row r="978" spans="1:50" x14ac:dyDescent="0.2">
      <c r="A978" s="29" t="str">
        <f t="shared" si="683"/>
        <v/>
      </c>
      <c r="B978" s="32" t="str">
        <f t="shared" si="684"/>
        <v/>
      </c>
      <c r="C978" s="35"/>
      <c r="D978" s="33" t="str">
        <f t="shared" si="685"/>
        <v/>
      </c>
      <c r="E978" s="22" t="str">
        <f t="shared" si="686"/>
        <v/>
      </c>
      <c r="F978" s="23" t="str">
        <f t="shared" si="687"/>
        <v/>
      </c>
      <c r="G978" s="23"/>
      <c r="H978" s="22"/>
      <c r="I978" s="23"/>
      <c r="J978" s="18"/>
      <c r="K978" s="13" t="str">
        <f t="shared" si="688"/>
        <v/>
      </c>
      <c r="L978" s="28" t="str">
        <f t="shared" si="689"/>
        <v/>
      </c>
      <c r="M978" s="10" t="str">
        <f t="shared" si="690"/>
        <v/>
      </c>
      <c r="N978" s="17" t="str">
        <f t="shared" si="691"/>
        <v/>
      </c>
      <c r="O978" s="39" t="str">
        <f t="shared" si="692"/>
        <v/>
      </c>
      <c r="P978" s="41" t="str">
        <f t="shared" si="693"/>
        <v/>
      </c>
      <c r="Q978" s="9" t="str">
        <f t="shared" si="694"/>
        <v/>
      </c>
      <c r="R978" s="14">
        <f t="shared" si="695"/>
        <v>0</v>
      </c>
      <c r="S978" s="61" t="str">
        <f t="shared" si="696"/>
        <v/>
      </c>
      <c r="T978" s="14">
        <f t="shared" si="697"/>
        <v>0</v>
      </c>
      <c r="U978" s="58" t="str">
        <f t="shared" si="698"/>
        <v/>
      </c>
      <c r="V978" s="14">
        <f t="shared" si="699"/>
        <v>0</v>
      </c>
      <c r="W978" s="58" t="str">
        <f t="shared" si="700"/>
        <v/>
      </c>
      <c r="X978" s="14">
        <f t="shared" si="701"/>
        <v>0</v>
      </c>
      <c r="Y978" s="58" t="str">
        <f t="shared" si="702"/>
        <v/>
      </c>
      <c r="Z978" s="31">
        <f t="shared" si="703"/>
        <v>0</v>
      </c>
      <c r="AA978" s="21">
        <f t="shared" si="704"/>
        <v>0</v>
      </c>
      <c r="AB978" s="58" t="str">
        <f t="shared" si="705"/>
        <v/>
      </c>
      <c r="AC978" s="630">
        <f t="shared" si="682"/>
        <v>0</v>
      </c>
      <c r="AD978" s="627"/>
      <c r="AE978" s="21">
        <f t="shared" si="706"/>
        <v>0</v>
      </c>
      <c r="AF978" s="58" t="str">
        <f t="shared" si="707"/>
        <v/>
      </c>
      <c r="AG978" s="21">
        <f t="shared" si="708"/>
        <v>0</v>
      </c>
      <c r="AH978" s="58" t="str">
        <f t="shared" si="709"/>
        <v/>
      </c>
      <c r="AI978" s="21">
        <f t="shared" si="710"/>
        <v>0</v>
      </c>
      <c r="AJ978" s="58" t="str">
        <f t="shared" si="711"/>
        <v/>
      </c>
      <c r="AK978" s="31">
        <f t="shared" si="712"/>
        <v>0</v>
      </c>
      <c r="AL978" s="21">
        <f t="shared" si="713"/>
        <v>0</v>
      </c>
      <c r="AM978" s="62" t="str">
        <f t="shared" si="714"/>
        <v/>
      </c>
      <c r="AN978" s="21">
        <f t="shared" si="715"/>
        <v>0</v>
      </c>
      <c r="AO978" s="62" t="str">
        <f t="shared" si="716"/>
        <v/>
      </c>
      <c r="AP978" s="21">
        <f t="shared" si="717"/>
        <v>0</v>
      </c>
      <c r="AQ978" s="62" t="str">
        <f t="shared" si="718"/>
        <v/>
      </c>
      <c r="AR978" s="31">
        <f t="shared" si="719"/>
        <v>0</v>
      </c>
      <c r="AS978" s="21">
        <f t="shared" si="720"/>
        <v>0</v>
      </c>
      <c r="AT978" s="62" t="str">
        <f t="shared" si="721"/>
        <v/>
      </c>
      <c r="AU978" s="84">
        <f t="shared" si="722"/>
        <v>0</v>
      </c>
      <c r="AV978" s="32">
        <f t="shared" si="723"/>
        <v>0</v>
      </c>
      <c r="AW978" s="85" t="str">
        <f t="shared" si="724"/>
        <v/>
      </c>
      <c r="AX978" s="86" t="str">
        <f t="shared" si="725"/>
        <v/>
      </c>
    </row>
    <row r="979" spans="1:50" x14ac:dyDescent="0.2">
      <c r="A979" s="29" t="str">
        <f t="shared" si="683"/>
        <v/>
      </c>
      <c r="B979" s="32" t="str">
        <f t="shared" si="684"/>
        <v/>
      </c>
      <c r="C979" s="35"/>
      <c r="D979" s="33" t="str">
        <f t="shared" si="685"/>
        <v/>
      </c>
      <c r="E979" s="22" t="str">
        <f t="shared" si="686"/>
        <v/>
      </c>
      <c r="F979" s="23" t="str">
        <f t="shared" si="687"/>
        <v/>
      </c>
      <c r="G979" s="23"/>
      <c r="H979" s="22"/>
      <c r="I979" s="23"/>
      <c r="J979" s="18"/>
      <c r="K979" s="13" t="str">
        <f t="shared" si="688"/>
        <v/>
      </c>
      <c r="L979" s="28" t="str">
        <f t="shared" si="689"/>
        <v/>
      </c>
      <c r="M979" s="10" t="str">
        <f t="shared" si="690"/>
        <v/>
      </c>
      <c r="N979" s="17" t="str">
        <f t="shared" si="691"/>
        <v/>
      </c>
      <c r="O979" s="39" t="str">
        <f t="shared" si="692"/>
        <v/>
      </c>
      <c r="P979" s="41" t="str">
        <f t="shared" si="693"/>
        <v/>
      </c>
      <c r="Q979" s="9" t="str">
        <f t="shared" si="694"/>
        <v/>
      </c>
      <c r="R979" s="14">
        <f t="shared" si="695"/>
        <v>0</v>
      </c>
      <c r="S979" s="61" t="str">
        <f t="shared" si="696"/>
        <v/>
      </c>
      <c r="T979" s="14">
        <f t="shared" si="697"/>
        <v>0</v>
      </c>
      <c r="U979" s="58" t="str">
        <f t="shared" si="698"/>
        <v/>
      </c>
      <c r="V979" s="14">
        <f t="shared" si="699"/>
        <v>0</v>
      </c>
      <c r="W979" s="58" t="str">
        <f t="shared" si="700"/>
        <v/>
      </c>
      <c r="X979" s="14">
        <f t="shared" si="701"/>
        <v>0</v>
      </c>
      <c r="Y979" s="58" t="str">
        <f t="shared" si="702"/>
        <v/>
      </c>
      <c r="Z979" s="31">
        <f t="shared" si="703"/>
        <v>0</v>
      </c>
      <c r="AA979" s="21">
        <f t="shared" si="704"/>
        <v>0</v>
      </c>
      <c r="AB979" s="58" t="str">
        <f t="shared" si="705"/>
        <v/>
      </c>
      <c r="AC979" s="630">
        <f t="shared" si="682"/>
        <v>0</v>
      </c>
      <c r="AD979" s="627"/>
      <c r="AE979" s="21">
        <f t="shared" si="706"/>
        <v>0</v>
      </c>
      <c r="AF979" s="58" t="str">
        <f t="shared" si="707"/>
        <v/>
      </c>
      <c r="AG979" s="21">
        <f t="shared" si="708"/>
        <v>0</v>
      </c>
      <c r="AH979" s="58" t="str">
        <f t="shared" si="709"/>
        <v/>
      </c>
      <c r="AI979" s="21">
        <f t="shared" si="710"/>
        <v>0</v>
      </c>
      <c r="AJ979" s="58" t="str">
        <f t="shared" si="711"/>
        <v/>
      </c>
      <c r="AK979" s="31">
        <f t="shared" si="712"/>
        <v>0</v>
      </c>
      <c r="AL979" s="21">
        <f t="shared" si="713"/>
        <v>0</v>
      </c>
      <c r="AM979" s="62" t="str">
        <f t="shared" si="714"/>
        <v/>
      </c>
      <c r="AN979" s="21">
        <f t="shared" si="715"/>
        <v>0</v>
      </c>
      <c r="AO979" s="62" t="str">
        <f t="shared" si="716"/>
        <v/>
      </c>
      <c r="AP979" s="21">
        <f t="shared" si="717"/>
        <v>0</v>
      </c>
      <c r="AQ979" s="62" t="str">
        <f t="shared" si="718"/>
        <v/>
      </c>
      <c r="AR979" s="31">
        <f t="shared" si="719"/>
        <v>0</v>
      </c>
      <c r="AS979" s="21">
        <f t="shared" si="720"/>
        <v>0</v>
      </c>
      <c r="AT979" s="62" t="str">
        <f t="shared" si="721"/>
        <v/>
      </c>
      <c r="AU979" s="84">
        <f t="shared" si="722"/>
        <v>0</v>
      </c>
      <c r="AV979" s="32">
        <f t="shared" si="723"/>
        <v>0</v>
      </c>
      <c r="AW979" s="85" t="str">
        <f t="shared" si="724"/>
        <v/>
      </c>
      <c r="AX979" s="86" t="str">
        <f t="shared" si="725"/>
        <v/>
      </c>
    </row>
    <row r="980" spans="1:50" x14ac:dyDescent="0.2">
      <c r="A980" s="29" t="str">
        <f t="shared" si="683"/>
        <v/>
      </c>
      <c r="B980" s="32" t="str">
        <f t="shared" si="684"/>
        <v/>
      </c>
      <c r="C980" s="35"/>
      <c r="D980" s="33" t="str">
        <f t="shared" si="685"/>
        <v/>
      </c>
      <c r="E980" s="22" t="str">
        <f t="shared" si="686"/>
        <v/>
      </c>
      <c r="F980" s="23" t="str">
        <f t="shared" si="687"/>
        <v/>
      </c>
      <c r="G980" s="23"/>
      <c r="H980" s="22"/>
      <c r="I980" s="23"/>
      <c r="J980" s="18"/>
      <c r="K980" s="13" t="str">
        <f t="shared" si="688"/>
        <v/>
      </c>
      <c r="L980" s="28" t="str">
        <f t="shared" si="689"/>
        <v/>
      </c>
      <c r="M980" s="10" t="str">
        <f t="shared" si="690"/>
        <v/>
      </c>
      <c r="N980" s="17" t="str">
        <f t="shared" si="691"/>
        <v/>
      </c>
      <c r="O980" s="39" t="str">
        <f t="shared" si="692"/>
        <v/>
      </c>
      <c r="P980" s="41" t="str">
        <f t="shared" si="693"/>
        <v/>
      </c>
      <c r="Q980" s="9" t="str">
        <f t="shared" si="694"/>
        <v/>
      </c>
      <c r="R980" s="14">
        <f t="shared" si="695"/>
        <v>0</v>
      </c>
      <c r="S980" s="61" t="str">
        <f t="shared" si="696"/>
        <v/>
      </c>
      <c r="T980" s="14">
        <f t="shared" si="697"/>
        <v>0</v>
      </c>
      <c r="U980" s="58" t="str">
        <f t="shared" si="698"/>
        <v/>
      </c>
      <c r="V980" s="14">
        <f t="shared" si="699"/>
        <v>0</v>
      </c>
      <c r="W980" s="58" t="str">
        <f t="shared" si="700"/>
        <v/>
      </c>
      <c r="X980" s="14">
        <f t="shared" si="701"/>
        <v>0</v>
      </c>
      <c r="Y980" s="58" t="str">
        <f t="shared" si="702"/>
        <v/>
      </c>
      <c r="Z980" s="31">
        <f t="shared" si="703"/>
        <v>0</v>
      </c>
      <c r="AA980" s="21">
        <f t="shared" si="704"/>
        <v>0</v>
      </c>
      <c r="AB980" s="58" t="str">
        <f t="shared" si="705"/>
        <v/>
      </c>
      <c r="AC980" s="630">
        <f t="shared" si="682"/>
        <v>0</v>
      </c>
      <c r="AD980" s="627"/>
      <c r="AE980" s="21">
        <f t="shared" si="706"/>
        <v>0</v>
      </c>
      <c r="AF980" s="58" t="str">
        <f t="shared" si="707"/>
        <v/>
      </c>
      <c r="AG980" s="21">
        <f t="shared" si="708"/>
        <v>0</v>
      </c>
      <c r="AH980" s="58" t="str">
        <f t="shared" si="709"/>
        <v/>
      </c>
      <c r="AI980" s="21">
        <f t="shared" si="710"/>
        <v>0</v>
      </c>
      <c r="AJ980" s="58" t="str">
        <f t="shared" si="711"/>
        <v/>
      </c>
      <c r="AK980" s="31">
        <f t="shared" si="712"/>
        <v>0</v>
      </c>
      <c r="AL980" s="21">
        <f t="shared" si="713"/>
        <v>0</v>
      </c>
      <c r="AM980" s="62" t="str">
        <f t="shared" si="714"/>
        <v/>
      </c>
      <c r="AN980" s="21">
        <f t="shared" si="715"/>
        <v>0</v>
      </c>
      <c r="AO980" s="62" t="str">
        <f t="shared" si="716"/>
        <v/>
      </c>
      <c r="AP980" s="21">
        <f t="shared" si="717"/>
        <v>0</v>
      </c>
      <c r="AQ980" s="62" t="str">
        <f t="shared" si="718"/>
        <v/>
      </c>
      <c r="AR980" s="31">
        <f t="shared" si="719"/>
        <v>0</v>
      </c>
      <c r="AS980" s="21">
        <f t="shared" si="720"/>
        <v>0</v>
      </c>
      <c r="AT980" s="62" t="str">
        <f t="shared" si="721"/>
        <v/>
      </c>
      <c r="AU980" s="84">
        <f t="shared" si="722"/>
        <v>0</v>
      </c>
      <c r="AV980" s="32">
        <f t="shared" si="723"/>
        <v>0</v>
      </c>
      <c r="AW980" s="85" t="str">
        <f t="shared" si="724"/>
        <v/>
      </c>
      <c r="AX980" s="86" t="str">
        <f t="shared" si="725"/>
        <v/>
      </c>
    </row>
    <row r="981" spans="1:50" x14ac:dyDescent="0.2">
      <c r="A981" s="29" t="str">
        <f t="shared" si="683"/>
        <v/>
      </c>
      <c r="B981" s="32" t="str">
        <f t="shared" si="684"/>
        <v/>
      </c>
      <c r="C981" s="35"/>
      <c r="D981" s="33" t="str">
        <f t="shared" si="685"/>
        <v/>
      </c>
      <c r="E981" s="22" t="str">
        <f t="shared" si="686"/>
        <v/>
      </c>
      <c r="F981" s="23" t="str">
        <f t="shared" si="687"/>
        <v/>
      </c>
      <c r="G981" s="23"/>
      <c r="H981" s="22"/>
      <c r="I981" s="23"/>
      <c r="J981" s="18"/>
      <c r="K981" s="13" t="str">
        <f t="shared" si="688"/>
        <v/>
      </c>
      <c r="L981" s="28" t="str">
        <f t="shared" si="689"/>
        <v/>
      </c>
      <c r="M981" s="10" t="str">
        <f t="shared" si="690"/>
        <v/>
      </c>
      <c r="N981" s="17" t="str">
        <f t="shared" si="691"/>
        <v/>
      </c>
      <c r="O981" s="39" t="str">
        <f t="shared" si="692"/>
        <v/>
      </c>
      <c r="P981" s="41" t="str">
        <f t="shared" si="693"/>
        <v/>
      </c>
      <c r="Q981" s="9" t="str">
        <f t="shared" si="694"/>
        <v/>
      </c>
      <c r="R981" s="14">
        <f t="shared" si="695"/>
        <v>0</v>
      </c>
      <c r="S981" s="61" t="str">
        <f t="shared" si="696"/>
        <v/>
      </c>
      <c r="T981" s="14">
        <f t="shared" si="697"/>
        <v>0</v>
      </c>
      <c r="U981" s="58" t="str">
        <f t="shared" si="698"/>
        <v/>
      </c>
      <c r="V981" s="14">
        <f t="shared" si="699"/>
        <v>0</v>
      </c>
      <c r="W981" s="58" t="str">
        <f t="shared" si="700"/>
        <v/>
      </c>
      <c r="X981" s="14">
        <f t="shared" si="701"/>
        <v>0</v>
      </c>
      <c r="Y981" s="58" t="str">
        <f t="shared" si="702"/>
        <v/>
      </c>
      <c r="Z981" s="31">
        <f t="shared" si="703"/>
        <v>0</v>
      </c>
      <c r="AA981" s="21">
        <f t="shared" si="704"/>
        <v>0</v>
      </c>
      <c r="AB981" s="58" t="str">
        <f t="shared" si="705"/>
        <v/>
      </c>
      <c r="AC981" s="630">
        <f t="shared" ref="AC981:AC1004" si="728">COUNTIF(G981:J981,100)</f>
        <v>0</v>
      </c>
      <c r="AD981" s="627"/>
      <c r="AE981" s="21">
        <f t="shared" si="706"/>
        <v>0</v>
      </c>
      <c r="AF981" s="58" t="str">
        <f t="shared" si="707"/>
        <v/>
      </c>
      <c r="AG981" s="21">
        <f t="shared" si="708"/>
        <v>0</v>
      </c>
      <c r="AH981" s="58" t="str">
        <f t="shared" si="709"/>
        <v/>
      </c>
      <c r="AI981" s="21">
        <f t="shared" si="710"/>
        <v>0</v>
      </c>
      <c r="AJ981" s="58" t="str">
        <f t="shared" si="711"/>
        <v/>
      </c>
      <c r="AK981" s="31">
        <f t="shared" si="712"/>
        <v>0</v>
      </c>
      <c r="AL981" s="21">
        <f t="shared" si="713"/>
        <v>0</v>
      </c>
      <c r="AM981" s="62" t="str">
        <f t="shared" si="714"/>
        <v/>
      </c>
      <c r="AN981" s="21">
        <f t="shared" si="715"/>
        <v>0</v>
      </c>
      <c r="AO981" s="62" t="str">
        <f t="shared" si="716"/>
        <v/>
      </c>
      <c r="AP981" s="21">
        <f t="shared" si="717"/>
        <v>0</v>
      </c>
      <c r="AQ981" s="62" t="str">
        <f t="shared" si="718"/>
        <v/>
      </c>
      <c r="AR981" s="31">
        <f t="shared" si="719"/>
        <v>0</v>
      </c>
      <c r="AS981" s="21">
        <f t="shared" si="720"/>
        <v>0</v>
      </c>
      <c r="AT981" s="62" t="str">
        <f t="shared" si="721"/>
        <v/>
      </c>
      <c r="AU981" s="84">
        <f t="shared" si="722"/>
        <v>0</v>
      </c>
      <c r="AV981" s="32">
        <f t="shared" si="723"/>
        <v>0</v>
      </c>
      <c r="AW981" s="85" t="str">
        <f t="shared" si="724"/>
        <v/>
      </c>
      <c r="AX981" s="86" t="str">
        <f t="shared" si="725"/>
        <v/>
      </c>
    </row>
    <row r="982" spans="1:50" x14ac:dyDescent="0.2">
      <c r="A982" s="29" t="str">
        <f t="shared" si="683"/>
        <v/>
      </c>
      <c r="B982" s="32" t="str">
        <f t="shared" si="684"/>
        <v/>
      </c>
      <c r="C982" s="35"/>
      <c r="D982" s="33" t="str">
        <f t="shared" si="685"/>
        <v/>
      </c>
      <c r="E982" s="22" t="str">
        <f t="shared" si="686"/>
        <v/>
      </c>
      <c r="F982" s="23" t="str">
        <f t="shared" si="687"/>
        <v/>
      </c>
      <c r="G982" s="23"/>
      <c r="H982" s="22"/>
      <c r="I982" s="23"/>
      <c r="J982" s="18"/>
      <c r="K982" s="13" t="str">
        <f t="shared" si="688"/>
        <v/>
      </c>
      <c r="L982" s="28" t="str">
        <f t="shared" si="689"/>
        <v/>
      </c>
      <c r="M982" s="10" t="str">
        <f t="shared" si="690"/>
        <v/>
      </c>
      <c r="N982" s="17" t="str">
        <f t="shared" si="691"/>
        <v/>
      </c>
      <c r="O982" s="39" t="str">
        <f t="shared" si="692"/>
        <v/>
      </c>
      <c r="P982" s="41" t="str">
        <f t="shared" si="693"/>
        <v/>
      </c>
      <c r="Q982" s="9" t="str">
        <f t="shared" si="694"/>
        <v/>
      </c>
      <c r="R982" s="14">
        <f t="shared" si="695"/>
        <v>0</v>
      </c>
      <c r="S982" s="61" t="str">
        <f t="shared" si="696"/>
        <v/>
      </c>
      <c r="T982" s="14">
        <f t="shared" si="697"/>
        <v>0</v>
      </c>
      <c r="U982" s="58" t="str">
        <f t="shared" si="698"/>
        <v/>
      </c>
      <c r="V982" s="14">
        <f t="shared" si="699"/>
        <v>0</v>
      </c>
      <c r="W982" s="58" t="str">
        <f t="shared" si="700"/>
        <v/>
      </c>
      <c r="X982" s="14">
        <f t="shared" si="701"/>
        <v>0</v>
      </c>
      <c r="Y982" s="58" t="str">
        <f t="shared" si="702"/>
        <v/>
      </c>
      <c r="Z982" s="31">
        <f t="shared" si="703"/>
        <v>0</v>
      </c>
      <c r="AA982" s="21">
        <f t="shared" si="704"/>
        <v>0</v>
      </c>
      <c r="AB982" s="58" t="str">
        <f t="shared" si="705"/>
        <v/>
      </c>
      <c r="AC982" s="630">
        <f t="shared" si="728"/>
        <v>0</v>
      </c>
      <c r="AD982" s="627"/>
      <c r="AE982" s="21">
        <f t="shared" si="706"/>
        <v>0</v>
      </c>
      <c r="AF982" s="58" t="str">
        <f t="shared" si="707"/>
        <v/>
      </c>
      <c r="AG982" s="21">
        <f t="shared" si="708"/>
        <v>0</v>
      </c>
      <c r="AH982" s="58" t="str">
        <f t="shared" si="709"/>
        <v/>
      </c>
      <c r="AI982" s="21">
        <f t="shared" si="710"/>
        <v>0</v>
      </c>
      <c r="AJ982" s="58" t="str">
        <f t="shared" si="711"/>
        <v/>
      </c>
      <c r="AK982" s="31">
        <f t="shared" si="712"/>
        <v>0</v>
      </c>
      <c r="AL982" s="21">
        <f t="shared" si="713"/>
        <v>0</v>
      </c>
      <c r="AM982" s="62" t="str">
        <f t="shared" si="714"/>
        <v/>
      </c>
      <c r="AN982" s="21">
        <f t="shared" si="715"/>
        <v>0</v>
      </c>
      <c r="AO982" s="62" t="str">
        <f t="shared" si="716"/>
        <v/>
      </c>
      <c r="AP982" s="21">
        <f t="shared" si="717"/>
        <v>0</v>
      </c>
      <c r="AQ982" s="62" t="str">
        <f t="shared" si="718"/>
        <v/>
      </c>
      <c r="AR982" s="31">
        <f t="shared" si="719"/>
        <v>0</v>
      </c>
      <c r="AS982" s="21">
        <f t="shared" si="720"/>
        <v>0</v>
      </c>
      <c r="AT982" s="62" t="str">
        <f t="shared" si="721"/>
        <v/>
      </c>
      <c r="AU982" s="84">
        <f t="shared" si="722"/>
        <v>0</v>
      </c>
      <c r="AV982" s="32">
        <f t="shared" si="723"/>
        <v>0</v>
      </c>
      <c r="AW982" s="85" t="str">
        <f t="shared" si="724"/>
        <v/>
      </c>
      <c r="AX982" s="86" t="str">
        <f t="shared" si="725"/>
        <v/>
      </c>
    </row>
    <row r="983" spans="1:50" x14ac:dyDescent="0.2">
      <c r="A983" s="29" t="str">
        <f t="shared" si="683"/>
        <v/>
      </c>
      <c r="B983" s="32" t="str">
        <f t="shared" si="684"/>
        <v/>
      </c>
      <c r="C983" s="35"/>
      <c r="D983" s="33" t="str">
        <f t="shared" si="685"/>
        <v/>
      </c>
      <c r="E983" s="22" t="str">
        <f t="shared" si="686"/>
        <v/>
      </c>
      <c r="F983" s="23" t="str">
        <f t="shared" si="687"/>
        <v/>
      </c>
      <c r="G983" s="23"/>
      <c r="H983" s="22"/>
      <c r="I983" s="23"/>
      <c r="J983" s="18"/>
      <c r="K983" s="13" t="str">
        <f t="shared" si="688"/>
        <v/>
      </c>
      <c r="L983" s="28" t="str">
        <f t="shared" si="689"/>
        <v/>
      </c>
      <c r="M983" s="10" t="str">
        <f t="shared" si="690"/>
        <v/>
      </c>
      <c r="N983" s="17" t="str">
        <f t="shared" si="691"/>
        <v/>
      </c>
      <c r="O983" s="39" t="str">
        <f t="shared" si="692"/>
        <v/>
      </c>
      <c r="P983" s="41" t="str">
        <f t="shared" si="693"/>
        <v/>
      </c>
      <c r="Q983" s="9" t="str">
        <f t="shared" si="694"/>
        <v/>
      </c>
      <c r="R983" s="14">
        <f t="shared" si="695"/>
        <v>0</v>
      </c>
      <c r="S983" s="61" t="str">
        <f t="shared" si="696"/>
        <v/>
      </c>
      <c r="T983" s="14">
        <f t="shared" si="697"/>
        <v>0</v>
      </c>
      <c r="U983" s="58" t="str">
        <f t="shared" si="698"/>
        <v/>
      </c>
      <c r="V983" s="14">
        <f t="shared" si="699"/>
        <v>0</v>
      </c>
      <c r="W983" s="58" t="str">
        <f t="shared" si="700"/>
        <v/>
      </c>
      <c r="X983" s="14">
        <f t="shared" si="701"/>
        <v>0</v>
      </c>
      <c r="Y983" s="58" t="str">
        <f t="shared" si="702"/>
        <v/>
      </c>
      <c r="Z983" s="31">
        <f t="shared" si="703"/>
        <v>0</v>
      </c>
      <c r="AA983" s="21">
        <f t="shared" si="704"/>
        <v>0</v>
      </c>
      <c r="AB983" s="58" t="str">
        <f t="shared" si="705"/>
        <v/>
      </c>
      <c r="AC983" s="630">
        <f t="shared" si="728"/>
        <v>0</v>
      </c>
      <c r="AD983" s="627"/>
      <c r="AE983" s="21">
        <f t="shared" si="706"/>
        <v>0</v>
      </c>
      <c r="AF983" s="58" t="str">
        <f t="shared" si="707"/>
        <v/>
      </c>
      <c r="AG983" s="21">
        <f t="shared" si="708"/>
        <v>0</v>
      </c>
      <c r="AH983" s="58" t="str">
        <f t="shared" si="709"/>
        <v/>
      </c>
      <c r="AI983" s="21">
        <f t="shared" si="710"/>
        <v>0</v>
      </c>
      <c r="AJ983" s="58" t="str">
        <f t="shared" si="711"/>
        <v/>
      </c>
      <c r="AK983" s="31">
        <f t="shared" si="712"/>
        <v>0</v>
      </c>
      <c r="AL983" s="21">
        <f t="shared" si="713"/>
        <v>0</v>
      </c>
      <c r="AM983" s="62" t="str">
        <f t="shared" si="714"/>
        <v/>
      </c>
      <c r="AN983" s="21">
        <f t="shared" si="715"/>
        <v>0</v>
      </c>
      <c r="AO983" s="62" t="str">
        <f t="shared" si="716"/>
        <v/>
      </c>
      <c r="AP983" s="21">
        <f t="shared" si="717"/>
        <v>0</v>
      </c>
      <c r="AQ983" s="62" t="str">
        <f t="shared" si="718"/>
        <v/>
      </c>
      <c r="AR983" s="31">
        <f t="shared" si="719"/>
        <v>0</v>
      </c>
      <c r="AS983" s="21">
        <f t="shared" si="720"/>
        <v>0</v>
      </c>
      <c r="AT983" s="62" t="str">
        <f t="shared" si="721"/>
        <v/>
      </c>
      <c r="AU983" s="84">
        <f t="shared" si="722"/>
        <v>0</v>
      </c>
      <c r="AV983" s="32">
        <f t="shared" si="723"/>
        <v>0</v>
      </c>
      <c r="AW983" s="85" t="str">
        <f t="shared" si="724"/>
        <v/>
      </c>
      <c r="AX983" s="86" t="str">
        <f t="shared" si="725"/>
        <v/>
      </c>
    </row>
    <row r="984" spans="1:50" x14ac:dyDescent="0.2">
      <c r="A984" s="29" t="str">
        <f t="shared" si="683"/>
        <v/>
      </c>
      <c r="B984" s="32" t="str">
        <f t="shared" si="684"/>
        <v/>
      </c>
      <c r="C984" s="35"/>
      <c r="D984" s="33" t="str">
        <f t="shared" si="685"/>
        <v/>
      </c>
      <c r="E984" s="22" t="str">
        <f t="shared" si="686"/>
        <v/>
      </c>
      <c r="F984" s="23" t="str">
        <f t="shared" si="687"/>
        <v/>
      </c>
      <c r="G984" s="23"/>
      <c r="H984" s="22"/>
      <c r="I984" s="23"/>
      <c r="J984" s="18"/>
      <c r="K984" s="13" t="str">
        <f t="shared" si="688"/>
        <v/>
      </c>
      <c r="L984" s="28" t="str">
        <f t="shared" si="689"/>
        <v/>
      </c>
      <c r="M984" s="10" t="str">
        <f t="shared" si="690"/>
        <v/>
      </c>
      <c r="N984" s="17" t="str">
        <f t="shared" si="691"/>
        <v/>
      </c>
      <c r="O984" s="39" t="str">
        <f t="shared" si="692"/>
        <v/>
      </c>
      <c r="P984" s="41" t="str">
        <f t="shared" si="693"/>
        <v/>
      </c>
      <c r="Q984" s="9" t="str">
        <f t="shared" si="694"/>
        <v/>
      </c>
      <c r="R984" s="14">
        <f t="shared" si="695"/>
        <v>0</v>
      </c>
      <c r="S984" s="61" t="str">
        <f t="shared" si="696"/>
        <v/>
      </c>
      <c r="T984" s="14">
        <f t="shared" si="697"/>
        <v>0</v>
      </c>
      <c r="U984" s="58" t="str">
        <f t="shared" si="698"/>
        <v/>
      </c>
      <c r="V984" s="14">
        <f t="shared" si="699"/>
        <v>0</v>
      </c>
      <c r="W984" s="58" t="str">
        <f t="shared" si="700"/>
        <v/>
      </c>
      <c r="X984" s="14">
        <f t="shared" si="701"/>
        <v>0</v>
      </c>
      <c r="Y984" s="58" t="str">
        <f t="shared" si="702"/>
        <v/>
      </c>
      <c r="Z984" s="31">
        <f t="shared" si="703"/>
        <v>0</v>
      </c>
      <c r="AA984" s="21">
        <f t="shared" si="704"/>
        <v>0</v>
      </c>
      <c r="AB984" s="58" t="str">
        <f t="shared" si="705"/>
        <v/>
      </c>
      <c r="AC984" s="630">
        <f t="shared" si="728"/>
        <v>0</v>
      </c>
      <c r="AD984" s="627"/>
      <c r="AE984" s="21">
        <f t="shared" si="706"/>
        <v>0</v>
      </c>
      <c r="AF984" s="58" t="str">
        <f t="shared" si="707"/>
        <v/>
      </c>
      <c r="AG984" s="21">
        <f t="shared" si="708"/>
        <v>0</v>
      </c>
      <c r="AH984" s="58" t="str">
        <f t="shared" si="709"/>
        <v/>
      </c>
      <c r="AI984" s="21">
        <f t="shared" si="710"/>
        <v>0</v>
      </c>
      <c r="AJ984" s="58" t="str">
        <f t="shared" si="711"/>
        <v/>
      </c>
      <c r="AK984" s="31">
        <f t="shared" si="712"/>
        <v>0</v>
      </c>
      <c r="AL984" s="21">
        <f t="shared" si="713"/>
        <v>0</v>
      </c>
      <c r="AM984" s="62" t="str">
        <f t="shared" si="714"/>
        <v/>
      </c>
      <c r="AN984" s="21">
        <f t="shared" si="715"/>
        <v>0</v>
      </c>
      <c r="AO984" s="62" t="str">
        <f t="shared" si="716"/>
        <v/>
      </c>
      <c r="AP984" s="21">
        <f t="shared" si="717"/>
        <v>0</v>
      </c>
      <c r="AQ984" s="62" t="str">
        <f t="shared" si="718"/>
        <v/>
      </c>
      <c r="AR984" s="31">
        <f t="shared" si="719"/>
        <v>0</v>
      </c>
      <c r="AS984" s="21">
        <f t="shared" si="720"/>
        <v>0</v>
      </c>
      <c r="AT984" s="62" t="str">
        <f t="shared" si="721"/>
        <v/>
      </c>
      <c r="AU984" s="84">
        <f t="shared" si="722"/>
        <v>0</v>
      </c>
      <c r="AV984" s="32">
        <f t="shared" si="723"/>
        <v>0</v>
      </c>
      <c r="AW984" s="85" t="str">
        <f t="shared" si="724"/>
        <v/>
      </c>
      <c r="AX984" s="86" t="str">
        <f t="shared" si="725"/>
        <v/>
      </c>
    </row>
    <row r="985" spans="1:50" x14ac:dyDescent="0.2">
      <c r="A985" s="29" t="str">
        <f t="shared" si="683"/>
        <v/>
      </c>
      <c r="B985" s="32" t="str">
        <f t="shared" si="684"/>
        <v/>
      </c>
      <c r="C985" s="35"/>
      <c r="D985" s="33" t="str">
        <f t="shared" si="685"/>
        <v/>
      </c>
      <c r="E985" s="22" t="str">
        <f t="shared" si="686"/>
        <v/>
      </c>
      <c r="F985" s="23" t="str">
        <f t="shared" si="687"/>
        <v/>
      </c>
      <c r="G985" s="23"/>
      <c r="H985" s="22"/>
      <c r="I985" s="23"/>
      <c r="J985" s="18"/>
      <c r="K985" s="13" t="str">
        <f t="shared" si="688"/>
        <v/>
      </c>
      <c r="L985" s="28" t="str">
        <f t="shared" si="689"/>
        <v/>
      </c>
      <c r="M985" s="10" t="str">
        <f t="shared" si="690"/>
        <v/>
      </c>
      <c r="N985" s="17" t="str">
        <f t="shared" si="691"/>
        <v/>
      </c>
      <c r="O985" s="39" t="str">
        <f t="shared" si="692"/>
        <v/>
      </c>
      <c r="P985" s="41" t="str">
        <f t="shared" si="693"/>
        <v/>
      </c>
      <c r="Q985" s="9" t="str">
        <f t="shared" si="694"/>
        <v/>
      </c>
      <c r="R985" s="14">
        <f t="shared" si="695"/>
        <v>0</v>
      </c>
      <c r="S985" s="61" t="str">
        <f t="shared" si="696"/>
        <v/>
      </c>
      <c r="T985" s="14">
        <f t="shared" si="697"/>
        <v>0</v>
      </c>
      <c r="U985" s="58" t="str">
        <f t="shared" si="698"/>
        <v/>
      </c>
      <c r="V985" s="14">
        <f t="shared" si="699"/>
        <v>0</v>
      </c>
      <c r="W985" s="58" t="str">
        <f t="shared" si="700"/>
        <v/>
      </c>
      <c r="X985" s="14">
        <f t="shared" si="701"/>
        <v>0</v>
      </c>
      <c r="Y985" s="58" t="str">
        <f t="shared" si="702"/>
        <v/>
      </c>
      <c r="Z985" s="31">
        <f t="shared" si="703"/>
        <v>0</v>
      </c>
      <c r="AA985" s="21">
        <f t="shared" si="704"/>
        <v>0</v>
      </c>
      <c r="AB985" s="58" t="str">
        <f t="shared" si="705"/>
        <v/>
      </c>
      <c r="AC985" s="630">
        <f t="shared" si="728"/>
        <v>0</v>
      </c>
      <c r="AD985" s="627"/>
      <c r="AE985" s="21">
        <f t="shared" si="706"/>
        <v>0</v>
      </c>
      <c r="AF985" s="58" t="str">
        <f t="shared" si="707"/>
        <v/>
      </c>
      <c r="AG985" s="21">
        <f t="shared" si="708"/>
        <v>0</v>
      </c>
      <c r="AH985" s="58" t="str">
        <f t="shared" si="709"/>
        <v/>
      </c>
      <c r="AI985" s="21">
        <f t="shared" si="710"/>
        <v>0</v>
      </c>
      <c r="AJ985" s="58" t="str">
        <f t="shared" si="711"/>
        <v/>
      </c>
      <c r="AK985" s="31">
        <f t="shared" si="712"/>
        <v>0</v>
      </c>
      <c r="AL985" s="21">
        <f t="shared" si="713"/>
        <v>0</v>
      </c>
      <c r="AM985" s="62" t="str">
        <f t="shared" si="714"/>
        <v/>
      </c>
      <c r="AN985" s="21">
        <f t="shared" si="715"/>
        <v>0</v>
      </c>
      <c r="AO985" s="62" t="str">
        <f t="shared" si="716"/>
        <v/>
      </c>
      <c r="AP985" s="21">
        <f t="shared" si="717"/>
        <v>0</v>
      </c>
      <c r="AQ985" s="62" t="str">
        <f t="shared" si="718"/>
        <v/>
      </c>
      <c r="AR985" s="31">
        <f t="shared" si="719"/>
        <v>0</v>
      </c>
      <c r="AS985" s="21">
        <f t="shared" si="720"/>
        <v>0</v>
      </c>
      <c r="AT985" s="62" t="str">
        <f t="shared" si="721"/>
        <v/>
      </c>
      <c r="AU985" s="84">
        <f t="shared" si="722"/>
        <v>0</v>
      </c>
      <c r="AV985" s="32">
        <f t="shared" si="723"/>
        <v>0</v>
      </c>
      <c r="AW985" s="85" t="str">
        <f t="shared" si="724"/>
        <v/>
      </c>
      <c r="AX985" s="86" t="str">
        <f t="shared" si="725"/>
        <v/>
      </c>
    </row>
    <row r="986" spans="1:50" x14ac:dyDescent="0.2">
      <c r="A986" s="29" t="str">
        <f t="shared" si="683"/>
        <v/>
      </c>
      <c r="B986" s="32" t="str">
        <f t="shared" si="684"/>
        <v/>
      </c>
      <c r="C986" s="35"/>
      <c r="D986" s="33" t="str">
        <f t="shared" si="685"/>
        <v/>
      </c>
      <c r="E986" s="22" t="str">
        <f t="shared" si="686"/>
        <v/>
      </c>
      <c r="F986" s="23" t="str">
        <f t="shared" si="687"/>
        <v/>
      </c>
      <c r="G986" s="23"/>
      <c r="H986" s="22"/>
      <c r="I986" s="23"/>
      <c r="J986" s="18"/>
      <c r="K986" s="13" t="str">
        <f t="shared" si="688"/>
        <v/>
      </c>
      <c r="L986" s="28" t="str">
        <f t="shared" si="689"/>
        <v/>
      </c>
      <c r="M986" s="10" t="str">
        <f t="shared" si="690"/>
        <v/>
      </c>
      <c r="N986" s="17" t="str">
        <f t="shared" si="691"/>
        <v/>
      </c>
      <c r="O986" s="39" t="str">
        <f t="shared" si="692"/>
        <v/>
      </c>
      <c r="P986" s="41" t="str">
        <f t="shared" si="693"/>
        <v/>
      </c>
      <c r="Q986" s="9" t="str">
        <f t="shared" si="694"/>
        <v/>
      </c>
      <c r="R986" s="14">
        <f t="shared" si="695"/>
        <v>0</v>
      </c>
      <c r="S986" s="61" t="str">
        <f t="shared" si="696"/>
        <v/>
      </c>
      <c r="T986" s="14">
        <f t="shared" si="697"/>
        <v>0</v>
      </c>
      <c r="U986" s="58" t="str">
        <f t="shared" si="698"/>
        <v/>
      </c>
      <c r="V986" s="14">
        <f t="shared" si="699"/>
        <v>0</v>
      </c>
      <c r="W986" s="58" t="str">
        <f t="shared" si="700"/>
        <v/>
      </c>
      <c r="X986" s="14">
        <f t="shared" si="701"/>
        <v>0</v>
      </c>
      <c r="Y986" s="58" t="str">
        <f t="shared" si="702"/>
        <v/>
      </c>
      <c r="Z986" s="31">
        <f t="shared" si="703"/>
        <v>0</v>
      </c>
      <c r="AA986" s="21">
        <f t="shared" si="704"/>
        <v>0</v>
      </c>
      <c r="AB986" s="58" t="str">
        <f t="shared" si="705"/>
        <v/>
      </c>
      <c r="AC986" s="630">
        <f t="shared" si="728"/>
        <v>0</v>
      </c>
      <c r="AD986" s="627"/>
      <c r="AE986" s="21">
        <f t="shared" si="706"/>
        <v>0</v>
      </c>
      <c r="AF986" s="58" t="str">
        <f t="shared" si="707"/>
        <v/>
      </c>
      <c r="AG986" s="21">
        <f t="shared" si="708"/>
        <v>0</v>
      </c>
      <c r="AH986" s="58" t="str">
        <f t="shared" si="709"/>
        <v/>
      </c>
      <c r="AI986" s="21">
        <f t="shared" si="710"/>
        <v>0</v>
      </c>
      <c r="AJ986" s="58" t="str">
        <f t="shared" si="711"/>
        <v/>
      </c>
      <c r="AK986" s="31">
        <f t="shared" si="712"/>
        <v>0</v>
      </c>
      <c r="AL986" s="21">
        <f t="shared" si="713"/>
        <v>0</v>
      </c>
      <c r="AM986" s="62" t="str">
        <f t="shared" si="714"/>
        <v/>
      </c>
      <c r="AN986" s="21">
        <f t="shared" si="715"/>
        <v>0</v>
      </c>
      <c r="AO986" s="62" t="str">
        <f t="shared" si="716"/>
        <v/>
      </c>
      <c r="AP986" s="21">
        <f t="shared" si="717"/>
        <v>0</v>
      </c>
      <c r="AQ986" s="62" t="str">
        <f t="shared" si="718"/>
        <v/>
      </c>
      <c r="AR986" s="31">
        <f t="shared" si="719"/>
        <v>0</v>
      </c>
      <c r="AS986" s="21">
        <f t="shared" si="720"/>
        <v>0</v>
      </c>
      <c r="AT986" s="62" t="str">
        <f t="shared" si="721"/>
        <v/>
      </c>
      <c r="AU986" s="84">
        <f t="shared" si="722"/>
        <v>0</v>
      </c>
      <c r="AV986" s="32">
        <f t="shared" si="723"/>
        <v>0</v>
      </c>
      <c r="AW986" s="85" t="str">
        <f t="shared" si="724"/>
        <v/>
      </c>
      <c r="AX986" s="86" t="str">
        <f t="shared" si="725"/>
        <v/>
      </c>
    </row>
    <row r="987" spans="1:50" x14ac:dyDescent="0.2">
      <c r="A987" s="29" t="str">
        <f t="shared" si="683"/>
        <v/>
      </c>
      <c r="B987" s="32" t="str">
        <f t="shared" si="684"/>
        <v/>
      </c>
      <c r="C987" s="35"/>
      <c r="D987" s="33" t="str">
        <f t="shared" si="685"/>
        <v/>
      </c>
      <c r="E987" s="22" t="str">
        <f t="shared" si="686"/>
        <v/>
      </c>
      <c r="F987" s="23" t="str">
        <f t="shared" si="687"/>
        <v/>
      </c>
      <c r="G987" s="23"/>
      <c r="H987" s="22"/>
      <c r="I987" s="23"/>
      <c r="J987" s="18"/>
      <c r="K987" s="13" t="str">
        <f t="shared" si="688"/>
        <v/>
      </c>
      <c r="L987" s="28" t="str">
        <f t="shared" si="689"/>
        <v/>
      </c>
      <c r="M987" s="10" t="str">
        <f t="shared" si="690"/>
        <v/>
      </c>
      <c r="N987" s="17" t="str">
        <f t="shared" si="691"/>
        <v/>
      </c>
      <c r="O987" s="39" t="str">
        <f t="shared" si="692"/>
        <v/>
      </c>
      <c r="P987" s="41" t="str">
        <f t="shared" si="693"/>
        <v/>
      </c>
      <c r="Q987" s="9" t="str">
        <f t="shared" si="694"/>
        <v/>
      </c>
      <c r="R987" s="14">
        <f t="shared" si="695"/>
        <v>0</v>
      </c>
      <c r="S987" s="61" t="str">
        <f t="shared" si="696"/>
        <v/>
      </c>
      <c r="T987" s="14">
        <f t="shared" si="697"/>
        <v>0</v>
      </c>
      <c r="U987" s="58" t="str">
        <f t="shared" si="698"/>
        <v/>
      </c>
      <c r="V987" s="14">
        <f t="shared" si="699"/>
        <v>0</v>
      </c>
      <c r="W987" s="58" t="str">
        <f t="shared" si="700"/>
        <v/>
      </c>
      <c r="X987" s="14">
        <f t="shared" si="701"/>
        <v>0</v>
      </c>
      <c r="Y987" s="58" t="str">
        <f t="shared" si="702"/>
        <v/>
      </c>
      <c r="Z987" s="31">
        <f t="shared" si="703"/>
        <v>0</v>
      </c>
      <c r="AA987" s="21">
        <f t="shared" si="704"/>
        <v>0</v>
      </c>
      <c r="AB987" s="58" t="str">
        <f t="shared" si="705"/>
        <v/>
      </c>
      <c r="AC987" s="630">
        <f t="shared" si="728"/>
        <v>0</v>
      </c>
      <c r="AD987" s="627"/>
      <c r="AE987" s="21">
        <f t="shared" si="706"/>
        <v>0</v>
      </c>
      <c r="AF987" s="58" t="str">
        <f t="shared" si="707"/>
        <v/>
      </c>
      <c r="AG987" s="21">
        <f t="shared" si="708"/>
        <v>0</v>
      </c>
      <c r="AH987" s="58" t="str">
        <f t="shared" si="709"/>
        <v/>
      </c>
      <c r="AI987" s="21">
        <f t="shared" si="710"/>
        <v>0</v>
      </c>
      <c r="AJ987" s="58" t="str">
        <f t="shared" si="711"/>
        <v/>
      </c>
      <c r="AK987" s="31">
        <f t="shared" si="712"/>
        <v>0</v>
      </c>
      <c r="AL987" s="21">
        <f t="shared" si="713"/>
        <v>0</v>
      </c>
      <c r="AM987" s="62" t="str">
        <f t="shared" si="714"/>
        <v/>
      </c>
      <c r="AN987" s="21">
        <f t="shared" si="715"/>
        <v>0</v>
      </c>
      <c r="AO987" s="62" t="str">
        <f t="shared" si="716"/>
        <v/>
      </c>
      <c r="AP987" s="21">
        <f t="shared" si="717"/>
        <v>0</v>
      </c>
      <c r="AQ987" s="62" t="str">
        <f t="shared" si="718"/>
        <v/>
      </c>
      <c r="AR987" s="31">
        <f t="shared" si="719"/>
        <v>0</v>
      </c>
      <c r="AS987" s="21">
        <f t="shared" si="720"/>
        <v>0</v>
      </c>
      <c r="AT987" s="62" t="str">
        <f t="shared" si="721"/>
        <v/>
      </c>
      <c r="AU987" s="84">
        <f t="shared" si="722"/>
        <v>0</v>
      </c>
      <c r="AV987" s="32">
        <f t="shared" si="723"/>
        <v>0</v>
      </c>
      <c r="AW987" s="85" t="str">
        <f t="shared" si="724"/>
        <v/>
      </c>
      <c r="AX987" s="86" t="str">
        <f t="shared" si="725"/>
        <v/>
      </c>
    </row>
    <row r="988" spans="1:50" x14ac:dyDescent="0.2">
      <c r="A988" s="29" t="str">
        <f t="shared" si="683"/>
        <v/>
      </c>
      <c r="B988" s="32" t="str">
        <f t="shared" si="684"/>
        <v/>
      </c>
      <c r="C988" s="35"/>
      <c r="D988" s="33" t="str">
        <f t="shared" si="685"/>
        <v/>
      </c>
      <c r="E988" s="22" t="str">
        <f t="shared" si="686"/>
        <v/>
      </c>
      <c r="F988" s="23" t="str">
        <f t="shared" si="687"/>
        <v/>
      </c>
      <c r="G988" s="23"/>
      <c r="H988" s="22"/>
      <c r="I988" s="23"/>
      <c r="J988" s="18"/>
      <c r="K988" s="13" t="str">
        <f t="shared" si="688"/>
        <v/>
      </c>
      <c r="L988" s="28" t="str">
        <f t="shared" si="689"/>
        <v/>
      </c>
      <c r="M988" s="10" t="str">
        <f t="shared" si="690"/>
        <v/>
      </c>
      <c r="N988" s="17" t="str">
        <f t="shared" si="691"/>
        <v/>
      </c>
      <c r="O988" s="39" t="str">
        <f t="shared" si="692"/>
        <v/>
      </c>
      <c r="P988" s="41" t="str">
        <f t="shared" si="693"/>
        <v/>
      </c>
      <c r="Q988" s="9" t="str">
        <f t="shared" si="694"/>
        <v/>
      </c>
      <c r="R988" s="14">
        <f t="shared" si="695"/>
        <v>0</v>
      </c>
      <c r="S988" s="61" t="str">
        <f t="shared" si="696"/>
        <v/>
      </c>
      <c r="T988" s="14">
        <f t="shared" si="697"/>
        <v>0</v>
      </c>
      <c r="U988" s="58" t="str">
        <f t="shared" si="698"/>
        <v/>
      </c>
      <c r="V988" s="14">
        <f t="shared" si="699"/>
        <v>0</v>
      </c>
      <c r="W988" s="58" t="str">
        <f t="shared" si="700"/>
        <v/>
      </c>
      <c r="X988" s="14">
        <f t="shared" si="701"/>
        <v>0</v>
      </c>
      <c r="Y988" s="58" t="str">
        <f t="shared" si="702"/>
        <v/>
      </c>
      <c r="Z988" s="31">
        <f t="shared" si="703"/>
        <v>0</v>
      </c>
      <c r="AA988" s="21">
        <f t="shared" si="704"/>
        <v>0</v>
      </c>
      <c r="AB988" s="58" t="str">
        <f t="shared" si="705"/>
        <v/>
      </c>
      <c r="AC988" s="630">
        <f t="shared" si="728"/>
        <v>0</v>
      </c>
      <c r="AD988" s="627"/>
      <c r="AE988" s="21">
        <f t="shared" si="706"/>
        <v>0</v>
      </c>
      <c r="AF988" s="58" t="str">
        <f t="shared" si="707"/>
        <v/>
      </c>
      <c r="AG988" s="21">
        <f t="shared" si="708"/>
        <v>0</v>
      </c>
      <c r="AH988" s="58" t="str">
        <f t="shared" si="709"/>
        <v/>
      </c>
      <c r="AI988" s="21">
        <f t="shared" si="710"/>
        <v>0</v>
      </c>
      <c r="AJ988" s="58" t="str">
        <f t="shared" si="711"/>
        <v/>
      </c>
      <c r="AK988" s="31">
        <f t="shared" si="712"/>
        <v>0</v>
      </c>
      <c r="AL988" s="21">
        <f t="shared" si="713"/>
        <v>0</v>
      </c>
      <c r="AM988" s="62" t="str">
        <f t="shared" si="714"/>
        <v/>
      </c>
      <c r="AN988" s="21">
        <f t="shared" si="715"/>
        <v>0</v>
      </c>
      <c r="AO988" s="62" t="str">
        <f t="shared" si="716"/>
        <v/>
      </c>
      <c r="AP988" s="21">
        <f t="shared" si="717"/>
        <v>0</v>
      </c>
      <c r="AQ988" s="62" t="str">
        <f t="shared" si="718"/>
        <v/>
      </c>
      <c r="AR988" s="31">
        <f t="shared" si="719"/>
        <v>0</v>
      </c>
      <c r="AS988" s="21">
        <f t="shared" si="720"/>
        <v>0</v>
      </c>
      <c r="AT988" s="62" t="str">
        <f t="shared" si="721"/>
        <v/>
      </c>
      <c r="AU988" s="84">
        <f t="shared" si="722"/>
        <v>0</v>
      </c>
      <c r="AV988" s="32">
        <f t="shared" si="723"/>
        <v>0</v>
      </c>
      <c r="AW988" s="85" t="str">
        <f t="shared" si="724"/>
        <v/>
      </c>
      <c r="AX988" s="86" t="str">
        <f t="shared" si="725"/>
        <v/>
      </c>
    </row>
    <row r="989" spans="1:50" x14ac:dyDescent="0.2">
      <c r="A989" s="29" t="str">
        <f t="shared" si="683"/>
        <v/>
      </c>
      <c r="B989" s="32" t="str">
        <f t="shared" si="684"/>
        <v/>
      </c>
      <c r="C989" s="35"/>
      <c r="D989" s="33" t="str">
        <f t="shared" si="685"/>
        <v/>
      </c>
      <c r="E989" s="22" t="str">
        <f t="shared" si="686"/>
        <v/>
      </c>
      <c r="F989" s="23" t="str">
        <f t="shared" si="687"/>
        <v/>
      </c>
      <c r="G989" s="23"/>
      <c r="H989" s="22"/>
      <c r="I989" s="23"/>
      <c r="J989" s="18"/>
      <c r="K989" s="13" t="str">
        <f t="shared" si="688"/>
        <v/>
      </c>
      <c r="L989" s="28" t="str">
        <f t="shared" si="689"/>
        <v/>
      </c>
      <c r="M989" s="10" t="str">
        <f t="shared" si="690"/>
        <v/>
      </c>
      <c r="N989" s="17" t="str">
        <f t="shared" si="691"/>
        <v/>
      </c>
      <c r="O989" s="39" t="str">
        <f t="shared" si="692"/>
        <v/>
      </c>
      <c r="P989" s="41" t="str">
        <f t="shared" si="693"/>
        <v/>
      </c>
      <c r="Q989" s="9" t="str">
        <f t="shared" si="694"/>
        <v/>
      </c>
      <c r="R989" s="14">
        <f t="shared" si="695"/>
        <v>0</v>
      </c>
      <c r="S989" s="61" t="str">
        <f t="shared" si="696"/>
        <v/>
      </c>
      <c r="T989" s="14">
        <f t="shared" si="697"/>
        <v>0</v>
      </c>
      <c r="U989" s="58" t="str">
        <f t="shared" si="698"/>
        <v/>
      </c>
      <c r="V989" s="14">
        <f t="shared" si="699"/>
        <v>0</v>
      </c>
      <c r="W989" s="58" t="str">
        <f t="shared" si="700"/>
        <v/>
      </c>
      <c r="X989" s="14">
        <f t="shared" si="701"/>
        <v>0</v>
      </c>
      <c r="Y989" s="58" t="str">
        <f t="shared" si="702"/>
        <v/>
      </c>
      <c r="Z989" s="31">
        <f t="shared" si="703"/>
        <v>0</v>
      </c>
      <c r="AA989" s="21">
        <f t="shared" si="704"/>
        <v>0</v>
      </c>
      <c r="AB989" s="58" t="str">
        <f t="shared" si="705"/>
        <v/>
      </c>
      <c r="AC989" s="630">
        <f t="shared" si="728"/>
        <v>0</v>
      </c>
      <c r="AD989" s="627"/>
      <c r="AE989" s="21">
        <f t="shared" si="706"/>
        <v>0</v>
      </c>
      <c r="AF989" s="58" t="str">
        <f t="shared" si="707"/>
        <v/>
      </c>
      <c r="AG989" s="21">
        <f t="shared" si="708"/>
        <v>0</v>
      </c>
      <c r="AH989" s="58" t="str">
        <f t="shared" si="709"/>
        <v/>
      </c>
      <c r="AI989" s="21">
        <f t="shared" si="710"/>
        <v>0</v>
      </c>
      <c r="AJ989" s="58" t="str">
        <f t="shared" si="711"/>
        <v/>
      </c>
      <c r="AK989" s="31">
        <f t="shared" si="712"/>
        <v>0</v>
      </c>
      <c r="AL989" s="21">
        <f t="shared" si="713"/>
        <v>0</v>
      </c>
      <c r="AM989" s="62" t="str">
        <f t="shared" si="714"/>
        <v/>
      </c>
      <c r="AN989" s="21">
        <f t="shared" si="715"/>
        <v>0</v>
      </c>
      <c r="AO989" s="62" t="str">
        <f t="shared" si="716"/>
        <v/>
      </c>
      <c r="AP989" s="21">
        <f t="shared" si="717"/>
        <v>0</v>
      </c>
      <c r="AQ989" s="62" t="str">
        <f t="shared" si="718"/>
        <v/>
      </c>
      <c r="AR989" s="31">
        <f t="shared" si="719"/>
        <v>0</v>
      </c>
      <c r="AS989" s="21">
        <f t="shared" si="720"/>
        <v>0</v>
      </c>
      <c r="AT989" s="62" t="str">
        <f t="shared" si="721"/>
        <v/>
      </c>
      <c r="AU989" s="84">
        <f t="shared" si="722"/>
        <v>0</v>
      </c>
      <c r="AV989" s="32">
        <f t="shared" si="723"/>
        <v>0</v>
      </c>
      <c r="AW989" s="85" t="str">
        <f t="shared" si="724"/>
        <v/>
      </c>
      <c r="AX989" s="86" t="str">
        <f t="shared" si="725"/>
        <v/>
      </c>
    </row>
    <row r="990" spans="1:50" x14ac:dyDescent="0.2">
      <c r="A990" s="29" t="str">
        <f t="shared" si="683"/>
        <v/>
      </c>
      <c r="B990" s="32" t="str">
        <f t="shared" si="684"/>
        <v/>
      </c>
      <c r="C990" s="35"/>
      <c r="D990" s="33" t="str">
        <f t="shared" si="685"/>
        <v/>
      </c>
      <c r="E990" s="22" t="str">
        <f t="shared" si="686"/>
        <v/>
      </c>
      <c r="F990" s="23" t="str">
        <f t="shared" si="687"/>
        <v/>
      </c>
      <c r="G990" s="23"/>
      <c r="H990" s="22"/>
      <c r="I990" s="23"/>
      <c r="J990" s="18"/>
      <c r="K990" s="13" t="str">
        <f t="shared" si="688"/>
        <v/>
      </c>
      <c r="L990" s="28" t="str">
        <f t="shared" si="689"/>
        <v/>
      </c>
      <c r="M990" s="10" t="str">
        <f t="shared" si="690"/>
        <v/>
      </c>
      <c r="N990" s="17" t="str">
        <f t="shared" si="691"/>
        <v/>
      </c>
      <c r="O990" s="39" t="str">
        <f t="shared" si="692"/>
        <v/>
      </c>
      <c r="P990" s="41" t="str">
        <f t="shared" si="693"/>
        <v/>
      </c>
      <c r="Q990" s="9" t="str">
        <f t="shared" si="694"/>
        <v/>
      </c>
      <c r="R990" s="14">
        <f t="shared" si="695"/>
        <v>0</v>
      </c>
      <c r="S990" s="61" t="str">
        <f t="shared" si="696"/>
        <v/>
      </c>
      <c r="T990" s="14">
        <f t="shared" si="697"/>
        <v>0</v>
      </c>
      <c r="U990" s="58" t="str">
        <f t="shared" si="698"/>
        <v/>
      </c>
      <c r="V990" s="14">
        <f t="shared" si="699"/>
        <v>0</v>
      </c>
      <c r="W990" s="58" t="str">
        <f t="shared" si="700"/>
        <v/>
      </c>
      <c r="X990" s="14">
        <f t="shared" si="701"/>
        <v>0</v>
      </c>
      <c r="Y990" s="58" t="str">
        <f t="shared" si="702"/>
        <v/>
      </c>
      <c r="Z990" s="31">
        <f t="shared" si="703"/>
        <v>0</v>
      </c>
      <c r="AA990" s="21">
        <f t="shared" si="704"/>
        <v>0</v>
      </c>
      <c r="AB990" s="58" t="str">
        <f t="shared" si="705"/>
        <v/>
      </c>
      <c r="AC990" s="630">
        <f t="shared" si="728"/>
        <v>0</v>
      </c>
      <c r="AD990" s="627"/>
      <c r="AE990" s="21">
        <f t="shared" si="706"/>
        <v>0</v>
      </c>
      <c r="AF990" s="58" t="str">
        <f t="shared" si="707"/>
        <v/>
      </c>
      <c r="AG990" s="21">
        <f t="shared" si="708"/>
        <v>0</v>
      </c>
      <c r="AH990" s="58" t="str">
        <f t="shared" si="709"/>
        <v/>
      </c>
      <c r="AI990" s="21">
        <f t="shared" si="710"/>
        <v>0</v>
      </c>
      <c r="AJ990" s="58" t="str">
        <f t="shared" si="711"/>
        <v/>
      </c>
      <c r="AK990" s="31">
        <f t="shared" si="712"/>
        <v>0</v>
      </c>
      <c r="AL990" s="21">
        <f t="shared" si="713"/>
        <v>0</v>
      </c>
      <c r="AM990" s="62" t="str">
        <f t="shared" si="714"/>
        <v/>
      </c>
      <c r="AN990" s="21">
        <f t="shared" si="715"/>
        <v>0</v>
      </c>
      <c r="AO990" s="62" t="str">
        <f t="shared" si="716"/>
        <v/>
      </c>
      <c r="AP990" s="21">
        <f t="shared" si="717"/>
        <v>0</v>
      </c>
      <c r="AQ990" s="62" t="str">
        <f t="shared" si="718"/>
        <v/>
      </c>
      <c r="AR990" s="31">
        <f t="shared" si="719"/>
        <v>0</v>
      </c>
      <c r="AS990" s="21">
        <f t="shared" si="720"/>
        <v>0</v>
      </c>
      <c r="AT990" s="62" t="str">
        <f t="shared" si="721"/>
        <v/>
      </c>
      <c r="AU990" s="84">
        <f t="shared" si="722"/>
        <v>0</v>
      </c>
      <c r="AV990" s="32">
        <f t="shared" si="723"/>
        <v>0</v>
      </c>
      <c r="AW990" s="85" t="str">
        <f t="shared" si="724"/>
        <v/>
      </c>
      <c r="AX990" s="86" t="str">
        <f t="shared" si="725"/>
        <v/>
      </c>
    </row>
    <row r="991" spans="1:50" x14ac:dyDescent="0.2">
      <c r="A991" s="29" t="str">
        <f t="shared" si="683"/>
        <v/>
      </c>
      <c r="B991" s="32" t="str">
        <f t="shared" si="684"/>
        <v/>
      </c>
      <c r="C991" s="35"/>
      <c r="D991" s="33" t="str">
        <f t="shared" si="685"/>
        <v/>
      </c>
      <c r="E991" s="22" t="str">
        <f t="shared" si="686"/>
        <v/>
      </c>
      <c r="F991" s="23" t="str">
        <f t="shared" si="687"/>
        <v/>
      </c>
      <c r="G991" s="23"/>
      <c r="H991" s="22"/>
      <c r="I991" s="23"/>
      <c r="J991" s="18"/>
      <c r="K991" s="13" t="str">
        <f t="shared" si="688"/>
        <v/>
      </c>
      <c r="L991" s="28" t="str">
        <f t="shared" si="689"/>
        <v/>
      </c>
      <c r="M991" s="10" t="str">
        <f t="shared" si="690"/>
        <v/>
      </c>
      <c r="N991" s="17" t="str">
        <f t="shared" si="691"/>
        <v/>
      </c>
      <c r="O991" s="39" t="str">
        <f t="shared" si="692"/>
        <v/>
      </c>
      <c r="P991" s="41" t="str">
        <f t="shared" si="693"/>
        <v/>
      </c>
      <c r="Q991" s="9" t="str">
        <f t="shared" si="694"/>
        <v/>
      </c>
      <c r="R991" s="14">
        <f t="shared" si="695"/>
        <v>0</v>
      </c>
      <c r="S991" s="61" t="str">
        <f t="shared" si="696"/>
        <v/>
      </c>
      <c r="T991" s="14">
        <f t="shared" si="697"/>
        <v>0</v>
      </c>
      <c r="U991" s="58" t="str">
        <f t="shared" si="698"/>
        <v/>
      </c>
      <c r="V991" s="14">
        <f t="shared" si="699"/>
        <v>0</v>
      </c>
      <c r="W991" s="58" t="str">
        <f t="shared" si="700"/>
        <v/>
      </c>
      <c r="X991" s="14">
        <f t="shared" si="701"/>
        <v>0</v>
      </c>
      <c r="Y991" s="58" t="str">
        <f t="shared" si="702"/>
        <v/>
      </c>
      <c r="Z991" s="31">
        <f t="shared" si="703"/>
        <v>0</v>
      </c>
      <c r="AA991" s="21">
        <f t="shared" si="704"/>
        <v>0</v>
      </c>
      <c r="AB991" s="58" t="str">
        <f t="shared" si="705"/>
        <v/>
      </c>
      <c r="AC991" s="630">
        <f t="shared" si="728"/>
        <v>0</v>
      </c>
      <c r="AD991" s="627"/>
      <c r="AE991" s="21">
        <f t="shared" si="706"/>
        <v>0</v>
      </c>
      <c r="AF991" s="58" t="str">
        <f t="shared" si="707"/>
        <v/>
      </c>
      <c r="AG991" s="21">
        <f t="shared" si="708"/>
        <v>0</v>
      </c>
      <c r="AH991" s="58" t="str">
        <f t="shared" si="709"/>
        <v/>
      </c>
      <c r="AI991" s="21">
        <f t="shared" si="710"/>
        <v>0</v>
      </c>
      <c r="AJ991" s="58" t="str">
        <f t="shared" si="711"/>
        <v/>
      </c>
      <c r="AK991" s="31">
        <f t="shared" si="712"/>
        <v>0</v>
      </c>
      <c r="AL991" s="21">
        <f t="shared" si="713"/>
        <v>0</v>
      </c>
      <c r="AM991" s="62" t="str">
        <f t="shared" si="714"/>
        <v/>
      </c>
      <c r="AN991" s="21">
        <f t="shared" si="715"/>
        <v>0</v>
      </c>
      <c r="AO991" s="62" t="str">
        <f t="shared" si="716"/>
        <v/>
      </c>
      <c r="AP991" s="21">
        <f t="shared" si="717"/>
        <v>0</v>
      </c>
      <c r="AQ991" s="62" t="str">
        <f t="shared" si="718"/>
        <v/>
      </c>
      <c r="AR991" s="31">
        <f t="shared" si="719"/>
        <v>0</v>
      </c>
      <c r="AS991" s="21">
        <f t="shared" si="720"/>
        <v>0</v>
      </c>
      <c r="AT991" s="62" t="str">
        <f t="shared" si="721"/>
        <v/>
      </c>
      <c r="AU991" s="84">
        <f t="shared" si="722"/>
        <v>0</v>
      </c>
      <c r="AV991" s="32">
        <f t="shared" si="723"/>
        <v>0</v>
      </c>
      <c r="AW991" s="85" t="str">
        <f t="shared" si="724"/>
        <v/>
      </c>
      <c r="AX991" s="86" t="str">
        <f t="shared" si="725"/>
        <v/>
      </c>
    </row>
    <row r="992" spans="1:50" x14ac:dyDescent="0.2">
      <c r="A992" s="29" t="str">
        <f t="shared" si="683"/>
        <v/>
      </c>
      <c r="B992" s="32" t="str">
        <f t="shared" si="684"/>
        <v/>
      </c>
      <c r="C992" s="35"/>
      <c r="D992" s="33" t="str">
        <f t="shared" si="685"/>
        <v/>
      </c>
      <c r="E992" s="22" t="str">
        <f t="shared" si="686"/>
        <v/>
      </c>
      <c r="F992" s="23" t="str">
        <f t="shared" si="687"/>
        <v/>
      </c>
      <c r="G992" s="23"/>
      <c r="H992" s="22"/>
      <c r="I992" s="23"/>
      <c r="J992" s="18"/>
      <c r="K992" s="13" t="str">
        <f t="shared" si="688"/>
        <v/>
      </c>
      <c r="L992" s="28" t="str">
        <f t="shared" si="689"/>
        <v/>
      </c>
      <c r="M992" s="10" t="str">
        <f t="shared" si="690"/>
        <v/>
      </c>
      <c r="N992" s="17" t="str">
        <f t="shared" si="691"/>
        <v/>
      </c>
      <c r="O992" s="39" t="str">
        <f t="shared" si="692"/>
        <v/>
      </c>
      <c r="P992" s="41" t="str">
        <f t="shared" si="693"/>
        <v/>
      </c>
      <c r="Q992" s="9" t="str">
        <f t="shared" si="694"/>
        <v/>
      </c>
      <c r="R992" s="14">
        <f t="shared" si="695"/>
        <v>0</v>
      </c>
      <c r="S992" s="61" t="str">
        <f t="shared" si="696"/>
        <v/>
      </c>
      <c r="T992" s="14">
        <f t="shared" si="697"/>
        <v>0</v>
      </c>
      <c r="U992" s="58" t="str">
        <f t="shared" si="698"/>
        <v/>
      </c>
      <c r="V992" s="14">
        <f t="shared" si="699"/>
        <v>0</v>
      </c>
      <c r="W992" s="58" t="str">
        <f t="shared" si="700"/>
        <v/>
      </c>
      <c r="X992" s="14">
        <f t="shared" si="701"/>
        <v>0</v>
      </c>
      <c r="Y992" s="58" t="str">
        <f t="shared" si="702"/>
        <v/>
      </c>
      <c r="Z992" s="31">
        <f t="shared" si="703"/>
        <v>0</v>
      </c>
      <c r="AA992" s="21">
        <f t="shared" si="704"/>
        <v>0</v>
      </c>
      <c r="AB992" s="58" t="str">
        <f t="shared" si="705"/>
        <v/>
      </c>
      <c r="AC992" s="630">
        <f t="shared" si="728"/>
        <v>0</v>
      </c>
      <c r="AD992" s="627"/>
      <c r="AE992" s="21">
        <f t="shared" si="706"/>
        <v>0</v>
      </c>
      <c r="AF992" s="58" t="str">
        <f t="shared" si="707"/>
        <v/>
      </c>
      <c r="AG992" s="21">
        <f t="shared" si="708"/>
        <v>0</v>
      </c>
      <c r="AH992" s="58" t="str">
        <f t="shared" si="709"/>
        <v/>
      </c>
      <c r="AI992" s="21">
        <f t="shared" si="710"/>
        <v>0</v>
      </c>
      <c r="AJ992" s="58" t="str">
        <f t="shared" si="711"/>
        <v/>
      </c>
      <c r="AK992" s="31">
        <f t="shared" si="712"/>
        <v>0</v>
      </c>
      <c r="AL992" s="21">
        <f t="shared" si="713"/>
        <v>0</v>
      </c>
      <c r="AM992" s="62" t="str">
        <f t="shared" si="714"/>
        <v/>
      </c>
      <c r="AN992" s="21">
        <f t="shared" si="715"/>
        <v>0</v>
      </c>
      <c r="AO992" s="62" t="str">
        <f t="shared" si="716"/>
        <v/>
      </c>
      <c r="AP992" s="21">
        <f t="shared" si="717"/>
        <v>0</v>
      </c>
      <c r="AQ992" s="62" t="str">
        <f t="shared" si="718"/>
        <v/>
      </c>
      <c r="AR992" s="31">
        <f t="shared" si="719"/>
        <v>0</v>
      </c>
      <c r="AS992" s="21">
        <f t="shared" si="720"/>
        <v>0</v>
      </c>
      <c r="AT992" s="62" t="str">
        <f t="shared" si="721"/>
        <v/>
      </c>
      <c r="AU992" s="84">
        <f t="shared" si="722"/>
        <v>0</v>
      </c>
      <c r="AV992" s="32">
        <f t="shared" si="723"/>
        <v>0</v>
      </c>
      <c r="AW992" s="85" t="str">
        <f t="shared" si="724"/>
        <v/>
      </c>
      <c r="AX992" s="86" t="str">
        <f t="shared" si="725"/>
        <v/>
      </c>
    </row>
    <row r="993" spans="1:50" x14ac:dyDescent="0.2">
      <c r="A993" s="29" t="str">
        <f t="shared" si="683"/>
        <v/>
      </c>
      <c r="B993" s="32" t="str">
        <f t="shared" si="684"/>
        <v/>
      </c>
      <c r="C993" s="35"/>
      <c r="D993" s="33" t="str">
        <f t="shared" si="685"/>
        <v/>
      </c>
      <c r="E993" s="22" t="str">
        <f t="shared" si="686"/>
        <v/>
      </c>
      <c r="F993" s="23" t="str">
        <f t="shared" si="687"/>
        <v/>
      </c>
      <c r="G993" s="23"/>
      <c r="H993" s="22"/>
      <c r="I993" s="23"/>
      <c r="J993" s="18"/>
      <c r="K993" s="13" t="str">
        <f t="shared" si="688"/>
        <v/>
      </c>
      <c r="L993" s="28" t="str">
        <f t="shared" si="689"/>
        <v/>
      </c>
      <c r="M993" s="10" t="str">
        <f t="shared" si="690"/>
        <v/>
      </c>
      <c r="N993" s="17" t="str">
        <f t="shared" si="691"/>
        <v/>
      </c>
      <c r="O993" s="39" t="str">
        <f t="shared" si="692"/>
        <v/>
      </c>
      <c r="P993" s="41" t="str">
        <f t="shared" si="693"/>
        <v/>
      </c>
      <c r="Q993" s="9" t="str">
        <f t="shared" si="694"/>
        <v/>
      </c>
      <c r="R993" s="14">
        <f t="shared" si="695"/>
        <v>0</v>
      </c>
      <c r="S993" s="61" t="str">
        <f t="shared" si="696"/>
        <v/>
      </c>
      <c r="T993" s="14">
        <f t="shared" si="697"/>
        <v>0</v>
      </c>
      <c r="U993" s="58" t="str">
        <f t="shared" si="698"/>
        <v/>
      </c>
      <c r="V993" s="14">
        <f t="shared" si="699"/>
        <v>0</v>
      </c>
      <c r="W993" s="58" t="str">
        <f t="shared" si="700"/>
        <v/>
      </c>
      <c r="X993" s="14">
        <f t="shared" si="701"/>
        <v>0</v>
      </c>
      <c r="Y993" s="58" t="str">
        <f t="shared" si="702"/>
        <v/>
      </c>
      <c r="Z993" s="31">
        <f t="shared" si="703"/>
        <v>0</v>
      </c>
      <c r="AA993" s="21">
        <f t="shared" si="704"/>
        <v>0</v>
      </c>
      <c r="AB993" s="58" t="str">
        <f t="shared" si="705"/>
        <v/>
      </c>
      <c r="AC993" s="630">
        <f t="shared" si="728"/>
        <v>0</v>
      </c>
      <c r="AD993" s="627"/>
      <c r="AE993" s="21">
        <f t="shared" si="706"/>
        <v>0</v>
      </c>
      <c r="AF993" s="58" t="str">
        <f t="shared" si="707"/>
        <v/>
      </c>
      <c r="AG993" s="21">
        <f t="shared" si="708"/>
        <v>0</v>
      </c>
      <c r="AH993" s="58" t="str">
        <f t="shared" si="709"/>
        <v/>
      </c>
      <c r="AI993" s="21">
        <f t="shared" si="710"/>
        <v>0</v>
      </c>
      <c r="AJ993" s="58" t="str">
        <f t="shared" si="711"/>
        <v/>
      </c>
      <c r="AK993" s="31">
        <f t="shared" si="712"/>
        <v>0</v>
      </c>
      <c r="AL993" s="21">
        <f t="shared" si="713"/>
        <v>0</v>
      </c>
      <c r="AM993" s="62" t="str">
        <f t="shared" si="714"/>
        <v/>
      </c>
      <c r="AN993" s="21">
        <f t="shared" si="715"/>
        <v>0</v>
      </c>
      <c r="AO993" s="62" t="str">
        <f t="shared" si="716"/>
        <v/>
      </c>
      <c r="AP993" s="21">
        <f t="shared" si="717"/>
        <v>0</v>
      </c>
      <c r="AQ993" s="62" t="str">
        <f t="shared" si="718"/>
        <v/>
      </c>
      <c r="AR993" s="31">
        <f t="shared" si="719"/>
        <v>0</v>
      </c>
      <c r="AS993" s="21">
        <f t="shared" si="720"/>
        <v>0</v>
      </c>
      <c r="AT993" s="62" t="str">
        <f t="shared" si="721"/>
        <v/>
      </c>
      <c r="AU993" s="84">
        <f t="shared" si="722"/>
        <v>0</v>
      </c>
      <c r="AV993" s="32">
        <f t="shared" si="723"/>
        <v>0</v>
      </c>
      <c r="AW993" s="85" t="str">
        <f t="shared" si="724"/>
        <v/>
      </c>
      <c r="AX993" s="86" t="str">
        <f t="shared" si="725"/>
        <v/>
      </c>
    </row>
    <row r="994" spans="1:50" x14ac:dyDescent="0.2">
      <c r="A994" s="29" t="str">
        <f t="shared" ref="A994:A1004" si="729">IF(A993="","",IF(C994="","",A993))</f>
        <v/>
      </c>
      <c r="B994" s="32" t="str">
        <f t="shared" ref="B994:B1004" si="730">IF(B993="","",IF(C994="","",B993))</f>
        <v/>
      </c>
      <c r="C994" s="35"/>
      <c r="D994" s="33" t="str">
        <f t="shared" ref="D994:D1004" si="731">IF(A994="","",IF(D993="","",D993))</f>
        <v/>
      </c>
      <c r="E994" s="22" t="str">
        <f t="shared" ref="E994:E1004" si="732">IF(A994="","",IF(E993="","",E993))</f>
        <v/>
      </c>
      <c r="F994" s="23" t="str">
        <f t="shared" ref="F994:F1004" si="733">IF(A994="","",IF(F993="","",F993))</f>
        <v/>
      </c>
      <c r="G994" s="23"/>
      <c r="H994" s="22"/>
      <c r="I994" s="23"/>
      <c r="J994" s="18"/>
      <c r="K994" s="13" t="str">
        <f t="shared" ref="K994:K1004" si="734">IF($N$4="M",IF(A994="","",IF(D994=6,16,IF(A994&lt;=$M$5,26,IF(A994&lt;=$M$6,24,IF(A994&lt;=$M$7,22,IF(A994&lt;=$M$8,20,18)))))),IF(A994="","",IF(D994=6,16,IF(A994&lt;=$P$5,26,IF(A994&lt;=$P$6,24,IF(A994&lt;=$P$7,22,IF(A994&lt;=$P$8,20,18)))))))</f>
        <v/>
      </c>
      <c r="L994" s="28" t="str">
        <f t="shared" ref="L994:L1004" si="735">IF($N$4="M",IF(A994="","",IF(K994=26,(A994+B994+Q994)*C994*0.02739,IF(K994=24,(A994+B994+Q994)*C994*0.02739,IF(K994=22,(A994+B994+Q994)*C994*0.0333,IF(K994=20,(A994+B994+Q994)*C994*0.0393,IF(K994=18,(A994+B994+Q994)*C994*0.0511,IF(K994=16,(A994+B994+Q994)*C994*0.0628))))))),IF(A994="","",IF(K994=26,(A994+B994+Q994)*C994*0.211,IF(K994=24,(A994+B994+Q994)*C994*0.211,IF(K994=22,(A994+B994+Q994)*C994*0.258,IF(K994=20,(A994+B994+Q994)*C994*0.304,IF(K994=18,(A994+B994+Q994)*C994*0.395,IF(K994=16,(A994+B994+Q994)*C994*0.487))))))))</f>
        <v/>
      </c>
      <c r="M994" s="10" t="str">
        <f t="shared" ref="M994:M1004" si="736">IF(D994=1,0.5,IF(D994=2,"1 F",IF(D994=21,"1 R",IF(D994=3,2,""))))</f>
        <v/>
      </c>
      <c r="N994" s="17" t="str">
        <f t="shared" ref="N994:N1004" si="737">IF(M994="","",IF($N$4="M",(A994+B994+Q994)*C994*0.022,(A994+B994+Q994)*C994*0.17))</f>
        <v/>
      </c>
      <c r="O994" s="39" t="str">
        <f t="shared" ref="O994:O1004" si="738">IF(D994=4,1,IF(D994=5,2,""))</f>
        <v/>
      </c>
      <c r="P994" s="41" t="str">
        <f t="shared" ref="P994:P1004" si="739">IF(O994="","",IF($N$4="M",IF(O994=1,(A994+B994+Q994)*C994*0.022*1.1,(A994+B994+Q994)*C994*0.022*1.15),IF(O994=1,(A994+B994+Q994)*C994*0.17*1.1,(A994+B994+Q994)*C994*0.17*1.15)))</f>
        <v/>
      </c>
      <c r="Q994" s="9" t="str">
        <f t="shared" ref="Q994:Q1004" si="740">IF($N$4="M",IF(A994="","",IF(D994=1,50,IF(D994=2,100,IF(D994=21,100,IF(D994=3,200,0))))),IF(A994="","",IF(D994=1,2,IF(D994=2,4,IF(D994=21,4,IF(D994=3,8,0))))))</f>
        <v/>
      </c>
      <c r="R994" s="14">
        <f t="shared" ref="R994:R1004" si="741">COUNTIF(G994:J994,7)</f>
        <v>0</v>
      </c>
      <c r="S994" s="61" t="str">
        <f t="shared" ref="S994:S1004" si="742">IF(A994="","",IF($N$4="M",A994*B994*0.000011111*R994*1.5,A994*B994/144*R994*1.5))</f>
        <v/>
      </c>
      <c r="T994" s="14">
        <f t="shared" ref="T994:T1004" si="743">COUNTIF(G994:J994,71)</f>
        <v>0</v>
      </c>
      <c r="U994" s="58" t="str">
        <f t="shared" ref="U994:U1004" si="744">IF(A994="","",IF($N$4="M",A994*B994*0.000011111*T994*1.5,A994*B994/144*T994*1.5))</f>
        <v/>
      </c>
      <c r="V994" s="14">
        <f t="shared" ref="V994:V1004" si="745">COUNTIF(G994:J994,8)</f>
        <v>0</v>
      </c>
      <c r="W994" s="58" t="str">
        <f t="shared" ref="W994:W1004" si="746">IF(A994="","",IF($N$4="M",(A994+B994)*2*0.0032808*V994,(A994+B994)*2*V994/12))</f>
        <v/>
      </c>
      <c r="X994" s="14">
        <f t="shared" ref="X994:X1004" si="747">COUNTIF(G994:J994,81)</f>
        <v>0</v>
      </c>
      <c r="Y994" s="58" t="str">
        <f t="shared" ref="Y994:Y1004" si="748">IF(A994="","",IF($N$4="M",(A994+B994)*2*0.0032808*X994,(A994+B994)*2*X994/12))</f>
        <v/>
      </c>
      <c r="Z994" s="31">
        <f t="shared" ref="Z994:Z1004" si="749">COUNTIF(G994:J994,9)</f>
        <v>0</v>
      </c>
      <c r="AA994" s="21">
        <f t="shared" ref="AA994:AA1004" si="750">COUNTIF(G994:J994,10)</f>
        <v>0</v>
      </c>
      <c r="AB994" s="58" t="str">
        <f t="shared" ref="AB994:AB1004" si="751">IF(A994="","",IF($N$4="M",(A994+B994)*2*0.0032808*AA994,(A994+B994)*2*AA994/12))</f>
        <v/>
      </c>
      <c r="AC994" s="630">
        <f t="shared" si="728"/>
        <v>0</v>
      </c>
      <c r="AD994" s="627"/>
      <c r="AE994" s="21">
        <f t="shared" ref="AE994:AE1004" si="752">COUNTIF(G994:J994,11)</f>
        <v>0</v>
      </c>
      <c r="AF994" s="58" t="str">
        <f t="shared" ref="AF994:AF1004" si="753">IF(A994="","",IF($N$4="M",A994*B994*0.000011111*AE994,A994*B994/144*AE994))</f>
        <v/>
      </c>
      <c r="AG994" s="21">
        <f t="shared" ref="AG994:AG1004" si="754">COUNTIF(G994:J994,111)</f>
        <v>0</v>
      </c>
      <c r="AH994" s="58" t="str">
        <f t="shared" ref="AH994:AH1004" si="755">IF(A994="","",IF($N$4="M",A994*B994*0.000011111*AG994,A994*B994/144*AG994))</f>
        <v/>
      </c>
      <c r="AI994" s="21">
        <f t="shared" ref="AI994:AI1004" si="756">COUNTIF(G994:J994,12)</f>
        <v>0</v>
      </c>
      <c r="AJ994" s="58" t="str">
        <f t="shared" ref="AJ994:AJ1004" si="757">IF(A994="","",IF($N$4="M",A994*B994*0.000011111*AI994,A994*B994/144*AI994))</f>
        <v/>
      </c>
      <c r="AK994" s="31">
        <f t="shared" ref="AK994:AK1004" si="758">COUNTIF(G994:J994,13)</f>
        <v>0</v>
      </c>
      <c r="AL994" s="21">
        <f t="shared" ref="AL994:AL1004" si="759">COUNTIF(G994:J994,131)</f>
        <v>0</v>
      </c>
      <c r="AM994" s="62" t="str">
        <f t="shared" ref="AM994:AM1004" si="760">IF(A994="","",IF($N$4="M",A994*B994*0.000011111*AL994,A994*B994/144*AL994))</f>
        <v/>
      </c>
      <c r="AN994" s="21">
        <f t="shared" ref="AN994:AN1004" si="761">COUNTIF(G994:J994,14)</f>
        <v>0</v>
      </c>
      <c r="AO994" s="62" t="str">
        <f t="shared" ref="AO994:AO1004" si="762">IF(A994="","",IF($N$4="M",A994*B994*0.000011111*AN994,A994*B994/144*AN994))</f>
        <v/>
      </c>
      <c r="AP994" s="21">
        <f t="shared" ref="AP994:AP1004" si="763">COUNTIF(G994:J994,141)</f>
        <v>0</v>
      </c>
      <c r="AQ994" s="62" t="str">
        <f t="shared" ref="AQ994:AQ1004" si="764">IF(A994="","",IF($N$4="M",A994*B994*0.000011111*AP994,A994*B994/144*AP994))</f>
        <v/>
      </c>
      <c r="AR994" s="31">
        <f t="shared" ref="AR994:AR1004" si="765">COUNTIF(G994:J994,15)</f>
        <v>0</v>
      </c>
      <c r="AS994" s="21">
        <f t="shared" ref="AS994:AS1004" si="766">COUNTIF(G994:J994,16)</f>
        <v>0</v>
      </c>
      <c r="AT994" s="62" t="str">
        <f t="shared" ref="AT994:AT1004" si="767">IF(A994="","",IF($N$4="M",A994*B994*0.000011111*AS994,A994*B994/144*AS994))</f>
        <v/>
      </c>
      <c r="AU994" s="84">
        <f t="shared" ref="AU994:AU1004" si="768">IF(D994=61,C994,0)</f>
        <v>0</v>
      </c>
      <c r="AV994" s="32">
        <f t="shared" ref="AV994:AV1004" si="769">IF(D994=61,L994,0)</f>
        <v>0</v>
      </c>
      <c r="AW994" s="85" t="str">
        <f t="shared" ref="AW994:AW1004" si="770">IF(A994="","",(C994-AU994))</f>
        <v/>
      </c>
      <c r="AX994" s="86" t="str">
        <f t="shared" ref="AX994:AX1004" si="771">IF(A994="","",(L994-AV994))</f>
        <v/>
      </c>
    </row>
    <row r="995" spans="1:50" x14ac:dyDescent="0.2">
      <c r="A995" s="29" t="str">
        <f t="shared" si="729"/>
        <v/>
      </c>
      <c r="B995" s="32" t="str">
        <f t="shared" si="730"/>
        <v/>
      </c>
      <c r="C995" s="35"/>
      <c r="D995" s="33" t="str">
        <f t="shared" si="731"/>
        <v/>
      </c>
      <c r="E995" s="22" t="str">
        <f t="shared" si="732"/>
        <v/>
      </c>
      <c r="F995" s="23" t="str">
        <f t="shared" si="733"/>
        <v/>
      </c>
      <c r="G995" s="23"/>
      <c r="H995" s="22"/>
      <c r="I995" s="23"/>
      <c r="J995" s="18"/>
      <c r="K995" s="13" t="str">
        <f t="shared" si="734"/>
        <v/>
      </c>
      <c r="L995" s="28" t="str">
        <f t="shared" si="735"/>
        <v/>
      </c>
      <c r="M995" s="10" t="str">
        <f t="shared" si="736"/>
        <v/>
      </c>
      <c r="N995" s="17" t="str">
        <f t="shared" si="737"/>
        <v/>
      </c>
      <c r="O995" s="39" t="str">
        <f t="shared" si="738"/>
        <v/>
      </c>
      <c r="P995" s="41" t="str">
        <f t="shared" si="739"/>
        <v/>
      </c>
      <c r="Q995" s="9" t="str">
        <f t="shared" si="740"/>
        <v/>
      </c>
      <c r="R995" s="14">
        <f t="shared" si="741"/>
        <v>0</v>
      </c>
      <c r="S995" s="61" t="str">
        <f t="shared" si="742"/>
        <v/>
      </c>
      <c r="T995" s="14">
        <f t="shared" si="743"/>
        <v>0</v>
      </c>
      <c r="U995" s="58" t="str">
        <f t="shared" si="744"/>
        <v/>
      </c>
      <c r="V995" s="14">
        <f t="shared" si="745"/>
        <v>0</v>
      </c>
      <c r="W995" s="58" t="str">
        <f t="shared" si="746"/>
        <v/>
      </c>
      <c r="X995" s="14">
        <f t="shared" si="747"/>
        <v>0</v>
      </c>
      <c r="Y995" s="58" t="str">
        <f t="shared" si="748"/>
        <v/>
      </c>
      <c r="Z995" s="31">
        <f t="shared" si="749"/>
        <v>0</v>
      </c>
      <c r="AA995" s="21">
        <f t="shared" si="750"/>
        <v>0</v>
      </c>
      <c r="AB995" s="58" t="str">
        <f t="shared" si="751"/>
        <v/>
      </c>
      <c r="AC995" s="630">
        <f t="shared" si="728"/>
        <v>0</v>
      </c>
      <c r="AD995" s="627"/>
      <c r="AE995" s="21">
        <f t="shared" si="752"/>
        <v>0</v>
      </c>
      <c r="AF995" s="58" t="str">
        <f t="shared" si="753"/>
        <v/>
      </c>
      <c r="AG995" s="21">
        <f t="shared" si="754"/>
        <v>0</v>
      </c>
      <c r="AH995" s="58" t="str">
        <f t="shared" si="755"/>
        <v/>
      </c>
      <c r="AI995" s="21">
        <f t="shared" si="756"/>
        <v>0</v>
      </c>
      <c r="AJ995" s="58" t="str">
        <f t="shared" si="757"/>
        <v/>
      </c>
      <c r="AK995" s="31">
        <f t="shared" si="758"/>
        <v>0</v>
      </c>
      <c r="AL995" s="21">
        <f t="shared" si="759"/>
        <v>0</v>
      </c>
      <c r="AM995" s="62" t="str">
        <f t="shared" si="760"/>
        <v/>
      </c>
      <c r="AN995" s="21">
        <f t="shared" si="761"/>
        <v>0</v>
      </c>
      <c r="AO995" s="62" t="str">
        <f t="shared" si="762"/>
        <v/>
      </c>
      <c r="AP995" s="21">
        <f t="shared" si="763"/>
        <v>0</v>
      </c>
      <c r="AQ995" s="62" t="str">
        <f t="shared" si="764"/>
        <v/>
      </c>
      <c r="AR995" s="31">
        <f t="shared" si="765"/>
        <v>0</v>
      </c>
      <c r="AS995" s="21">
        <f t="shared" si="766"/>
        <v>0</v>
      </c>
      <c r="AT995" s="62" t="str">
        <f t="shared" si="767"/>
        <v/>
      </c>
      <c r="AU995" s="84">
        <f t="shared" si="768"/>
        <v>0</v>
      </c>
      <c r="AV995" s="32">
        <f t="shared" si="769"/>
        <v>0</v>
      </c>
      <c r="AW995" s="85" t="str">
        <f t="shared" si="770"/>
        <v/>
      </c>
      <c r="AX995" s="86" t="str">
        <f t="shared" si="771"/>
        <v/>
      </c>
    </row>
    <row r="996" spans="1:50" x14ac:dyDescent="0.2">
      <c r="A996" s="29" t="str">
        <f t="shared" si="729"/>
        <v/>
      </c>
      <c r="B996" s="32" t="str">
        <f t="shared" si="730"/>
        <v/>
      </c>
      <c r="C996" s="35"/>
      <c r="D996" s="33" t="str">
        <f t="shared" si="731"/>
        <v/>
      </c>
      <c r="E996" s="22" t="str">
        <f t="shared" si="732"/>
        <v/>
      </c>
      <c r="F996" s="23" t="str">
        <f t="shared" si="733"/>
        <v/>
      </c>
      <c r="G996" s="23"/>
      <c r="H996" s="22"/>
      <c r="I996" s="23"/>
      <c r="J996" s="18"/>
      <c r="K996" s="13" t="str">
        <f t="shared" si="734"/>
        <v/>
      </c>
      <c r="L996" s="28" t="str">
        <f t="shared" si="735"/>
        <v/>
      </c>
      <c r="M996" s="10" t="str">
        <f t="shared" si="736"/>
        <v/>
      </c>
      <c r="N996" s="17" t="str">
        <f t="shared" si="737"/>
        <v/>
      </c>
      <c r="O996" s="39" t="str">
        <f t="shared" si="738"/>
        <v/>
      </c>
      <c r="P996" s="41" t="str">
        <f t="shared" si="739"/>
        <v/>
      </c>
      <c r="Q996" s="9" t="str">
        <f t="shared" si="740"/>
        <v/>
      </c>
      <c r="R996" s="14">
        <f t="shared" si="741"/>
        <v>0</v>
      </c>
      <c r="S996" s="61" t="str">
        <f t="shared" si="742"/>
        <v/>
      </c>
      <c r="T996" s="14">
        <f t="shared" si="743"/>
        <v>0</v>
      </c>
      <c r="U996" s="58" t="str">
        <f t="shared" si="744"/>
        <v/>
      </c>
      <c r="V996" s="14">
        <f t="shared" si="745"/>
        <v>0</v>
      </c>
      <c r="W996" s="58" t="str">
        <f t="shared" si="746"/>
        <v/>
      </c>
      <c r="X996" s="14">
        <f t="shared" si="747"/>
        <v>0</v>
      </c>
      <c r="Y996" s="58" t="str">
        <f t="shared" si="748"/>
        <v/>
      </c>
      <c r="Z996" s="31">
        <f t="shared" si="749"/>
        <v>0</v>
      </c>
      <c r="AA996" s="21">
        <f t="shared" si="750"/>
        <v>0</v>
      </c>
      <c r="AB996" s="58" t="str">
        <f t="shared" si="751"/>
        <v/>
      </c>
      <c r="AC996" s="630">
        <f t="shared" si="728"/>
        <v>0</v>
      </c>
      <c r="AD996" s="627"/>
      <c r="AE996" s="21">
        <f t="shared" si="752"/>
        <v>0</v>
      </c>
      <c r="AF996" s="58" t="str">
        <f t="shared" si="753"/>
        <v/>
      </c>
      <c r="AG996" s="21">
        <f t="shared" si="754"/>
        <v>0</v>
      </c>
      <c r="AH996" s="58" t="str">
        <f t="shared" si="755"/>
        <v/>
      </c>
      <c r="AI996" s="21">
        <f t="shared" si="756"/>
        <v>0</v>
      </c>
      <c r="AJ996" s="58" t="str">
        <f t="shared" si="757"/>
        <v/>
      </c>
      <c r="AK996" s="31">
        <f t="shared" si="758"/>
        <v>0</v>
      </c>
      <c r="AL996" s="21">
        <f t="shared" si="759"/>
        <v>0</v>
      </c>
      <c r="AM996" s="62" t="str">
        <f t="shared" si="760"/>
        <v/>
      </c>
      <c r="AN996" s="21">
        <f t="shared" si="761"/>
        <v>0</v>
      </c>
      <c r="AO996" s="62" t="str">
        <f t="shared" si="762"/>
        <v/>
      </c>
      <c r="AP996" s="21">
        <f t="shared" si="763"/>
        <v>0</v>
      </c>
      <c r="AQ996" s="62" t="str">
        <f t="shared" si="764"/>
        <v/>
      </c>
      <c r="AR996" s="31">
        <f t="shared" si="765"/>
        <v>0</v>
      </c>
      <c r="AS996" s="21">
        <f t="shared" si="766"/>
        <v>0</v>
      </c>
      <c r="AT996" s="62" t="str">
        <f t="shared" si="767"/>
        <v/>
      </c>
      <c r="AU996" s="84">
        <f t="shared" si="768"/>
        <v>0</v>
      </c>
      <c r="AV996" s="32">
        <f t="shared" si="769"/>
        <v>0</v>
      </c>
      <c r="AW996" s="85" t="str">
        <f t="shared" si="770"/>
        <v/>
      </c>
      <c r="AX996" s="86" t="str">
        <f t="shared" si="771"/>
        <v/>
      </c>
    </row>
    <row r="997" spans="1:50" x14ac:dyDescent="0.2">
      <c r="A997" s="29" t="str">
        <f t="shared" si="729"/>
        <v/>
      </c>
      <c r="B997" s="32" t="str">
        <f t="shared" si="730"/>
        <v/>
      </c>
      <c r="C997" s="35"/>
      <c r="D997" s="33" t="str">
        <f t="shared" si="731"/>
        <v/>
      </c>
      <c r="E997" s="22" t="str">
        <f t="shared" si="732"/>
        <v/>
      </c>
      <c r="F997" s="23" t="str">
        <f t="shared" si="733"/>
        <v/>
      </c>
      <c r="G997" s="23"/>
      <c r="H997" s="22"/>
      <c r="I997" s="23"/>
      <c r="J997" s="18"/>
      <c r="K997" s="13" t="str">
        <f t="shared" si="734"/>
        <v/>
      </c>
      <c r="L997" s="28" t="str">
        <f t="shared" si="735"/>
        <v/>
      </c>
      <c r="M997" s="10" t="str">
        <f t="shared" si="736"/>
        <v/>
      </c>
      <c r="N997" s="17" t="str">
        <f t="shared" si="737"/>
        <v/>
      </c>
      <c r="O997" s="39" t="str">
        <f t="shared" si="738"/>
        <v/>
      </c>
      <c r="P997" s="41" t="str">
        <f t="shared" si="739"/>
        <v/>
      </c>
      <c r="Q997" s="9" t="str">
        <f t="shared" si="740"/>
        <v/>
      </c>
      <c r="R997" s="14">
        <f t="shared" si="741"/>
        <v>0</v>
      </c>
      <c r="S997" s="61" t="str">
        <f t="shared" si="742"/>
        <v/>
      </c>
      <c r="T997" s="14">
        <f t="shared" si="743"/>
        <v>0</v>
      </c>
      <c r="U997" s="58" t="str">
        <f t="shared" si="744"/>
        <v/>
      </c>
      <c r="V997" s="14">
        <f t="shared" si="745"/>
        <v>0</v>
      </c>
      <c r="W997" s="58" t="str">
        <f t="shared" si="746"/>
        <v/>
      </c>
      <c r="X997" s="14">
        <f t="shared" si="747"/>
        <v>0</v>
      </c>
      <c r="Y997" s="58" t="str">
        <f t="shared" si="748"/>
        <v/>
      </c>
      <c r="Z997" s="31">
        <f t="shared" si="749"/>
        <v>0</v>
      </c>
      <c r="AA997" s="21">
        <f t="shared" si="750"/>
        <v>0</v>
      </c>
      <c r="AB997" s="58" t="str">
        <f t="shared" si="751"/>
        <v/>
      </c>
      <c r="AC997" s="630">
        <f t="shared" si="728"/>
        <v>0</v>
      </c>
      <c r="AD997" s="627"/>
      <c r="AE997" s="21">
        <f t="shared" si="752"/>
        <v>0</v>
      </c>
      <c r="AF997" s="58" t="str">
        <f t="shared" si="753"/>
        <v/>
      </c>
      <c r="AG997" s="21">
        <f t="shared" si="754"/>
        <v>0</v>
      </c>
      <c r="AH997" s="58" t="str">
        <f t="shared" si="755"/>
        <v/>
      </c>
      <c r="AI997" s="21">
        <f t="shared" si="756"/>
        <v>0</v>
      </c>
      <c r="AJ997" s="58" t="str">
        <f t="shared" si="757"/>
        <v/>
      </c>
      <c r="AK997" s="31">
        <f t="shared" si="758"/>
        <v>0</v>
      </c>
      <c r="AL997" s="21">
        <f t="shared" si="759"/>
        <v>0</v>
      </c>
      <c r="AM997" s="62" t="str">
        <f t="shared" si="760"/>
        <v/>
      </c>
      <c r="AN997" s="21">
        <f t="shared" si="761"/>
        <v>0</v>
      </c>
      <c r="AO997" s="62" t="str">
        <f t="shared" si="762"/>
        <v/>
      </c>
      <c r="AP997" s="21">
        <f t="shared" si="763"/>
        <v>0</v>
      </c>
      <c r="AQ997" s="62" t="str">
        <f t="shared" si="764"/>
        <v/>
      </c>
      <c r="AR997" s="31">
        <f t="shared" si="765"/>
        <v>0</v>
      </c>
      <c r="AS997" s="21">
        <f t="shared" si="766"/>
        <v>0</v>
      </c>
      <c r="AT997" s="62" t="str">
        <f t="shared" si="767"/>
        <v/>
      </c>
      <c r="AU997" s="84">
        <f t="shared" si="768"/>
        <v>0</v>
      </c>
      <c r="AV997" s="32">
        <f t="shared" si="769"/>
        <v>0</v>
      </c>
      <c r="AW997" s="85" t="str">
        <f t="shared" si="770"/>
        <v/>
      </c>
      <c r="AX997" s="86" t="str">
        <f t="shared" si="771"/>
        <v/>
      </c>
    </row>
    <row r="998" spans="1:50" x14ac:dyDescent="0.2">
      <c r="A998" s="29" t="str">
        <f t="shared" si="729"/>
        <v/>
      </c>
      <c r="B998" s="32" t="str">
        <f t="shared" si="730"/>
        <v/>
      </c>
      <c r="C998" s="35"/>
      <c r="D998" s="33" t="str">
        <f t="shared" si="731"/>
        <v/>
      </c>
      <c r="E998" s="22" t="str">
        <f t="shared" si="732"/>
        <v/>
      </c>
      <c r="F998" s="23" t="str">
        <f t="shared" si="733"/>
        <v/>
      </c>
      <c r="G998" s="23"/>
      <c r="H998" s="22"/>
      <c r="I998" s="23"/>
      <c r="J998" s="18"/>
      <c r="K998" s="13" t="str">
        <f t="shared" si="734"/>
        <v/>
      </c>
      <c r="L998" s="28" t="str">
        <f t="shared" si="735"/>
        <v/>
      </c>
      <c r="M998" s="10" t="str">
        <f t="shared" si="736"/>
        <v/>
      </c>
      <c r="N998" s="17" t="str">
        <f t="shared" si="737"/>
        <v/>
      </c>
      <c r="O998" s="39" t="str">
        <f t="shared" si="738"/>
        <v/>
      </c>
      <c r="P998" s="41" t="str">
        <f t="shared" si="739"/>
        <v/>
      </c>
      <c r="Q998" s="9" t="str">
        <f t="shared" si="740"/>
        <v/>
      </c>
      <c r="R998" s="14">
        <f t="shared" si="741"/>
        <v>0</v>
      </c>
      <c r="S998" s="61" t="str">
        <f t="shared" si="742"/>
        <v/>
      </c>
      <c r="T998" s="14">
        <f t="shared" si="743"/>
        <v>0</v>
      </c>
      <c r="U998" s="58" t="str">
        <f t="shared" si="744"/>
        <v/>
      </c>
      <c r="V998" s="14">
        <f t="shared" si="745"/>
        <v>0</v>
      </c>
      <c r="W998" s="58" t="str">
        <f t="shared" si="746"/>
        <v/>
      </c>
      <c r="X998" s="14">
        <f t="shared" si="747"/>
        <v>0</v>
      </c>
      <c r="Y998" s="58" t="str">
        <f t="shared" si="748"/>
        <v/>
      </c>
      <c r="Z998" s="31">
        <f t="shared" si="749"/>
        <v>0</v>
      </c>
      <c r="AA998" s="21">
        <f t="shared" si="750"/>
        <v>0</v>
      </c>
      <c r="AB998" s="58" t="str">
        <f t="shared" si="751"/>
        <v/>
      </c>
      <c r="AC998" s="630">
        <f t="shared" si="728"/>
        <v>0</v>
      </c>
      <c r="AD998" s="627"/>
      <c r="AE998" s="21">
        <f t="shared" si="752"/>
        <v>0</v>
      </c>
      <c r="AF998" s="58" t="str">
        <f t="shared" si="753"/>
        <v/>
      </c>
      <c r="AG998" s="21">
        <f t="shared" si="754"/>
        <v>0</v>
      </c>
      <c r="AH998" s="58" t="str">
        <f t="shared" si="755"/>
        <v/>
      </c>
      <c r="AI998" s="21">
        <f t="shared" si="756"/>
        <v>0</v>
      </c>
      <c r="AJ998" s="58" t="str">
        <f t="shared" si="757"/>
        <v/>
      </c>
      <c r="AK998" s="31">
        <f t="shared" si="758"/>
        <v>0</v>
      </c>
      <c r="AL998" s="21">
        <f t="shared" si="759"/>
        <v>0</v>
      </c>
      <c r="AM998" s="62" t="str">
        <f t="shared" si="760"/>
        <v/>
      </c>
      <c r="AN998" s="21">
        <f t="shared" si="761"/>
        <v>0</v>
      </c>
      <c r="AO998" s="62" t="str">
        <f t="shared" si="762"/>
        <v/>
      </c>
      <c r="AP998" s="21">
        <f t="shared" si="763"/>
        <v>0</v>
      </c>
      <c r="AQ998" s="62" t="str">
        <f t="shared" si="764"/>
        <v/>
      </c>
      <c r="AR998" s="31">
        <f t="shared" si="765"/>
        <v>0</v>
      </c>
      <c r="AS998" s="21">
        <f t="shared" si="766"/>
        <v>0</v>
      </c>
      <c r="AT998" s="62" t="str">
        <f t="shared" si="767"/>
        <v/>
      </c>
      <c r="AU998" s="84">
        <f t="shared" si="768"/>
        <v>0</v>
      </c>
      <c r="AV998" s="32">
        <f t="shared" si="769"/>
        <v>0</v>
      </c>
      <c r="AW998" s="85" t="str">
        <f t="shared" si="770"/>
        <v/>
      </c>
      <c r="AX998" s="86" t="str">
        <f t="shared" si="771"/>
        <v/>
      </c>
    </row>
    <row r="999" spans="1:50" x14ac:dyDescent="0.2">
      <c r="A999" s="29" t="str">
        <f t="shared" si="729"/>
        <v/>
      </c>
      <c r="B999" s="32" t="str">
        <f t="shared" si="730"/>
        <v/>
      </c>
      <c r="C999" s="35"/>
      <c r="D999" s="33" t="str">
        <f t="shared" si="731"/>
        <v/>
      </c>
      <c r="E999" s="22" t="str">
        <f t="shared" si="732"/>
        <v/>
      </c>
      <c r="F999" s="23" t="str">
        <f t="shared" si="733"/>
        <v/>
      </c>
      <c r="G999" s="23"/>
      <c r="H999" s="22"/>
      <c r="I999" s="23"/>
      <c r="J999" s="18"/>
      <c r="K999" s="13" t="str">
        <f t="shared" si="734"/>
        <v/>
      </c>
      <c r="L999" s="28" t="str">
        <f t="shared" si="735"/>
        <v/>
      </c>
      <c r="M999" s="10" t="str">
        <f t="shared" si="736"/>
        <v/>
      </c>
      <c r="N999" s="17" t="str">
        <f t="shared" si="737"/>
        <v/>
      </c>
      <c r="O999" s="39" t="str">
        <f t="shared" si="738"/>
        <v/>
      </c>
      <c r="P999" s="41" t="str">
        <f t="shared" si="739"/>
        <v/>
      </c>
      <c r="Q999" s="9" t="str">
        <f t="shared" si="740"/>
        <v/>
      </c>
      <c r="R999" s="14">
        <f t="shared" si="741"/>
        <v>0</v>
      </c>
      <c r="S999" s="61" t="str">
        <f t="shared" si="742"/>
        <v/>
      </c>
      <c r="T999" s="14">
        <f t="shared" si="743"/>
        <v>0</v>
      </c>
      <c r="U999" s="58" t="str">
        <f t="shared" si="744"/>
        <v/>
      </c>
      <c r="V999" s="14">
        <f t="shared" si="745"/>
        <v>0</v>
      </c>
      <c r="W999" s="58" t="str">
        <f t="shared" si="746"/>
        <v/>
      </c>
      <c r="X999" s="14">
        <f t="shared" si="747"/>
        <v>0</v>
      </c>
      <c r="Y999" s="58" t="str">
        <f t="shared" si="748"/>
        <v/>
      </c>
      <c r="Z999" s="31">
        <f t="shared" si="749"/>
        <v>0</v>
      </c>
      <c r="AA999" s="21">
        <f t="shared" si="750"/>
        <v>0</v>
      </c>
      <c r="AB999" s="58" t="str">
        <f t="shared" si="751"/>
        <v/>
      </c>
      <c r="AC999" s="630">
        <f t="shared" si="728"/>
        <v>0</v>
      </c>
      <c r="AD999" s="627"/>
      <c r="AE999" s="21">
        <f t="shared" si="752"/>
        <v>0</v>
      </c>
      <c r="AF999" s="58" t="str">
        <f t="shared" si="753"/>
        <v/>
      </c>
      <c r="AG999" s="21">
        <f t="shared" si="754"/>
        <v>0</v>
      </c>
      <c r="AH999" s="58" t="str">
        <f t="shared" si="755"/>
        <v/>
      </c>
      <c r="AI999" s="21">
        <f t="shared" si="756"/>
        <v>0</v>
      </c>
      <c r="AJ999" s="58" t="str">
        <f t="shared" si="757"/>
        <v/>
      </c>
      <c r="AK999" s="31">
        <f t="shared" si="758"/>
        <v>0</v>
      </c>
      <c r="AL999" s="21">
        <f t="shared" si="759"/>
        <v>0</v>
      </c>
      <c r="AM999" s="62" t="str">
        <f t="shared" si="760"/>
        <v/>
      </c>
      <c r="AN999" s="21">
        <f t="shared" si="761"/>
        <v>0</v>
      </c>
      <c r="AO999" s="62" t="str">
        <f t="shared" si="762"/>
        <v/>
      </c>
      <c r="AP999" s="21">
        <f t="shared" si="763"/>
        <v>0</v>
      </c>
      <c r="AQ999" s="62" t="str">
        <f t="shared" si="764"/>
        <v/>
      </c>
      <c r="AR999" s="31">
        <f t="shared" si="765"/>
        <v>0</v>
      </c>
      <c r="AS999" s="21">
        <f t="shared" si="766"/>
        <v>0</v>
      </c>
      <c r="AT999" s="62" t="str">
        <f t="shared" si="767"/>
        <v/>
      </c>
      <c r="AU999" s="84">
        <f t="shared" si="768"/>
        <v>0</v>
      </c>
      <c r="AV999" s="32">
        <f t="shared" si="769"/>
        <v>0</v>
      </c>
      <c r="AW999" s="85" t="str">
        <f t="shared" si="770"/>
        <v/>
      </c>
      <c r="AX999" s="86" t="str">
        <f t="shared" si="771"/>
        <v/>
      </c>
    </row>
    <row r="1000" spans="1:50" x14ac:dyDescent="0.2">
      <c r="A1000" s="29" t="str">
        <f t="shared" si="729"/>
        <v/>
      </c>
      <c r="B1000" s="32" t="str">
        <f t="shared" si="730"/>
        <v/>
      </c>
      <c r="C1000" s="35"/>
      <c r="D1000" s="33" t="str">
        <f t="shared" si="731"/>
        <v/>
      </c>
      <c r="E1000" s="22" t="str">
        <f t="shared" si="732"/>
        <v/>
      </c>
      <c r="F1000" s="23" t="str">
        <f t="shared" si="733"/>
        <v/>
      </c>
      <c r="G1000" s="23"/>
      <c r="H1000" s="22"/>
      <c r="I1000" s="23"/>
      <c r="J1000" s="18"/>
      <c r="K1000" s="13" t="str">
        <f t="shared" si="734"/>
        <v/>
      </c>
      <c r="L1000" s="28" t="str">
        <f t="shared" si="735"/>
        <v/>
      </c>
      <c r="M1000" s="10" t="str">
        <f t="shared" si="736"/>
        <v/>
      </c>
      <c r="N1000" s="17" t="str">
        <f t="shared" si="737"/>
        <v/>
      </c>
      <c r="O1000" s="39" t="str">
        <f t="shared" si="738"/>
        <v/>
      </c>
      <c r="P1000" s="41" t="str">
        <f t="shared" si="739"/>
        <v/>
      </c>
      <c r="Q1000" s="9" t="str">
        <f t="shared" si="740"/>
        <v/>
      </c>
      <c r="R1000" s="14">
        <f t="shared" si="741"/>
        <v>0</v>
      </c>
      <c r="S1000" s="61" t="str">
        <f t="shared" si="742"/>
        <v/>
      </c>
      <c r="T1000" s="14">
        <f t="shared" si="743"/>
        <v>0</v>
      </c>
      <c r="U1000" s="58" t="str">
        <f t="shared" si="744"/>
        <v/>
      </c>
      <c r="V1000" s="14">
        <f t="shared" si="745"/>
        <v>0</v>
      </c>
      <c r="W1000" s="58" t="str">
        <f t="shared" si="746"/>
        <v/>
      </c>
      <c r="X1000" s="14">
        <f t="shared" si="747"/>
        <v>0</v>
      </c>
      <c r="Y1000" s="58" t="str">
        <f t="shared" si="748"/>
        <v/>
      </c>
      <c r="Z1000" s="31">
        <f t="shared" si="749"/>
        <v>0</v>
      </c>
      <c r="AA1000" s="21">
        <f t="shared" si="750"/>
        <v>0</v>
      </c>
      <c r="AB1000" s="58" t="str">
        <f t="shared" si="751"/>
        <v/>
      </c>
      <c r="AC1000" s="630">
        <f t="shared" si="728"/>
        <v>0</v>
      </c>
      <c r="AD1000" s="627"/>
      <c r="AE1000" s="21">
        <f t="shared" si="752"/>
        <v>0</v>
      </c>
      <c r="AF1000" s="58" t="str">
        <f t="shared" si="753"/>
        <v/>
      </c>
      <c r="AG1000" s="21">
        <f t="shared" si="754"/>
        <v>0</v>
      </c>
      <c r="AH1000" s="58" t="str">
        <f t="shared" si="755"/>
        <v/>
      </c>
      <c r="AI1000" s="21">
        <f t="shared" si="756"/>
        <v>0</v>
      </c>
      <c r="AJ1000" s="58" t="str">
        <f t="shared" si="757"/>
        <v/>
      </c>
      <c r="AK1000" s="31">
        <f t="shared" si="758"/>
        <v>0</v>
      </c>
      <c r="AL1000" s="21">
        <f t="shared" si="759"/>
        <v>0</v>
      </c>
      <c r="AM1000" s="62" t="str">
        <f t="shared" si="760"/>
        <v/>
      </c>
      <c r="AN1000" s="21">
        <f t="shared" si="761"/>
        <v>0</v>
      </c>
      <c r="AO1000" s="62" t="str">
        <f t="shared" si="762"/>
        <v/>
      </c>
      <c r="AP1000" s="21">
        <f t="shared" si="763"/>
        <v>0</v>
      </c>
      <c r="AQ1000" s="62" t="str">
        <f t="shared" si="764"/>
        <v/>
      </c>
      <c r="AR1000" s="31">
        <f t="shared" si="765"/>
        <v>0</v>
      </c>
      <c r="AS1000" s="21">
        <f t="shared" si="766"/>
        <v>0</v>
      </c>
      <c r="AT1000" s="62" t="str">
        <f t="shared" si="767"/>
        <v/>
      </c>
      <c r="AU1000" s="84">
        <f t="shared" si="768"/>
        <v>0</v>
      </c>
      <c r="AV1000" s="32">
        <f t="shared" si="769"/>
        <v>0</v>
      </c>
      <c r="AW1000" s="85" t="str">
        <f t="shared" si="770"/>
        <v/>
      </c>
      <c r="AX1000" s="86" t="str">
        <f t="shared" si="771"/>
        <v/>
      </c>
    </row>
    <row r="1001" spans="1:50" x14ac:dyDescent="0.2">
      <c r="A1001" s="29" t="str">
        <f t="shared" si="729"/>
        <v/>
      </c>
      <c r="B1001" s="32" t="str">
        <f t="shared" si="730"/>
        <v/>
      </c>
      <c r="C1001" s="35"/>
      <c r="D1001" s="33" t="str">
        <f t="shared" si="731"/>
        <v/>
      </c>
      <c r="E1001" s="22" t="str">
        <f t="shared" si="732"/>
        <v/>
      </c>
      <c r="F1001" s="23" t="str">
        <f t="shared" si="733"/>
        <v/>
      </c>
      <c r="G1001" s="23"/>
      <c r="H1001" s="22"/>
      <c r="I1001" s="23"/>
      <c r="J1001" s="18"/>
      <c r="K1001" s="13" t="str">
        <f t="shared" si="734"/>
        <v/>
      </c>
      <c r="L1001" s="28" t="str">
        <f t="shared" si="735"/>
        <v/>
      </c>
      <c r="M1001" s="10" t="str">
        <f t="shared" si="736"/>
        <v/>
      </c>
      <c r="N1001" s="17" t="str">
        <f t="shared" si="737"/>
        <v/>
      </c>
      <c r="O1001" s="39" t="str">
        <f t="shared" si="738"/>
        <v/>
      </c>
      <c r="P1001" s="41" t="str">
        <f t="shared" si="739"/>
        <v/>
      </c>
      <c r="Q1001" s="9" t="str">
        <f t="shared" si="740"/>
        <v/>
      </c>
      <c r="R1001" s="14">
        <f t="shared" si="741"/>
        <v>0</v>
      </c>
      <c r="S1001" s="61" t="str">
        <f t="shared" si="742"/>
        <v/>
      </c>
      <c r="T1001" s="14">
        <f t="shared" si="743"/>
        <v>0</v>
      </c>
      <c r="U1001" s="58" t="str">
        <f t="shared" si="744"/>
        <v/>
      </c>
      <c r="V1001" s="14">
        <f t="shared" si="745"/>
        <v>0</v>
      </c>
      <c r="W1001" s="58" t="str">
        <f t="shared" si="746"/>
        <v/>
      </c>
      <c r="X1001" s="14">
        <f t="shared" si="747"/>
        <v>0</v>
      </c>
      <c r="Y1001" s="58" t="str">
        <f t="shared" si="748"/>
        <v/>
      </c>
      <c r="Z1001" s="31">
        <f t="shared" si="749"/>
        <v>0</v>
      </c>
      <c r="AA1001" s="21">
        <f t="shared" si="750"/>
        <v>0</v>
      </c>
      <c r="AB1001" s="58" t="str">
        <f t="shared" si="751"/>
        <v/>
      </c>
      <c r="AC1001" s="630">
        <f t="shared" si="728"/>
        <v>0</v>
      </c>
      <c r="AD1001" s="627"/>
      <c r="AE1001" s="21">
        <f t="shared" si="752"/>
        <v>0</v>
      </c>
      <c r="AF1001" s="58" t="str">
        <f t="shared" si="753"/>
        <v/>
      </c>
      <c r="AG1001" s="21">
        <f t="shared" si="754"/>
        <v>0</v>
      </c>
      <c r="AH1001" s="58" t="str">
        <f t="shared" si="755"/>
        <v/>
      </c>
      <c r="AI1001" s="21">
        <f t="shared" si="756"/>
        <v>0</v>
      </c>
      <c r="AJ1001" s="58" t="str">
        <f t="shared" si="757"/>
        <v/>
      </c>
      <c r="AK1001" s="31">
        <f t="shared" si="758"/>
        <v>0</v>
      </c>
      <c r="AL1001" s="21">
        <f t="shared" si="759"/>
        <v>0</v>
      </c>
      <c r="AM1001" s="62" t="str">
        <f t="shared" si="760"/>
        <v/>
      </c>
      <c r="AN1001" s="21">
        <f t="shared" si="761"/>
        <v>0</v>
      </c>
      <c r="AO1001" s="62" t="str">
        <f t="shared" si="762"/>
        <v/>
      </c>
      <c r="AP1001" s="21">
        <f t="shared" si="763"/>
        <v>0</v>
      </c>
      <c r="AQ1001" s="62" t="str">
        <f t="shared" si="764"/>
        <v/>
      </c>
      <c r="AR1001" s="31">
        <f t="shared" si="765"/>
        <v>0</v>
      </c>
      <c r="AS1001" s="21">
        <f t="shared" si="766"/>
        <v>0</v>
      </c>
      <c r="AT1001" s="62" t="str">
        <f t="shared" si="767"/>
        <v/>
      </c>
      <c r="AU1001" s="84">
        <f t="shared" si="768"/>
        <v>0</v>
      </c>
      <c r="AV1001" s="32">
        <f t="shared" si="769"/>
        <v>0</v>
      </c>
      <c r="AW1001" s="85" t="str">
        <f t="shared" si="770"/>
        <v/>
      </c>
      <c r="AX1001" s="86" t="str">
        <f t="shared" si="771"/>
        <v/>
      </c>
    </row>
    <row r="1002" spans="1:50" x14ac:dyDescent="0.2">
      <c r="A1002" s="29" t="str">
        <f t="shared" si="729"/>
        <v/>
      </c>
      <c r="B1002" s="32" t="str">
        <f t="shared" si="730"/>
        <v/>
      </c>
      <c r="C1002" s="35"/>
      <c r="D1002" s="33" t="str">
        <f t="shared" si="731"/>
        <v/>
      </c>
      <c r="E1002" s="22" t="str">
        <f t="shared" si="732"/>
        <v/>
      </c>
      <c r="F1002" s="23" t="str">
        <f t="shared" si="733"/>
        <v/>
      </c>
      <c r="G1002" s="23"/>
      <c r="H1002" s="22"/>
      <c r="I1002" s="23"/>
      <c r="J1002" s="18"/>
      <c r="K1002" s="13" t="str">
        <f t="shared" si="734"/>
        <v/>
      </c>
      <c r="L1002" s="28" t="str">
        <f t="shared" si="735"/>
        <v/>
      </c>
      <c r="M1002" s="10" t="str">
        <f t="shared" si="736"/>
        <v/>
      </c>
      <c r="N1002" s="17" t="str">
        <f t="shared" si="737"/>
        <v/>
      </c>
      <c r="O1002" s="39" t="str">
        <f t="shared" si="738"/>
        <v/>
      </c>
      <c r="P1002" s="41" t="str">
        <f t="shared" si="739"/>
        <v/>
      </c>
      <c r="Q1002" s="9" t="str">
        <f t="shared" si="740"/>
        <v/>
      </c>
      <c r="R1002" s="14">
        <f t="shared" si="741"/>
        <v>0</v>
      </c>
      <c r="S1002" s="61" t="str">
        <f t="shared" si="742"/>
        <v/>
      </c>
      <c r="T1002" s="14">
        <f t="shared" si="743"/>
        <v>0</v>
      </c>
      <c r="U1002" s="58" t="str">
        <f t="shared" si="744"/>
        <v/>
      </c>
      <c r="V1002" s="14">
        <f t="shared" si="745"/>
        <v>0</v>
      </c>
      <c r="W1002" s="58" t="str">
        <f t="shared" si="746"/>
        <v/>
      </c>
      <c r="X1002" s="14">
        <f t="shared" si="747"/>
        <v>0</v>
      </c>
      <c r="Y1002" s="58" t="str">
        <f t="shared" si="748"/>
        <v/>
      </c>
      <c r="Z1002" s="31">
        <f t="shared" si="749"/>
        <v>0</v>
      </c>
      <c r="AA1002" s="21">
        <f t="shared" si="750"/>
        <v>0</v>
      </c>
      <c r="AB1002" s="58" t="str">
        <f t="shared" si="751"/>
        <v/>
      </c>
      <c r="AC1002" s="630">
        <f t="shared" si="728"/>
        <v>0</v>
      </c>
      <c r="AD1002" s="627"/>
      <c r="AE1002" s="21">
        <f t="shared" si="752"/>
        <v>0</v>
      </c>
      <c r="AF1002" s="58" t="str">
        <f t="shared" si="753"/>
        <v/>
      </c>
      <c r="AG1002" s="21">
        <f t="shared" si="754"/>
        <v>0</v>
      </c>
      <c r="AH1002" s="58" t="str">
        <f t="shared" si="755"/>
        <v/>
      </c>
      <c r="AI1002" s="21">
        <f t="shared" si="756"/>
        <v>0</v>
      </c>
      <c r="AJ1002" s="58" t="str">
        <f t="shared" si="757"/>
        <v/>
      </c>
      <c r="AK1002" s="31">
        <f t="shared" si="758"/>
        <v>0</v>
      </c>
      <c r="AL1002" s="21">
        <f t="shared" si="759"/>
        <v>0</v>
      </c>
      <c r="AM1002" s="62" t="str">
        <f t="shared" si="760"/>
        <v/>
      </c>
      <c r="AN1002" s="21">
        <f t="shared" si="761"/>
        <v>0</v>
      </c>
      <c r="AO1002" s="62" t="str">
        <f t="shared" si="762"/>
        <v/>
      </c>
      <c r="AP1002" s="21">
        <f t="shared" si="763"/>
        <v>0</v>
      </c>
      <c r="AQ1002" s="62" t="str">
        <f t="shared" si="764"/>
        <v/>
      </c>
      <c r="AR1002" s="31">
        <f t="shared" si="765"/>
        <v>0</v>
      </c>
      <c r="AS1002" s="21">
        <f t="shared" si="766"/>
        <v>0</v>
      </c>
      <c r="AT1002" s="62" t="str">
        <f t="shared" si="767"/>
        <v/>
      </c>
      <c r="AU1002" s="84">
        <f t="shared" si="768"/>
        <v>0</v>
      </c>
      <c r="AV1002" s="32">
        <f t="shared" si="769"/>
        <v>0</v>
      </c>
      <c r="AW1002" s="85" t="str">
        <f t="shared" si="770"/>
        <v/>
      </c>
      <c r="AX1002" s="86" t="str">
        <f t="shared" si="771"/>
        <v/>
      </c>
    </row>
    <row r="1003" spans="1:50" x14ac:dyDescent="0.2">
      <c r="A1003" s="29" t="str">
        <f t="shared" si="729"/>
        <v/>
      </c>
      <c r="B1003" s="32" t="str">
        <f t="shared" si="730"/>
        <v/>
      </c>
      <c r="C1003" s="35"/>
      <c r="D1003" s="33" t="str">
        <f t="shared" si="731"/>
        <v/>
      </c>
      <c r="E1003" s="22" t="str">
        <f t="shared" si="732"/>
        <v/>
      </c>
      <c r="F1003" s="23" t="str">
        <f t="shared" si="733"/>
        <v/>
      </c>
      <c r="G1003" s="23"/>
      <c r="H1003" s="22"/>
      <c r="I1003" s="23"/>
      <c r="J1003" s="18"/>
      <c r="K1003" s="13" t="str">
        <f t="shared" si="734"/>
        <v/>
      </c>
      <c r="L1003" s="28" t="str">
        <f t="shared" si="735"/>
        <v/>
      </c>
      <c r="M1003" s="10" t="str">
        <f t="shared" si="736"/>
        <v/>
      </c>
      <c r="N1003" s="17" t="str">
        <f t="shared" si="737"/>
        <v/>
      </c>
      <c r="O1003" s="39" t="str">
        <f t="shared" si="738"/>
        <v/>
      </c>
      <c r="P1003" s="41" t="str">
        <f t="shared" si="739"/>
        <v/>
      </c>
      <c r="Q1003" s="9" t="str">
        <f t="shared" si="740"/>
        <v/>
      </c>
      <c r="R1003" s="14">
        <f t="shared" si="741"/>
        <v>0</v>
      </c>
      <c r="S1003" s="61" t="str">
        <f t="shared" si="742"/>
        <v/>
      </c>
      <c r="T1003" s="14">
        <f t="shared" si="743"/>
        <v>0</v>
      </c>
      <c r="U1003" s="58" t="str">
        <f t="shared" si="744"/>
        <v/>
      </c>
      <c r="V1003" s="14">
        <f t="shared" si="745"/>
        <v>0</v>
      </c>
      <c r="W1003" s="58" t="str">
        <f t="shared" si="746"/>
        <v/>
      </c>
      <c r="X1003" s="14">
        <f t="shared" si="747"/>
        <v>0</v>
      </c>
      <c r="Y1003" s="58" t="str">
        <f t="shared" si="748"/>
        <v/>
      </c>
      <c r="Z1003" s="31">
        <f t="shared" si="749"/>
        <v>0</v>
      </c>
      <c r="AA1003" s="21">
        <f t="shared" si="750"/>
        <v>0</v>
      </c>
      <c r="AB1003" s="58" t="str">
        <f t="shared" si="751"/>
        <v/>
      </c>
      <c r="AC1003" s="630">
        <f t="shared" si="728"/>
        <v>0</v>
      </c>
      <c r="AD1003" s="627"/>
      <c r="AE1003" s="21">
        <f t="shared" si="752"/>
        <v>0</v>
      </c>
      <c r="AF1003" s="58" t="str">
        <f t="shared" si="753"/>
        <v/>
      </c>
      <c r="AG1003" s="21">
        <f t="shared" si="754"/>
        <v>0</v>
      </c>
      <c r="AH1003" s="58" t="str">
        <f t="shared" si="755"/>
        <v/>
      </c>
      <c r="AI1003" s="21">
        <f t="shared" si="756"/>
        <v>0</v>
      </c>
      <c r="AJ1003" s="58" t="str">
        <f t="shared" si="757"/>
        <v/>
      </c>
      <c r="AK1003" s="31">
        <f t="shared" si="758"/>
        <v>0</v>
      </c>
      <c r="AL1003" s="21">
        <f t="shared" si="759"/>
        <v>0</v>
      </c>
      <c r="AM1003" s="62" t="str">
        <f t="shared" si="760"/>
        <v/>
      </c>
      <c r="AN1003" s="21">
        <f t="shared" si="761"/>
        <v>0</v>
      </c>
      <c r="AO1003" s="62" t="str">
        <f t="shared" si="762"/>
        <v/>
      </c>
      <c r="AP1003" s="21">
        <f t="shared" si="763"/>
        <v>0</v>
      </c>
      <c r="AQ1003" s="62" t="str">
        <f t="shared" si="764"/>
        <v/>
      </c>
      <c r="AR1003" s="31">
        <f t="shared" si="765"/>
        <v>0</v>
      </c>
      <c r="AS1003" s="21">
        <f t="shared" si="766"/>
        <v>0</v>
      </c>
      <c r="AT1003" s="62" t="str">
        <f t="shared" si="767"/>
        <v/>
      </c>
      <c r="AU1003" s="84">
        <f t="shared" si="768"/>
        <v>0</v>
      </c>
      <c r="AV1003" s="32">
        <f t="shared" si="769"/>
        <v>0</v>
      </c>
      <c r="AW1003" s="85" t="str">
        <f t="shared" si="770"/>
        <v/>
      </c>
      <c r="AX1003" s="86" t="str">
        <f t="shared" si="771"/>
        <v/>
      </c>
    </row>
    <row r="1004" spans="1:50" x14ac:dyDescent="0.2">
      <c r="A1004" s="29" t="str">
        <f t="shared" si="729"/>
        <v/>
      </c>
      <c r="B1004" s="32" t="str">
        <f t="shared" si="730"/>
        <v/>
      </c>
      <c r="C1004" s="35"/>
      <c r="D1004" s="33" t="str">
        <f t="shared" si="731"/>
        <v/>
      </c>
      <c r="E1004" s="22" t="str">
        <f t="shared" si="732"/>
        <v/>
      </c>
      <c r="F1004" s="23" t="str">
        <f t="shared" si="733"/>
        <v/>
      </c>
      <c r="G1004" s="23"/>
      <c r="H1004" s="22"/>
      <c r="I1004" s="23"/>
      <c r="J1004" s="18"/>
      <c r="K1004" s="13" t="str">
        <f t="shared" si="734"/>
        <v/>
      </c>
      <c r="L1004" s="28" t="str">
        <f t="shared" si="735"/>
        <v/>
      </c>
      <c r="M1004" s="10" t="str">
        <f t="shared" si="736"/>
        <v/>
      </c>
      <c r="N1004" s="17" t="str">
        <f t="shared" si="737"/>
        <v/>
      </c>
      <c r="O1004" s="39" t="str">
        <f t="shared" si="738"/>
        <v/>
      </c>
      <c r="P1004" s="41" t="str">
        <f t="shared" si="739"/>
        <v/>
      </c>
      <c r="Q1004" s="9" t="str">
        <f t="shared" si="740"/>
        <v/>
      </c>
      <c r="R1004" s="14">
        <f t="shared" si="741"/>
        <v>0</v>
      </c>
      <c r="S1004" s="61" t="str">
        <f t="shared" si="742"/>
        <v/>
      </c>
      <c r="T1004" s="14">
        <f t="shared" si="743"/>
        <v>0</v>
      </c>
      <c r="U1004" s="58" t="str">
        <f t="shared" si="744"/>
        <v/>
      </c>
      <c r="V1004" s="14">
        <f t="shared" si="745"/>
        <v>0</v>
      </c>
      <c r="W1004" s="58" t="str">
        <f t="shared" si="746"/>
        <v/>
      </c>
      <c r="X1004" s="14">
        <f t="shared" si="747"/>
        <v>0</v>
      </c>
      <c r="Y1004" s="58" t="str">
        <f t="shared" si="748"/>
        <v/>
      </c>
      <c r="Z1004" s="31">
        <f t="shared" si="749"/>
        <v>0</v>
      </c>
      <c r="AA1004" s="21">
        <f t="shared" si="750"/>
        <v>0</v>
      </c>
      <c r="AB1004" s="58" t="str">
        <f t="shared" si="751"/>
        <v/>
      </c>
      <c r="AC1004" s="630">
        <f t="shared" si="728"/>
        <v>0</v>
      </c>
      <c r="AD1004" s="627"/>
      <c r="AE1004" s="21">
        <f t="shared" si="752"/>
        <v>0</v>
      </c>
      <c r="AF1004" s="58" t="str">
        <f t="shared" si="753"/>
        <v/>
      </c>
      <c r="AG1004" s="21">
        <f t="shared" si="754"/>
        <v>0</v>
      </c>
      <c r="AH1004" s="58" t="str">
        <f t="shared" si="755"/>
        <v/>
      </c>
      <c r="AI1004" s="21">
        <f t="shared" si="756"/>
        <v>0</v>
      </c>
      <c r="AJ1004" s="58" t="str">
        <f t="shared" si="757"/>
        <v/>
      </c>
      <c r="AK1004" s="31">
        <f t="shared" si="758"/>
        <v>0</v>
      </c>
      <c r="AL1004" s="21">
        <f t="shared" si="759"/>
        <v>0</v>
      </c>
      <c r="AM1004" s="62" t="str">
        <f t="shared" si="760"/>
        <v/>
      </c>
      <c r="AN1004" s="21">
        <f t="shared" si="761"/>
        <v>0</v>
      </c>
      <c r="AO1004" s="62" t="str">
        <f t="shared" si="762"/>
        <v/>
      </c>
      <c r="AP1004" s="21">
        <f t="shared" si="763"/>
        <v>0</v>
      </c>
      <c r="AQ1004" s="62" t="str">
        <f t="shared" si="764"/>
        <v/>
      </c>
      <c r="AR1004" s="31">
        <f t="shared" si="765"/>
        <v>0</v>
      </c>
      <c r="AS1004" s="21">
        <f t="shared" si="766"/>
        <v>0</v>
      </c>
      <c r="AT1004" s="62" t="str">
        <f t="shared" si="767"/>
        <v/>
      </c>
      <c r="AU1004" s="84">
        <f t="shared" si="768"/>
        <v>0</v>
      </c>
      <c r="AV1004" s="32">
        <f t="shared" si="769"/>
        <v>0</v>
      </c>
      <c r="AW1004" s="85" t="str">
        <f t="shared" si="770"/>
        <v/>
      </c>
      <c r="AX1004" s="86" t="str">
        <f t="shared" si="771"/>
        <v/>
      </c>
    </row>
    <row r="1005" spans="1:50" x14ac:dyDescent="0.2">
      <c r="AX1005" s="81"/>
    </row>
  </sheetData>
  <mergeCells count="74">
    <mergeCell ref="A9:B9"/>
    <mergeCell ref="A10:B10"/>
    <mergeCell ref="A11:B11"/>
    <mergeCell ref="D8:H8"/>
    <mergeCell ref="I9:J9"/>
    <mergeCell ref="I10:J10"/>
    <mergeCell ref="I11:J11"/>
    <mergeCell ref="N15:O15"/>
    <mergeCell ref="K18:K19"/>
    <mergeCell ref="R18:S18"/>
    <mergeCell ref="I12:J12"/>
    <mergeCell ref="G19:J19"/>
    <mergeCell ref="D18:J18"/>
    <mergeCell ref="N16:O16"/>
    <mergeCell ref="L10:P10"/>
    <mergeCell ref="N11:O11"/>
    <mergeCell ref="D13:H13"/>
    <mergeCell ref="D9:H9"/>
    <mergeCell ref="D11:H11"/>
    <mergeCell ref="I7:J7"/>
    <mergeCell ref="I8:J8"/>
    <mergeCell ref="A1:B1"/>
    <mergeCell ref="C1:J1"/>
    <mergeCell ref="A3:J3"/>
    <mergeCell ref="A4:B4"/>
    <mergeCell ref="D5:H5"/>
    <mergeCell ref="I5:J5"/>
    <mergeCell ref="D4:H4"/>
    <mergeCell ref="I4:J4"/>
    <mergeCell ref="A5:B5"/>
    <mergeCell ref="D7:H7"/>
    <mergeCell ref="A7:B7"/>
    <mergeCell ref="A8:B8"/>
    <mergeCell ref="L1:M1"/>
    <mergeCell ref="N1:P1"/>
    <mergeCell ref="A6:B6"/>
    <mergeCell ref="D6:H6"/>
    <mergeCell ref="A2:P2"/>
    <mergeCell ref="I6:J6"/>
    <mergeCell ref="L3:P3"/>
    <mergeCell ref="L4:M4"/>
    <mergeCell ref="O4:P4"/>
    <mergeCell ref="AI18:AJ18"/>
    <mergeCell ref="A18:A19"/>
    <mergeCell ref="B18:B19"/>
    <mergeCell ref="C18:C19"/>
    <mergeCell ref="D12:H12"/>
    <mergeCell ref="N13:O13"/>
    <mergeCell ref="I13:J13"/>
    <mergeCell ref="I14:J14"/>
    <mergeCell ref="I15:J15"/>
    <mergeCell ref="A17:P17"/>
    <mergeCell ref="D15:H15"/>
    <mergeCell ref="A12:B12"/>
    <mergeCell ref="A14:B14"/>
    <mergeCell ref="A15:B15"/>
    <mergeCell ref="A13:B13"/>
    <mergeCell ref="T18:U18"/>
    <mergeCell ref="AC18:AD18"/>
    <mergeCell ref="AU18:AV18"/>
    <mergeCell ref="AW18:AX18"/>
    <mergeCell ref="AS18:AT18"/>
    <mergeCell ref="N12:O12"/>
    <mergeCell ref="N14:O14"/>
    <mergeCell ref="AG18:AH18"/>
    <mergeCell ref="M18:N18"/>
    <mergeCell ref="O18:P18"/>
    <mergeCell ref="AE18:AF18"/>
    <mergeCell ref="AP18:AQ18"/>
    <mergeCell ref="V18:W18"/>
    <mergeCell ref="X18:Y18"/>
    <mergeCell ref="AA18:AB18"/>
    <mergeCell ref="AN18:AO18"/>
    <mergeCell ref="AL18:AM18"/>
  </mergeCells>
  <phoneticPr fontId="0" type="noConversion"/>
  <pageMargins left="0.39370078740157483" right="0.39370078740157483" top="0.39370078740157483" bottom="0" header="0" footer="0"/>
  <pageSetup paperSize="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2:AP65"/>
  <sheetViews>
    <sheetView workbookViewId="0">
      <selection activeCell="B17" sqref="B17"/>
    </sheetView>
  </sheetViews>
  <sheetFormatPr defaultColWidth="11.44140625" defaultRowHeight="13.2" x14ac:dyDescent="0.25"/>
  <cols>
    <col min="13" max="13" width="13.44140625" customWidth="1"/>
  </cols>
  <sheetData>
    <row r="2" spans="1:42" ht="13.8" thickBot="1" x14ac:dyDescent="0.3">
      <c r="B2" s="122"/>
      <c r="C2" s="122"/>
      <c r="D2" s="122" t="s">
        <v>248</v>
      </c>
      <c r="E2" s="131"/>
    </row>
    <row r="3" spans="1:42" ht="13.8" thickBot="1" x14ac:dyDescent="0.3">
      <c r="B3" s="122" t="s">
        <v>249</v>
      </c>
      <c r="C3" s="122"/>
      <c r="D3" s="93"/>
      <c r="E3" s="131">
        <f>IF(D3="",0,$G$3*0.11)</f>
        <v>0</v>
      </c>
      <c r="F3" s="122" t="s">
        <v>250</v>
      </c>
      <c r="G3" s="132">
        <f>AP65</f>
        <v>0</v>
      </c>
      <c r="H3" s="122"/>
      <c r="I3" s="122"/>
      <c r="J3" s="122" t="s">
        <v>251</v>
      </c>
      <c r="K3" s="122"/>
      <c r="L3" s="122"/>
      <c r="M3" s="122" t="s">
        <v>475</v>
      </c>
      <c r="N3" s="346">
        <f>$Q$3*B11/10</f>
        <v>0</v>
      </c>
      <c r="P3" s="122" t="s">
        <v>474</v>
      </c>
      <c r="Q3" s="345">
        <v>2.81</v>
      </c>
    </row>
    <row r="4" spans="1:42" x14ac:dyDescent="0.25">
      <c r="B4" s="122" t="s">
        <v>252</v>
      </c>
      <c r="C4" s="122"/>
      <c r="D4" s="93" t="s">
        <v>498</v>
      </c>
      <c r="E4" s="131">
        <f>IF(D4="",0,$G$3*0.11)</f>
        <v>0</v>
      </c>
      <c r="F4" s="122"/>
      <c r="G4" s="122"/>
      <c r="H4" s="122"/>
      <c r="I4" s="122" t="s">
        <v>62</v>
      </c>
      <c r="J4" s="122">
        <f>T23</f>
        <v>0</v>
      </c>
      <c r="K4" s="122"/>
      <c r="L4" s="122"/>
      <c r="M4" s="122" t="s">
        <v>476</v>
      </c>
      <c r="N4" s="347">
        <f>$Q$4*B11/8</f>
        <v>0</v>
      </c>
      <c r="P4" s="136" t="s">
        <v>477</v>
      </c>
      <c r="Q4" s="345">
        <v>0.6</v>
      </c>
    </row>
    <row r="5" spans="1:42" ht="13.8" thickBot="1" x14ac:dyDescent="0.3">
      <c r="E5" s="131"/>
      <c r="F5" s="122"/>
      <c r="G5" s="122"/>
      <c r="H5" s="122"/>
      <c r="I5" s="122" t="s">
        <v>64</v>
      </c>
      <c r="J5" s="122">
        <f>T24</f>
        <v>0</v>
      </c>
      <c r="K5" s="122"/>
      <c r="L5" s="122"/>
    </row>
    <row r="6" spans="1:42" ht="13.8" thickBot="1" x14ac:dyDescent="0.3">
      <c r="E6" s="131" t="s">
        <v>253</v>
      </c>
      <c r="F6" s="134">
        <f>G3+E3+E4+N3+N4</f>
        <v>0</v>
      </c>
    </row>
    <row r="7" spans="1:42" ht="13.8" thickBot="1" x14ac:dyDescent="0.3"/>
    <row r="8" spans="1:42" ht="13.8" thickBot="1" x14ac:dyDescent="0.3">
      <c r="A8" s="115"/>
      <c r="B8" s="925" t="s">
        <v>254</v>
      </c>
      <c r="C8" s="926"/>
      <c r="D8" s="127" t="s">
        <v>255</v>
      </c>
      <c r="E8" s="125">
        <f>DONNÉES!Q20</f>
        <v>0.46619144602851298</v>
      </c>
      <c r="F8" s="120"/>
      <c r="AL8" s="123" t="s">
        <v>256</v>
      </c>
      <c r="AM8" s="124">
        <f>N8</f>
        <v>0</v>
      </c>
    </row>
    <row r="9" spans="1:42" x14ac:dyDescent="0.25">
      <c r="A9" s="112" t="s">
        <v>257</v>
      </c>
      <c r="B9" s="113" t="s">
        <v>258</v>
      </c>
      <c r="C9" s="113" t="s">
        <v>259</v>
      </c>
      <c r="D9" s="113" t="s">
        <v>259</v>
      </c>
      <c r="E9" s="113" t="s">
        <v>260</v>
      </c>
      <c r="F9" s="113" t="s">
        <v>260</v>
      </c>
      <c r="G9" s="113" t="s">
        <v>261</v>
      </c>
      <c r="H9" s="113" t="s">
        <v>261</v>
      </c>
      <c r="I9" s="113" t="s">
        <v>261</v>
      </c>
      <c r="J9" s="114" t="s">
        <v>262</v>
      </c>
      <c r="K9" s="113" t="s">
        <v>263</v>
      </c>
      <c r="L9" s="113" t="s">
        <v>264</v>
      </c>
      <c r="M9" s="133" t="s">
        <v>265</v>
      </c>
      <c r="N9" s="133" t="s">
        <v>266</v>
      </c>
      <c r="O9" s="113" t="s">
        <v>267</v>
      </c>
      <c r="P9" s="113" t="s">
        <v>267</v>
      </c>
      <c r="Q9" s="112" t="s">
        <v>257</v>
      </c>
      <c r="Z9" s="112" t="s">
        <v>257</v>
      </c>
      <c r="AA9" s="113" t="s">
        <v>258</v>
      </c>
      <c r="AB9" s="113" t="s">
        <v>259</v>
      </c>
      <c r="AC9" s="113" t="s">
        <v>259</v>
      </c>
      <c r="AD9" s="113" t="s">
        <v>260</v>
      </c>
      <c r="AE9" s="113" t="s">
        <v>260</v>
      </c>
      <c r="AF9" s="113" t="s">
        <v>261</v>
      </c>
      <c r="AG9" s="113" t="s">
        <v>261</v>
      </c>
      <c r="AH9" s="113" t="s">
        <v>261</v>
      </c>
      <c r="AI9" s="114" t="s">
        <v>262</v>
      </c>
      <c r="AJ9" s="113" t="s">
        <v>263</v>
      </c>
      <c r="AK9" s="113" t="s">
        <v>264</v>
      </c>
      <c r="AL9" s="126" t="s">
        <v>268</v>
      </c>
      <c r="AM9" s="126" t="s">
        <v>268</v>
      </c>
      <c r="AN9" s="113" t="s">
        <v>267</v>
      </c>
      <c r="AO9" s="113" t="s">
        <v>267</v>
      </c>
      <c r="AP9" s="112" t="s">
        <v>257</v>
      </c>
    </row>
    <row r="10" spans="1:42" x14ac:dyDescent="0.25">
      <c r="A10" s="112" t="s">
        <v>269</v>
      </c>
      <c r="B10" s="113" t="s">
        <v>270</v>
      </c>
      <c r="C10" s="113">
        <v>90</v>
      </c>
      <c r="D10" s="113">
        <v>45</v>
      </c>
      <c r="E10" s="113" t="s">
        <v>271</v>
      </c>
      <c r="F10" s="113" t="s">
        <v>272</v>
      </c>
      <c r="G10" s="113" t="s">
        <v>273</v>
      </c>
      <c r="H10" s="113">
        <v>45</v>
      </c>
      <c r="I10" s="113" t="s">
        <v>274</v>
      </c>
      <c r="J10" s="129" t="s">
        <v>275</v>
      </c>
      <c r="K10" s="113" t="s">
        <v>276</v>
      </c>
      <c r="L10" s="113" t="s">
        <v>277</v>
      </c>
      <c r="M10" s="113" t="s">
        <v>278</v>
      </c>
      <c r="N10" s="129" t="s">
        <v>275</v>
      </c>
      <c r="O10" s="113" t="s">
        <v>279</v>
      </c>
      <c r="P10" s="113" t="s">
        <v>280</v>
      </c>
      <c r="Q10" s="112" t="s">
        <v>269</v>
      </c>
      <c r="Z10" s="112" t="s">
        <v>269</v>
      </c>
      <c r="AA10" s="113" t="s">
        <v>270</v>
      </c>
      <c r="AB10" s="113">
        <v>90</v>
      </c>
      <c r="AC10" s="113">
        <v>45</v>
      </c>
      <c r="AD10" s="113" t="s">
        <v>271</v>
      </c>
      <c r="AE10" s="113" t="s">
        <v>272</v>
      </c>
      <c r="AF10" s="113" t="s">
        <v>273</v>
      </c>
      <c r="AG10" s="113">
        <v>45</v>
      </c>
      <c r="AH10" s="113" t="s">
        <v>274</v>
      </c>
      <c r="AI10" s="114" t="s">
        <v>275</v>
      </c>
      <c r="AJ10" s="113" t="s">
        <v>276</v>
      </c>
      <c r="AK10" s="113" t="s">
        <v>277</v>
      </c>
      <c r="AL10" s="113" t="s">
        <v>278</v>
      </c>
      <c r="AM10" s="114" t="s">
        <v>275</v>
      </c>
      <c r="AN10" s="113" t="s">
        <v>279</v>
      </c>
      <c r="AO10" s="113" t="s">
        <v>280</v>
      </c>
      <c r="AP10" s="112" t="s">
        <v>269</v>
      </c>
    </row>
    <row r="11" spans="1:42" x14ac:dyDescent="0.25">
      <c r="A11" s="115">
        <v>3</v>
      </c>
      <c r="B11" s="116"/>
      <c r="C11" s="116"/>
      <c r="D11" s="116"/>
      <c r="E11" s="116"/>
      <c r="F11" s="116"/>
      <c r="G11" s="116"/>
      <c r="H11" s="116"/>
      <c r="I11" s="116"/>
      <c r="J11" s="117"/>
      <c r="K11" s="116"/>
      <c r="L11" s="116">
        <f>B11/10</f>
        <v>0</v>
      </c>
      <c r="M11" s="116"/>
      <c r="N11" s="118"/>
      <c r="O11" s="116">
        <f>B11/8</f>
        <v>0</v>
      </c>
      <c r="P11" s="116"/>
      <c r="Q11" s="119">
        <v>3</v>
      </c>
      <c r="Z11" s="115">
        <v>3</v>
      </c>
      <c r="AA11" s="128">
        <f>B11*DONNÉES!N23*DONNÉES!$Q$20</f>
        <v>0</v>
      </c>
      <c r="AB11" s="128">
        <f>C11*DONNÉES!O23*DONNÉES!$Q$20</f>
        <v>0</v>
      </c>
      <c r="AC11" s="128">
        <f>D11*DONNÉES!P23*DONNÉES!$Q$20</f>
        <v>0</v>
      </c>
      <c r="AD11" s="128">
        <f>E11*DONNÉES!Q23*DONNÉES!$Q$20</f>
        <v>0</v>
      </c>
      <c r="AE11" s="128">
        <f>F11*DONNÉES!R23*DONNÉES!$Q$20</f>
        <v>0</v>
      </c>
      <c r="AF11" s="128">
        <f>G11*DONNÉES!S23*DONNÉES!$Q$20</f>
        <v>0</v>
      </c>
      <c r="AG11" s="128">
        <f>H11*DONNÉES!T23*DONNÉES!$Q$20</f>
        <v>0</v>
      </c>
      <c r="AH11" s="128">
        <f>I11*DONNÉES!U23*DONNÉES!$Q$20</f>
        <v>0</v>
      </c>
      <c r="AI11" s="128">
        <f>J11*DONNÉES!V23*DONNÉES!$Q$20</f>
        <v>0</v>
      </c>
      <c r="AJ11" s="128">
        <f>K11*DONNÉES!W23*DONNÉES!$Q$20</f>
        <v>0</v>
      </c>
      <c r="AK11" s="128">
        <f>L11*DONNÉES!X23*DONNÉES!$Q$20</f>
        <v>0</v>
      </c>
      <c r="AL11" s="128">
        <f>M11*DONNÉES!Y23*DONNÉES!$Z$19</f>
        <v>0</v>
      </c>
      <c r="AM11" s="128">
        <f>N11*DONNÉES!Z23*DONNÉES!$Z$19</f>
        <v>0</v>
      </c>
      <c r="AN11" s="128">
        <f>O11*DONNÉES!AA23*DONNÉES!$Q$20</f>
        <v>0</v>
      </c>
      <c r="AO11" s="128">
        <f>P11*DONNÉES!AB23*DONNÉES!$Q$20</f>
        <v>0</v>
      </c>
      <c r="AP11" s="119">
        <v>3</v>
      </c>
    </row>
    <row r="12" spans="1:42" x14ac:dyDescent="0.25">
      <c r="A12" s="120">
        <v>4</v>
      </c>
      <c r="B12" s="116">
        <v>48.1</v>
      </c>
      <c r="C12" s="116">
        <v>4.0</v>
      </c>
      <c r="D12" s="116"/>
      <c r="E12" s="116"/>
      <c r="F12" s="116"/>
      <c r="G12" s="116"/>
      <c r="H12" s="116"/>
      <c r="I12" s="116"/>
      <c r="J12" s="117"/>
      <c r="K12" s="116"/>
      <c r="L12" s="116">
        <f t="shared" ref="L12:L45" si="0">B12/10</f>
        <v>0</v>
      </c>
      <c r="M12" s="116">
        <v>10</v>
      </c>
      <c r="N12" s="118"/>
      <c r="O12" s="116">
        <f t="shared" ref="O12:O45" si="1">B12/8</f>
        <v>0</v>
      </c>
      <c r="P12" s="116"/>
      <c r="Q12" s="119">
        <v>4</v>
      </c>
      <c r="Z12" s="120">
        <v>4</v>
      </c>
      <c r="AA12" s="128">
        <f>B12*DONNÉES!N24*DONNÉES!$Q$20</f>
        <v>0</v>
      </c>
      <c r="AB12" s="128">
        <f>C12*DONNÉES!O24*DONNÉES!$Q$20</f>
        <v>0</v>
      </c>
      <c r="AC12" s="128">
        <f>D12*DONNÉES!P24*DONNÉES!$Q$20</f>
        <v>0</v>
      </c>
      <c r="AD12" s="128">
        <f>E12*DONNÉES!Q24*DONNÉES!$Q$20</f>
        <v>0</v>
      </c>
      <c r="AE12" s="128">
        <f>F12*DONNÉES!R24*DONNÉES!$Q$20</f>
        <v>0</v>
      </c>
      <c r="AF12" s="128">
        <f>G12*DONNÉES!S24*DONNÉES!$Q$20</f>
        <v>0</v>
      </c>
      <c r="AG12" s="128">
        <f>H12*DONNÉES!T24*DONNÉES!$Q$20</f>
        <v>0</v>
      </c>
      <c r="AH12" s="128">
        <f>I12*DONNÉES!U24*DONNÉES!$Q$20</f>
        <v>0</v>
      </c>
      <c r="AI12" s="128">
        <f>J12*DONNÉES!V24*DONNÉES!$Q$20</f>
        <v>0</v>
      </c>
      <c r="AJ12" s="128">
        <f>K12*DONNÉES!W24*DONNÉES!$Q$20</f>
        <v>0</v>
      </c>
      <c r="AK12" s="128">
        <f>L12*DONNÉES!X24*DONNÉES!$Q$20</f>
        <v>0</v>
      </c>
      <c r="AL12" s="128">
        <f>M12*DONNÉES!Y24*DONNÉES!$Z$19</f>
        <v>0</v>
      </c>
      <c r="AM12" s="128">
        <f>N12*DONNÉES!Z24*DONNÉES!$Z$19</f>
        <v>0</v>
      </c>
      <c r="AN12" s="128">
        <f>O12*DONNÉES!AA24*DONNÉES!$Q$20</f>
        <v>0</v>
      </c>
      <c r="AO12" s="128">
        <f>P12*DONNÉES!AB24*DONNÉES!$Q$20</f>
        <v>0</v>
      </c>
      <c r="AP12" s="119">
        <v>4</v>
      </c>
    </row>
    <row r="13" spans="1:42" x14ac:dyDescent="0.25">
      <c r="A13" s="120">
        <v>5</v>
      </c>
      <c r="B13" s="116">
        <v>102.9</v>
      </c>
      <c r="C13" s="116">
        <v>2.0</v>
      </c>
      <c r="D13" s="116">
        <v>2.0</v>
      </c>
      <c r="E13" s="116"/>
      <c r="F13" s="116"/>
      <c r="G13" s="116"/>
      <c r="H13" s="116"/>
      <c r="I13" s="116"/>
      <c r="J13" s="117"/>
      <c r="K13" s="116"/>
      <c r="L13" s="116">
        <f t="shared" si="0"/>
        <v>0</v>
      </c>
      <c r="M13" s="116">
        <v>8</v>
      </c>
      <c r="N13" s="118"/>
      <c r="O13" s="116">
        <f t="shared" si="1"/>
        <v>0</v>
      </c>
      <c r="P13" s="116"/>
      <c r="Q13" s="119">
        <v>5</v>
      </c>
      <c r="Z13" s="120">
        <v>5</v>
      </c>
      <c r="AA13" s="128">
        <f>B13*DONNÉES!N25*DONNÉES!$Q$20</f>
        <v>0</v>
      </c>
      <c r="AB13" s="128">
        <f>C13*DONNÉES!O25*DONNÉES!$Q$20</f>
        <v>0</v>
      </c>
      <c r="AC13" s="128">
        <f>D13*DONNÉES!P25*DONNÉES!$Q$20</f>
        <v>0</v>
      </c>
      <c r="AD13" s="128">
        <f>E13*DONNÉES!Q25*DONNÉES!$Q$20</f>
        <v>0</v>
      </c>
      <c r="AE13" s="128">
        <f>F13*DONNÉES!R25*DONNÉES!$Q$20</f>
        <v>0</v>
      </c>
      <c r="AF13" s="128">
        <f>G13*DONNÉES!S25*DONNÉES!$Q$20</f>
        <v>0</v>
      </c>
      <c r="AG13" s="128">
        <f>H13*DONNÉES!T25*DONNÉES!$Q$20</f>
        <v>0</v>
      </c>
      <c r="AH13" s="128">
        <f>I13*DONNÉES!U25*DONNÉES!$Q$20</f>
        <v>0</v>
      </c>
      <c r="AI13" s="128">
        <f>J13*DONNÉES!V25*DONNÉES!$Q$20</f>
        <v>0</v>
      </c>
      <c r="AJ13" s="128">
        <f>K13*DONNÉES!W25*DONNÉES!$Q$20</f>
        <v>0</v>
      </c>
      <c r="AK13" s="128">
        <f>L13*DONNÉES!X25*DONNÉES!$Q$20</f>
        <v>0</v>
      </c>
      <c r="AL13" s="128">
        <f>M13*DONNÉES!Y25*DONNÉES!$Z$19</f>
        <v>0</v>
      </c>
      <c r="AM13" s="128">
        <f>N13*DONNÉES!Z25*DONNÉES!$Z$19</f>
        <v>0</v>
      </c>
      <c r="AN13" s="128">
        <f>O13*DONNÉES!AA25*DONNÉES!$Q$20</f>
        <v>0</v>
      </c>
      <c r="AO13" s="128">
        <f>P13*DONNÉES!AB25*DONNÉES!$Q$20</f>
        <v>0</v>
      </c>
      <c r="AP13" s="119">
        <v>5</v>
      </c>
    </row>
    <row r="14" spans="1:42" x14ac:dyDescent="0.25">
      <c r="A14" s="120">
        <v>6</v>
      </c>
      <c r="B14" s="116">
        <v>70.4</v>
      </c>
      <c r="C14" s="116">
        <v>3.0</v>
      </c>
      <c r="D14" s="116"/>
      <c r="E14" s="116"/>
      <c r="F14" s="116"/>
      <c r="G14" s="116"/>
      <c r="H14" s="116"/>
      <c r="I14" s="116"/>
      <c r="J14" s="117"/>
      <c r="K14" s="116"/>
      <c r="L14" s="116">
        <f t="shared" si="0"/>
        <v>0</v>
      </c>
      <c r="M14" s="116">
        <v>3</v>
      </c>
      <c r="N14" s="118"/>
      <c r="O14" s="116">
        <f t="shared" si="1"/>
        <v>0</v>
      </c>
      <c r="P14" s="116"/>
      <c r="Q14" s="119">
        <v>6</v>
      </c>
      <c r="Z14" s="120">
        <v>6</v>
      </c>
      <c r="AA14" s="128">
        <f>B14*DONNÉES!N26*DONNÉES!$Q$20</f>
        <v>0</v>
      </c>
      <c r="AB14" s="128">
        <f>C14*DONNÉES!O26*DONNÉES!$Q$20</f>
        <v>0</v>
      </c>
      <c r="AC14" s="128">
        <f>D14*DONNÉES!P26*DONNÉES!$Q$20</f>
        <v>0</v>
      </c>
      <c r="AD14" s="128">
        <f>E14*DONNÉES!Q26*DONNÉES!$Q$20</f>
        <v>0</v>
      </c>
      <c r="AE14" s="128">
        <f>F14*DONNÉES!R26*DONNÉES!$Q$20</f>
        <v>0</v>
      </c>
      <c r="AF14" s="128">
        <f>G14*DONNÉES!S26*DONNÉES!$Q$20</f>
        <v>0</v>
      </c>
      <c r="AG14" s="128">
        <f>H14*DONNÉES!T26*DONNÉES!$Q$20</f>
        <v>0</v>
      </c>
      <c r="AH14" s="128">
        <f>I14*DONNÉES!U26*DONNÉES!$Q$20</f>
        <v>0</v>
      </c>
      <c r="AI14" s="128">
        <f>J14*DONNÉES!V26*DONNÉES!$Q$20</f>
        <v>0</v>
      </c>
      <c r="AJ14" s="128">
        <f>K14*DONNÉES!W26*DONNÉES!$Q$20</f>
        <v>0</v>
      </c>
      <c r="AK14" s="128">
        <f>L14*DONNÉES!X26*DONNÉES!$Q$20</f>
        <v>0</v>
      </c>
      <c r="AL14" s="128">
        <f>M14*DONNÉES!Y26*DONNÉES!$Z$19</f>
        <v>0</v>
      </c>
      <c r="AM14" s="128">
        <f>N14*DONNÉES!Z26*DONNÉES!$Z$19</f>
        <v>0</v>
      </c>
      <c r="AN14" s="128">
        <f>O14*DONNÉES!AA26*DONNÉES!$Q$20</f>
        <v>0</v>
      </c>
      <c r="AO14" s="128">
        <f>P14*DONNÉES!AB26*DONNÉES!$Q$20</f>
        <v>0</v>
      </c>
      <c r="AP14" s="119">
        <v>6</v>
      </c>
    </row>
    <row r="15" spans="1:42" x14ac:dyDescent="0.25">
      <c r="A15" s="120">
        <v>7</v>
      </c>
      <c r="B15" s="116"/>
      <c r="C15" s="116"/>
      <c r="D15" s="116"/>
      <c r="E15" s="116"/>
      <c r="F15" s="116"/>
      <c r="G15" s="116"/>
      <c r="H15" s="116"/>
      <c r="I15" s="116"/>
      <c r="J15" s="117"/>
      <c r="K15" s="116"/>
      <c r="L15" s="116">
        <f t="shared" si="0"/>
        <v>0</v>
      </c>
      <c r="M15" s="116"/>
      <c r="N15" s="118"/>
      <c r="O15" s="116">
        <f t="shared" si="1"/>
        <v>0</v>
      </c>
      <c r="P15" s="116"/>
      <c r="Q15" s="119">
        <v>7</v>
      </c>
      <c r="Z15" s="120">
        <v>7</v>
      </c>
      <c r="AA15" s="128">
        <f>B15*DONNÉES!N27*DONNÉES!$Q$20</f>
        <v>0</v>
      </c>
      <c r="AB15" s="128">
        <f>C15*DONNÉES!O27*DONNÉES!$Q$20</f>
        <v>0</v>
      </c>
      <c r="AC15" s="128">
        <f>D15*DONNÉES!P27*DONNÉES!$Q$20</f>
        <v>0</v>
      </c>
      <c r="AD15" s="128">
        <f>E15*DONNÉES!Q27*DONNÉES!$Q$20</f>
        <v>0</v>
      </c>
      <c r="AE15" s="128">
        <f>F15*DONNÉES!R27*DONNÉES!$Q$20</f>
        <v>0</v>
      </c>
      <c r="AF15" s="128">
        <f>G15*DONNÉES!S27*DONNÉES!$Q$20</f>
        <v>0</v>
      </c>
      <c r="AG15" s="128">
        <f>H15*DONNÉES!T27*DONNÉES!$Q$20</f>
        <v>0</v>
      </c>
      <c r="AH15" s="128">
        <f>I15*DONNÉES!U27*DONNÉES!$Q$20</f>
        <v>0</v>
      </c>
      <c r="AI15" s="128">
        <f>J15*DONNÉES!V27*DONNÉES!$Q$20</f>
        <v>0</v>
      </c>
      <c r="AJ15" s="128">
        <f>K15*DONNÉES!W27*DONNÉES!$Q$20</f>
        <v>0</v>
      </c>
      <c r="AK15" s="128">
        <f>L15*DONNÉES!X27*DONNÉES!$Q$20</f>
        <v>0</v>
      </c>
      <c r="AL15" s="128">
        <f>M15*DONNÉES!Y27*DONNÉES!$Z$19</f>
        <v>0</v>
      </c>
      <c r="AM15" s="128">
        <f>N15*DONNÉES!Z27*DONNÉES!$Z$19</f>
        <v>0</v>
      </c>
      <c r="AN15" s="128">
        <f>O15*DONNÉES!AA27*DONNÉES!$Q$20</f>
        <v>0</v>
      </c>
      <c r="AO15" s="128">
        <f>P15*DONNÉES!AB27*DONNÉES!$Q$20</f>
        <v>0</v>
      </c>
      <c r="AP15" s="119">
        <v>7</v>
      </c>
    </row>
    <row r="16" spans="1:42" x14ac:dyDescent="0.25">
      <c r="A16" s="120">
        <v>8</v>
      </c>
      <c r="B16" s="116">
        <v>288.8</v>
      </c>
      <c r="C16" s="116">
        <v>10.0</v>
      </c>
      <c r="D16" s="116">
        <v>26.0</v>
      </c>
      <c r="E16" s="116"/>
      <c r="F16" s="116"/>
      <c r="G16" s="116"/>
      <c r="H16" s="116"/>
      <c r="I16" s="116"/>
      <c r="J16" s="117"/>
      <c r="K16" s="116"/>
      <c r="L16" s="116">
        <f t="shared" si="0"/>
        <v>0</v>
      </c>
      <c r="M16" s="116">
        <v>46</v>
      </c>
      <c r="N16" s="118"/>
      <c r="O16" s="116">
        <f t="shared" si="1"/>
        <v>0</v>
      </c>
      <c r="P16" s="116"/>
      <c r="Q16" s="119">
        <v>8</v>
      </c>
      <c r="Z16" s="120">
        <v>8</v>
      </c>
      <c r="AA16" s="128">
        <f>B16*DONNÉES!N28*DONNÉES!$Q$20</f>
        <v>0</v>
      </c>
      <c r="AB16" s="128">
        <f>C16*DONNÉES!O28*DONNÉES!$Q$20</f>
        <v>0</v>
      </c>
      <c r="AC16" s="128">
        <f>D16*DONNÉES!P28*DONNÉES!$Q$20</f>
        <v>0</v>
      </c>
      <c r="AD16" s="128">
        <f>E16*DONNÉES!Q28*DONNÉES!$Q$20</f>
        <v>0</v>
      </c>
      <c r="AE16" s="128">
        <f>F16*DONNÉES!R28*DONNÉES!$Q$20</f>
        <v>0</v>
      </c>
      <c r="AF16" s="128">
        <f>G16*DONNÉES!S28*DONNÉES!$Q$20</f>
        <v>0</v>
      </c>
      <c r="AG16" s="128">
        <f>H16*DONNÉES!T28*DONNÉES!$Q$20</f>
        <v>0</v>
      </c>
      <c r="AH16" s="128">
        <f>I16*DONNÉES!U28*DONNÉES!$Q$20</f>
        <v>0</v>
      </c>
      <c r="AI16" s="128">
        <f>J16*DONNÉES!V28*DONNÉES!$Q$20</f>
        <v>0</v>
      </c>
      <c r="AJ16" s="128">
        <f>K16*DONNÉES!W28*DONNÉES!$Q$20</f>
        <v>0</v>
      </c>
      <c r="AK16" s="128">
        <f>L16*DONNÉES!X28*DONNÉES!$Q$20</f>
        <v>0</v>
      </c>
      <c r="AL16" s="128">
        <f>M16*DONNÉES!Y28*DONNÉES!$Z$19</f>
        <v>0</v>
      </c>
      <c r="AM16" s="128">
        <f>N16*DONNÉES!Z28*DONNÉES!$Z$19</f>
        <v>0</v>
      </c>
      <c r="AN16" s="128">
        <f>O16*DONNÉES!AA28*DONNÉES!$Q$20</f>
        <v>0</v>
      </c>
      <c r="AO16" s="128">
        <f>P16*DONNÉES!AB28*DONNÉES!$Q$20</f>
        <v>0</v>
      </c>
      <c r="AP16" s="119">
        <v>8</v>
      </c>
    </row>
    <row r="17" spans="1:42" x14ac:dyDescent="0.25">
      <c r="A17" s="120">
        <v>9</v>
      </c>
      <c r="B17" s="116"/>
      <c r="C17" s="116"/>
      <c r="D17" s="116"/>
      <c r="E17" s="116"/>
      <c r="F17" s="116"/>
      <c r="G17" s="116"/>
      <c r="H17" s="116"/>
      <c r="I17" s="116"/>
      <c r="J17" s="117"/>
      <c r="K17" s="116"/>
      <c r="L17" s="116">
        <f t="shared" si="0"/>
        <v>0</v>
      </c>
      <c r="M17" s="116"/>
      <c r="N17" s="118"/>
      <c r="O17" s="116">
        <f t="shared" si="1"/>
        <v>0</v>
      </c>
      <c r="P17" s="116"/>
      <c r="Q17" s="119">
        <v>9</v>
      </c>
      <c r="Z17" s="120">
        <v>9</v>
      </c>
      <c r="AA17" s="128">
        <f>B17*DONNÉES!N29*DONNÉES!$Q$20</f>
        <v>0</v>
      </c>
      <c r="AB17" s="128">
        <f>C17*DONNÉES!O29*DONNÉES!$Q$20</f>
        <v>0</v>
      </c>
      <c r="AC17" s="128">
        <f>D17*DONNÉES!P29*DONNÉES!$Q$20</f>
        <v>0</v>
      </c>
      <c r="AD17" s="128">
        <f>E17*DONNÉES!Q29*DONNÉES!$Q$20</f>
        <v>0</v>
      </c>
      <c r="AE17" s="128">
        <f>F17*DONNÉES!R29*DONNÉES!$Q$20</f>
        <v>0</v>
      </c>
      <c r="AF17" s="128">
        <f>G17*DONNÉES!S29*DONNÉES!$Q$20</f>
        <v>0</v>
      </c>
      <c r="AG17" s="128">
        <f>H17*DONNÉES!T29*DONNÉES!$Q$20</f>
        <v>0</v>
      </c>
      <c r="AH17" s="128">
        <f>I17*DONNÉES!U29*DONNÉES!$Q$20</f>
        <v>0</v>
      </c>
      <c r="AI17" s="128">
        <f>J17*DONNÉES!V29*DONNÉES!$Q$20</f>
        <v>0</v>
      </c>
      <c r="AJ17" s="128">
        <f>K17*DONNÉES!W29*DONNÉES!$Q$20</f>
        <v>0</v>
      </c>
      <c r="AK17" s="128">
        <f>L17*DONNÉES!X29*DONNÉES!$Q$20</f>
        <v>0</v>
      </c>
      <c r="AL17" s="128">
        <f>M17*DONNÉES!Y29*DONNÉES!$Z$19</f>
        <v>0</v>
      </c>
      <c r="AM17" s="128">
        <f>N17*DONNÉES!Z29*DONNÉES!$Z$19</f>
        <v>0</v>
      </c>
      <c r="AN17" s="128">
        <f>O17*DONNÉES!AA29*DONNÉES!$Q$20</f>
        <v>0</v>
      </c>
      <c r="AO17" s="128">
        <f>P17*DONNÉES!AB29*DONNÉES!$Q$20</f>
        <v>0</v>
      </c>
      <c r="AP17" s="119">
        <v>9</v>
      </c>
    </row>
    <row r="18" spans="1:42" x14ac:dyDescent="0.25">
      <c r="A18" s="120">
        <v>10</v>
      </c>
      <c r="B18" s="116">
        <v>81.8</v>
      </c>
      <c r="C18" s="116">
        <v>5.0</v>
      </c>
      <c r="D18" s="116"/>
      <c r="E18" s="116"/>
      <c r="F18" s="116"/>
      <c r="G18" s="116"/>
      <c r="H18" s="116"/>
      <c r="I18" s="116"/>
      <c r="J18" s="118"/>
      <c r="K18" s="116"/>
      <c r="L18" s="116">
        <f t="shared" si="0"/>
        <v>0</v>
      </c>
      <c r="M18" s="116"/>
      <c r="N18" s="118"/>
      <c r="O18" s="116">
        <f t="shared" si="1"/>
        <v>0</v>
      </c>
      <c r="P18" s="116"/>
      <c r="Q18" s="119">
        <v>10</v>
      </c>
      <c r="Z18" s="120">
        <v>10</v>
      </c>
      <c r="AA18" s="128">
        <f>B18*DONNÉES!N30*DONNÉES!$Q$20</f>
        <v>0</v>
      </c>
      <c r="AB18" s="128">
        <f>C18*DONNÉES!O30*DONNÉES!$Q$20</f>
        <v>0</v>
      </c>
      <c r="AC18" s="128">
        <f>D18*DONNÉES!P30*DONNÉES!$Q$20</f>
        <v>0</v>
      </c>
      <c r="AD18" s="128">
        <f>E18*DONNÉES!Q30*DONNÉES!$Q$20</f>
        <v>0</v>
      </c>
      <c r="AE18" s="128">
        <f>F18*DONNÉES!R30*DONNÉES!$Q$20</f>
        <v>0</v>
      </c>
      <c r="AF18" s="128">
        <f>G18*DONNÉES!S30*DONNÉES!$Q$20</f>
        <v>0</v>
      </c>
      <c r="AG18" s="128">
        <f>H18*DONNÉES!T30*DONNÉES!$Q$20</f>
        <v>0</v>
      </c>
      <c r="AH18" s="128">
        <f>I18*DONNÉES!U30*DONNÉES!$Q$20</f>
        <v>0</v>
      </c>
      <c r="AI18" s="128">
        <f>J18*DONNÉES!V30*DONNÉES!$Q$20</f>
        <v>0</v>
      </c>
      <c r="AJ18" s="128">
        <f>K18*DONNÉES!W30*DONNÉES!$Q$20</f>
        <v>0</v>
      </c>
      <c r="AK18" s="128">
        <f>L18*DONNÉES!X30*DONNÉES!$Q$20</f>
        <v>0</v>
      </c>
      <c r="AL18" s="128">
        <f>M18*DONNÉES!Y30*DONNÉES!$Z$19</f>
        <v>0</v>
      </c>
      <c r="AM18" s="128">
        <f>N18*DONNÉES!Z30*DONNÉES!$Z$19</f>
        <v>0</v>
      </c>
      <c r="AN18" s="128">
        <f>O18*DONNÉES!AA30*DONNÉES!$Q$20</f>
        <v>0</v>
      </c>
      <c r="AO18" s="128">
        <f>P18*DONNÉES!AB30*DONNÉES!$Q$20</f>
        <v>0</v>
      </c>
      <c r="AP18" s="119">
        <v>10</v>
      </c>
    </row>
    <row r="19" spans="1:42" x14ac:dyDescent="0.25">
      <c r="A19" s="120">
        <v>11</v>
      </c>
      <c r="B19" s="116"/>
      <c r="C19" s="116"/>
      <c r="D19" s="116"/>
      <c r="E19" s="116"/>
      <c r="F19" s="116"/>
      <c r="G19" s="116"/>
      <c r="H19" s="116"/>
      <c r="I19" s="116"/>
      <c r="J19" s="117"/>
      <c r="K19" s="116"/>
      <c r="L19" s="116">
        <f t="shared" si="0"/>
        <v>0</v>
      </c>
      <c r="M19" s="116"/>
      <c r="N19" s="118"/>
      <c r="O19" s="116">
        <f t="shared" si="1"/>
        <v>0</v>
      </c>
      <c r="P19" s="116"/>
      <c r="Q19" s="119">
        <v>11</v>
      </c>
      <c r="Z19" s="120">
        <v>11</v>
      </c>
      <c r="AA19" s="128">
        <f>B19*DONNÉES!N31*DONNÉES!$Q$20</f>
        <v>0</v>
      </c>
      <c r="AB19" s="128">
        <f>C19*DONNÉES!O31*DONNÉES!$Q$20</f>
        <v>0</v>
      </c>
      <c r="AC19" s="128">
        <f>D19*DONNÉES!P31*DONNÉES!$Q$20</f>
        <v>0</v>
      </c>
      <c r="AD19" s="128">
        <f>E19*DONNÉES!Q31*DONNÉES!$Q$20</f>
        <v>0</v>
      </c>
      <c r="AE19" s="128">
        <f>F19*DONNÉES!R31*DONNÉES!$Q$20</f>
        <v>0</v>
      </c>
      <c r="AF19" s="128">
        <f>G19*DONNÉES!S31*DONNÉES!$Q$20</f>
        <v>0</v>
      </c>
      <c r="AG19" s="128">
        <f>H19*DONNÉES!T31*DONNÉES!$Q$20</f>
        <v>0</v>
      </c>
      <c r="AH19" s="128">
        <f>I19*DONNÉES!U31*DONNÉES!$Q$20</f>
        <v>0</v>
      </c>
      <c r="AI19" s="128">
        <f>J19*DONNÉES!V31*DONNÉES!$Q$20</f>
        <v>0</v>
      </c>
      <c r="AJ19" s="128">
        <f>K19*DONNÉES!W31*DONNÉES!$Q$20</f>
        <v>0</v>
      </c>
      <c r="AK19" s="128">
        <f>L19*DONNÉES!X31*DONNÉES!$Q$20</f>
        <v>0</v>
      </c>
      <c r="AL19" s="128">
        <f>M19*DONNÉES!Y31*DONNÉES!$Z$19</f>
        <v>0</v>
      </c>
      <c r="AM19" s="128">
        <f>N19*DONNÉES!Z31*DONNÉES!$Z$19</f>
        <v>0</v>
      </c>
      <c r="AN19" s="128">
        <f>O19*DONNÉES!AA31*DONNÉES!$Q$20</f>
        <v>0</v>
      </c>
      <c r="AO19" s="128">
        <f>P19*DONNÉES!AB31*DONNÉES!$Q$20</f>
        <v>0</v>
      </c>
      <c r="AP19" s="119">
        <v>11</v>
      </c>
    </row>
    <row r="20" spans="1:42" x14ac:dyDescent="0.25">
      <c r="A20" s="120">
        <v>12</v>
      </c>
      <c r="B20" s="116">
        <v>62.2</v>
      </c>
      <c r="C20" s="116">
        <v>3.0</v>
      </c>
      <c r="D20" s="116"/>
      <c r="E20" s="116"/>
      <c r="F20" s="116"/>
      <c r="G20" s="116"/>
      <c r="H20" s="116"/>
      <c r="I20" s="116"/>
      <c r="J20" s="118"/>
      <c r="K20" s="116"/>
      <c r="L20" s="116">
        <f t="shared" si="0"/>
        <v>0</v>
      </c>
      <c r="M20" s="116">
        <v>5</v>
      </c>
      <c r="N20" s="118"/>
      <c r="O20" s="116">
        <f t="shared" si="1"/>
        <v>0</v>
      </c>
      <c r="P20" s="116"/>
      <c r="Q20" s="119">
        <v>12</v>
      </c>
      <c r="Z20" s="120">
        <v>12</v>
      </c>
      <c r="AA20" s="128">
        <f>B20*DONNÉES!N32*DONNÉES!$Q$20</f>
        <v>0</v>
      </c>
      <c r="AB20" s="128">
        <f>C20*DONNÉES!O32*DONNÉES!$Q$20</f>
        <v>0</v>
      </c>
      <c r="AC20" s="128">
        <f>D20*DONNÉES!P32*DONNÉES!$Q$20</f>
        <v>0</v>
      </c>
      <c r="AD20" s="128">
        <f>E20*DONNÉES!Q32*DONNÉES!$Q$20</f>
        <v>0</v>
      </c>
      <c r="AE20" s="128">
        <f>F20*DONNÉES!R32*DONNÉES!$Q$20</f>
        <v>0</v>
      </c>
      <c r="AF20" s="128">
        <f>G20*DONNÉES!S32*DONNÉES!$Q$20</f>
        <v>0</v>
      </c>
      <c r="AG20" s="128">
        <f>H20*DONNÉES!T32*DONNÉES!$Q$20</f>
        <v>0</v>
      </c>
      <c r="AH20" s="128">
        <f>I20*DONNÉES!U32*DONNÉES!$Q$20</f>
        <v>0</v>
      </c>
      <c r="AI20" s="128">
        <f>J20*DONNÉES!V32*DONNÉES!$Q$20</f>
        <v>0</v>
      </c>
      <c r="AJ20" s="128">
        <f>K20*DONNÉES!W32*DONNÉES!$Q$20</f>
        <v>0</v>
      </c>
      <c r="AK20" s="128">
        <f>L20*DONNÉES!X32*DONNÉES!$Q$20</f>
        <v>0</v>
      </c>
      <c r="AL20" s="128">
        <f>M20*DONNÉES!Y32*DONNÉES!$Z$19</f>
        <v>0</v>
      </c>
      <c r="AM20" s="128">
        <f>N20*DONNÉES!Z32*DONNÉES!$Z$19</f>
        <v>0</v>
      </c>
      <c r="AN20" s="128">
        <f>O20*DONNÉES!AA32*DONNÉES!$Q$20</f>
        <v>0</v>
      </c>
      <c r="AO20" s="128">
        <f>P20*DONNÉES!AB32*DONNÉES!$Q$20</f>
        <v>0</v>
      </c>
      <c r="AP20" s="119">
        <v>12</v>
      </c>
    </row>
    <row r="21" spans="1:42" x14ac:dyDescent="0.25">
      <c r="A21" s="120">
        <v>13</v>
      </c>
      <c r="B21" s="116"/>
      <c r="C21" s="116"/>
      <c r="D21" s="116"/>
      <c r="E21" s="116"/>
      <c r="F21" s="116"/>
      <c r="G21" s="116"/>
      <c r="H21" s="116"/>
      <c r="I21" s="116"/>
      <c r="J21" s="117"/>
      <c r="K21" s="116"/>
      <c r="L21" s="116">
        <f t="shared" si="0"/>
        <v>0</v>
      </c>
      <c r="M21" s="116"/>
      <c r="N21" s="118"/>
      <c r="O21" s="116">
        <f t="shared" si="1"/>
        <v>0</v>
      </c>
      <c r="P21" s="116"/>
      <c r="Q21" s="119">
        <v>13</v>
      </c>
      <c r="S21" s="122"/>
      <c r="T21" s="122"/>
      <c r="Z21" s="120">
        <v>13</v>
      </c>
      <c r="AA21" s="128">
        <f>B21*DONNÉES!N33*DONNÉES!$Q$20</f>
        <v>0</v>
      </c>
      <c r="AB21" s="128">
        <f>C21*DONNÉES!O33*DONNÉES!$Q$20</f>
        <v>0</v>
      </c>
      <c r="AC21" s="128">
        <f>D21*DONNÉES!P33*DONNÉES!$Q$20</f>
        <v>0</v>
      </c>
      <c r="AD21" s="128">
        <f>E21*DONNÉES!Q33*DONNÉES!$Q$20</f>
        <v>0</v>
      </c>
      <c r="AE21" s="128">
        <f>F21*DONNÉES!R33*DONNÉES!$Q$20</f>
        <v>0</v>
      </c>
      <c r="AF21" s="128">
        <f>G21*DONNÉES!S33*DONNÉES!$Q$20</f>
        <v>0</v>
      </c>
      <c r="AG21" s="128">
        <f>H21*DONNÉES!T33*DONNÉES!$Q$20</f>
        <v>0</v>
      </c>
      <c r="AH21" s="128">
        <f>I21*DONNÉES!U33*DONNÉES!$Q$20</f>
        <v>0</v>
      </c>
      <c r="AI21" s="128">
        <f>J21*DONNÉES!V33*DONNÉES!$Q$20</f>
        <v>0</v>
      </c>
      <c r="AJ21" s="128">
        <f>K21*DONNÉES!W33*DONNÉES!$Q$20</f>
        <v>0</v>
      </c>
      <c r="AK21" s="128">
        <f>L21*DONNÉES!X33*DONNÉES!$Q$20</f>
        <v>0</v>
      </c>
      <c r="AL21" s="128">
        <f>M21*DONNÉES!Y33*DONNÉES!$Z$19</f>
        <v>0</v>
      </c>
      <c r="AM21" s="128">
        <f>N21*DONNÉES!Z33*DONNÉES!$Z$19</f>
        <v>0</v>
      </c>
      <c r="AN21" s="128">
        <f>O21*DONNÉES!AA33*DONNÉES!$Q$20</f>
        <v>0</v>
      </c>
      <c r="AO21" s="128">
        <f>P21*DONNÉES!AB33*DONNÉES!$Q$20</f>
        <v>0</v>
      </c>
      <c r="AP21" s="119">
        <v>13</v>
      </c>
    </row>
    <row r="22" spans="1:42" x14ac:dyDescent="0.25">
      <c r="A22" s="120">
        <v>14</v>
      </c>
      <c r="B22" s="116">
        <v>16.4</v>
      </c>
      <c r="C22" s="116">
        <v>1.0</v>
      </c>
      <c r="D22" s="116"/>
      <c r="E22" s="116"/>
      <c r="F22" s="116"/>
      <c r="G22" s="116"/>
      <c r="H22" s="116"/>
      <c r="I22" s="116"/>
      <c r="J22" s="118"/>
      <c r="K22" s="116"/>
      <c r="L22" s="116">
        <f t="shared" si="0"/>
        <v>0</v>
      </c>
      <c r="M22" s="116"/>
      <c r="N22" s="118"/>
      <c r="O22" s="116">
        <f t="shared" si="1"/>
        <v>0</v>
      </c>
      <c r="P22" s="116"/>
      <c r="Q22" s="119">
        <v>14</v>
      </c>
      <c r="S22" s="122" t="s">
        <v>281</v>
      </c>
      <c r="T22" s="122" t="s">
        <v>282</v>
      </c>
      <c r="Z22" s="120">
        <v>14</v>
      </c>
      <c r="AA22" s="128">
        <f>B22*DONNÉES!N34*DONNÉES!$Q$20</f>
        <v>0</v>
      </c>
      <c r="AB22" s="128">
        <f>C22*DONNÉES!O34*DONNÉES!$Q$20</f>
        <v>0</v>
      </c>
      <c r="AC22" s="128">
        <f>D22*DONNÉES!P34*DONNÉES!$Q$20</f>
        <v>0</v>
      </c>
      <c r="AD22" s="128">
        <f>E22*DONNÉES!Q34*DONNÉES!$Q$20</f>
        <v>0</v>
      </c>
      <c r="AE22" s="128">
        <f>F22*DONNÉES!R34*DONNÉES!$Q$20</f>
        <v>0</v>
      </c>
      <c r="AF22" s="128">
        <f>G22*DONNÉES!S34*DONNÉES!$Q$20</f>
        <v>0</v>
      </c>
      <c r="AG22" s="128">
        <f>H22*DONNÉES!T34*DONNÉES!$Q$20</f>
        <v>0</v>
      </c>
      <c r="AH22" s="128">
        <f>I22*DONNÉES!U34*DONNÉES!$Q$20</f>
        <v>0</v>
      </c>
      <c r="AI22" s="128">
        <f>J22*DONNÉES!V34*DONNÉES!$Q$20</f>
        <v>0</v>
      </c>
      <c r="AJ22" s="128">
        <f>K22*DONNÉES!W34*DONNÉES!$Q$20</f>
        <v>0</v>
      </c>
      <c r="AK22" s="128">
        <f>L22*DONNÉES!X34*DONNÉES!$Q$20</f>
        <v>0</v>
      </c>
      <c r="AL22" s="128">
        <f>M22*DONNÉES!Y34*DONNÉES!$Z$19</f>
        <v>0</v>
      </c>
      <c r="AM22" s="128">
        <f>N22*DONNÉES!Z34*DONNÉES!$Z$19</f>
        <v>0</v>
      </c>
      <c r="AN22" s="128">
        <f>O22*DONNÉES!AA34*DONNÉES!$Q$20</f>
        <v>0</v>
      </c>
      <c r="AO22" s="128">
        <f>P22*DONNÉES!AB34*DONNÉES!$Q$20</f>
        <v>0</v>
      </c>
      <c r="AP22" s="119">
        <v>14</v>
      </c>
    </row>
    <row r="23" spans="1:42" x14ac:dyDescent="0.25">
      <c r="A23" s="120">
        <v>16</v>
      </c>
      <c r="B23" s="116">
        <v>7.3</v>
      </c>
      <c r="C23" s="116"/>
      <c r="D23" s="116">
        <v>2.0</v>
      </c>
      <c r="E23" s="116"/>
      <c r="F23" s="116"/>
      <c r="G23" s="116"/>
      <c r="H23" s="116"/>
      <c r="I23" s="116"/>
      <c r="J23" s="118"/>
      <c r="K23" s="116"/>
      <c r="L23" s="116">
        <f t="shared" si="0"/>
        <v>0</v>
      </c>
      <c r="M23" s="116"/>
      <c r="N23" s="118"/>
      <c r="O23" s="116">
        <f t="shared" si="1"/>
        <v>0</v>
      </c>
      <c r="P23" s="116"/>
      <c r="Q23" s="119">
        <v>16</v>
      </c>
      <c r="S23" s="122" t="s">
        <v>62</v>
      </c>
      <c r="T23" s="122">
        <f>SUM(B11:B23)</f>
        <v>0</v>
      </c>
      <c r="Z23" s="120">
        <v>16</v>
      </c>
      <c r="AA23" s="128">
        <f>B23*DONNÉES!N35*DONNÉES!$Q$20</f>
        <v>0</v>
      </c>
      <c r="AB23" s="128">
        <f>C23*DONNÉES!O35*DONNÉES!$Q$20</f>
        <v>0</v>
      </c>
      <c r="AC23" s="128">
        <f>D23*DONNÉES!P35*DONNÉES!$Q$20</f>
        <v>0</v>
      </c>
      <c r="AD23" s="128">
        <f>E23*DONNÉES!Q35*DONNÉES!$Q$20</f>
        <v>0</v>
      </c>
      <c r="AE23" s="128">
        <f>F23*DONNÉES!R35*DONNÉES!$Q$20</f>
        <v>0</v>
      </c>
      <c r="AF23" s="128">
        <f>G23*DONNÉES!S35*DONNÉES!$Q$20</f>
        <v>0</v>
      </c>
      <c r="AG23" s="128">
        <f>H23*DONNÉES!T35*DONNÉES!$Q$20</f>
        <v>0</v>
      </c>
      <c r="AH23" s="128">
        <f>I23*DONNÉES!U35*DONNÉES!$Q$20</f>
        <v>0</v>
      </c>
      <c r="AI23" s="128">
        <f>J23*DONNÉES!V35*DONNÉES!$Q$20</f>
        <v>0</v>
      </c>
      <c r="AJ23" s="128">
        <f>K23*DONNÉES!W35*DONNÉES!$Q$20</f>
        <v>0</v>
      </c>
      <c r="AK23" s="128">
        <f>L23*DONNÉES!X35*DONNÉES!$Q$20</f>
        <v>0</v>
      </c>
      <c r="AL23" s="128">
        <f>M23*DONNÉES!Y35*DONNÉES!$Z$19</f>
        <v>0</v>
      </c>
      <c r="AM23" s="128">
        <f>N23*DONNÉES!Z35*DONNÉES!$Z$19</f>
        <v>0</v>
      </c>
      <c r="AN23" s="128">
        <f>O23*DONNÉES!AA35*DONNÉES!$Q$20</f>
        <v>0</v>
      </c>
      <c r="AO23" s="128">
        <f>P23*DONNÉES!AB35*DONNÉES!$Q$20</f>
        <v>0</v>
      </c>
      <c r="AP23" s="119">
        <v>16</v>
      </c>
    </row>
    <row r="24" spans="1:42" x14ac:dyDescent="0.25">
      <c r="A24" s="120">
        <v>18</v>
      </c>
      <c r="B24" s="116"/>
      <c r="C24" s="116"/>
      <c r="D24" s="116"/>
      <c r="E24" s="116"/>
      <c r="F24" s="116"/>
      <c r="G24" s="116"/>
      <c r="H24" s="116"/>
      <c r="I24" s="116"/>
      <c r="J24" s="118"/>
      <c r="K24" s="116"/>
      <c r="L24" s="116">
        <f t="shared" si="0"/>
        <v>0</v>
      </c>
      <c r="M24" s="116"/>
      <c r="N24" s="118"/>
      <c r="O24" s="116">
        <f t="shared" si="1"/>
        <v>0</v>
      </c>
      <c r="P24" s="116"/>
      <c r="Q24" s="119">
        <v>18</v>
      </c>
      <c r="S24" s="122" t="s">
        <v>283</v>
      </c>
      <c r="T24" s="122">
        <f>SUM(B24:B39)</f>
        <v>0</v>
      </c>
      <c r="Z24" s="120">
        <v>18</v>
      </c>
      <c r="AA24" s="128">
        <f>B24*DONNÉES!N36*DONNÉES!$Q$20</f>
        <v>0</v>
      </c>
      <c r="AB24" s="128">
        <f>C24*DONNÉES!O36*DONNÉES!$Q$20</f>
        <v>0</v>
      </c>
      <c r="AC24" s="128">
        <f>D24*DONNÉES!P36*DONNÉES!$Q$20</f>
        <v>0</v>
      </c>
      <c r="AD24" s="128">
        <f>E24*DONNÉES!Q36*DONNÉES!$Q$20</f>
        <v>0</v>
      </c>
      <c r="AE24" s="128">
        <f>F24*DONNÉES!R36*DONNÉES!$Q$20</f>
        <v>0</v>
      </c>
      <c r="AF24" s="128">
        <f>G24*DONNÉES!S36*DONNÉES!$Q$20</f>
        <v>0</v>
      </c>
      <c r="AG24" s="128">
        <f>H24*DONNÉES!T36*DONNÉES!$Q$20</f>
        <v>0</v>
      </c>
      <c r="AH24" s="128">
        <f>I24*DONNÉES!U36*DONNÉES!$Q$20</f>
        <v>0</v>
      </c>
      <c r="AI24" s="128">
        <f>J24*DONNÉES!V36*DONNÉES!$Q$20</f>
        <v>0</v>
      </c>
      <c r="AJ24" s="128">
        <f>K24*DONNÉES!W36*DONNÉES!$Q$20</f>
        <v>0</v>
      </c>
      <c r="AK24" s="128">
        <f>L24*DONNÉES!X36*DONNÉES!$Q$20</f>
        <v>0</v>
      </c>
      <c r="AL24" s="128">
        <f>M24*DONNÉES!Y36*DONNÉES!$Z$19</f>
        <v>0</v>
      </c>
      <c r="AM24" s="128">
        <f>N24*DONNÉES!Z36*DONNÉES!$Z$19</f>
        <v>0</v>
      </c>
      <c r="AN24" s="128">
        <f>O24*DONNÉES!AA36*DONNÉES!$Q$20</f>
        <v>0</v>
      </c>
      <c r="AO24" s="128">
        <f>P24*DONNÉES!AB36*DONNÉES!$Q$20</f>
        <v>0</v>
      </c>
      <c r="AP24" s="119">
        <v>18</v>
      </c>
    </row>
    <row r="25" spans="1:42" x14ac:dyDescent="0.25">
      <c r="A25" s="120">
        <v>20</v>
      </c>
      <c r="B25" s="116"/>
      <c r="C25" s="116"/>
      <c r="D25" s="116"/>
      <c r="E25" s="116"/>
      <c r="F25" s="116"/>
      <c r="G25" s="116"/>
      <c r="H25" s="116"/>
      <c r="I25" s="116"/>
      <c r="J25" s="118"/>
      <c r="K25" s="116"/>
      <c r="L25" s="116">
        <f t="shared" si="0"/>
        <v>0</v>
      </c>
      <c r="M25" s="116"/>
      <c r="N25" s="118"/>
      <c r="O25" s="116">
        <f t="shared" si="1"/>
        <v>0</v>
      </c>
      <c r="P25" s="116"/>
      <c r="Q25" s="119">
        <v>20</v>
      </c>
      <c r="S25" s="122" t="s">
        <v>284</v>
      </c>
      <c r="T25" s="122">
        <f>SUM(T23:T24)</f>
        <v>0</v>
      </c>
      <c r="Z25" s="120">
        <v>20</v>
      </c>
      <c r="AA25" s="128">
        <f>B25*DONNÉES!N37*DONNÉES!$Q$20</f>
        <v>0</v>
      </c>
      <c r="AB25" s="128">
        <f>C25*DONNÉES!O37*DONNÉES!$Q$20</f>
        <v>0</v>
      </c>
      <c r="AC25" s="128">
        <f>D25*DONNÉES!P37*DONNÉES!$Q$20</f>
        <v>0</v>
      </c>
      <c r="AD25" s="128">
        <f>E25*DONNÉES!Q37*DONNÉES!$Q$20</f>
        <v>0</v>
      </c>
      <c r="AE25" s="128">
        <f>F25*DONNÉES!R37*DONNÉES!$Q$20</f>
        <v>0</v>
      </c>
      <c r="AF25" s="128">
        <f>G25*DONNÉES!S37*DONNÉES!$Q$20</f>
        <v>0</v>
      </c>
      <c r="AG25" s="128">
        <f>H25*DONNÉES!T37*DONNÉES!$Q$20</f>
        <v>0</v>
      </c>
      <c r="AH25" s="128">
        <f>I25*DONNÉES!U37*DONNÉES!$Q$20</f>
        <v>0</v>
      </c>
      <c r="AI25" s="128">
        <f>J25*DONNÉES!V37*DONNÉES!$Q$20</f>
        <v>0</v>
      </c>
      <c r="AJ25" s="128">
        <f>K25*DONNÉES!W37*DONNÉES!$Q$20</f>
        <v>0</v>
      </c>
      <c r="AK25" s="128">
        <f>L25*DONNÉES!X37*DONNÉES!$Q$20</f>
        <v>0</v>
      </c>
      <c r="AL25" s="128">
        <f>M25*DONNÉES!Y37*DONNÉES!$Z$19</f>
        <v>0</v>
      </c>
      <c r="AM25" s="128">
        <f>N25*DONNÉES!Z37*DONNÉES!$Z$19</f>
        <v>0</v>
      </c>
      <c r="AN25" s="128">
        <f>O25*DONNÉES!AA37*DONNÉES!$Q$20</f>
        <v>0</v>
      </c>
      <c r="AO25" s="128">
        <f>P25*DONNÉES!AB37*DONNÉES!$Q$20</f>
        <v>0</v>
      </c>
      <c r="AP25" s="119">
        <v>20</v>
      </c>
    </row>
    <row r="26" spans="1:42" x14ac:dyDescent="0.25">
      <c r="A26" s="120">
        <v>22</v>
      </c>
      <c r="B26" s="116"/>
      <c r="C26" s="116"/>
      <c r="D26" s="116"/>
      <c r="E26" s="116"/>
      <c r="F26" s="116"/>
      <c r="G26" s="116"/>
      <c r="H26" s="116"/>
      <c r="I26" s="116"/>
      <c r="J26" s="118"/>
      <c r="K26" s="116"/>
      <c r="L26" s="116">
        <f t="shared" si="0"/>
        <v>0</v>
      </c>
      <c r="M26" s="116"/>
      <c r="N26" s="118"/>
      <c r="O26" s="116">
        <f t="shared" si="1"/>
        <v>0</v>
      </c>
      <c r="P26" s="116"/>
      <c r="Q26" s="119">
        <v>22</v>
      </c>
      <c r="S26" s="122"/>
      <c r="T26" s="122"/>
      <c r="Z26" s="120">
        <v>22</v>
      </c>
      <c r="AA26" s="128">
        <f>B26*DONNÉES!N38*DONNÉES!$Q$20</f>
        <v>0</v>
      </c>
      <c r="AB26" s="128">
        <f>C26*DONNÉES!O38*DONNÉES!$Q$20</f>
        <v>0</v>
      </c>
      <c r="AC26" s="128">
        <f>D26*DONNÉES!P38*DONNÉES!$Q$20</f>
        <v>0</v>
      </c>
      <c r="AD26" s="128">
        <f>E26*DONNÉES!Q38*DONNÉES!$Q$20</f>
        <v>0</v>
      </c>
      <c r="AE26" s="128">
        <f>F26*DONNÉES!R38*DONNÉES!$Q$20</f>
        <v>0</v>
      </c>
      <c r="AF26" s="128">
        <f>G26*DONNÉES!S38*DONNÉES!$Q$20</f>
        <v>0</v>
      </c>
      <c r="AG26" s="128">
        <f>H26*DONNÉES!T38*DONNÉES!$Q$20</f>
        <v>0</v>
      </c>
      <c r="AH26" s="128">
        <f>I26*DONNÉES!U38*DONNÉES!$Q$20</f>
        <v>0</v>
      </c>
      <c r="AI26" s="128">
        <f>J26*DONNÉES!V38*DONNÉES!$Q$20</f>
        <v>0</v>
      </c>
      <c r="AJ26" s="128">
        <f>K26*DONNÉES!W38*DONNÉES!$Q$20</f>
        <v>0</v>
      </c>
      <c r="AK26" s="128">
        <f>L26*DONNÉES!X38*DONNÉES!$Q$20</f>
        <v>0</v>
      </c>
      <c r="AL26" s="128">
        <f>M26*DONNÉES!Y38*DONNÉES!$Z$19</f>
        <v>0</v>
      </c>
      <c r="AM26" s="128">
        <f>N26*DONNÉES!Z38*DONNÉES!$Z$19</f>
        <v>0</v>
      </c>
      <c r="AN26" s="128">
        <f>O26*DONNÉES!AA38*DONNÉES!$Q$20</f>
        <v>0</v>
      </c>
      <c r="AO26" s="128">
        <f>P26*DONNÉES!AB38*DONNÉES!$Q$20</f>
        <v>0</v>
      </c>
      <c r="AP26" s="119">
        <v>22</v>
      </c>
    </row>
    <row r="27" spans="1:42" x14ac:dyDescent="0.25">
      <c r="A27" s="120">
        <v>24</v>
      </c>
      <c r="B27" s="116">
        <v>14.5</v>
      </c>
      <c r="C27" s="116"/>
      <c r="D27" s="116"/>
      <c r="E27" s="116"/>
      <c r="F27" s="116"/>
      <c r="G27" s="116"/>
      <c r="H27" s="116"/>
      <c r="I27" s="116"/>
      <c r="J27" s="118"/>
      <c r="K27" s="116"/>
      <c r="L27" s="116">
        <f t="shared" si="0"/>
        <v>0</v>
      </c>
      <c r="M27" s="116"/>
      <c r="N27" s="118"/>
      <c r="O27" s="116">
        <f t="shared" si="1"/>
        <v>0</v>
      </c>
      <c r="P27" s="116"/>
      <c r="Q27" s="119">
        <v>24</v>
      </c>
      <c r="S27" s="122"/>
      <c r="T27" s="122"/>
      <c r="Z27" s="120">
        <v>24</v>
      </c>
      <c r="AA27" s="128">
        <f>B27*DONNÉES!N39*DONNÉES!$Q$20</f>
        <v>0</v>
      </c>
      <c r="AB27" s="128">
        <f>C27*DONNÉES!O39*DONNÉES!$Q$20</f>
        <v>0</v>
      </c>
      <c r="AC27" s="128">
        <f>D27*DONNÉES!P39*DONNÉES!$Q$20</f>
        <v>0</v>
      </c>
      <c r="AD27" s="128">
        <f>E27*DONNÉES!Q39*DONNÉES!$Q$20</f>
        <v>0</v>
      </c>
      <c r="AE27" s="128">
        <f>F27*DONNÉES!R39*DONNÉES!$Q$20</f>
        <v>0</v>
      </c>
      <c r="AF27" s="128">
        <f>G27*DONNÉES!S39*DONNÉES!$Q$20</f>
        <v>0</v>
      </c>
      <c r="AG27" s="128">
        <f>H27*DONNÉES!T39*DONNÉES!$Q$20</f>
        <v>0</v>
      </c>
      <c r="AH27" s="128">
        <f>I27*DONNÉES!U39*DONNÉES!$Q$20</f>
        <v>0</v>
      </c>
      <c r="AI27" s="128">
        <f>J27*DONNÉES!V39*DONNÉES!$Q$20</f>
        <v>0</v>
      </c>
      <c r="AJ27" s="128">
        <f>K27*DONNÉES!W39*DONNÉES!$Q$20</f>
        <v>0</v>
      </c>
      <c r="AK27" s="128">
        <f>L27*DONNÉES!X39*DONNÉES!$Q$20</f>
        <v>0</v>
      </c>
      <c r="AL27" s="128">
        <f>M27*DONNÉES!Y39*DONNÉES!$Z$19</f>
        <v>0</v>
      </c>
      <c r="AM27" s="128">
        <f>N27*DONNÉES!Z39*DONNÉES!$Z$19</f>
        <v>0</v>
      </c>
      <c r="AN27" s="128">
        <f>O27*DONNÉES!AA39*DONNÉES!$Q$20</f>
        <v>0</v>
      </c>
      <c r="AO27" s="128">
        <f>P27*DONNÉES!AB39*DONNÉES!$Q$20</f>
        <v>0</v>
      </c>
      <c r="AP27" s="119">
        <v>24</v>
      </c>
    </row>
    <row r="28" spans="1:42" x14ac:dyDescent="0.25">
      <c r="A28" s="120">
        <v>26</v>
      </c>
      <c r="B28" s="116"/>
      <c r="C28" s="116"/>
      <c r="D28" s="116"/>
      <c r="E28" s="116"/>
      <c r="F28" s="116"/>
      <c r="G28" s="116"/>
      <c r="H28" s="116"/>
      <c r="I28" s="116"/>
      <c r="J28" s="118"/>
      <c r="K28" s="116"/>
      <c r="L28" s="116">
        <f t="shared" si="0"/>
        <v>0</v>
      </c>
      <c r="M28" s="116"/>
      <c r="N28" s="118"/>
      <c r="O28" s="116">
        <f t="shared" si="1"/>
        <v>0</v>
      </c>
      <c r="P28" s="116"/>
      <c r="Q28" s="119">
        <v>26</v>
      </c>
      <c r="S28" s="122"/>
      <c r="T28" s="122"/>
      <c r="Z28" s="120">
        <v>26</v>
      </c>
      <c r="AA28" s="128">
        <f>B28*DONNÉES!N40*DONNÉES!$Q$20</f>
        <v>0</v>
      </c>
      <c r="AB28" s="128">
        <f>C28*DONNÉES!O40*DONNÉES!$Q$20</f>
        <v>0</v>
      </c>
      <c r="AC28" s="128">
        <f>D28*DONNÉES!P40*DONNÉES!$Q$20</f>
        <v>0</v>
      </c>
      <c r="AD28" s="128">
        <f>E28*DONNÉES!Q40*DONNÉES!$Q$20</f>
        <v>0</v>
      </c>
      <c r="AE28" s="128">
        <f>F28*DONNÉES!R40*DONNÉES!$Q$20</f>
        <v>0</v>
      </c>
      <c r="AF28" s="128">
        <f>G28*DONNÉES!S40*DONNÉES!$Q$20</f>
        <v>0</v>
      </c>
      <c r="AG28" s="128">
        <f>H28*DONNÉES!T40*DONNÉES!$Q$20</f>
        <v>0</v>
      </c>
      <c r="AH28" s="128">
        <f>I28*DONNÉES!U40*DONNÉES!$Q$20</f>
        <v>0</v>
      </c>
      <c r="AI28" s="128">
        <f>J28*DONNÉES!V40*DONNÉES!$Q$20</f>
        <v>0</v>
      </c>
      <c r="AJ28" s="128">
        <f>K28*DONNÉES!W40*DONNÉES!$Q$20</f>
        <v>0</v>
      </c>
      <c r="AK28" s="128">
        <f>L28*DONNÉES!X40*DONNÉES!$Q$20</f>
        <v>0</v>
      </c>
      <c r="AL28" s="128">
        <f>M28*DONNÉES!Y40*DONNÉES!$Z$19</f>
        <v>0</v>
      </c>
      <c r="AM28" s="128">
        <f>N28*DONNÉES!Z40*DONNÉES!$Z$19</f>
        <v>0</v>
      </c>
      <c r="AN28" s="128">
        <f>O28*DONNÉES!AA40*DONNÉES!$Q$20</f>
        <v>0</v>
      </c>
      <c r="AO28" s="128">
        <f>P28*DONNÉES!AB40*DONNÉES!$Q$20</f>
        <v>0</v>
      </c>
      <c r="AP28" s="119">
        <v>26</v>
      </c>
    </row>
    <row r="29" spans="1:42" x14ac:dyDescent="0.25">
      <c r="A29" s="120">
        <v>28</v>
      </c>
      <c r="B29" s="116"/>
      <c r="C29" s="116"/>
      <c r="D29" s="116"/>
      <c r="E29" s="116"/>
      <c r="F29" s="116"/>
      <c r="G29" s="116"/>
      <c r="H29" s="116"/>
      <c r="I29" s="116"/>
      <c r="J29" s="118"/>
      <c r="K29" s="116"/>
      <c r="L29" s="116">
        <f t="shared" si="0"/>
        <v>0</v>
      </c>
      <c r="M29" s="116"/>
      <c r="N29" s="118"/>
      <c r="O29" s="116">
        <f t="shared" si="1"/>
        <v>0</v>
      </c>
      <c r="P29" s="116"/>
      <c r="Q29" s="119">
        <v>28</v>
      </c>
      <c r="Z29" s="120">
        <v>28</v>
      </c>
      <c r="AA29" s="128">
        <f>B29*DONNÉES!N41*DONNÉES!$Q$20</f>
        <v>0</v>
      </c>
      <c r="AB29" s="128">
        <f>C29*DONNÉES!O41*DONNÉES!$Q$20</f>
        <v>0</v>
      </c>
      <c r="AC29" s="128">
        <f>D29*DONNÉES!P41*DONNÉES!$Q$20</f>
        <v>0</v>
      </c>
      <c r="AD29" s="128">
        <f>E29*DONNÉES!Q41*DONNÉES!$Q$20</f>
        <v>0</v>
      </c>
      <c r="AE29" s="128">
        <f>F29*DONNÉES!R41*DONNÉES!$Q$20</f>
        <v>0</v>
      </c>
      <c r="AF29" s="128">
        <f>G29*DONNÉES!S41*DONNÉES!$Q$20</f>
        <v>0</v>
      </c>
      <c r="AG29" s="128">
        <f>H29*DONNÉES!T41*DONNÉES!$Q$20</f>
        <v>0</v>
      </c>
      <c r="AH29" s="128">
        <f>I29*DONNÉES!U41*DONNÉES!$Q$20</f>
        <v>0</v>
      </c>
      <c r="AI29" s="128">
        <f>J29*DONNÉES!V41*DONNÉES!$Q$20</f>
        <v>0</v>
      </c>
      <c r="AJ29" s="128">
        <f>K29*DONNÉES!W41*DONNÉES!$Q$20</f>
        <v>0</v>
      </c>
      <c r="AK29" s="128">
        <f>L29*DONNÉES!X41*DONNÉES!$Q$20</f>
        <v>0</v>
      </c>
      <c r="AL29" s="128">
        <f>M29*DONNÉES!Y41*DONNÉES!$Z$19</f>
        <v>0</v>
      </c>
      <c r="AM29" s="128">
        <f>N29*DONNÉES!Z41*DONNÉES!$Z$19</f>
        <v>0</v>
      </c>
      <c r="AN29" s="128">
        <f>O29*DONNÉES!AA41*DONNÉES!$Q$20</f>
        <v>0</v>
      </c>
      <c r="AO29" s="128">
        <f>P29*DONNÉES!AB41*DONNÉES!$Q$20</f>
        <v>0</v>
      </c>
      <c r="AP29" s="119">
        <v>28</v>
      </c>
    </row>
    <row r="30" spans="1:42" x14ac:dyDescent="0.25">
      <c r="A30" s="120">
        <v>30</v>
      </c>
      <c r="B30" s="116"/>
      <c r="C30" s="116"/>
      <c r="D30" s="116"/>
      <c r="E30" s="116"/>
      <c r="F30" s="116"/>
      <c r="G30" s="116"/>
      <c r="H30" s="116"/>
      <c r="I30" s="116"/>
      <c r="J30" s="118"/>
      <c r="K30" s="116"/>
      <c r="L30" s="116">
        <f t="shared" si="0"/>
        <v>0</v>
      </c>
      <c r="M30" s="116"/>
      <c r="N30" s="118"/>
      <c r="O30" s="116">
        <f t="shared" si="1"/>
        <v>0</v>
      </c>
      <c r="P30" s="116"/>
      <c r="Q30" s="119">
        <v>30</v>
      </c>
      <c r="Z30" s="120">
        <v>30</v>
      </c>
      <c r="AA30" s="128">
        <f>B30*DONNÉES!N42*DONNÉES!$Q$20</f>
        <v>0</v>
      </c>
      <c r="AB30" s="128">
        <f>C30*DONNÉES!O42*DONNÉES!$Q$20</f>
        <v>0</v>
      </c>
      <c r="AC30" s="128">
        <f>D30*DONNÉES!P42*DONNÉES!$Q$20</f>
        <v>0</v>
      </c>
      <c r="AD30" s="128">
        <f>E30*DONNÉES!Q42*DONNÉES!$Q$20</f>
        <v>0</v>
      </c>
      <c r="AE30" s="128">
        <f>F30*DONNÉES!R42*DONNÉES!$Q$20</f>
        <v>0</v>
      </c>
      <c r="AF30" s="128">
        <f>G30*DONNÉES!S42*DONNÉES!$Q$20</f>
        <v>0</v>
      </c>
      <c r="AG30" s="128">
        <f>H30*DONNÉES!T42*DONNÉES!$Q$20</f>
        <v>0</v>
      </c>
      <c r="AH30" s="128">
        <f>I30*DONNÉES!U42*DONNÉES!$Q$20</f>
        <v>0</v>
      </c>
      <c r="AI30" s="128">
        <f>J30*DONNÉES!V42*DONNÉES!$Q$20</f>
        <v>0</v>
      </c>
      <c r="AJ30" s="128">
        <f>K30*DONNÉES!W42*DONNÉES!$Q$20</f>
        <v>0</v>
      </c>
      <c r="AK30" s="128">
        <f>L30*DONNÉES!X42*DONNÉES!$Q$20</f>
        <v>0</v>
      </c>
      <c r="AL30" s="128">
        <f>M30*DONNÉES!Y42*DONNÉES!$Z$19</f>
        <v>0</v>
      </c>
      <c r="AM30" s="128">
        <f>N30*DONNÉES!Z42*DONNÉES!$Z$19</f>
        <v>0</v>
      </c>
      <c r="AN30" s="128">
        <f>O30*DONNÉES!AA42*DONNÉES!$Q$20</f>
        <v>0</v>
      </c>
      <c r="AO30" s="128">
        <f>P30*DONNÉES!AB42*DONNÉES!$Q$20</f>
        <v>0</v>
      </c>
      <c r="AP30" s="119">
        <v>30</v>
      </c>
    </row>
    <row r="31" spans="1:42" x14ac:dyDescent="0.25">
      <c r="A31" s="120">
        <v>32</v>
      </c>
      <c r="B31" s="116"/>
      <c r="C31" s="116"/>
      <c r="D31" s="116"/>
      <c r="E31" s="116"/>
      <c r="F31" s="116"/>
      <c r="G31" s="116"/>
      <c r="H31" s="116"/>
      <c r="I31" s="116"/>
      <c r="J31" s="118"/>
      <c r="K31" s="116"/>
      <c r="L31" s="116">
        <f t="shared" si="0"/>
        <v>0</v>
      </c>
      <c r="M31" s="116"/>
      <c r="N31" s="118"/>
      <c r="O31" s="116">
        <f t="shared" si="1"/>
        <v>0</v>
      </c>
      <c r="P31" s="116"/>
      <c r="Q31" s="119">
        <v>32</v>
      </c>
      <c r="Z31" s="120">
        <v>32</v>
      </c>
      <c r="AA31" s="128">
        <f>B31*DONNÉES!N43*DONNÉES!$Q$20</f>
        <v>0</v>
      </c>
      <c r="AB31" s="128">
        <f>C31*DONNÉES!O43*DONNÉES!$Q$20</f>
        <v>0</v>
      </c>
      <c r="AC31" s="128">
        <f>D31*DONNÉES!P43*DONNÉES!$Q$20</f>
        <v>0</v>
      </c>
      <c r="AD31" s="128">
        <f>E31*DONNÉES!Q43*DONNÉES!$Q$20</f>
        <v>0</v>
      </c>
      <c r="AE31" s="128">
        <f>F31*DONNÉES!R43*DONNÉES!$Q$20</f>
        <v>0</v>
      </c>
      <c r="AF31" s="128">
        <f>G31*DONNÉES!S43*DONNÉES!$Q$20</f>
        <v>0</v>
      </c>
      <c r="AG31" s="128">
        <f>H31*DONNÉES!T43*DONNÉES!$Q$20</f>
        <v>0</v>
      </c>
      <c r="AH31" s="128">
        <f>I31*DONNÉES!U43*DONNÉES!$Q$20</f>
        <v>0</v>
      </c>
      <c r="AI31" s="128">
        <f>J31*DONNÉES!V43*DONNÉES!$Q$20</f>
        <v>0</v>
      </c>
      <c r="AJ31" s="128">
        <f>K31*DONNÉES!W43*DONNÉES!$Q$20</f>
        <v>0</v>
      </c>
      <c r="AK31" s="128">
        <f>L31*DONNÉES!X43*DONNÉES!$Q$20</f>
        <v>0</v>
      </c>
      <c r="AL31" s="128">
        <f>M31*DONNÉES!Y43*DONNÉES!$Z$19</f>
        <v>0</v>
      </c>
      <c r="AM31" s="128">
        <f>N31*DONNÉES!Z43*DONNÉES!$Z$19</f>
        <v>0</v>
      </c>
      <c r="AN31" s="128">
        <f>O31*DONNÉES!AA43*DONNÉES!$Q$20</f>
        <v>0</v>
      </c>
      <c r="AO31" s="128">
        <f>P31*DONNÉES!AB43*DONNÉES!$Q$20</f>
        <v>0</v>
      </c>
      <c r="AP31" s="119">
        <v>32</v>
      </c>
    </row>
    <row r="32" spans="1:42" x14ac:dyDescent="0.25">
      <c r="A32" s="120">
        <v>34</v>
      </c>
      <c r="B32" s="116"/>
      <c r="C32" s="116"/>
      <c r="D32" s="116"/>
      <c r="E32" s="116"/>
      <c r="F32" s="116"/>
      <c r="G32" s="116"/>
      <c r="H32" s="116"/>
      <c r="I32" s="116"/>
      <c r="J32" s="118"/>
      <c r="K32" s="116"/>
      <c r="L32" s="116">
        <f t="shared" si="0"/>
        <v>0</v>
      </c>
      <c r="M32" s="116"/>
      <c r="N32" s="118"/>
      <c r="O32" s="116">
        <f t="shared" si="1"/>
        <v>0</v>
      </c>
      <c r="P32" s="116"/>
      <c r="Q32" s="119">
        <v>34</v>
      </c>
      <c r="Z32" s="120">
        <v>34</v>
      </c>
      <c r="AA32" s="128">
        <f>B32*DONNÉES!N44*DONNÉES!$Q$20</f>
        <v>0</v>
      </c>
      <c r="AB32" s="128">
        <f>C32*DONNÉES!O44*DONNÉES!$Q$20</f>
        <v>0</v>
      </c>
      <c r="AC32" s="128">
        <f>D32*DONNÉES!P44*DONNÉES!$Q$20</f>
        <v>0</v>
      </c>
      <c r="AD32" s="128">
        <f>E32*DONNÉES!Q44*DONNÉES!$Q$20</f>
        <v>0</v>
      </c>
      <c r="AE32" s="128">
        <f>F32*DONNÉES!R44*DONNÉES!$Q$20</f>
        <v>0</v>
      </c>
      <c r="AF32" s="128">
        <f>G32*DONNÉES!S44*DONNÉES!$Q$20</f>
        <v>0</v>
      </c>
      <c r="AG32" s="128">
        <f>H32*DONNÉES!T44*DONNÉES!$Q$20</f>
        <v>0</v>
      </c>
      <c r="AH32" s="128">
        <f>I32*DONNÉES!U44*DONNÉES!$Q$20</f>
        <v>0</v>
      </c>
      <c r="AI32" s="128">
        <f>J32*DONNÉES!V44*DONNÉES!$Q$20</f>
        <v>0</v>
      </c>
      <c r="AJ32" s="128">
        <f>K32*DONNÉES!W44*DONNÉES!$Q$20</f>
        <v>0</v>
      </c>
      <c r="AK32" s="128">
        <f>L32*DONNÉES!X44*DONNÉES!$Q$20</f>
        <v>0</v>
      </c>
      <c r="AL32" s="128">
        <f>M32*DONNÉES!Y44*DONNÉES!$Z$19</f>
        <v>0</v>
      </c>
      <c r="AM32" s="128">
        <f>N32*DONNÉES!Z44*DONNÉES!$Z$19</f>
        <v>0</v>
      </c>
      <c r="AN32" s="128">
        <f>O32*DONNÉES!AA44*DONNÉES!$Q$20</f>
        <v>0</v>
      </c>
      <c r="AO32" s="128">
        <f>P32*DONNÉES!AB44*DONNÉES!$Q$20</f>
        <v>0</v>
      </c>
      <c r="AP32" s="119">
        <v>34</v>
      </c>
    </row>
    <row r="33" spans="1:42" x14ac:dyDescent="0.25">
      <c r="A33" s="120">
        <v>36</v>
      </c>
      <c r="B33" s="116"/>
      <c r="C33" s="116"/>
      <c r="D33" s="116"/>
      <c r="E33" s="116"/>
      <c r="F33" s="116"/>
      <c r="G33" s="116"/>
      <c r="H33" s="116"/>
      <c r="I33" s="116"/>
      <c r="J33" s="118"/>
      <c r="K33" s="116"/>
      <c r="L33" s="116">
        <f t="shared" si="0"/>
        <v>0</v>
      </c>
      <c r="M33" s="116"/>
      <c r="N33" s="118"/>
      <c r="O33" s="116">
        <f t="shared" si="1"/>
        <v>0</v>
      </c>
      <c r="P33" s="116"/>
      <c r="Q33" s="119">
        <v>36</v>
      </c>
      <c r="Z33" s="120">
        <v>36</v>
      </c>
      <c r="AA33" s="128">
        <f>B33*DONNÉES!N45*DONNÉES!$Q$20</f>
        <v>0</v>
      </c>
      <c r="AB33" s="128">
        <f>C33*DONNÉES!O45*DONNÉES!$Q$20</f>
        <v>0</v>
      </c>
      <c r="AC33" s="128">
        <f>D33*DONNÉES!P45*DONNÉES!$Q$20</f>
        <v>0</v>
      </c>
      <c r="AD33" s="128">
        <f>E33*DONNÉES!Q45*DONNÉES!$Q$20</f>
        <v>0</v>
      </c>
      <c r="AE33" s="128">
        <f>F33*DONNÉES!R45*DONNÉES!$Q$20</f>
        <v>0</v>
      </c>
      <c r="AF33" s="128">
        <f>G33*DONNÉES!S45*DONNÉES!$Q$20</f>
        <v>0</v>
      </c>
      <c r="AG33" s="128">
        <f>H33*DONNÉES!T45*DONNÉES!$Q$20</f>
        <v>0</v>
      </c>
      <c r="AH33" s="128">
        <f>I33*DONNÉES!U45*DONNÉES!$Q$20</f>
        <v>0</v>
      </c>
      <c r="AI33" s="128">
        <f>J33*DONNÉES!V45*DONNÉES!$Q$20</f>
        <v>0</v>
      </c>
      <c r="AJ33" s="128">
        <f>K33*DONNÉES!W45*DONNÉES!$Q$20</f>
        <v>0</v>
      </c>
      <c r="AK33" s="128">
        <f>L33*DONNÉES!X45*DONNÉES!$Q$20</f>
        <v>0</v>
      </c>
      <c r="AL33" s="128">
        <f>M33*DONNÉES!Y45*DONNÉES!$Z$19</f>
        <v>0</v>
      </c>
      <c r="AM33" s="128">
        <f>N33*DONNÉES!Z45*DONNÉES!$Z$19</f>
        <v>0</v>
      </c>
      <c r="AN33" s="128">
        <f>O33*DONNÉES!AA45*DONNÉES!$Q$20</f>
        <v>0</v>
      </c>
      <c r="AO33" s="128">
        <f>P33*DONNÉES!AB45*DONNÉES!$Q$20</f>
        <v>0</v>
      </c>
      <c r="AP33" s="119">
        <v>36</v>
      </c>
    </row>
    <row r="34" spans="1:42" x14ac:dyDescent="0.25">
      <c r="A34" s="120">
        <v>38</v>
      </c>
      <c r="B34" s="116"/>
      <c r="C34" s="116"/>
      <c r="D34" s="116"/>
      <c r="E34" s="116"/>
      <c r="F34" s="116"/>
      <c r="G34" s="116"/>
      <c r="H34" s="116"/>
      <c r="I34" s="116"/>
      <c r="J34" s="118"/>
      <c r="K34" s="116"/>
      <c r="L34" s="116">
        <f t="shared" si="0"/>
        <v>0</v>
      </c>
      <c r="M34" s="116"/>
      <c r="N34" s="118"/>
      <c r="O34" s="116">
        <f t="shared" si="1"/>
        <v>0</v>
      </c>
      <c r="P34" s="116"/>
      <c r="Q34" s="119">
        <v>38</v>
      </c>
      <c r="Z34" s="120">
        <v>38</v>
      </c>
      <c r="AA34" s="128">
        <f>B34*DONNÉES!N46*DONNÉES!$Q$20</f>
        <v>0</v>
      </c>
      <c r="AB34" s="128">
        <f>C34*DONNÉES!O46*DONNÉES!$Q$20</f>
        <v>0</v>
      </c>
      <c r="AC34" s="128">
        <f>D34*DONNÉES!P46*DONNÉES!$Q$20</f>
        <v>0</v>
      </c>
      <c r="AD34" s="128">
        <f>E34*DONNÉES!Q46*DONNÉES!$Q$20</f>
        <v>0</v>
      </c>
      <c r="AE34" s="128">
        <f>F34*DONNÉES!R46*DONNÉES!$Q$20</f>
        <v>0</v>
      </c>
      <c r="AF34" s="128">
        <f>G34*DONNÉES!S46*DONNÉES!$Q$20</f>
        <v>0</v>
      </c>
      <c r="AG34" s="128">
        <f>H34*DONNÉES!T46*DONNÉES!$Q$20</f>
        <v>0</v>
      </c>
      <c r="AH34" s="128">
        <f>I34*DONNÉES!U46*DONNÉES!$Q$20</f>
        <v>0</v>
      </c>
      <c r="AI34" s="128">
        <f>J34*DONNÉES!V46*DONNÉES!$Q$20</f>
        <v>0</v>
      </c>
      <c r="AJ34" s="128">
        <f>K34*DONNÉES!W46*DONNÉES!$Q$20</f>
        <v>0</v>
      </c>
      <c r="AK34" s="128">
        <f>L34*DONNÉES!X46*DONNÉES!$Q$20</f>
        <v>0</v>
      </c>
      <c r="AL34" s="128">
        <f>M34*DONNÉES!Y46*DONNÉES!$Z$19</f>
        <v>0</v>
      </c>
      <c r="AM34" s="128">
        <f>N34*DONNÉES!Z46*DONNÉES!$Z$19</f>
        <v>0</v>
      </c>
      <c r="AN34" s="128">
        <f>O34*DONNÉES!AA46*DONNÉES!$Q$20</f>
        <v>0</v>
      </c>
      <c r="AO34" s="128">
        <f>P34*DONNÉES!AB46*DONNÉES!$Q$20</f>
        <v>0</v>
      </c>
      <c r="AP34" s="119">
        <v>38</v>
      </c>
    </row>
    <row r="35" spans="1:42" x14ac:dyDescent="0.25">
      <c r="A35" s="120">
        <v>40</v>
      </c>
      <c r="B35" s="116"/>
      <c r="C35" s="116"/>
      <c r="D35" s="116"/>
      <c r="E35" s="116"/>
      <c r="F35" s="116"/>
      <c r="G35" s="116"/>
      <c r="H35" s="116"/>
      <c r="I35" s="116"/>
      <c r="J35" s="118"/>
      <c r="K35" s="116"/>
      <c r="L35" s="116">
        <f t="shared" si="0"/>
        <v>0</v>
      </c>
      <c r="M35" s="116"/>
      <c r="N35" s="118"/>
      <c r="O35" s="116">
        <f t="shared" si="1"/>
        <v>0</v>
      </c>
      <c r="P35" s="116"/>
      <c r="Q35" s="119">
        <v>40</v>
      </c>
      <c r="Z35" s="120">
        <v>40</v>
      </c>
      <c r="AA35" s="128">
        <f>B35*DONNÉES!N47*DONNÉES!$Q$20</f>
        <v>0</v>
      </c>
      <c r="AB35" s="128">
        <f>C35*DONNÉES!O47*DONNÉES!$Q$20</f>
        <v>0</v>
      </c>
      <c r="AC35" s="128">
        <f>D35*DONNÉES!P47*DONNÉES!$Q$20</f>
        <v>0</v>
      </c>
      <c r="AD35" s="128">
        <f>E35*DONNÉES!Q47*DONNÉES!$Q$20</f>
        <v>0</v>
      </c>
      <c r="AE35" s="128">
        <f>F35*DONNÉES!R47*DONNÉES!$Q$20</f>
        <v>0</v>
      </c>
      <c r="AF35" s="128">
        <f>G35*DONNÉES!S47*DONNÉES!$Q$20</f>
        <v>0</v>
      </c>
      <c r="AG35" s="128">
        <f>H35*DONNÉES!T47*DONNÉES!$Q$20</f>
        <v>0</v>
      </c>
      <c r="AH35" s="128">
        <f>I35*DONNÉES!U47*DONNÉES!$Q$20</f>
        <v>0</v>
      </c>
      <c r="AI35" s="128">
        <f>J35*DONNÉES!V47*DONNÉES!$Q$20</f>
        <v>0</v>
      </c>
      <c r="AJ35" s="128">
        <f>K35*DONNÉES!W47*DONNÉES!$Q$20</f>
        <v>0</v>
      </c>
      <c r="AK35" s="128">
        <f>L35*DONNÉES!X47*DONNÉES!$Q$20</f>
        <v>0</v>
      </c>
      <c r="AL35" s="128">
        <f>M35*DONNÉES!Y47*DONNÉES!$Z$19</f>
        <v>0</v>
      </c>
      <c r="AM35" s="128">
        <f>N35*DONNÉES!Z47*DONNÉES!$Z$19</f>
        <v>0</v>
      </c>
      <c r="AN35" s="128">
        <f>O35*DONNÉES!AA47*DONNÉES!$Q$20</f>
        <v>0</v>
      </c>
      <c r="AO35" s="128">
        <f>P35*DONNÉES!AB47*DONNÉES!$Q$20</f>
        <v>0</v>
      </c>
      <c r="AP35" s="119">
        <v>40</v>
      </c>
    </row>
    <row r="36" spans="1:42" x14ac:dyDescent="0.25">
      <c r="A36" s="120">
        <v>42</v>
      </c>
      <c r="B36" s="116"/>
      <c r="C36" s="116"/>
      <c r="D36" s="116"/>
      <c r="E36" s="116"/>
      <c r="F36" s="116"/>
      <c r="G36" s="116"/>
      <c r="H36" s="116"/>
      <c r="I36" s="116"/>
      <c r="J36" s="118"/>
      <c r="K36" s="116"/>
      <c r="L36" s="116">
        <f t="shared" si="0"/>
        <v>0</v>
      </c>
      <c r="M36" s="116"/>
      <c r="N36" s="118"/>
      <c r="O36" s="116">
        <f t="shared" si="1"/>
        <v>0</v>
      </c>
      <c r="P36" s="116"/>
      <c r="Q36" s="119">
        <v>42</v>
      </c>
      <c r="Z36" s="120">
        <v>42</v>
      </c>
      <c r="AA36" s="128">
        <f>B36*DONNÉES!N48*DONNÉES!$Q$20</f>
        <v>0</v>
      </c>
      <c r="AB36" s="128">
        <f>C36*DONNÉES!O48*DONNÉES!$Q$20</f>
        <v>0</v>
      </c>
      <c r="AC36" s="128">
        <f>D36*DONNÉES!P48*DONNÉES!$Q$20</f>
        <v>0</v>
      </c>
      <c r="AD36" s="128">
        <f>E36*DONNÉES!Q48*DONNÉES!$Q$20</f>
        <v>0</v>
      </c>
      <c r="AE36" s="128">
        <f>F36*DONNÉES!R48*DONNÉES!$Q$20</f>
        <v>0</v>
      </c>
      <c r="AF36" s="128">
        <f>G36*DONNÉES!S48*DONNÉES!$Q$20</f>
        <v>0</v>
      </c>
      <c r="AG36" s="128">
        <f>H36*DONNÉES!T48*DONNÉES!$Q$20</f>
        <v>0</v>
      </c>
      <c r="AH36" s="128">
        <f>I36*DONNÉES!U48*DONNÉES!$Q$20</f>
        <v>0</v>
      </c>
      <c r="AI36" s="128">
        <f>J36*DONNÉES!V48*DONNÉES!$Q$20</f>
        <v>0</v>
      </c>
      <c r="AJ36" s="128">
        <f>K36*DONNÉES!W48*DONNÉES!$Q$20</f>
        <v>0</v>
      </c>
      <c r="AK36" s="128">
        <f>L36*DONNÉES!X48*DONNÉES!$Q$20</f>
        <v>0</v>
      </c>
      <c r="AL36" s="128">
        <f>M36*DONNÉES!Y48*DONNÉES!$Z$19</f>
        <v>0</v>
      </c>
      <c r="AM36" s="128">
        <f>N36*DONNÉES!Z48*DONNÉES!$Z$19</f>
        <v>0</v>
      </c>
      <c r="AN36" s="128">
        <f>O36*DONNÉES!AA48*DONNÉES!$Q$20</f>
        <v>0</v>
      </c>
      <c r="AO36" s="128">
        <f>P36*DONNÉES!AB48*DONNÉES!$Q$20</f>
        <v>0</v>
      </c>
      <c r="AP36" s="119">
        <v>42</v>
      </c>
    </row>
    <row r="37" spans="1:42" x14ac:dyDescent="0.25">
      <c r="A37" s="120">
        <v>44</v>
      </c>
      <c r="B37" s="116"/>
      <c r="C37" s="116"/>
      <c r="D37" s="116"/>
      <c r="E37" s="116"/>
      <c r="F37" s="116"/>
      <c r="G37" s="116"/>
      <c r="H37" s="116"/>
      <c r="I37" s="116"/>
      <c r="J37" s="118"/>
      <c r="K37" s="116"/>
      <c r="L37" s="116">
        <f t="shared" si="0"/>
        <v>0</v>
      </c>
      <c r="M37" s="116"/>
      <c r="N37" s="118"/>
      <c r="O37" s="116">
        <f t="shared" si="1"/>
        <v>0</v>
      </c>
      <c r="P37" s="116"/>
      <c r="Q37" s="119">
        <v>44</v>
      </c>
      <c r="Z37" s="120">
        <v>44</v>
      </c>
      <c r="AA37" s="128">
        <f>B37*DONNÉES!N49*DONNÉES!$Q$20</f>
        <v>0</v>
      </c>
      <c r="AB37" s="128">
        <f>C37*DONNÉES!O49*DONNÉES!$Q$20</f>
        <v>0</v>
      </c>
      <c r="AC37" s="128">
        <f>D37*DONNÉES!P49*DONNÉES!$Q$20</f>
        <v>0</v>
      </c>
      <c r="AD37" s="128">
        <f>E37*DONNÉES!Q49*DONNÉES!$Q$20</f>
        <v>0</v>
      </c>
      <c r="AE37" s="128">
        <f>F37*DONNÉES!R49*DONNÉES!$Q$20</f>
        <v>0</v>
      </c>
      <c r="AF37" s="128">
        <f>G37*DONNÉES!S49*DONNÉES!$Q$20</f>
        <v>0</v>
      </c>
      <c r="AG37" s="128">
        <f>H37*DONNÉES!T49*DONNÉES!$Q$20</f>
        <v>0</v>
      </c>
      <c r="AH37" s="128">
        <f>I37*DONNÉES!U49*DONNÉES!$Q$20</f>
        <v>0</v>
      </c>
      <c r="AI37" s="128">
        <f>J37*DONNÉES!V49*DONNÉES!$Q$20</f>
        <v>0</v>
      </c>
      <c r="AJ37" s="128">
        <f>K37*DONNÉES!W49*DONNÉES!$Q$20</f>
        <v>0</v>
      </c>
      <c r="AK37" s="128">
        <f>L37*DONNÉES!X49*DONNÉES!$Q$20</f>
        <v>0</v>
      </c>
      <c r="AL37" s="128">
        <f>M37*DONNÉES!Y49*DONNÉES!$Z$19</f>
        <v>0</v>
      </c>
      <c r="AM37" s="128">
        <f>N37*DONNÉES!Z49*DONNÉES!$Z$19</f>
        <v>0</v>
      </c>
      <c r="AN37" s="128">
        <f>O37*DONNÉES!AA49*DONNÉES!$Q$20</f>
        <v>0</v>
      </c>
      <c r="AO37" s="128">
        <f>P37*DONNÉES!AB49*DONNÉES!$Q$20</f>
        <v>0</v>
      </c>
      <c r="AP37" s="119">
        <v>44</v>
      </c>
    </row>
    <row r="38" spans="1:42" x14ac:dyDescent="0.25">
      <c r="A38" s="120">
        <v>46</v>
      </c>
      <c r="B38" s="116"/>
      <c r="C38" s="116"/>
      <c r="D38" s="116"/>
      <c r="E38" s="116"/>
      <c r="F38" s="116"/>
      <c r="G38" s="116"/>
      <c r="H38" s="116"/>
      <c r="I38" s="116"/>
      <c r="J38" s="118"/>
      <c r="K38" s="116"/>
      <c r="L38" s="116">
        <f t="shared" si="0"/>
        <v>0</v>
      </c>
      <c r="M38" s="116"/>
      <c r="N38" s="118"/>
      <c r="O38" s="116">
        <f t="shared" si="1"/>
        <v>0</v>
      </c>
      <c r="P38" s="116"/>
      <c r="Q38" s="119">
        <v>46</v>
      </c>
      <c r="Z38" s="120">
        <v>46</v>
      </c>
      <c r="AA38" s="128">
        <f>B38*DONNÉES!N50*DONNÉES!$Q$20</f>
        <v>0</v>
      </c>
      <c r="AB38" s="128">
        <f>C38*DONNÉES!O50*DONNÉES!$Q$20</f>
        <v>0</v>
      </c>
      <c r="AC38" s="128">
        <f>D38*DONNÉES!P50*DONNÉES!$Q$20</f>
        <v>0</v>
      </c>
      <c r="AD38" s="128">
        <f>E38*DONNÉES!Q50*DONNÉES!$Q$20</f>
        <v>0</v>
      </c>
      <c r="AE38" s="128">
        <f>F38*DONNÉES!R50*DONNÉES!$Q$20</f>
        <v>0</v>
      </c>
      <c r="AF38" s="128">
        <f>G38*DONNÉES!S50*DONNÉES!$Q$20</f>
        <v>0</v>
      </c>
      <c r="AG38" s="128">
        <f>H38*DONNÉES!T50*DONNÉES!$Q$20</f>
        <v>0</v>
      </c>
      <c r="AH38" s="128">
        <f>I38*DONNÉES!U50*DONNÉES!$Q$20</f>
        <v>0</v>
      </c>
      <c r="AI38" s="128">
        <f>J38*DONNÉES!V50*DONNÉES!$Q$20</f>
        <v>0</v>
      </c>
      <c r="AJ38" s="128">
        <f>K38*DONNÉES!W50*DONNÉES!$Q$20</f>
        <v>0</v>
      </c>
      <c r="AK38" s="128">
        <f>L38*DONNÉES!X50*DONNÉES!$Q$20</f>
        <v>0</v>
      </c>
      <c r="AL38" s="128">
        <f>M38*DONNÉES!Y50*DONNÉES!$Z$19</f>
        <v>0</v>
      </c>
      <c r="AM38" s="128">
        <f>N38*DONNÉES!Z50*DONNÉES!$Z$19</f>
        <v>0</v>
      </c>
      <c r="AN38" s="128">
        <f>O38*DONNÉES!AA50*DONNÉES!$Q$20</f>
        <v>0</v>
      </c>
      <c r="AO38" s="128">
        <f>P38*DONNÉES!AB50*DONNÉES!$Q$20</f>
        <v>0</v>
      </c>
      <c r="AP38" s="119">
        <v>46</v>
      </c>
    </row>
    <row r="39" spans="1:42" x14ac:dyDescent="0.25">
      <c r="A39" s="120">
        <v>48</v>
      </c>
      <c r="B39" s="116"/>
      <c r="C39" s="116"/>
      <c r="D39" s="116"/>
      <c r="E39" s="116"/>
      <c r="F39" s="116"/>
      <c r="G39" s="116"/>
      <c r="H39" s="116"/>
      <c r="I39" s="116"/>
      <c r="J39" s="118"/>
      <c r="K39" s="116"/>
      <c r="L39" s="116">
        <f t="shared" si="0"/>
        <v>0</v>
      </c>
      <c r="M39" s="116"/>
      <c r="N39" s="118"/>
      <c r="O39" s="116">
        <f t="shared" si="1"/>
        <v>0</v>
      </c>
      <c r="P39" s="116"/>
      <c r="Q39" s="119">
        <v>48</v>
      </c>
      <c r="Z39" s="120">
        <v>48</v>
      </c>
      <c r="AA39" s="128">
        <f>B39*DONNÉES!N51*DONNÉES!$Q$20</f>
        <v>0</v>
      </c>
      <c r="AB39" s="128">
        <f>C39*DONNÉES!O51*DONNÉES!$Q$20</f>
        <v>0</v>
      </c>
      <c r="AC39" s="128">
        <f>D39*DONNÉES!P51*DONNÉES!$Q$20</f>
        <v>0</v>
      </c>
      <c r="AD39" s="128">
        <f>E39*DONNÉES!Q51*DONNÉES!$Q$20</f>
        <v>0</v>
      </c>
      <c r="AE39" s="128">
        <f>F39*DONNÉES!R51*DONNÉES!$Q$20</f>
        <v>0</v>
      </c>
      <c r="AF39" s="128">
        <f>G39*DONNÉES!S51*DONNÉES!$Q$20</f>
        <v>0</v>
      </c>
      <c r="AG39" s="128">
        <f>H39*DONNÉES!T51*DONNÉES!$Q$20</f>
        <v>0</v>
      </c>
      <c r="AH39" s="128">
        <f>I39*DONNÉES!U51*DONNÉES!$Q$20</f>
        <v>0</v>
      </c>
      <c r="AI39" s="128">
        <f>J39*DONNÉES!V51*DONNÉES!$Q$20</f>
        <v>0</v>
      </c>
      <c r="AJ39" s="128">
        <f>K39*DONNÉES!W51*DONNÉES!$Q$20</f>
        <v>0</v>
      </c>
      <c r="AK39" s="128">
        <f>L39*DONNÉES!X51*DONNÉES!$Q$20</f>
        <v>0</v>
      </c>
      <c r="AL39" s="128">
        <f>M39*DONNÉES!Y51*DONNÉES!$Z$19</f>
        <v>0</v>
      </c>
      <c r="AM39" s="128">
        <f>N39*DONNÉES!Z51*DONNÉES!$Z$19</f>
        <v>0</v>
      </c>
      <c r="AN39" s="128">
        <f>O39*DONNÉES!AA51*DONNÉES!$Q$20</f>
        <v>0</v>
      </c>
      <c r="AO39" s="128">
        <f>P39*DONNÉES!AB51*DONNÉES!$Q$20</f>
        <v>0</v>
      </c>
      <c r="AP39" s="119">
        <v>48</v>
      </c>
    </row>
    <row r="40" spans="1:42" x14ac:dyDescent="0.25">
      <c r="A40" s="120">
        <v>50</v>
      </c>
      <c r="B40" s="116"/>
      <c r="C40" s="116"/>
      <c r="D40" s="116"/>
      <c r="E40" s="116"/>
      <c r="F40" s="116"/>
      <c r="G40" s="116"/>
      <c r="H40" s="116"/>
      <c r="I40" s="116"/>
      <c r="J40" s="118"/>
      <c r="K40" s="116"/>
      <c r="L40" s="116">
        <f t="shared" si="0"/>
        <v>0</v>
      </c>
      <c r="M40" s="117"/>
      <c r="N40" s="118"/>
      <c r="O40" s="116">
        <f t="shared" si="1"/>
        <v>0</v>
      </c>
      <c r="P40" s="116"/>
      <c r="Q40" s="119">
        <v>50</v>
      </c>
      <c r="Z40" s="120">
        <v>50</v>
      </c>
      <c r="AA40" s="128">
        <f>B40*DONNÉES!N52*DONNÉES!$Q$20</f>
        <v>0</v>
      </c>
      <c r="AB40" s="128">
        <f>C40*DONNÉES!O52*DONNÉES!$Q$20</f>
        <v>0</v>
      </c>
      <c r="AC40" s="128">
        <f>D40*DONNÉES!P52*DONNÉES!$Q$20</f>
        <v>0</v>
      </c>
      <c r="AD40" s="128">
        <f>E40*DONNÉES!Q52*DONNÉES!$Q$20</f>
        <v>0</v>
      </c>
      <c r="AE40" s="128">
        <f>F40*DONNÉES!R52*DONNÉES!$Q$20</f>
        <v>0</v>
      </c>
      <c r="AF40" s="128">
        <f>G40*DONNÉES!S52*DONNÉES!$Q$20</f>
        <v>0</v>
      </c>
      <c r="AG40" s="128">
        <f>H40*DONNÉES!T52*DONNÉES!$Q$20</f>
        <v>0</v>
      </c>
      <c r="AH40" s="128">
        <f>I40*DONNÉES!U52*DONNÉES!$Q$20</f>
        <v>0</v>
      </c>
      <c r="AI40" s="128">
        <f>J40*DONNÉES!V52*DONNÉES!$Q$20</f>
        <v>0</v>
      </c>
      <c r="AJ40" s="128">
        <f>K40*DONNÉES!W52*DONNÉES!$Q$20</f>
        <v>0</v>
      </c>
      <c r="AK40" s="128">
        <f>L40*DONNÉES!X52*DONNÉES!$Q$20</f>
        <v>0</v>
      </c>
      <c r="AL40" s="117"/>
      <c r="AM40" s="128">
        <f>N40*DONNÉES!Z52*DONNÉES!$Z$19</f>
        <v>0</v>
      </c>
      <c r="AN40" s="128">
        <f>O40*DONNÉES!AA52*DONNÉES!$Q$20</f>
        <v>0</v>
      </c>
      <c r="AO40" s="128">
        <f>P40*DONNÉES!AB52*DONNÉES!$Q$20</f>
        <v>0</v>
      </c>
      <c r="AP40" s="119">
        <v>50</v>
      </c>
    </row>
    <row r="41" spans="1:42" x14ac:dyDescent="0.25">
      <c r="A41" s="120">
        <v>52</v>
      </c>
      <c r="B41" s="116"/>
      <c r="C41" s="116"/>
      <c r="D41" s="116"/>
      <c r="E41" s="116"/>
      <c r="F41" s="116"/>
      <c r="G41" s="116"/>
      <c r="H41" s="116"/>
      <c r="I41" s="116"/>
      <c r="J41" s="118"/>
      <c r="K41" s="116"/>
      <c r="L41" s="116">
        <f t="shared" si="0"/>
        <v>0</v>
      </c>
      <c r="M41" s="117"/>
      <c r="N41" s="118"/>
      <c r="O41" s="116">
        <f t="shared" si="1"/>
        <v>0</v>
      </c>
      <c r="P41" s="116"/>
      <c r="Q41" s="119">
        <v>52</v>
      </c>
      <c r="Z41" s="120">
        <v>52</v>
      </c>
      <c r="AA41" s="128">
        <f>B41*DONNÉES!N53*DONNÉES!$Q$20</f>
        <v>0</v>
      </c>
      <c r="AB41" s="128">
        <f>C41*DONNÉES!O53*DONNÉES!$Q$20</f>
        <v>0</v>
      </c>
      <c r="AC41" s="128">
        <f>D41*DONNÉES!P53*DONNÉES!$Q$20</f>
        <v>0</v>
      </c>
      <c r="AD41" s="128">
        <f>E41*DONNÉES!Q53*DONNÉES!$Q$20</f>
        <v>0</v>
      </c>
      <c r="AE41" s="128">
        <f>F41*DONNÉES!R53*DONNÉES!$Q$20</f>
        <v>0</v>
      </c>
      <c r="AF41" s="128">
        <f>G41*DONNÉES!S53*DONNÉES!$Q$20</f>
        <v>0</v>
      </c>
      <c r="AG41" s="128">
        <f>H41*DONNÉES!T53*DONNÉES!$Q$20</f>
        <v>0</v>
      </c>
      <c r="AH41" s="128">
        <f>I41*DONNÉES!U53*DONNÉES!$Q$20</f>
        <v>0</v>
      </c>
      <c r="AI41" s="128">
        <f>J41*DONNÉES!V53*DONNÉES!$Q$20</f>
        <v>0</v>
      </c>
      <c r="AJ41" s="128">
        <f>K41*DONNÉES!W53*DONNÉES!$Q$20</f>
        <v>0</v>
      </c>
      <c r="AK41" s="128">
        <f>L41*DONNÉES!X53*DONNÉES!$Q$20</f>
        <v>0</v>
      </c>
      <c r="AL41" s="117"/>
      <c r="AM41" s="128">
        <f>N41*DONNÉES!Z53*DONNÉES!$Z$19</f>
        <v>0</v>
      </c>
      <c r="AN41" s="128">
        <f>O41*DONNÉES!AA53*DONNÉES!$Q$20</f>
        <v>0</v>
      </c>
      <c r="AO41" s="128">
        <f>P41*DONNÉES!AB53*DONNÉES!$Q$20</f>
        <v>0</v>
      </c>
      <c r="AP41" s="119">
        <v>52</v>
      </c>
    </row>
    <row r="42" spans="1:42" x14ac:dyDescent="0.25">
      <c r="A42" s="120">
        <v>54</v>
      </c>
      <c r="B42" s="116"/>
      <c r="C42" s="116"/>
      <c r="D42" s="116"/>
      <c r="E42" s="116"/>
      <c r="F42" s="116"/>
      <c r="G42" s="116"/>
      <c r="H42" s="116"/>
      <c r="I42" s="116"/>
      <c r="J42" s="118"/>
      <c r="K42" s="116"/>
      <c r="L42" s="116">
        <f t="shared" si="0"/>
        <v>0</v>
      </c>
      <c r="M42" s="117"/>
      <c r="N42" s="118"/>
      <c r="O42" s="116">
        <f t="shared" si="1"/>
        <v>0</v>
      </c>
      <c r="P42" s="116"/>
      <c r="Q42" s="119">
        <v>54</v>
      </c>
      <c r="Z42" s="120">
        <v>54</v>
      </c>
      <c r="AA42" s="128">
        <f>B42*DONNÉES!N54*DONNÉES!$Q$20</f>
        <v>0</v>
      </c>
      <c r="AB42" s="128">
        <f>C42*DONNÉES!O54*DONNÉES!$Q$20</f>
        <v>0</v>
      </c>
      <c r="AC42" s="128">
        <f>D42*DONNÉES!P54*DONNÉES!$Q$20</f>
        <v>0</v>
      </c>
      <c r="AD42" s="128">
        <f>E42*DONNÉES!Q54*DONNÉES!$Q$20</f>
        <v>0</v>
      </c>
      <c r="AE42" s="128">
        <f>F42*DONNÉES!R54*DONNÉES!$Q$20</f>
        <v>0</v>
      </c>
      <c r="AF42" s="128">
        <f>G42*DONNÉES!S54*DONNÉES!$Q$20</f>
        <v>0</v>
      </c>
      <c r="AG42" s="128">
        <f>H42*DONNÉES!T54*DONNÉES!$Q$20</f>
        <v>0</v>
      </c>
      <c r="AH42" s="128">
        <f>I42*DONNÉES!U54*DONNÉES!$Q$20</f>
        <v>0</v>
      </c>
      <c r="AI42" s="128">
        <f>J42*DONNÉES!V54*DONNÉES!$Q$20</f>
        <v>0</v>
      </c>
      <c r="AJ42" s="128">
        <f>K42*DONNÉES!W54*DONNÉES!$Q$20</f>
        <v>0</v>
      </c>
      <c r="AK42" s="128">
        <f>L42*DONNÉES!X54*DONNÉES!$Q$20</f>
        <v>0</v>
      </c>
      <c r="AL42" s="117"/>
      <c r="AM42" s="128">
        <f>N42*DONNÉES!Z54*DONNÉES!$Z$19</f>
        <v>0</v>
      </c>
      <c r="AN42" s="128">
        <f>O42*DONNÉES!AA54*DONNÉES!$Q$20</f>
        <v>0</v>
      </c>
      <c r="AO42" s="128">
        <f>P42*DONNÉES!AB54*DONNÉES!$Q$20</f>
        <v>0</v>
      </c>
      <c r="AP42" s="119">
        <v>54</v>
      </c>
    </row>
    <row r="43" spans="1:42" x14ac:dyDescent="0.25">
      <c r="A43" s="120">
        <v>56</v>
      </c>
      <c r="B43" s="116"/>
      <c r="C43" s="116"/>
      <c r="D43" s="116"/>
      <c r="E43" s="116"/>
      <c r="F43" s="116"/>
      <c r="G43" s="116"/>
      <c r="H43" s="116"/>
      <c r="I43" s="116"/>
      <c r="J43" s="118"/>
      <c r="K43" s="116"/>
      <c r="L43" s="116">
        <f t="shared" si="0"/>
        <v>0</v>
      </c>
      <c r="M43" s="117"/>
      <c r="N43" s="118"/>
      <c r="O43" s="116">
        <f t="shared" si="1"/>
        <v>0</v>
      </c>
      <c r="P43" s="116"/>
      <c r="Q43" s="119">
        <v>56</v>
      </c>
      <c r="Z43" s="120">
        <v>56</v>
      </c>
      <c r="AA43" s="128">
        <f>B43*DONNÉES!N55*DONNÉES!$Q$20</f>
        <v>0</v>
      </c>
      <c r="AB43" s="128">
        <f>C43*DONNÉES!O55*DONNÉES!$Q$20</f>
        <v>0</v>
      </c>
      <c r="AC43" s="128">
        <f>D43*DONNÉES!P55*DONNÉES!$Q$20</f>
        <v>0</v>
      </c>
      <c r="AD43" s="128">
        <f>E43*DONNÉES!Q55*DONNÉES!$Q$20</f>
        <v>0</v>
      </c>
      <c r="AE43" s="128">
        <f>F43*DONNÉES!R55*DONNÉES!$Q$20</f>
        <v>0</v>
      </c>
      <c r="AF43" s="128">
        <f>G43*DONNÉES!S55*DONNÉES!$Q$20</f>
        <v>0</v>
      </c>
      <c r="AG43" s="128">
        <f>H43*DONNÉES!T55*DONNÉES!$Q$20</f>
        <v>0</v>
      </c>
      <c r="AH43" s="128">
        <f>I43*DONNÉES!U55*DONNÉES!$Q$20</f>
        <v>0</v>
      </c>
      <c r="AI43" s="128">
        <f>J43*DONNÉES!V55*DONNÉES!$Q$20</f>
        <v>0</v>
      </c>
      <c r="AJ43" s="128">
        <f>K43*DONNÉES!W55*DONNÉES!$Q$20</f>
        <v>0</v>
      </c>
      <c r="AK43" s="128">
        <f>L43*DONNÉES!X55*DONNÉES!$Q$20</f>
        <v>0</v>
      </c>
      <c r="AL43" s="117"/>
      <c r="AM43" s="128">
        <f>N43*DONNÉES!Z55*DONNÉES!$Z$19</f>
        <v>0</v>
      </c>
      <c r="AN43" s="128">
        <f>O43*DONNÉES!AA55*DONNÉES!$Q$20</f>
        <v>0</v>
      </c>
      <c r="AO43" s="128">
        <f>P43*DONNÉES!AB55*DONNÉES!$Q$20</f>
        <v>0</v>
      </c>
      <c r="AP43" s="119">
        <v>56</v>
      </c>
    </row>
    <row r="44" spans="1:42" x14ac:dyDescent="0.25">
      <c r="A44" s="120">
        <v>58</v>
      </c>
      <c r="B44" s="116"/>
      <c r="C44" s="116"/>
      <c r="D44" s="116"/>
      <c r="E44" s="116"/>
      <c r="F44" s="116"/>
      <c r="G44" s="116"/>
      <c r="H44" s="116"/>
      <c r="I44" s="116"/>
      <c r="J44" s="118"/>
      <c r="K44" s="116"/>
      <c r="L44" s="116">
        <f t="shared" si="0"/>
        <v>0</v>
      </c>
      <c r="M44" s="117"/>
      <c r="N44" s="118"/>
      <c r="O44" s="116">
        <f t="shared" si="1"/>
        <v>0</v>
      </c>
      <c r="P44" s="116"/>
      <c r="Q44" s="119">
        <v>58</v>
      </c>
      <c r="Z44" s="120">
        <v>58</v>
      </c>
      <c r="AA44" s="128">
        <f>B44*DONNÉES!N56*DONNÉES!$Q$20</f>
        <v>0</v>
      </c>
      <c r="AB44" s="128">
        <f>C44*DONNÉES!O56*DONNÉES!$Q$20</f>
        <v>0</v>
      </c>
      <c r="AC44" s="128">
        <f>D44*DONNÉES!P56*DONNÉES!$Q$20</f>
        <v>0</v>
      </c>
      <c r="AD44" s="128">
        <f>E44*DONNÉES!Q56*DONNÉES!$Q$20</f>
        <v>0</v>
      </c>
      <c r="AE44" s="128">
        <f>F44*DONNÉES!R56*DONNÉES!$Q$20</f>
        <v>0</v>
      </c>
      <c r="AF44" s="128">
        <f>G44*DONNÉES!S56*DONNÉES!$Q$20</f>
        <v>0</v>
      </c>
      <c r="AG44" s="128">
        <f>H44*DONNÉES!T56*DONNÉES!$Q$20</f>
        <v>0</v>
      </c>
      <c r="AH44" s="128">
        <f>I44*DONNÉES!U56*DONNÉES!$Q$20</f>
        <v>0</v>
      </c>
      <c r="AI44" s="128">
        <f>J44*DONNÉES!V56*DONNÉES!$Q$20</f>
        <v>0</v>
      </c>
      <c r="AJ44" s="128">
        <f>K44*DONNÉES!W56*DONNÉES!$Q$20</f>
        <v>0</v>
      </c>
      <c r="AK44" s="128">
        <f>L44*DONNÉES!X56*DONNÉES!$Q$20</f>
        <v>0</v>
      </c>
      <c r="AL44" s="117"/>
      <c r="AM44" s="128">
        <f>N44*DONNÉES!Z56*DONNÉES!$Z$19</f>
        <v>0</v>
      </c>
      <c r="AN44" s="128">
        <f>O44*DONNÉES!AA56*DONNÉES!$Q$20</f>
        <v>0</v>
      </c>
      <c r="AO44" s="128">
        <f>P44*DONNÉES!AB56*DONNÉES!$Q$20</f>
        <v>0</v>
      </c>
      <c r="AP44" s="119">
        <v>58</v>
      </c>
    </row>
    <row r="45" spans="1:42" x14ac:dyDescent="0.25">
      <c r="A45" s="120">
        <v>60</v>
      </c>
      <c r="B45" s="116"/>
      <c r="C45" s="116"/>
      <c r="D45" s="116"/>
      <c r="E45" s="116"/>
      <c r="F45" s="116"/>
      <c r="G45" s="116"/>
      <c r="H45" s="116"/>
      <c r="I45" s="116"/>
      <c r="J45" s="118"/>
      <c r="K45" s="116"/>
      <c r="L45" s="116">
        <f t="shared" si="0"/>
        <v>0</v>
      </c>
      <c r="M45" s="117"/>
      <c r="N45" s="118"/>
      <c r="O45" s="116">
        <f t="shared" si="1"/>
        <v>0</v>
      </c>
      <c r="P45" s="116"/>
      <c r="Q45" s="119">
        <v>60</v>
      </c>
      <c r="Z45" s="120">
        <v>60</v>
      </c>
      <c r="AA45" s="128">
        <f>B45*DONNÉES!N57*DONNÉES!$Q$20</f>
        <v>0</v>
      </c>
      <c r="AB45" s="128">
        <f>C45*DONNÉES!O57*DONNÉES!$Q$20</f>
        <v>0</v>
      </c>
      <c r="AC45" s="128">
        <f>D45*DONNÉES!P57*DONNÉES!$Q$20</f>
        <v>0</v>
      </c>
      <c r="AD45" s="128">
        <f>E45*DONNÉES!Q57*DONNÉES!$Q$20</f>
        <v>0</v>
      </c>
      <c r="AE45" s="128">
        <f>F45*DONNÉES!R57*DONNÉES!$Q$20</f>
        <v>0</v>
      </c>
      <c r="AF45" s="128">
        <f>G45*DONNÉES!S57*DONNÉES!$Q$20</f>
        <v>0</v>
      </c>
      <c r="AG45" s="128">
        <f>H45*DONNÉES!T57*DONNÉES!$Q$20</f>
        <v>0</v>
      </c>
      <c r="AH45" s="128">
        <f>I45*DONNÉES!U57*DONNÉES!$Q$20</f>
        <v>0</v>
      </c>
      <c r="AI45" s="128">
        <f>J45*DONNÉES!V57*DONNÉES!$Q$20</f>
        <v>0</v>
      </c>
      <c r="AJ45" s="128">
        <f>K45*DONNÉES!W57*DONNÉES!$Q$20</f>
        <v>0</v>
      </c>
      <c r="AK45" s="128">
        <f>L45*DONNÉES!X57*DONNÉES!$Q$20</f>
        <v>0</v>
      </c>
      <c r="AL45" s="117"/>
      <c r="AM45" s="128">
        <f>N45*DONNÉES!Z57*DONNÉES!$Z$19</f>
        <v>0</v>
      </c>
      <c r="AN45" s="128">
        <f>O45*DONNÉES!AA57*DONNÉES!$Q$20</f>
        <v>0</v>
      </c>
      <c r="AO45" s="128">
        <f>P45*DONNÉES!AB57*DONNÉES!$Q$20</f>
        <v>0</v>
      </c>
      <c r="AP45" s="119">
        <v>60</v>
      </c>
    </row>
    <row r="46" spans="1:42" x14ac:dyDescent="0.25">
      <c r="A46" s="120">
        <v>62</v>
      </c>
      <c r="B46" s="116"/>
      <c r="C46" s="121"/>
      <c r="D46" s="121"/>
      <c r="E46" s="121"/>
      <c r="F46" s="121"/>
      <c r="G46" s="121"/>
      <c r="H46" s="121"/>
      <c r="I46" s="121"/>
      <c r="J46" s="118"/>
      <c r="K46" s="117"/>
      <c r="L46" s="117"/>
      <c r="M46" s="117"/>
      <c r="N46" s="118"/>
      <c r="O46" s="117"/>
      <c r="P46" s="117"/>
      <c r="Q46" s="119">
        <v>62</v>
      </c>
      <c r="Z46" s="120">
        <v>62</v>
      </c>
      <c r="AA46" s="128">
        <f>B46*DONNÉES!N58*DONNÉES!$Q$20</f>
        <v>0</v>
      </c>
      <c r="AB46" s="121"/>
      <c r="AC46" s="121"/>
      <c r="AD46" s="121"/>
      <c r="AE46" s="121"/>
      <c r="AF46" s="121"/>
      <c r="AG46" s="121"/>
      <c r="AH46" s="121"/>
      <c r="AI46" s="128">
        <f>J46*DONNÉES!V58*DONNÉES!$Q$20</f>
        <v>0</v>
      </c>
      <c r="AJ46" s="121"/>
      <c r="AK46" s="121"/>
      <c r="AL46" s="117"/>
      <c r="AM46" s="128">
        <f>N46*DONNÉES!Z58*DONNÉES!$Z$19</f>
        <v>0</v>
      </c>
      <c r="AN46" s="121"/>
      <c r="AO46" s="121"/>
      <c r="AP46" s="119">
        <v>62</v>
      </c>
    </row>
    <row r="47" spans="1:42" x14ac:dyDescent="0.25">
      <c r="A47" s="120">
        <v>64</v>
      </c>
      <c r="B47" s="116"/>
      <c r="C47" s="121"/>
      <c r="D47" s="121"/>
      <c r="E47" s="121"/>
      <c r="F47" s="121"/>
      <c r="G47" s="121"/>
      <c r="H47" s="121"/>
      <c r="I47" s="121"/>
      <c r="J47" s="118"/>
      <c r="K47" s="117"/>
      <c r="L47" s="117"/>
      <c r="M47" s="117"/>
      <c r="N47" s="118"/>
      <c r="O47" s="117"/>
      <c r="P47" s="117"/>
      <c r="Q47" s="119">
        <v>64</v>
      </c>
      <c r="Z47" s="120">
        <v>64</v>
      </c>
      <c r="AA47" s="128">
        <f>B47*DONNÉES!N59*DONNÉES!$Q$20</f>
        <v>0</v>
      </c>
      <c r="AB47" s="121"/>
      <c r="AC47" s="121"/>
      <c r="AD47" s="121"/>
      <c r="AE47" s="121"/>
      <c r="AF47" s="121"/>
      <c r="AG47" s="121"/>
      <c r="AH47" s="121"/>
      <c r="AI47" s="128">
        <f>J47*DONNÉES!V59*DONNÉES!$Q$20</f>
        <v>0</v>
      </c>
      <c r="AJ47" s="121"/>
      <c r="AK47" s="121"/>
      <c r="AL47" s="117"/>
      <c r="AM47" s="128">
        <f>N47*DONNÉES!Z59*DONNÉES!$Z$19</f>
        <v>0</v>
      </c>
      <c r="AN47" s="121"/>
      <c r="AO47" s="121"/>
      <c r="AP47" s="119">
        <v>64</v>
      </c>
    </row>
    <row r="48" spans="1:42" x14ac:dyDescent="0.25">
      <c r="A48" s="120">
        <v>66</v>
      </c>
      <c r="B48" s="116"/>
      <c r="C48" s="121"/>
      <c r="D48" s="121"/>
      <c r="E48" s="121"/>
      <c r="F48" s="121"/>
      <c r="G48" s="121"/>
      <c r="H48" s="121"/>
      <c r="I48" s="121"/>
      <c r="J48" s="118"/>
      <c r="K48" s="117"/>
      <c r="L48" s="117"/>
      <c r="M48" s="117"/>
      <c r="N48" s="118"/>
      <c r="O48" s="117"/>
      <c r="P48" s="117"/>
      <c r="Q48" s="119">
        <v>66</v>
      </c>
      <c r="Z48" s="120">
        <v>66</v>
      </c>
      <c r="AA48" s="128">
        <f>B48*DONNÉES!N60*DONNÉES!$Q$20</f>
        <v>0</v>
      </c>
      <c r="AB48" s="121"/>
      <c r="AC48" s="121"/>
      <c r="AD48" s="121"/>
      <c r="AE48" s="121"/>
      <c r="AF48" s="121"/>
      <c r="AG48" s="121"/>
      <c r="AH48" s="121"/>
      <c r="AI48" s="128">
        <f>J48*DONNÉES!V60*DONNÉES!$Q$20</f>
        <v>0</v>
      </c>
      <c r="AJ48" s="121"/>
      <c r="AK48" s="121"/>
      <c r="AL48" s="117"/>
      <c r="AM48" s="128">
        <f>N48*DONNÉES!Z60*DONNÉES!$Z$19</f>
        <v>0</v>
      </c>
      <c r="AN48" s="121"/>
      <c r="AO48" s="121"/>
      <c r="AP48" s="119">
        <v>66</v>
      </c>
    </row>
    <row r="49" spans="1:42" x14ac:dyDescent="0.25">
      <c r="A49" s="120">
        <v>68</v>
      </c>
      <c r="B49" s="121"/>
      <c r="C49" s="121"/>
      <c r="D49" s="121"/>
      <c r="E49" s="121"/>
      <c r="F49" s="121"/>
      <c r="G49" s="121"/>
      <c r="H49" s="121"/>
      <c r="I49" s="121"/>
      <c r="J49" s="118"/>
      <c r="K49" s="117"/>
      <c r="L49" s="117"/>
      <c r="M49" s="117"/>
      <c r="N49" s="118"/>
      <c r="O49" s="117"/>
      <c r="P49" s="117"/>
      <c r="Q49" s="119">
        <v>68</v>
      </c>
      <c r="Z49" s="120">
        <v>68</v>
      </c>
      <c r="AA49" s="121"/>
      <c r="AB49" s="121"/>
      <c r="AC49" s="121"/>
      <c r="AD49" s="121"/>
      <c r="AE49" s="121"/>
      <c r="AF49" s="121"/>
      <c r="AG49" s="121"/>
      <c r="AH49" s="121"/>
      <c r="AI49" s="128">
        <f>J49*DONNÉES!V61*DONNÉES!$Q$20</f>
        <v>0</v>
      </c>
      <c r="AJ49" s="117"/>
      <c r="AK49" s="117"/>
      <c r="AL49" s="117"/>
      <c r="AM49" s="128">
        <f>N49*DONNÉES!Z61*DONNÉES!$Z$19</f>
        <v>0</v>
      </c>
      <c r="AN49" s="117"/>
      <c r="AO49" s="117"/>
      <c r="AP49" s="119">
        <v>68</v>
      </c>
    </row>
    <row r="50" spans="1:42" x14ac:dyDescent="0.25">
      <c r="A50" s="120">
        <v>70</v>
      </c>
      <c r="B50" s="121"/>
      <c r="C50" s="121"/>
      <c r="D50" s="121"/>
      <c r="E50" s="121"/>
      <c r="F50" s="121"/>
      <c r="G50" s="121"/>
      <c r="H50" s="121"/>
      <c r="I50" s="121"/>
      <c r="J50" s="118"/>
      <c r="K50" s="117"/>
      <c r="L50" s="117"/>
      <c r="M50" s="117"/>
      <c r="N50" s="118"/>
      <c r="O50" s="117"/>
      <c r="P50" s="117"/>
      <c r="Q50" s="119">
        <v>70</v>
      </c>
      <c r="Z50" s="120">
        <v>70</v>
      </c>
      <c r="AA50" s="121"/>
      <c r="AB50" s="121"/>
      <c r="AC50" s="121"/>
      <c r="AD50" s="121"/>
      <c r="AE50" s="121"/>
      <c r="AF50" s="121"/>
      <c r="AG50" s="121"/>
      <c r="AH50" s="121"/>
      <c r="AI50" s="128">
        <f>J50*DONNÉES!V62*DONNÉES!$Q$20</f>
        <v>0</v>
      </c>
      <c r="AJ50" s="117"/>
      <c r="AK50" s="117"/>
      <c r="AL50" s="117"/>
      <c r="AM50" s="128">
        <f>N50*DONNÉES!Z62*DONNÉES!$Z$19</f>
        <v>0</v>
      </c>
      <c r="AN50" s="117"/>
      <c r="AO50" s="117"/>
      <c r="AP50" s="119">
        <v>70</v>
      </c>
    </row>
    <row r="51" spans="1:42" x14ac:dyDescent="0.25">
      <c r="A51" s="120">
        <v>72</v>
      </c>
      <c r="B51" s="121"/>
      <c r="C51" s="121"/>
      <c r="D51" s="121"/>
      <c r="E51" s="121"/>
      <c r="F51" s="121"/>
      <c r="G51" s="121"/>
      <c r="H51" s="121"/>
      <c r="I51" s="121"/>
      <c r="J51" s="118"/>
      <c r="K51" s="117"/>
      <c r="L51" s="117"/>
      <c r="M51" s="117"/>
      <c r="N51" s="118"/>
      <c r="O51" s="117"/>
      <c r="P51" s="117"/>
      <c r="Q51" s="119">
        <v>72</v>
      </c>
      <c r="Z51" s="120">
        <v>72</v>
      </c>
      <c r="AA51" s="121"/>
      <c r="AB51" s="121"/>
      <c r="AC51" s="121"/>
      <c r="AD51" s="121"/>
      <c r="AE51" s="121"/>
      <c r="AF51" s="121"/>
      <c r="AG51" s="121"/>
      <c r="AH51" s="121"/>
      <c r="AI51" s="128">
        <f>J51*DONNÉES!V63*DONNÉES!$Q$20</f>
        <v>0</v>
      </c>
      <c r="AJ51" s="117"/>
      <c r="AK51" s="117"/>
      <c r="AL51" s="117"/>
      <c r="AM51" s="128">
        <f>N51*DONNÉES!Z63*DONNÉES!$Z$19</f>
        <v>0</v>
      </c>
      <c r="AN51" s="117"/>
      <c r="AO51" s="117"/>
      <c r="AP51" s="119">
        <v>72</v>
      </c>
    </row>
    <row r="52" spans="1:42" x14ac:dyDescent="0.25">
      <c r="A52" s="120">
        <v>76</v>
      </c>
      <c r="B52" s="121"/>
      <c r="C52" s="121"/>
      <c r="D52" s="121"/>
      <c r="E52" s="121"/>
      <c r="F52" s="121"/>
      <c r="G52" s="121"/>
      <c r="H52" s="121"/>
      <c r="I52" s="121"/>
      <c r="J52" s="118"/>
      <c r="K52" s="117"/>
      <c r="L52" s="117"/>
      <c r="M52" s="117"/>
      <c r="N52" s="118"/>
      <c r="O52" s="117"/>
      <c r="P52" s="117"/>
      <c r="Q52" s="119">
        <v>76</v>
      </c>
      <c r="Z52" s="120">
        <v>76</v>
      </c>
      <c r="AA52" s="121"/>
      <c r="AB52" s="121"/>
      <c r="AC52" s="121"/>
      <c r="AD52" s="121"/>
      <c r="AE52" s="121"/>
      <c r="AF52" s="121"/>
      <c r="AG52" s="121"/>
      <c r="AH52" s="121"/>
      <c r="AI52" s="128">
        <f>J52*DONNÉES!V64*DONNÉES!$Q$20</f>
        <v>0</v>
      </c>
      <c r="AJ52" s="117"/>
      <c r="AK52" s="117"/>
      <c r="AL52" s="117"/>
      <c r="AM52" s="128">
        <f>N52*DONNÉES!Z64*DONNÉES!$Z$19</f>
        <v>0</v>
      </c>
      <c r="AN52" s="117"/>
      <c r="AO52" s="117"/>
      <c r="AP52" s="119">
        <v>76</v>
      </c>
    </row>
    <row r="53" spans="1:42" x14ac:dyDescent="0.25">
      <c r="A53" s="120">
        <v>80</v>
      </c>
      <c r="B53" s="121"/>
      <c r="C53" s="121"/>
      <c r="D53" s="121"/>
      <c r="E53" s="121"/>
      <c r="F53" s="121"/>
      <c r="G53" s="121"/>
      <c r="H53" s="121"/>
      <c r="I53" s="121"/>
      <c r="J53" s="118"/>
      <c r="K53" s="117"/>
      <c r="L53" s="117"/>
      <c r="M53" s="117"/>
      <c r="N53" s="118"/>
      <c r="O53" s="117"/>
      <c r="P53" s="117"/>
      <c r="Q53" s="119">
        <v>80</v>
      </c>
      <c r="Z53" s="120">
        <v>80</v>
      </c>
      <c r="AA53" s="121"/>
      <c r="AB53" s="121"/>
      <c r="AC53" s="121"/>
      <c r="AD53" s="121"/>
      <c r="AE53" s="121"/>
      <c r="AF53" s="121"/>
      <c r="AG53" s="121"/>
      <c r="AH53" s="121"/>
      <c r="AI53" s="128">
        <f>J53*DONNÉES!V65*DONNÉES!$Q$20</f>
        <v>0</v>
      </c>
      <c r="AJ53" s="117"/>
      <c r="AK53" s="117"/>
      <c r="AL53" s="117"/>
      <c r="AM53" s="128">
        <f>N53*DONNÉES!Z65*DONNÉES!$Z$19</f>
        <v>0</v>
      </c>
      <c r="AN53" s="117"/>
      <c r="AO53" s="117"/>
      <c r="AP53" s="119">
        <v>80</v>
      </c>
    </row>
    <row r="54" spans="1:42" x14ac:dyDescent="0.25">
      <c r="A54" s="120">
        <v>84</v>
      </c>
      <c r="B54" s="121"/>
      <c r="C54" s="121"/>
      <c r="D54" s="121"/>
      <c r="E54" s="121"/>
      <c r="F54" s="121"/>
      <c r="G54" s="121"/>
      <c r="H54" s="121"/>
      <c r="I54" s="121"/>
      <c r="J54" s="118"/>
      <c r="K54" s="117"/>
      <c r="L54" s="117"/>
      <c r="M54" s="117"/>
      <c r="N54" s="118"/>
      <c r="O54" s="117"/>
      <c r="P54" s="117"/>
      <c r="Q54" s="119">
        <v>84</v>
      </c>
      <c r="Z54" s="120">
        <v>84</v>
      </c>
      <c r="AA54" s="121"/>
      <c r="AB54" s="121"/>
      <c r="AC54" s="121"/>
      <c r="AD54" s="121"/>
      <c r="AE54" s="121"/>
      <c r="AF54" s="121"/>
      <c r="AG54" s="121"/>
      <c r="AH54" s="121"/>
      <c r="AI54" s="128">
        <f>J54*DONNÉES!V66*DONNÉES!$Q$20</f>
        <v>0</v>
      </c>
      <c r="AJ54" s="117"/>
      <c r="AK54" s="117"/>
      <c r="AL54" s="117"/>
      <c r="AM54" s="128">
        <f>N54*DONNÉES!Z66*DONNÉES!$Z$19</f>
        <v>0</v>
      </c>
      <c r="AN54" s="117"/>
      <c r="AO54" s="117"/>
      <c r="AP54" s="119">
        <v>84</v>
      </c>
    </row>
    <row r="55" spans="1:42" x14ac:dyDescent="0.25">
      <c r="A55" s="120">
        <v>88</v>
      </c>
      <c r="B55" s="121"/>
      <c r="C55" s="121"/>
      <c r="D55" s="121"/>
      <c r="E55" s="121"/>
      <c r="F55" s="121"/>
      <c r="G55" s="121"/>
      <c r="H55" s="121"/>
      <c r="I55" s="121"/>
      <c r="J55" s="118"/>
      <c r="K55" s="117"/>
      <c r="L55" s="117"/>
      <c r="M55" s="117"/>
      <c r="N55" s="118"/>
      <c r="O55" s="117"/>
      <c r="P55" s="117"/>
      <c r="Q55" s="119">
        <v>88</v>
      </c>
      <c r="Z55" s="120">
        <v>88</v>
      </c>
      <c r="AA55" s="121"/>
      <c r="AB55" s="121"/>
      <c r="AC55" s="121"/>
      <c r="AD55" s="121"/>
      <c r="AE55" s="121"/>
      <c r="AF55" s="121"/>
      <c r="AG55" s="121"/>
      <c r="AH55" s="121"/>
      <c r="AI55" s="128">
        <f>J55*DONNÉES!V70*DONNÉES!$Q$20</f>
        <v>0</v>
      </c>
      <c r="AJ55" s="117"/>
      <c r="AK55" s="117"/>
      <c r="AL55" s="117"/>
      <c r="AM55" s="128">
        <f>N55*DONNÉES!Z70*DONNÉES!$Z$19</f>
        <v>0</v>
      </c>
      <c r="AN55" s="117"/>
      <c r="AO55" s="117"/>
      <c r="AP55" s="119">
        <v>88</v>
      </c>
    </row>
    <row r="56" spans="1:42" x14ac:dyDescent="0.25">
      <c r="A56" s="120">
        <v>92</v>
      </c>
      <c r="B56" s="121"/>
      <c r="C56" s="121"/>
      <c r="D56" s="121"/>
      <c r="E56" s="121"/>
      <c r="F56" s="121"/>
      <c r="G56" s="121"/>
      <c r="H56" s="121"/>
      <c r="I56" s="121"/>
      <c r="J56" s="118"/>
      <c r="K56" s="117"/>
      <c r="L56" s="117"/>
      <c r="M56" s="117"/>
      <c r="N56" s="118"/>
      <c r="O56" s="117"/>
      <c r="P56" s="117"/>
      <c r="Q56" s="119">
        <v>92</v>
      </c>
      <c r="Z56" s="120">
        <v>92</v>
      </c>
      <c r="AA56" s="121"/>
      <c r="AB56" s="121"/>
      <c r="AC56" s="121"/>
      <c r="AD56" s="121"/>
      <c r="AE56" s="121"/>
      <c r="AF56" s="121"/>
      <c r="AG56" s="121"/>
      <c r="AH56" s="121"/>
      <c r="AI56" s="128">
        <f>J56*DONNÉES!V71*DONNÉES!$Q$20</f>
        <v>0</v>
      </c>
      <c r="AJ56" s="117"/>
      <c r="AK56" s="117"/>
      <c r="AL56" s="117"/>
      <c r="AM56" s="128">
        <f>N56*DONNÉES!Z71*DONNÉES!$Z$19</f>
        <v>0</v>
      </c>
      <c r="AN56" s="117"/>
      <c r="AO56" s="117"/>
      <c r="AP56" s="119">
        <v>92</v>
      </c>
    </row>
    <row r="57" spans="1:42" x14ac:dyDescent="0.25">
      <c r="A57" s="120">
        <v>96</v>
      </c>
      <c r="B57" s="121"/>
      <c r="C57" s="121"/>
      <c r="D57" s="121"/>
      <c r="E57" s="121"/>
      <c r="F57" s="121"/>
      <c r="G57" s="121"/>
      <c r="H57" s="121"/>
      <c r="I57" s="121"/>
      <c r="J57" s="118"/>
      <c r="K57" s="117"/>
      <c r="L57" s="117"/>
      <c r="M57" s="117"/>
      <c r="N57" s="118"/>
      <c r="O57" s="117"/>
      <c r="P57" s="117"/>
      <c r="Q57" s="119">
        <v>96</v>
      </c>
      <c r="Z57" s="120">
        <v>96</v>
      </c>
      <c r="AA57" s="121"/>
      <c r="AB57" s="121"/>
      <c r="AC57" s="121"/>
      <c r="AD57" s="121"/>
      <c r="AE57" s="121"/>
      <c r="AF57" s="121"/>
      <c r="AG57" s="121"/>
      <c r="AH57" s="121"/>
      <c r="AI57" s="128">
        <f>J57*DONNÉES!V72*DONNÉES!$Q$20</f>
        <v>0</v>
      </c>
      <c r="AJ57" s="117"/>
      <c r="AK57" s="117"/>
      <c r="AL57" s="117"/>
      <c r="AM57" s="128">
        <f>N57*DONNÉES!Z72*DONNÉES!$Z$19</f>
        <v>0</v>
      </c>
      <c r="AN57" s="117"/>
      <c r="AO57" s="117"/>
      <c r="AP57" s="119">
        <v>96</v>
      </c>
    </row>
    <row r="58" spans="1:42" x14ac:dyDescent="0.25">
      <c r="A58" s="120">
        <v>100</v>
      </c>
      <c r="B58" s="121"/>
      <c r="C58" s="121"/>
      <c r="D58" s="121"/>
      <c r="E58" s="121"/>
      <c r="F58" s="121"/>
      <c r="G58" s="121"/>
      <c r="H58" s="121"/>
      <c r="I58" s="121"/>
      <c r="J58" s="118"/>
      <c r="K58" s="117"/>
      <c r="L58" s="117"/>
      <c r="M58" s="117"/>
      <c r="N58" s="118"/>
      <c r="O58" s="117"/>
      <c r="P58" s="117"/>
      <c r="Q58" s="119">
        <v>100</v>
      </c>
      <c r="Z58" s="120">
        <v>100</v>
      </c>
      <c r="AA58" s="121"/>
      <c r="AB58" s="121"/>
      <c r="AC58" s="121"/>
      <c r="AD58" s="121"/>
      <c r="AE58" s="121"/>
      <c r="AF58" s="121"/>
      <c r="AG58" s="121"/>
      <c r="AH58" s="121"/>
      <c r="AI58" s="128">
        <f>J58*DONNÉES!V73*DONNÉES!$Q$20</f>
        <v>0</v>
      </c>
      <c r="AJ58" s="117"/>
      <c r="AK58" s="117"/>
      <c r="AL58" s="117"/>
      <c r="AM58" s="128">
        <f>N58*DONNÉES!Z73*DONNÉES!$Z$19</f>
        <v>0</v>
      </c>
      <c r="AN58" s="117"/>
      <c r="AO58" s="117"/>
      <c r="AP58" s="119">
        <v>100</v>
      </c>
    </row>
    <row r="59" spans="1:42" x14ac:dyDescent="0.25">
      <c r="A59" s="120">
        <v>104</v>
      </c>
      <c r="B59" s="121"/>
      <c r="C59" s="121"/>
      <c r="D59" s="121"/>
      <c r="E59" s="121"/>
      <c r="F59" s="121"/>
      <c r="G59" s="121"/>
      <c r="H59" s="121"/>
      <c r="I59" s="121"/>
      <c r="J59" s="118"/>
      <c r="K59" s="117"/>
      <c r="L59" s="117"/>
      <c r="M59" s="117"/>
      <c r="N59" s="118"/>
      <c r="O59" s="117"/>
      <c r="P59" s="117"/>
      <c r="Q59" s="119">
        <v>104</v>
      </c>
      <c r="Z59" s="120">
        <v>104</v>
      </c>
      <c r="AA59" s="121"/>
      <c r="AB59" s="121"/>
      <c r="AC59" s="121"/>
      <c r="AD59" s="121"/>
      <c r="AE59" s="121"/>
      <c r="AF59" s="121"/>
      <c r="AG59" s="121"/>
      <c r="AH59" s="121"/>
      <c r="AI59" s="128">
        <f>J59*DONNÉES!V74*DONNÉES!$Q$20</f>
        <v>0</v>
      </c>
      <c r="AJ59" s="117"/>
      <c r="AK59" s="117"/>
      <c r="AL59" s="117"/>
      <c r="AM59" s="128">
        <f>N59*DONNÉES!Z74*DONNÉES!$Z$19</f>
        <v>0</v>
      </c>
      <c r="AN59" s="117"/>
      <c r="AO59" s="117"/>
      <c r="AP59" s="119">
        <v>104</v>
      </c>
    </row>
    <row r="60" spans="1:42" x14ac:dyDescent="0.25">
      <c r="A60" s="120">
        <v>108</v>
      </c>
      <c r="B60" s="121"/>
      <c r="C60" s="121"/>
      <c r="D60" s="121"/>
      <c r="E60" s="121"/>
      <c r="F60" s="121"/>
      <c r="G60" s="121"/>
      <c r="H60" s="121"/>
      <c r="I60" s="121"/>
      <c r="J60" s="118"/>
      <c r="K60" s="117"/>
      <c r="L60" s="117"/>
      <c r="M60" s="117"/>
      <c r="N60" s="118"/>
      <c r="O60" s="117"/>
      <c r="P60" s="117"/>
      <c r="Q60" s="119">
        <v>108</v>
      </c>
      <c r="Z60" s="120">
        <v>108</v>
      </c>
      <c r="AA60" s="121"/>
      <c r="AB60" s="121"/>
      <c r="AC60" s="121"/>
      <c r="AD60" s="121"/>
      <c r="AE60" s="121"/>
      <c r="AF60" s="121"/>
      <c r="AG60" s="121"/>
      <c r="AH60" s="121"/>
      <c r="AI60" s="128">
        <f>J60*DONNÉES!V75*DONNÉES!$Q$20</f>
        <v>0</v>
      </c>
      <c r="AJ60" s="117"/>
      <c r="AK60" s="117"/>
      <c r="AL60" s="117"/>
      <c r="AM60" s="128">
        <f>N60*DONNÉES!Z75*DONNÉES!$Z$19</f>
        <v>0</v>
      </c>
      <c r="AN60" s="117"/>
      <c r="AO60" s="117"/>
      <c r="AP60" s="119">
        <v>108</v>
      </c>
    </row>
    <row r="61" spans="1:42" x14ac:dyDescent="0.25">
      <c r="A61" s="120">
        <v>112</v>
      </c>
      <c r="B61" s="121"/>
      <c r="C61" s="121"/>
      <c r="D61" s="121"/>
      <c r="E61" s="121"/>
      <c r="F61" s="121"/>
      <c r="G61" s="121"/>
      <c r="H61" s="121"/>
      <c r="I61" s="121"/>
      <c r="J61" s="118"/>
      <c r="K61" s="117"/>
      <c r="L61" s="117"/>
      <c r="M61" s="117"/>
      <c r="N61" s="118"/>
      <c r="O61" s="117"/>
      <c r="P61" s="117"/>
      <c r="Q61" s="119">
        <v>112</v>
      </c>
      <c r="Z61" s="120">
        <v>112</v>
      </c>
      <c r="AA61" s="121"/>
      <c r="AB61" s="121"/>
      <c r="AC61" s="121"/>
      <c r="AD61" s="121"/>
      <c r="AE61" s="121"/>
      <c r="AF61" s="121"/>
      <c r="AG61" s="121"/>
      <c r="AH61" s="121"/>
      <c r="AI61" s="128">
        <f>J61*DONNÉES!V76*DONNÉES!$Q$20</f>
        <v>0</v>
      </c>
      <c r="AJ61" s="117"/>
      <c r="AK61" s="117"/>
      <c r="AL61" s="117"/>
      <c r="AM61" s="128">
        <f>N61*DONNÉES!Z76*DONNÉES!$Z$19</f>
        <v>0</v>
      </c>
      <c r="AN61" s="117"/>
      <c r="AO61" s="117"/>
      <c r="AP61" s="119">
        <v>112</v>
      </c>
    </row>
    <row r="62" spans="1:42" x14ac:dyDescent="0.25">
      <c r="A62" s="120">
        <v>116</v>
      </c>
      <c r="B62" s="121"/>
      <c r="C62" s="121"/>
      <c r="D62" s="121"/>
      <c r="E62" s="121"/>
      <c r="F62" s="121"/>
      <c r="G62" s="121"/>
      <c r="H62" s="121"/>
      <c r="I62" s="121"/>
      <c r="J62" s="118"/>
      <c r="K62" s="117"/>
      <c r="L62" s="117"/>
      <c r="M62" s="117"/>
      <c r="N62" s="118"/>
      <c r="O62" s="117"/>
      <c r="P62" s="117"/>
      <c r="Q62" s="119">
        <v>116</v>
      </c>
      <c r="Z62" s="120">
        <v>116</v>
      </c>
      <c r="AA62" s="121"/>
      <c r="AB62" s="121"/>
      <c r="AC62" s="121"/>
      <c r="AD62" s="121"/>
      <c r="AE62" s="121"/>
      <c r="AF62" s="121"/>
      <c r="AG62" s="121"/>
      <c r="AH62" s="121"/>
      <c r="AI62" s="128">
        <f>J62*DONNÉES!V77*DONNÉES!$Q$20</f>
        <v>0</v>
      </c>
      <c r="AJ62" s="117"/>
      <c r="AK62" s="117"/>
      <c r="AL62" s="117"/>
      <c r="AM62" s="128">
        <f>N62*DONNÉES!Z77*DONNÉES!$Z$19</f>
        <v>0</v>
      </c>
      <c r="AN62" s="117"/>
      <c r="AO62" s="117"/>
      <c r="AP62" s="119">
        <v>116</v>
      </c>
    </row>
    <row r="63" spans="1:42" x14ac:dyDescent="0.25">
      <c r="A63" s="120">
        <v>120</v>
      </c>
      <c r="B63" s="121"/>
      <c r="C63" s="121"/>
      <c r="D63" s="121"/>
      <c r="E63" s="121"/>
      <c r="F63" s="121"/>
      <c r="G63" s="121"/>
      <c r="H63" s="121"/>
      <c r="I63" s="121"/>
      <c r="J63" s="118"/>
      <c r="K63" s="117"/>
      <c r="L63" s="117"/>
      <c r="M63" s="117"/>
      <c r="N63" s="118"/>
      <c r="O63" s="117"/>
      <c r="P63" s="117"/>
      <c r="Q63" s="119">
        <v>120</v>
      </c>
      <c r="Z63" s="120">
        <v>120</v>
      </c>
      <c r="AA63" s="121"/>
      <c r="AB63" s="121"/>
      <c r="AC63" s="121"/>
      <c r="AD63" s="121"/>
      <c r="AE63" s="121"/>
      <c r="AF63" s="121"/>
      <c r="AG63" s="121"/>
      <c r="AH63" s="121"/>
      <c r="AI63" s="128">
        <f>J63*DONNÉES!V78*DONNÉES!$Q$20</f>
        <v>0</v>
      </c>
      <c r="AJ63" s="117"/>
      <c r="AK63" s="117"/>
      <c r="AL63" s="117"/>
      <c r="AM63" s="128">
        <f>N63*DONNÉES!Z78*DONNÉES!$Z$19</f>
        <v>0</v>
      </c>
      <c r="AN63" s="117"/>
      <c r="AO63" s="117"/>
      <c r="AP63" s="119">
        <v>120</v>
      </c>
    </row>
    <row r="65" spans="27:42" x14ac:dyDescent="0.25">
      <c r="AA65" s="137">
        <f>SUM(AA11:AA64)</f>
        <v>0</v>
      </c>
      <c r="AB65" s="137">
        <f t="shared" ref="AB65:AO65" si="2">SUM(AB11:AB64)</f>
        <v>0</v>
      </c>
      <c r="AC65" s="137">
        <f t="shared" si="2"/>
        <v>0</v>
      </c>
      <c r="AD65" s="137">
        <f t="shared" si="2"/>
        <v>0</v>
      </c>
      <c r="AE65" s="137">
        <f t="shared" si="2"/>
        <v>0</v>
      </c>
      <c r="AF65" s="137">
        <f t="shared" si="2"/>
        <v>0</v>
      </c>
      <c r="AG65" s="137">
        <f t="shared" si="2"/>
        <v>0</v>
      </c>
      <c r="AH65" s="137">
        <f t="shared" si="2"/>
        <v>0</v>
      </c>
      <c r="AI65" s="137">
        <f t="shared" si="2"/>
        <v>0</v>
      </c>
      <c r="AJ65" s="137">
        <f t="shared" si="2"/>
        <v>0</v>
      </c>
      <c r="AK65" s="137">
        <f t="shared" si="2"/>
        <v>0</v>
      </c>
      <c r="AL65" s="137">
        <f t="shared" si="2"/>
        <v>0</v>
      </c>
      <c r="AM65" s="137">
        <f t="shared" si="2"/>
        <v>0</v>
      </c>
      <c r="AN65" s="137">
        <f t="shared" si="2"/>
        <v>0</v>
      </c>
      <c r="AO65" s="137">
        <f t="shared" si="2"/>
        <v>0</v>
      </c>
      <c r="AP65" s="130">
        <f>SUM(AA65:AO65)</f>
        <v>0</v>
      </c>
    </row>
  </sheetData>
  <mergeCells count="1"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="70" zoomScaleNormal="70" workbookViewId="0">
      <selection activeCell="S47" sqref="S47"/>
    </sheetView>
  </sheetViews>
  <sheetFormatPr defaultColWidth="11.44140625" defaultRowHeight="13.2" x14ac:dyDescent="0.25"/>
  <cols>
    <col min="1" max="1" width="14.6640625" style="191" customWidth="1"/>
    <col min="2" max="2" width="13.5546875" style="191" customWidth="1"/>
    <col min="3" max="5" width="11.44140625" style="191"/>
    <col min="6" max="6" width="12.44140625" style="191" customWidth="1"/>
    <col min="7" max="7" width="19.6640625" style="191" customWidth="1"/>
    <col min="8" max="10" width="11.44140625" style="191"/>
    <col min="11" max="11" width="17.44140625" style="191" customWidth="1"/>
    <col min="12" max="23" width="11.44140625" style="191"/>
    <col min="24" max="24" width="11.44140625" style="191" customWidth="1"/>
    <col min="25" max="16384" width="11.44140625" style="191"/>
  </cols>
  <sheetData>
    <row r="1" spans="1:25" ht="14.4" x14ac:dyDescent="0.3">
      <c r="A1" s="324" t="s">
        <v>285</v>
      </c>
      <c r="B1" s="325"/>
      <c r="F1" s="930" t="s">
        <v>556</v>
      </c>
      <c r="G1" s="931"/>
      <c r="H1" s="932"/>
      <c r="I1" s="449"/>
      <c r="J1" s="930" t="s">
        <v>556</v>
      </c>
      <c r="K1" s="931"/>
      <c r="L1" s="932"/>
      <c r="N1" s="927" t="s">
        <v>450</v>
      </c>
      <c r="O1" s="928"/>
      <c r="P1" s="933"/>
      <c r="Q1" s="337"/>
      <c r="R1" s="934" t="s">
        <v>451</v>
      </c>
      <c r="S1" s="928"/>
      <c r="T1" s="933"/>
      <c r="U1" s="337"/>
      <c r="V1" s="934" t="s">
        <v>452</v>
      </c>
      <c r="W1" s="928"/>
      <c r="X1" s="929"/>
      <c r="Y1" s="337"/>
    </row>
    <row r="2" spans="1:25" ht="14.4" x14ac:dyDescent="0.3">
      <c r="A2" s="324" t="s">
        <v>286</v>
      </c>
      <c r="B2" s="324" t="s">
        <v>287</v>
      </c>
      <c r="F2" s="445" t="s">
        <v>557</v>
      </c>
      <c r="G2" s="475" t="s">
        <v>553</v>
      </c>
      <c r="H2" s="448">
        <f>VLOOKUP(G2,DONNÉES!A67:B84,2,0)</f>
        <v>0.5</v>
      </c>
      <c r="I2" s="450"/>
      <c r="J2" s="445" t="s">
        <v>557</v>
      </c>
      <c r="K2" s="475" t="s">
        <v>552</v>
      </c>
      <c r="L2" s="448">
        <f>VLOOKUP(K2,DONNÉES!A67:B84,2,0)</f>
        <v>0.4</v>
      </c>
      <c r="N2" s="335" t="s">
        <v>459</v>
      </c>
      <c r="O2" s="335" t="s">
        <v>453</v>
      </c>
      <c r="P2" s="335" t="s">
        <v>469</v>
      </c>
      <c r="Q2" s="321" t="s">
        <v>290</v>
      </c>
      <c r="R2" s="335" t="s">
        <v>459</v>
      </c>
      <c r="S2" s="335" t="s">
        <v>453</v>
      </c>
      <c r="T2" s="335" t="s">
        <v>469</v>
      </c>
      <c r="U2" s="321" t="s">
        <v>290</v>
      </c>
      <c r="V2" s="335" t="s">
        <v>459</v>
      </c>
      <c r="W2" s="335" t="s">
        <v>453</v>
      </c>
      <c r="X2" s="335" t="s">
        <v>469</v>
      </c>
      <c r="Y2" s="321" t="s">
        <v>290</v>
      </c>
    </row>
    <row r="3" spans="1:25" ht="15" thickBot="1" x14ac:dyDescent="0.35">
      <c r="A3" s="326">
        <f>A25</f>
        <v>0</v>
      </c>
      <c r="B3" s="327">
        <f>D25</f>
        <v>0</v>
      </c>
      <c r="F3" s="321" t="s">
        <v>288</v>
      </c>
      <c r="G3" s="321" t="s">
        <v>558</v>
      </c>
      <c r="H3" s="321" t="s">
        <v>290</v>
      </c>
      <c r="I3" s="451"/>
      <c r="J3" s="321" t="s">
        <v>288</v>
      </c>
      <c r="K3" s="321" t="s">
        <v>558</v>
      </c>
      <c r="L3" s="321" t="s">
        <v>290</v>
      </c>
      <c r="N3" s="320"/>
      <c r="O3" s="320" t="s">
        <v>454</v>
      </c>
      <c r="P3" s="339">
        <v>4.18</v>
      </c>
      <c r="Q3" s="340">
        <f>P3*N3</f>
        <v>0</v>
      </c>
      <c r="R3" s="320"/>
      <c r="S3" s="320" t="s">
        <v>455</v>
      </c>
      <c r="T3" s="339">
        <v>6.88</v>
      </c>
      <c r="U3" s="340">
        <f>T3*R3</f>
        <v>0</v>
      </c>
      <c r="V3" s="320"/>
      <c r="W3" s="320" t="s">
        <v>456</v>
      </c>
      <c r="X3" s="320">
        <v>1.9</v>
      </c>
      <c r="Y3" s="340">
        <f>X3*V3</f>
        <v>0</v>
      </c>
    </row>
    <row r="4" spans="1:25" x14ac:dyDescent="0.25">
      <c r="F4" s="320"/>
      <c r="G4" s="320"/>
      <c r="H4" s="328">
        <f>$H$2*F4*G4</f>
        <v>0</v>
      </c>
      <c r="I4" s="130"/>
      <c r="J4" s="320"/>
      <c r="K4" s="320"/>
      <c r="L4" s="328">
        <f>$L$2*J4*K4</f>
        <v>0</v>
      </c>
      <c r="N4" s="320"/>
      <c r="O4" s="320" t="s">
        <v>456</v>
      </c>
      <c r="P4" s="339">
        <v>5.04</v>
      </c>
      <c r="Q4" s="340">
        <f t="shared" ref="Q4:Q5" si="0">P4*N4</f>
        <v>0</v>
      </c>
      <c r="R4" s="320"/>
      <c r="S4" s="320" t="s">
        <v>457</v>
      </c>
      <c r="T4" s="339">
        <v>9.26</v>
      </c>
      <c r="U4" s="340">
        <f t="shared" ref="U4" si="1">T4*R4</f>
        <v>0</v>
      </c>
      <c r="V4" s="320"/>
      <c r="W4" s="320" t="s">
        <v>455</v>
      </c>
      <c r="X4" s="320">
        <v>2.5299999999999998</v>
      </c>
      <c r="Y4" s="340">
        <f t="shared" ref="Y4:Y5" si="2">X4*V4</f>
        <v>0</v>
      </c>
    </row>
    <row r="5" spans="1:25" x14ac:dyDescent="0.25">
      <c r="F5" s="320"/>
      <c r="G5" s="320"/>
      <c r="H5" s="328">
        <f t="shared" ref="H5:H33" si="3">$H$2*F5*G5</f>
        <v>0</v>
      </c>
      <c r="I5" s="130"/>
      <c r="J5" s="320"/>
      <c r="K5" s="320"/>
      <c r="L5" s="328">
        <f t="shared" ref="L5:L33" si="4">$L$2*J5*K5</f>
        <v>0</v>
      </c>
      <c r="N5" s="323"/>
      <c r="O5" s="323" t="s">
        <v>458</v>
      </c>
      <c r="P5" s="341">
        <v>8.01</v>
      </c>
      <c r="Q5" s="342">
        <f t="shared" si="0"/>
        <v>0</v>
      </c>
      <c r="R5" s="323"/>
      <c r="S5" s="323"/>
      <c r="T5" s="323"/>
      <c r="U5" s="342"/>
      <c r="V5" s="323"/>
      <c r="W5" s="323" t="s">
        <v>457</v>
      </c>
      <c r="X5" s="323">
        <v>3.4</v>
      </c>
      <c r="Y5" s="340">
        <f t="shared" si="2"/>
        <v>0</v>
      </c>
    </row>
    <row r="6" spans="1:25" x14ac:dyDescent="0.25">
      <c r="F6" s="320"/>
      <c r="G6" s="320"/>
      <c r="H6" s="328">
        <f t="shared" si="3"/>
        <v>0</v>
      </c>
      <c r="I6" s="130"/>
      <c r="J6" s="320"/>
      <c r="K6" s="320"/>
      <c r="L6" s="328">
        <f t="shared" si="4"/>
        <v>0</v>
      </c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8" t="s">
        <v>470</v>
      </c>
      <c r="Y6" s="340">
        <f>SUM(Q3:Q5,U3:U4,Y3:Y5)</f>
        <v>0</v>
      </c>
    </row>
    <row r="7" spans="1:25" x14ac:dyDescent="0.25">
      <c r="F7" s="320"/>
      <c r="G7" s="320"/>
      <c r="H7" s="328">
        <f t="shared" si="3"/>
        <v>0</v>
      </c>
      <c r="I7" s="130"/>
      <c r="J7" s="320"/>
      <c r="K7" s="320"/>
      <c r="L7" s="328">
        <f t="shared" si="4"/>
        <v>0</v>
      </c>
      <c r="N7" s="927" t="s">
        <v>460</v>
      </c>
      <c r="O7" s="928"/>
      <c r="P7" s="928"/>
      <c r="Q7" s="928"/>
      <c r="R7" s="928"/>
      <c r="S7" s="928"/>
      <c r="T7" s="928"/>
      <c r="U7" s="928"/>
      <c r="V7" s="928"/>
      <c r="W7" s="929"/>
      <c r="X7" s="338" t="s">
        <v>471</v>
      </c>
      <c r="Y7" s="320">
        <f>SUM(N3:N5,R3:R5,V3:V5)</f>
        <v>0</v>
      </c>
    </row>
    <row r="8" spans="1:25" x14ac:dyDescent="0.25">
      <c r="A8" s="324" t="s">
        <v>291</v>
      </c>
      <c r="B8" s="325"/>
      <c r="F8" s="320"/>
      <c r="G8" s="320"/>
      <c r="H8" s="328">
        <f t="shared" si="3"/>
        <v>0</v>
      </c>
      <c r="I8" s="130"/>
      <c r="J8" s="320"/>
      <c r="K8" s="320"/>
      <c r="L8" s="328">
        <f t="shared" si="4"/>
        <v>0</v>
      </c>
      <c r="N8" s="272"/>
    </row>
    <row r="9" spans="1:25" x14ac:dyDescent="0.25">
      <c r="A9" s="324" t="s">
        <v>286</v>
      </c>
      <c r="B9" s="324" t="s">
        <v>287</v>
      </c>
      <c r="F9" s="320"/>
      <c r="G9" s="320"/>
      <c r="H9" s="328">
        <f t="shared" si="3"/>
        <v>0</v>
      </c>
      <c r="I9" s="130"/>
      <c r="J9" s="320"/>
      <c r="K9" s="320"/>
      <c r="L9" s="328">
        <f t="shared" si="4"/>
        <v>0</v>
      </c>
      <c r="N9" s="927" t="s">
        <v>461</v>
      </c>
      <c r="O9" s="928"/>
      <c r="P9" s="928"/>
      <c r="Q9" s="928"/>
      <c r="R9" s="928"/>
      <c r="S9" s="928"/>
      <c r="T9" s="928"/>
      <c r="U9" s="928"/>
      <c r="V9" s="928"/>
      <c r="W9" s="928"/>
      <c r="X9" s="929"/>
    </row>
    <row r="10" spans="1:25" x14ac:dyDescent="0.25">
      <c r="A10" s="325">
        <f>F34+J34</f>
        <v>0</v>
      </c>
      <c r="B10" s="328">
        <f>H34+L34</f>
        <v>0</v>
      </c>
      <c r="F10" s="320"/>
      <c r="G10" s="320"/>
      <c r="H10" s="328">
        <f t="shared" si="3"/>
        <v>0</v>
      </c>
      <c r="I10" s="130"/>
      <c r="J10" s="320"/>
      <c r="K10" s="320"/>
      <c r="L10" s="328">
        <f t="shared" si="4"/>
        <v>0</v>
      </c>
    </row>
    <row r="11" spans="1:25" x14ac:dyDescent="0.25">
      <c r="F11" s="320"/>
      <c r="G11" s="320"/>
      <c r="H11" s="328">
        <f t="shared" si="3"/>
        <v>0</v>
      </c>
      <c r="I11" s="130"/>
      <c r="J11" s="320"/>
      <c r="K11" s="320"/>
      <c r="L11" s="328">
        <f t="shared" si="4"/>
        <v>0</v>
      </c>
    </row>
    <row r="12" spans="1:25" x14ac:dyDescent="0.25">
      <c r="F12" s="320"/>
      <c r="G12" s="320"/>
      <c r="H12" s="328">
        <f t="shared" si="3"/>
        <v>0</v>
      </c>
      <c r="I12" s="130"/>
      <c r="J12" s="320"/>
      <c r="K12" s="320"/>
      <c r="L12" s="328">
        <f t="shared" si="4"/>
        <v>0</v>
      </c>
    </row>
    <row r="13" spans="1:25" x14ac:dyDescent="0.25">
      <c r="F13" s="320"/>
      <c r="G13" s="320"/>
      <c r="H13" s="328">
        <f t="shared" si="3"/>
        <v>0</v>
      </c>
      <c r="I13" s="130"/>
      <c r="J13" s="320"/>
      <c r="K13" s="320"/>
      <c r="L13" s="328">
        <f t="shared" si="4"/>
        <v>0</v>
      </c>
    </row>
    <row r="14" spans="1:25" ht="14.4" x14ac:dyDescent="0.3">
      <c r="A14" s="321" t="s">
        <v>292</v>
      </c>
      <c r="B14" s="321"/>
      <c r="C14" s="320"/>
      <c r="D14" s="320"/>
      <c r="F14" s="320"/>
      <c r="G14" s="320"/>
      <c r="H14" s="328">
        <f t="shared" si="3"/>
        <v>0</v>
      </c>
      <c r="I14" s="130"/>
      <c r="J14" s="320"/>
      <c r="K14" s="320"/>
      <c r="L14" s="328">
        <f t="shared" si="4"/>
        <v>0</v>
      </c>
    </row>
    <row r="15" spans="1:25" ht="14.4" x14ac:dyDescent="0.3">
      <c r="A15" s="321" t="s">
        <v>288</v>
      </c>
      <c r="B15" s="321" t="s">
        <v>289</v>
      </c>
      <c r="C15" s="321" t="s">
        <v>293</v>
      </c>
      <c r="D15" s="321" t="s">
        <v>294</v>
      </c>
      <c r="F15" s="320"/>
      <c r="G15" s="320"/>
      <c r="H15" s="328">
        <f t="shared" si="3"/>
        <v>0</v>
      </c>
      <c r="I15" s="130"/>
      <c r="J15" s="320"/>
      <c r="K15" s="320"/>
      <c r="L15" s="328">
        <f t="shared" si="4"/>
        <v>0</v>
      </c>
      <c r="R15" s="272"/>
    </row>
    <row r="16" spans="1:25" x14ac:dyDescent="0.25">
      <c r="A16" s="320"/>
      <c r="B16" s="329">
        <v>3</v>
      </c>
      <c r="C16" s="330">
        <v>1.25</v>
      </c>
      <c r="D16" s="328">
        <f>A16*C16</f>
        <v>0</v>
      </c>
      <c r="E16" s="322"/>
      <c r="F16" s="320"/>
      <c r="G16" s="320"/>
      <c r="H16" s="328">
        <f t="shared" si="3"/>
        <v>0</v>
      </c>
      <c r="I16" s="130"/>
      <c r="J16" s="320"/>
      <c r="K16" s="320"/>
      <c r="L16" s="328">
        <f t="shared" si="4"/>
        <v>0</v>
      </c>
    </row>
    <row r="17" spans="1:12" x14ac:dyDescent="0.25">
      <c r="A17" s="320"/>
      <c r="B17" s="329">
        <v>4</v>
      </c>
      <c r="C17" s="330">
        <v>1.25</v>
      </c>
      <c r="D17" s="328">
        <f t="shared" ref="D17:D24" si="5">A17*C17</f>
        <v>0</v>
      </c>
      <c r="E17" s="322"/>
      <c r="F17" s="320"/>
      <c r="G17" s="320"/>
      <c r="H17" s="328">
        <f t="shared" si="3"/>
        <v>0</v>
      </c>
      <c r="I17" s="130"/>
      <c r="J17" s="320"/>
      <c r="K17" s="320"/>
      <c r="L17" s="328">
        <f t="shared" si="4"/>
        <v>0</v>
      </c>
    </row>
    <row r="18" spans="1:12" x14ac:dyDescent="0.25">
      <c r="A18" s="320"/>
      <c r="B18" s="329">
        <v>5</v>
      </c>
      <c r="C18" s="330">
        <v>1.37</v>
      </c>
      <c r="D18" s="328">
        <f t="shared" si="5"/>
        <v>0</v>
      </c>
      <c r="E18" s="322"/>
      <c r="F18" s="320"/>
      <c r="G18" s="320"/>
      <c r="H18" s="328">
        <f t="shared" si="3"/>
        <v>0</v>
      </c>
      <c r="I18" s="130"/>
      <c r="J18" s="320"/>
      <c r="K18" s="320"/>
      <c r="L18" s="328">
        <f t="shared" si="4"/>
        <v>0</v>
      </c>
    </row>
    <row r="19" spans="1:12" x14ac:dyDescent="0.25">
      <c r="A19" s="320"/>
      <c r="B19" s="329">
        <v>6</v>
      </c>
      <c r="C19" s="330">
        <v>1.51</v>
      </c>
      <c r="D19" s="328">
        <f t="shared" si="5"/>
        <v>0</v>
      </c>
      <c r="E19" s="322"/>
      <c r="F19" s="320"/>
      <c r="G19" s="320"/>
      <c r="H19" s="328">
        <f t="shared" si="3"/>
        <v>0</v>
      </c>
      <c r="I19" s="130"/>
      <c r="J19" s="320"/>
      <c r="K19" s="320"/>
      <c r="L19" s="328">
        <f t="shared" si="4"/>
        <v>0</v>
      </c>
    </row>
    <row r="20" spans="1:12" x14ac:dyDescent="0.25">
      <c r="A20" s="320"/>
      <c r="B20" s="329">
        <v>7</v>
      </c>
      <c r="C20" s="330">
        <v>3.22</v>
      </c>
      <c r="D20" s="328">
        <f t="shared" si="5"/>
        <v>0</v>
      </c>
      <c r="E20" s="322"/>
      <c r="F20" s="320"/>
      <c r="G20" s="320"/>
      <c r="H20" s="328">
        <f t="shared" si="3"/>
        <v>0</v>
      </c>
      <c r="I20" s="130"/>
      <c r="J20" s="320"/>
      <c r="K20" s="320"/>
      <c r="L20" s="328">
        <f t="shared" si="4"/>
        <v>0</v>
      </c>
    </row>
    <row r="21" spans="1:12" x14ac:dyDescent="0.25">
      <c r="A21" s="320"/>
      <c r="B21" s="329">
        <v>8</v>
      </c>
      <c r="C21" s="330">
        <v>3.98</v>
      </c>
      <c r="D21" s="328">
        <f t="shared" si="5"/>
        <v>0</v>
      </c>
      <c r="E21" s="322"/>
      <c r="F21" s="320"/>
      <c r="G21" s="320"/>
      <c r="H21" s="328">
        <f t="shared" si="3"/>
        <v>0</v>
      </c>
      <c r="I21" s="130"/>
      <c r="J21" s="320"/>
      <c r="K21" s="320"/>
      <c r="L21" s="328">
        <f t="shared" si="4"/>
        <v>0</v>
      </c>
    </row>
    <row r="22" spans="1:12" x14ac:dyDescent="0.25">
      <c r="A22" s="320"/>
      <c r="B22" s="329">
        <v>10</v>
      </c>
      <c r="C22" s="330">
        <v>4.92</v>
      </c>
      <c r="D22" s="328">
        <f t="shared" si="5"/>
        <v>0</v>
      </c>
      <c r="E22" s="322"/>
      <c r="F22" s="320"/>
      <c r="G22" s="320"/>
      <c r="H22" s="328">
        <f t="shared" si="3"/>
        <v>0</v>
      </c>
      <c r="I22" s="130"/>
      <c r="J22" s="320"/>
      <c r="K22" s="320"/>
      <c r="L22" s="328">
        <f t="shared" si="4"/>
        <v>0</v>
      </c>
    </row>
    <row r="23" spans="1:12" x14ac:dyDescent="0.25">
      <c r="A23" s="320"/>
      <c r="B23" s="329">
        <v>12</v>
      </c>
      <c r="C23" s="330">
        <v>6.65</v>
      </c>
      <c r="D23" s="328">
        <f t="shared" si="5"/>
        <v>0</v>
      </c>
      <c r="E23" s="322"/>
      <c r="F23" s="320"/>
      <c r="G23" s="320"/>
      <c r="H23" s="328">
        <f t="shared" si="3"/>
        <v>0</v>
      </c>
      <c r="I23" s="130"/>
      <c r="J23" s="320"/>
      <c r="K23" s="320"/>
      <c r="L23" s="328">
        <f t="shared" si="4"/>
        <v>0</v>
      </c>
    </row>
    <row r="24" spans="1:12" x14ac:dyDescent="0.25">
      <c r="A24" s="320"/>
      <c r="B24" s="329">
        <v>14</v>
      </c>
      <c r="C24" s="330">
        <v>8.3800000000000008</v>
      </c>
      <c r="D24" s="328">
        <f t="shared" si="5"/>
        <v>0</v>
      </c>
      <c r="E24" s="322"/>
      <c r="F24" s="320"/>
      <c r="G24" s="320"/>
      <c r="H24" s="328">
        <f t="shared" si="3"/>
        <v>0</v>
      </c>
      <c r="I24" s="130"/>
      <c r="J24" s="320"/>
      <c r="K24" s="320"/>
      <c r="L24" s="328">
        <f t="shared" si="4"/>
        <v>0</v>
      </c>
    </row>
    <row r="25" spans="1:12" ht="14.4" x14ac:dyDescent="0.3">
      <c r="A25" s="325">
        <f>SUM(A16:A24)</f>
        <v>0</v>
      </c>
      <c r="B25" s="325"/>
      <c r="C25" s="331" t="s">
        <v>294</v>
      </c>
      <c r="D25" s="328">
        <f>SUM(D16:D24)</f>
        <v>0</v>
      </c>
      <c r="F25" s="320"/>
      <c r="G25" s="320"/>
      <c r="H25" s="328">
        <f t="shared" si="3"/>
        <v>0</v>
      </c>
      <c r="I25" s="130"/>
      <c r="J25" s="320"/>
      <c r="K25" s="320"/>
      <c r="L25" s="328">
        <f t="shared" si="4"/>
        <v>0</v>
      </c>
    </row>
    <row r="26" spans="1:12" x14ac:dyDescent="0.25">
      <c r="F26" s="320"/>
      <c r="G26" s="320"/>
      <c r="H26" s="328">
        <f t="shared" si="3"/>
        <v>0</v>
      </c>
      <c r="I26" s="130"/>
      <c r="J26" s="320"/>
      <c r="K26" s="320"/>
      <c r="L26" s="328">
        <f t="shared" si="4"/>
        <v>0</v>
      </c>
    </row>
    <row r="27" spans="1:12" x14ac:dyDescent="0.25">
      <c r="F27" s="320"/>
      <c r="G27" s="320"/>
      <c r="H27" s="328">
        <f t="shared" si="3"/>
        <v>0</v>
      </c>
      <c r="I27" s="130"/>
      <c r="J27" s="320"/>
      <c r="K27" s="320"/>
      <c r="L27" s="328">
        <f t="shared" si="4"/>
        <v>0</v>
      </c>
    </row>
    <row r="28" spans="1:12" x14ac:dyDescent="0.25">
      <c r="F28" s="320"/>
      <c r="G28" s="320"/>
      <c r="H28" s="328">
        <f t="shared" si="3"/>
        <v>0</v>
      </c>
      <c r="I28" s="130"/>
      <c r="J28" s="320"/>
      <c r="K28" s="320"/>
      <c r="L28" s="328">
        <f t="shared" si="4"/>
        <v>0</v>
      </c>
    </row>
    <row r="29" spans="1:12" x14ac:dyDescent="0.25">
      <c r="F29" s="320"/>
      <c r="G29" s="320"/>
      <c r="H29" s="328">
        <f t="shared" si="3"/>
        <v>0</v>
      </c>
      <c r="I29" s="130"/>
      <c r="J29" s="320"/>
      <c r="K29" s="320"/>
      <c r="L29" s="328">
        <f t="shared" si="4"/>
        <v>0</v>
      </c>
    </row>
    <row r="30" spans="1:12" x14ac:dyDescent="0.25">
      <c r="F30" s="320"/>
      <c r="G30" s="320"/>
      <c r="H30" s="328">
        <f t="shared" si="3"/>
        <v>0</v>
      </c>
      <c r="I30" s="130"/>
      <c r="J30" s="320"/>
      <c r="K30" s="320"/>
      <c r="L30" s="328">
        <f t="shared" si="4"/>
        <v>0</v>
      </c>
    </row>
    <row r="31" spans="1:12" x14ac:dyDescent="0.25">
      <c r="A31" s="272"/>
      <c r="F31" s="320"/>
      <c r="G31" s="320"/>
      <c r="H31" s="328">
        <f t="shared" si="3"/>
        <v>0</v>
      </c>
      <c r="I31" s="130"/>
      <c r="J31" s="320"/>
      <c r="K31" s="320"/>
      <c r="L31" s="328">
        <f t="shared" si="4"/>
        <v>0</v>
      </c>
    </row>
    <row r="32" spans="1:12" x14ac:dyDescent="0.25">
      <c r="F32" s="320"/>
      <c r="G32" s="320"/>
      <c r="H32" s="328">
        <f t="shared" si="3"/>
        <v>0</v>
      </c>
      <c r="I32" s="130"/>
      <c r="J32" s="320"/>
      <c r="K32" s="320"/>
      <c r="L32" s="328">
        <f t="shared" si="4"/>
        <v>0</v>
      </c>
    </row>
    <row r="33" spans="1:12" ht="13.8" thickBot="1" x14ac:dyDescent="0.3">
      <c r="F33" s="323"/>
      <c r="G33" s="320"/>
      <c r="H33" s="328">
        <f t="shared" si="3"/>
        <v>0</v>
      </c>
      <c r="I33" s="130"/>
      <c r="J33" s="323"/>
      <c r="K33" s="320"/>
      <c r="L33" s="328">
        <f t="shared" si="4"/>
        <v>0</v>
      </c>
    </row>
    <row r="34" spans="1:12" ht="13.8" thickBot="1" x14ac:dyDescent="0.3">
      <c r="F34" s="332">
        <f>SUM(F3:F33)</f>
        <v>0</v>
      </c>
      <c r="G34" s="92"/>
      <c r="H34" s="333">
        <f>SUM(H4:H33)</f>
        <v>0</v>
      </c>
      <c r="I34" s="130"/>
      <c r="J34" s="332">
        <f>SUM(J3:J33)</f>
        <v>0</v>
      </c>
      <c r="K34" s="92"/>
      <c r="L34" s="333">
        <f>SUM(L4:L33)</f>
        <v>0</v>
      </c>
    </row>
    <row r="41" spans="1:12" x14ac:dyDescent="0.25">
      <c r="A41" s="489" t="s">
        <v>660</v>
      </c>
      <c r="B41" s="489"/>
    </row>
    <row r="42" spans="1:12" x14ac:dyDescent="0.25">
      <c r="A42" s="272" t="s">
        <v>749</v>
      </c>
    </row>
  </sheetData>
  <mergeCells count="7">
    <mergeCell ref="N9:X9"/>
    <mergeCell ref="N7:W7"/>
    <mergeCell ref="F1:H1"/>
    <mergeCell ref="J1:L1"/>
    <mergeCell ref="N1:P1"/>
    <mergeCell ref="R1:T1"/>
    <mergeCell ref="V1:X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DONNÉES!$A$67:$A$84</xm:f>
          </x14:formula1>
          <xm:sqref>G2 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="85" zoomScaleNormal="85" workbookViewId="0">
      <selection activeCell="L9" sqref="L9"/>
    </sheetView>
  </sheetViews>
  <sheetFormatPr defaultColWidth="11.44140625" defaultRowHeight="14.4" x14ac:dyDescent="0.3"/>
  <cols>
    <col min="1" max="1" width="10.109375" style="452" customWidth="1"/>
    <col min="2" max="2" width="11.44140625" style="452"/>
    <col min="3" max="5" width="16.6640625" style="452" customWidth="1"/>
    <col min="6" max="6" width="25.44140625" style="452" customWidth="1"/>
    <col min="7" max="7" width="20.6640625" style="452" customWidth="1"/>
    <col min="8" max="8" width="18" style="452" customWidth="1"/>
    <col min="9" max="16384" width="11.44140625" style="452"/>
  </cols>
  <sheetData>
    <row r="2" spans="2:9" x14ac:dyDescent="0.3">
      <c r="B2" s="466"/>
      <c r="C2" s="939" t="s">
        <v>620</v>
      </c>
      <c r="D2" s="939"/>
      <c r="E2" s="939"/>
      <c r="F2" s="939"/>
      <c r="G2" s="466"/>
    </row>
    <row r="3" spans="2:9" x14ac:dyDescent="0.3">
      <c r="B3" s="466"/>
      <c r="C3" s="939"/>
      <c r="D3" s="939"/>
      <c r="E3" s="939"/>
      <c r="F3" s="939"/>
      <c r="G3" s="466"/>
    </row>
    <row r="4" spans="2:9" ht="131.25" customHeight="1" x14ac:dyDescent="0.3">
      <c r="B4" s="465" t="s">
        <v>575</v>
      </c>
      <c r="C4" s="474" t="s">
        <v>574</v>
      </c>
      <c r="D4" s="474" t="s">
        <v>573</v>
      </c>
      <c r="E4" s="474" t="s">
        <v>572</v>
      </c>
      <c r="F4" s="935" t="s">
        <v>571</v>
      </c>
      <c r="G4" s="936"/>
      <c r="H4" s="947" t="s">
        <v>570</v>
      </c>
      <c r="I4" s="948"/>
    </row>
    <row r="5" spans="2:9" ht="73.2" x14ac:dyDescent="0.3">
      <c r="B5" s="937" t="s">
        <v>619</v>
      </c>
      <c r="C5" s="459" t="s">
        <v>618</v>
      </c>
      <c r="D5" s="460"/>
      <c r="E5" s="473"/>
      <c r="F5" s="459" t="s">
        <v>617</v>
      </c>
      <c r="G5" s="472"/>
      <c r="H5" s="945"/>
      <c r="I5" s="945"/>
    </row>
    <row r="6" spans="2:9" ht="87.6" x14ac:dyDescent="0.3">
      <c r="B6" s="938"/>
      <c r="C6" s="455" t="s">
        <v>616</v>
      </c>
      <c r="D6" s="457"/>
      <c r="E6" s="455" t="s">
        <v>615</v>
      </c>
      <c r="F6" s="470"/>
      <c r="G6" s="471"/>
      <c r="H6" s="945"/>
      <c r="I6" s="945"/>
    </row>
    <row r="7" spans="2:9" ht="105.75" customHeight="1" x14ac:dyDescent="0.3">
      <c r="B7" s="938"/>
      <c r="C7" s="455" t="s">
        <v>614</v>
      </c>
      <c r="D7" s="457"/>
      <c r="E7" s="470"/>
      <c r="F7" s="470"/>
      <c r="G7" s="471"/>
      <c r="H7" s="945"/>
      <c r="I7" s="945"/>
    </row>
    <row r="8" spans="2:9" ht="75.75" customHeight="1" x14ac:dyDescent="0.3">
      <c r="B8" s="938"/>
      <c r="C8" s="457"/>
      <c r="D8" s="455" t="s">
        <v>613</v>
      </c>
      <c r="E8" s="470"/>
      <c r="F8" s="470"/>
      <c r="G8" s="471"/>
      <c r="H8" s="945"/>
      <c r="I8" s="945"/>
    </row>
    <row r="9" spans="2:9" ht="75.75" customHeight="1" x14ac:dyDescent="0.3">
      <c r="B9" s="938"/>
      <c r="C9" s="457"/>
      <c r="D9" s="455" t="s">
        <v>612</v>
      </c>
      <c r="E9" s="470"/>
      <c r="F9" s="455" t="s">
        <v>611</v>
      </c>
      <c r="G9" s="469" t="s">
        <v>610</v>
      </c>
      <c r="H9" s="945"/>
      <c r="I9" s="945"/>
    </row>
    <row r="10" spans="2:9" ht="75.75" customHeight="1" x14ac:dyDescent="0.3">
      <c r="B10" s="938"/>
      <c r="C10" s="457"/>
      <c r="D10" s="455" t="s">
        <v>609</v>
      </c>
      <c r="E10" s="470"/>
      <c r="F10" s="470"/>
      <c r="G10" s="471"/>
      <c r="H10" s="945"/>
      <c r="I10" s="945"/>
    </row>
    <row r="11" spans="2:9" ht="135.75" customHeight="1" x14ac:dyDescent="0.3">
      <c r="B11" s="938"/>
      <c r="C11" s="457"/>
      <c r="D11" s="455" t="s">
        <v>608</v>
      </c>
      <c r="E11" s="470"/>
      <c r="F11" s="455" t="s">
        <v>607</v>
      </c>
      <c r="G11" s="469" t="s">
        <v>606</v>
      </c>
      <c r="H11" s="945"/>
      <c r="I11" s="945"/>
    </row>
    <row r="12" spans="2:9" ht="8.25" customHeight="1" x14ac:dyDescent="0.3">
      <c r="B12" s="944"/>
      <c r="C12" s="944"/>
      <c r="D12" s="944"/>
      <c r="E12" s="944"/>
      <c r="F12" s="944"/>
      <c r="G12" s="944"/>
      <c r="H12" s="945"/>
      <c r="I12" s="945"/>
    </row>
    <row r="13" spans="2:9" ht="129" customHeight="1" x14ac:dyDescent="0.3">
      <c r="B13" s="940" t="s">
        <v>591</v>
      </c>
      <c r="C13" s="455" t="s">
        <v>605</v>
      </c>
      <c r="D13" s="455"/>
      <c r="E13" s="455" t="s">
        <v>604</v>
      </c>
      <c r="F13" s="455" t="s">
        <v>603</v>
      </c>
      <c r="G13" s="471"/>
      <c r="H13" s="945"/>
      <c r="I13" s="945"/>
    </row>
    <row r="14" spans="2:9" ht="135.75" customHeight="1" x14ac:dyDescent="0.3">
      <c r="B14" s="942"/>
      <c r="C14" s="455" t="s">
        <v>602</v>
      </c>
      <c r="D14" s="455"/>
      <c r="E14" s="470"/>
      <c r="F14" s="470"/>
      <c r="G14" s="471"/>
      <c r="H14" s="945"/>
      <c r="I14" s="945"/>
    </row>
    <row r="15" spans="2:9" x14ac:dyDescent="0.3">
      <c r="B15" s="466"/>
      <c r="C15" s="466"/>
      <c r="D15" s="466"/>
      <c r="E15" s="466"/>
      <c r="F15" s="466"/>
      <c r="G15" s="466"/>
    </row>
    <row r="16" spans="2:9" x14ac:dyDescent="0.3">
      <c r="B16" s="466"/>
      <c r="C16" s="466"/>
      <c r="D16" s="466"/>
      <c r="E16" s="466"/>
      <c r="F16" s="466"/>
      <c r="G16" s="466"/>
    </row>
    <row r="17" spans="2:9" x14ac:dyDescent="0.3">
      <c r="B17" s="466"/>
      <c r="C17" s="466"/>
      <c r="D17" s="466"/>
      <c r="E17" s="466"/>
      <c r="F17" s="466"/>
      <c r="G17" s="466"/>
    </row>
    <row r="18" spans="2:9" ht="141.75" customHeight="1" x14ac:dyDescent="0.3">
      <c r="B18" s="465" t="s">
        <v>575</v>
      </c>
      <c r="C18" s="464" t="s">
        <v>574</v>
      </c>
      <c r="D18" s="464" t="s">
        <v>573</v>
      </c>
      <c r="E18" s="464" t="s">
        <v>572</v>
      </c>
      <c r="F18" s="936" t="s">
        <v>571</v>
      </c>
      <c r="G18" s="936"/>
      <c r="H18" s="947" t="s">
        <v>570</v>
      </c>
      <c r="I18" s="948"/>
    </row>
    <row r="19" spans="2:9" ht="135.75" customHeight="1" x14ac:dyDescent="0.3">
      <c r="B19" s="941" t="s">
        <v>591</v>
      </c>
      <c r="C19" s="459" t="s">
        <v>601</v>
      </c>
      <c r="D19" s="459"/>
      <c r="E19" s="459" t="s">
        <v>600</v>
      </c>
      <c r="F19" s="473"/>
      <c r="G19" s="472"/>
      <c r="H19" s="945"/>
      <c r="I19" s="945"/>
    </row>
    <row r="20" spans="2:9" ht="116.4" x14ac:dyDescent="0.3">
      <c r="B20" s="941"/>
      <c r="C20" s="455" t="s">
        <v>599</v>
      </c>
      <c r="D20" s="455"/>
      <c r="E20" s="470"/>
      <c r="F20" s="470"/>
      <c r="G20" s="471"/>
      <c r="H20" s="945"/>
      <c r="I20" s="945"/>
    </row>
    <row r="21" spans="2:9" ht="130.80000000000001" x14ac:dyDescent="0.3">
      <c r="B21" s="941"/>
      <c r="C21" s="455" t="s">
        <v>598</v>
      </c>
      <c r="D21" s="455"/>
      <c r="E21" s="455" t="s">
        <v>597</v>
      </c>
      <c r="F21" s="470"/>
      <c r="G21" s="471"/>
      <c r="H21" s="945"/>
      <c r="I21" s="945"/>
    </row>
    <row r="22" spans="2:9" ht="44.4" x14ac:dyDescent="0.3">
      <c r="B22" s="941"/>
      <c r="C22" s="457"/>
      <c r="D22" s="455" t="s">
        <v>596</v>
      </c>
      <c r="E22" s="470"/>
      <c r="F22" s="470"/>
      <c r="G22" s="471"/>
      <c r="H22" s="945"/>
      <c r="I22" s="945"/>
    </row>
    <row r="23" spans="2:9" ht="87.6" x14ac:dyDescent="0.3">
      <c r="B23" s="941"/>
      <c r="C23" s="457"/>
      <c r="D23" s="455" t="s">
        <v>595</v>
      </c>
      <c r="E23" s="470"/>
      <c r="F23" s="470"/>
      <c r="G23" s="471"/>
      <c r="H23" s="945"/>
      <c r="I23" s="945"/>
    </row>
    <row r="24" spans="2:9" ht="104.4" x14ac:dyDescent="0.3">
      <c r="B24" s="942"/>
      <c r="C24" s="457"/>
      <c r="D24" s="455" t="s">
        <v>594</v>
      </c>
      <c r="E24" s="470"/>
      <c r="F24" s="455" t="s">
        <v>593</v>
      </c>
      <c r="G24" s="469" t="s">
        <v>592</v>
      </c>
      <c r="H24" s="945"/>
      <c r="I24" s="945"/>
    </row>
    <row r="25" spans="2:9" x14ac:dyDescent="0.3">
      <c r="B25" s="466"/>
      <c r="C25" s="466"/>
      <c r="D25" s="466"/>
      <c r="E25" s="466"/>
      <c r="F25" s="466"/>
      <c r="G25" s="466"/>
    </row>
    <row r="26" spans="2:9" x14ac:dyDescent="0.3">
      <c r="B26" s="466"/>
      <c r="C26" s="466"/>
      <c r="D26" s="466"/>
      <c r="E26" s="466"/>
      <c r="F26" s="466"/>
      <c r="G26" s="466"/>
    </row>
    <row r="27" spans="2:9" x14ac:dyDescent="0.3">
      <c r="B27" s="466"/>
      <c r="C27" s="466"/>
      <c r="D27" s="466"/>
      <c r="E27" s="466"/>
      <c r="F27" s="466"/>
      <c r="G27" s="466"/>
    </row>
    <row r="28" spans="2:9" x14ac:dyDescent="0.3">
      <c r="B28" s="466"/>
      <c r="C28" s="466"/>
      <c r="D28" s="466"/>
      <c r="E28" s="466"/>
      <c r="F28" s="466"/>
      <c r="G28" s="466"/>
    </row>
    <row r="29" spans="2:9" x14ac:dyDescent="0.3">
      <c r="B29" s="466"/>
      <c r="C29" s="466"/>
      <c r="D29" s="466"/>
      <c r="E29" s="466"/>
      <c r="F29" s="466"/>
      <c r="G29" s="466"/>
    </row>
    <row r="30" spans="2:9" x14ac:dyDescent="0.3">
      <c r="B30" s="466"/>
      <c r="C30" s="466"/>
      <c r="D30" s="466"/>
      <c r="E30" s="466"/>
      <c r="F30" s="466"/>
      <c r="G30" s="466"/>
    </row>
    <row r="31" spans="2:9" x14ac:dyDescent="0.3">
      <c r="B31" s="466"/>
      <c r="C31" s="466"/>
      <c r="D31" s="466"/>
      <c r="E31" s="466"/>
      <c r="F31" s="466"/>
      <c r="G31" s="466"/>
    </row>
    <row r="32" spans="2:9" x14ac:dyDescent="0.3">
      <c r="B32" s="466"/>
      <c r="C32" s="466"/>
      <c r="D32" s="466"/>
      <c r="E32" s="466"/>
      <c r="F32" s="466"/>
      <c r="G32" s="466"/>
    </row>
    <row r="33" spans="2:9" x14ac:dyDescent="0.3">
      <c r="B33" s="466"/>
      <c r="C33" s="466"/>
      <c r="D33" s="466"/>
      <c r="E33" s="466"/>
      <c r="F33" s="466"/>
      <c r="G33" s="466"/>
    </row>
    <row r="34" spans="2:9" x14ac:dyDescent="0.3">
      <c r="B34" s="466"/>
      <c r="C34" s="466"/>
      <c r="D34" s="466"/>
      <c r="E34" s="466"/>
      <c r="F34" s="466"/>
      <c r="G34" s="466"/>
    </row>
    <row r="35" spans="2:9" ht="146.25" customHeight="1" x14ac:dyDescent="0.3">
      <c r="B35" s="465" t="s">
        <v>575</v>
      </c>
      <c r="C35" s="464" t="s">
        <v>574</v>
      </c>
      <c r="D35" s="464" t="s">
        <v>573</v>
      </c>
      <c r="E35" s="464" t="s">
        <v>572</v>
      </c>
      <c r="F35" s="936" t="s">
        <v>571</v>
      </c>
      <c r="G35" s="936"/>
      <c r="H35" s="947" t="s">
        <v>570</v>
      </c>
      <c r="I35" s="948"/>
    </row>
    <row r="36" spans="2:9" ht="45.75" customHeight="1" x14ac:dyDescent="0.3">
      <c r="B36" s="941" t="s">
        <v>591</v>
      </c>
      <c r="C36" s="460"/>
      <c r="D36" s="459" t="s">
        <v>590</v>
      </c>
      <c r="E36" s="473"/>
      <c r="F36" s="473"/>
      <c r="G36" s="472"/>
      <c r="H36" s="945"/>
      <c r="I36" s="945"/>
    </row>
    <row r="37" spans="2:9" ht="87.6" x14ac:dyDescent="0.3">
      <c r="B37" s="941"/>
      <c r="C37" s="457"/>
      <c r="D37" s="455" t="s">
        <v>589</v>
      </c>
      <c r="E37" s="470"/>
      <c r="F37" s="455"/>
      <c r="G37" s="471"/>
      <c r="H37" s="945"/>
      <c r="I37" s="945"/>
    </row>
    <row r="38" spans="2:9" ht="87.6" x14ac:dyDescent="0.3">
      <c r="B38" s="941"/>
      <c r="C38" s="457"/>
      <c r="D38" s="455" t="s">
        <v>588</v>
      </c>
      <c r="E38" s="470"/>
      <c r="F38" s="455"/>
      <c r="G38" s="471"/>
      <c r="H38" s="946" t="s">
        <v>587</v>
      </c>
      <c r="I38" s="946"/>
    </row>
    <row r="39" spans="2:9" ht="162" x14ac:dyDescent="0.3">
      <c r="B39" s="942"/>
      <c r="C39" s="457"/>
      <c r="D39" s="455" t="s">
        <v>586</v>
      </c>
      <c r="E39" s="470"/>
      <c r="F39" s="455" t="s">
        <v>585</v>
      </c>
      <c r="G39" s="469" t="s">
        <v>584</v>
      </c>
      <c r="H39" s="945"/>
      <c r="I39" s="945"/>
    </row>
    <row r="40" spans="2:9" ht="8.25" customHeight="1" x14ac:dyDescent="0.3">
      <c r="B40" s="943"/>
      <c r="C40" s="943"/>
      <c r="D40" s="943"/>
      <c r="E40" s="943"/>
      <c r="F40" s="943"/>
      <c r="G40" s="943"/>
      <c r="H40" s="468"/>
      <c r="I40" s="468"/>
    </row>
    <row r="41" spans="2:9" ht="120.75" customHeight="1" x14ac:dyDescent="0.3">
      <c r="B41" s="940" t="s">
        <v>569</v>
      </c>
      <c r="C41" s="455" t="s">
        <v>583</v>
      </c>
      <c r="D41" s="455"/>
      <c r="E41" s="455" t="s">
        <v>582</v>
      </c>
      <c r="F41" s="455" t="s">
        <v>581</v>
      </c>
      <c r="G41" s="453"/>
      <c r="H41" s="945"/>
      <c r="I41" s="945"/>
    </row>
    <row r="42" spans="2:9" ht="116.4" x14ac:dyDescent="0.3">
      <c r="B42" s="941"/>
      <c r="C42" s="455" t="s">
        <v>580</v>
      </c>
      <c r="D42" s="455"/>
      <c r="E42" s="454"/>
      <c r="F42" s="454"/>
      <c r="G42" s="453"/>
      <c r="H42" s="945"/>
      <c r="I42" s="945"/>
    </row>
    <row r="43" spans="2:9" ht="107.25" customHeight="1" x14ac:dyDescent="0.3">
      <c r="B43" s="941"/>
      <c r="C43" s="455"/>
      <c r="D43" s="455"/>
      <c r="E43" s="454"/>
      <c r="F43" s="455" t="s">
        <v>579</v>
      </c>
      <c r="G43" s="453"/>
      <c r="H43" s="945"/>
      <c r="I43" s="945"/>
    </row>
    <row r="44" spans="2:9" ht="60.75" customHeight="1" x14ac:dyDescent="0.3">
      <c r="B44" s="941"/>
      <c r="C44" s="455"/>
      <c r="D44" s="455" t="s">
        <v>578</v>
      </c>
      <c r="E44" s="454"/>
      <c r="F44" s="454"/>
      <c r="G44" s="453"/>
      <c r="H44" s="945"/>
      <c r="I44" s="945"/>
    </row>
    <row r="45" spans="2:9" ht="117" customHeight="1" x14ac:dyDescent="0.3">
      <c r="B45" s="942"/>
      <c r="C45" s="455"/>
      <c r="D45" s="467" t="s">
        <v>577</v>
      </c>
      <c r="E45" s="454"/>
      <c r="F45" s="454"/>
      <c r="G45" s="453"/>
      <c r="H45" s="946" t="s">
        <v>576</v>
      </c>
      <c r="I45" s="946"/>
    </row>
    <row r="46" spans="2:9" x14ac:dyDescent="0.3">
      <c r="B46" s="466"/>
      <c r="C46" s="466"/>
      <c r="D46" s="466"/>
      <c r="E46" s="466"/>
      <c r="F46" s="466"/>
      <c r="G46" s="466"/>
    </row>
    <row r="47" spans="2:9" x14ac:dyDescent="0.3">
      <c r="B47" s="466"/>
      <c r="C47" s="466"/>
      <c r="D47" s="466"/>
      <c r="E47" s="466"/>
      <c r="F47" s="466"/>
      <c r="G47" s="466"/>
    </row>
    <row r="48" spans="2:9" x14ac:dyDescent="0.3">
      <c r="B48" s="466"/>
      <c r="C48" s="466"/>
      <c r="D48" s="466"/>
      <c r="E48" s="466"/>
      <c r="F48" s="466"/>
      <c r="G48" s="466"/>
    </row>
    <row r="49" spans="1:9" x14ac:dyDescent="0.3">
      <c r="B49" s="466"/>
      <c r="C49" s="466"/>
      <c r="D49" s="466"/>
      <c r="E49" s="466"/>
      <c r="F49" s="466"/>
      <c r="G49" s="466"/>
    </row>
    <row r="50" spans="1:9" ht="164.25" customHeight="1" x14ac:dyDescent="0.3">
      <c r="B50" s="465" t="s">
        <v>575</v>
      </c>
      <c r="C50" s="464" t="s">
        <v>574</v>
      </c>
      <c r="D50" s="464" t="s">
        <v>573</v>
      </c>
      <c r="E50" s="464" t="s">
        <v>572</v>
      </c>
      <c r="F50" s="936" t="s">
        <v>571</v>
      </c>
      <c r="G50" s="936"/>
      <c r="H50" s="947" t="s">
        <v>570</v>
      </c>
      <c r="I50" s="948"/>
    </row>
    <row r="51" spans="1:9" ht="60.75" customHeight="1" x14ac:dyDescent="0.3">
      <c r="A51" s="463"/>
      <c r="B51" s="940" t="s">
        <v>569</v>
      </c>
      <c r="C51" s="454"/>
      <c r="D51" s="455" t="s">
        <v>568</v>
      </c>
      <c r="E51" s="454"/>
      <c r="F51" s="458"/>
      <c r="G51" s="462"/>
      <c r="H51" s="945"/>
      <c r="I51" s="945"/>
    </row>
    <row r="52" spans="1:9" ht="60.75" customHeight="1" x14ac:dyDescent="0.3">
      <c r="A52" s="461"/>
      <c r="B52" s="941"/>
      <c r="C52" s="460"/>
      <c r="D52" s="459" t="s">
        <v>567</v>
      </c>
      <c r="E52" s="458"/>
      <c r="F52" s="454"/>
      <c r="G52" s="453"/>
      <c r="H52" s="945"/>
      <c r="I52" s="945"/>
    </row>
    <row r="53" spans="1:9" ht="94.5" customHeight="1" x14ac:dyDescent="0.3">
      <c r="B53" s="941"/>
      <c r="C53" s="457"/>
      <c r="D53" s="456" t="s">
        <v>566</v>
      </c>
      <c r="E53" s="454"/>
      <c r="F53" s="454"/>
      <c r="G53" s="453"/>
      <c r="H53" s="945"/>
      <c r="I53" s="945"/>
    </row>
    <row r="54" spans="1:9" ht="75.75" customHeight="1" x14ac:dyDescent="0.3">
      <c r="B54" s="941"/>
      <c r="C54" s="454"/>
      <c r="D54" s="455" t="s">
        <v>565</v>
      </c>
      <c r="E54" s="454"/>
      <c r="F54" s="454"/>
      <c r="G54" s="453"/>
      <c r="H54" s="945"/>
      <c r="I54" s="945"/>
    </row>
    <row r="55" spans="1:9" ht="105.75" customHeight="1" x14ac:dyDescent="0.3">
      <c r="B55" s="941"/>
      <c r="C55" s="454"/>
      <c r="D55" s="455" t="s">
        <v>564</v>
      </c>
      <c r="E55" s="454"/>
      <c r="F55" s="454"/>
      <c r="G55" s="453"/>
      <c r="H55" s="945"/>
      <c r="I55" s="945"/>
    </row>
    <row r="56" spans="1:9" ht="105.75" customHeight="1" x14ac:dyDescent="0.3">
      <c r="B56" s="941"/>
      <c r="C56" s="454"/>
      <c r="D56" s="455" t="s">
        <v>563</v>
      </c>
      <c r="E56" s="454"/>
      <c r="F56" s="454"/>
      <c r="G56" s="453"/>
      <c r="H56" s="945"/>
      <c r="I56" s="945"/>
    </row>
    <row r="57" spans="1:9" ht="75.75" customHeight="1" x14ac:dyDescent="0.3">
      <c r="B57" s="941"/>
      <c r="C57" s="454"/>
      <c r="D57" s="455" t="s">
        <v>562</v>
      </c>
      <c r="E57" s="454"/>
      <c r="F57" s="454"/>
      <c r="G57" s="453"/>
      <c r="H57" s="945"/>
      <c r="I57" s="945"/>
    </row>
    <row r="58" spans="1:9" ht="105.75" customHeight="1" x14ac:dyDescent="0.3">
      <c r="B58" s="941"/>
      <c r="C58" s="454"/>
      <c r="D58" s="455" t="s">
        <v>561</v>
      </c>
      <c r="E58" s="454"/>
      <c r="F58" s="454"/>
      <c r="G58" s="453"/>
      <c r="H58" s="945"/>
      <c r="I58" s="945"/>
    </row>
    <row r="59" spans="1:9" ht="120.75" customHeight="1" x14ac:dyDescent="0.3">
      <c r="B59" s="942"/>
      <c r="C59" s="454"/>
      <c r="D59" s="455" t="s">
        <v>560</v>
      </c>
      <c r="E59" s="454"/>
      <c r="F59" s="454"/>
      <c r="G59" s="453"/>
      <c r="H59" s="945"/>
      <c r="I59" s="945"/>
    </row>
  </sheetData>
  <mergeCells count="51">
    <mergeCell ref="H59:I59"/>
    <mergeCell ref="H45:I45"/>
    <mergeCell ref="H54:I54"/>
    <mergeCell ref="H53:I53"/>
    <mergeCell ref="H52:I52"/>
    <mergeCell ref="H51:I51"/>
    <mergeCell ref="H55:I55"/>
    <mergeCell ref="H56:I56"/>
    <mergeCell ref="H57:I57"/>
    <mergeCell ref="H58:I58"/>
    <mergeCell ref="H50:I50"/>
    <mergeCell ref="H43:I43"/>
    <mergeCell ref="H44:I44"/>
    <mergeCell ref="H4:I4"/>
    <mergeCell ref="H13:I13"/>
    <mergeCell ref="H18:I18"/>
    <mergeCell ref="H35:I35"/>
    <mergeCell ref="H19:I19"/>
    <mergeCell ref="H20:I20"/>
    <mergeCell ref="H21:I21"/>
    <mergeCell ref="H22:I22"/>
    <mergeCell ref="H23:I23"/>
    <mergeCell ref="H24:I24"/>
    <mergeCell ref="H5:I5"/>
    <mergeCell ref="H6:I6"/>
    <mergeCell ref="H7:I7"/>
    <mergeCell ref="H8:I8"/>
    <mergeCell ref="H9:I9"/>
    <mergeCell ref="H10:I10"/>
    <mergeCell ref="H11:I11"/>
    <mergeCell ref="H12:I12"/>
    <mergeCell ref="H14:I14"/>
    <mergeCell ref="H41:I41"/>
    <mergeCell ref="H42:I42"/>
    <mergeCell ref="H36:I36"/>
    <mergeCell ref="H37:I37"/>
    <mergeCell ref="H38:I38"/>
    <mergeCell ref="H39:I39"/>
    <mergeCell ref="F50:G50"/>
    <mergeCell ref="B40:G40"/>
    <mergeCell ref="B12:G12"/>
    <mergeCell ref="B51:B59"/>
    <mergeCell ref="F35:G35"/>
    <mergeCell ref="B36:B39"/>
    <mergeCell ref="B19:B24"/>
    <mergeCell ref="B13:B14"/>
    <mergeCell ref="F4:G4"/>
    <mergeCell ref="B5:B11"/>
    <mergeCell ref="F18:G18"/>
    <mergeCell ref="C2:F3"/>
    <mergeCell ref="B41:B45"/>
  </mergeCells>
  <pageMargins left="0.7" right="0.7" top="0.75" bottom="0.75" header="0.3" footer="0.3"/>
  <pageSetup paperSize="15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AC138"/>
  <sheetViews>
    <sheetView topLeftCell="A33" zoomScaleNormal="100" workbookViewId="0">
      <selection activeCell="E31" sqref="E31"/>
    </sheetView>
  </sheetViews>
  <sheetFormatPr defaultColWidth="11.44140625" defaultRowHeight="10.199999999999999" x14ac:dyDescent="0.2"/>
  <cols>
    <col min="1" max="1" width="21.88671875" style="2" customWidth="1"/>
    <col min="2" max="2" width="12.44140625" style="2" customWidth="1"/>
    <col min="3" max="3" width="11.44140625" style="2"/>
    <col min="4" max="4" width="20.6640625" style="2" customWidth="1"/>
    <col min="5" max="5" width="6.44140625" style="2" customWidth="1"/>
    <col min="6" max="6" width="11.44140625" style="2"/>
    <col min="7" max="7" width="9.109375" style="2" customWidth="1"/>
    <col min="8" max="8" width="18" style="2" customWidth="1"/>
    <col min="9" max="9" width="8.6640625" style="2" customWidth="1"/>
    <col min="10" max="16384" width="11.44140625" style="2"/>
  </cols>
  <sheetData>
    <row r="1" spans="1:29" ht="15" customHeight="1" thickBot="1" x14ac:dyDescent="0.3">
      <c r="A1" s="91" t="s">
        <v>169</v>
      </c>
      <c r="B1" s="981" t="str">
        <f>IF(ESTIMÉ!B1="","",ESTIMÉ!B1)</f>
        <v/>
      </c>
      <c r="C1" s="981"/>
      <c r="D1" s="981"/>
      <c r="E1" s="981"/>
      <c r="F1" s="981"/>
      <c r="G1" s="982"/>
      <c r="H1"/>
      <c r="I1"/>
    </row>
    <row r="2" spans="1:29" ht="11.25" customHeight="1" x14ac:dyDescent="0.25">
      <c r="A2"/>
      <c r="B2"/>
      <c r="C2"/>
      <c r="D2"/>
      <c r="E2"/>
      <c r="F2"/>
      <c r="G2"/>
      <c r="H2"/>
      <c r="I2"/>
    </row>
    <row r="3" spans="1:29" ht="11.25" customHeight="1" x14ac:dyDescent="0.25">
      <c r="A3"/>
      <c r="B3"/>
      <c r="C3"/>
      <c r="D3"/>
      <c r="E3"/>
      <c r="F3"/>
      <c r="G3"/>
      <c r="H3"/>
      <c r="I3"/>
    </row>
    <row r="4" spans="1:29" ht="11.25" customHeight="1" x14ac:dyDescent="0.25">
      <c r="A4"/>
      <c r="B4"/>
      <c r="C4"/>
      <c r="D4"/>
      <c r="E4"/>
      <c r="F4"/>
      <c r="G4"/>
      <c r="H4"/>
      <c r="I4"/>
    </row>
    <row r="5" spans="1:29" ht="11.25" customHeight="1" x14ac:dyDescent="0.25">
      <c r="A5"/>
      <c r="B5"/>
      <c r="C5"/>
      <c r="D5"/>
      <c r="E5"/>
      <c r="F5"/>
      <c r="G5"/>
      <c r="H5"/>
      <c r="I5"/>
    </row>
    <row r="6" spans="1:29" ht="16.5" customHeight="1" x14ac:dyDescent="0.2">
      <c r="A6" s="987" t="s">
        <v>295</v>
      </c>
      <c r="B6" s="988"/>
      <c r="C6" s="988"/>
      <c r="D6" s="988"/>
      <c r="E6" s="988"/>
      <c r="F6" s="988"/>
      <c r="G6" s="988"/>
      <c r="H6" s="988"/>
      <c r="I6" s="989"/>
    </row>
    <row r="7" spans="1:29" ht="11.25" customHeight="1" x14ac:dyDescent="0.25">
      <c r="A7"/>
      <c r="B7"/>
      <c r="C7"/>
      <c r="D7"/>
      <c r="E7"/>
      <c r="F7"/>
      <c r="G7"/>
      <c r="H7"/>
      <c r="I7"/>
    </row>
    <row r="8" spans="1:29" ht="11.25" customHeight="1" x14ac:dyDescent="0.25">
      <c r="A8"/>
      <c r="B8"/>
      <c r="C8"/>
      <c r="D8"/>
      <c r="E8"/>
      <c r="F8"/>
      <c r="G8"/>
      <c r="H8"/>
      <c r="I8"/>
    </row>
    <row r="9" spans="1:29" ht="11.25" customHeight="1" x14ac:dyDescent="0.25">
      <c r="A9"/>
      <c r="B9"/>
      <c r="C9"/>
      <c r="D9"/>
      <c r="E9"/>
      <c r="F9"/>
      <c r="G9"/>
      <c r="H9"/>
      <c r="I9"/>
      <c r="M9" s="353"/>
    </row>
    <row r="10" spans="1:29" ht="11.25" customHeight="1" x14ac:dyDescent="0.25">
      <c r="A10"/>
      <c r="B10"/>
      <c r="C10"/>
      <c r="D10"/>
      <c r="E10"/>
      <c r="F10"/>
      <c r="G10"/>
      <c r="H10"/>
      <c r="I10"/>
    </row>
    <row r="11" spans="1:29" ht="11.25" customHeight="1" x14ac:dyDescent="0.25">
      <c r="A11" s="990"/>
      <c r="B11" s="990"/>
      <c r="C11" s="990"/>
      <c r="D11" s="990"/>
      <c r="E11" s="990"/>
      <c r="F11" s="990"/>
      <c r="G11" s="990"/>
      <c r="H11" s="990"/>
      <c r="I11" s="990"/>
      <c r="J11" s="2" t="s">
        <v>478</v>
      </c>
      <c r="K11" s="2" t="s">
        <v>479</v>
      </c>
    </row>
    <row r="12" spans="1:29" ht="11.25" customHeight="1" x14ac:dyDescent="0.25">
      <c r="A12" s="952" t="s">
        <v>296</v>
      </c>
      <c r="B12" s="970"/>
      <c r="C12" s="964" t="s">
        <v>297</v>
      </c>
      <c r="D12" s="965"/>
      <c r="E12" s="354">
        <v>160</v>
      </c>
      <c r="F12" s="979" t="s">
        <v>298</v>
      </c>
      <c r="G12" s="953"/>
      <c r="H12" s="355" t="s">
        <v>481</v>
      </c>
      <c r="I12" s="356">
        <f>J12+K12</f>
        <v>11.75</v>
      </c>
      <c r="J12" s="357">
        <v>11.15</v>
      </c>
      <c r="K12" s="353">
        <v>0.6</v>
      </c>
      <c r="L12" s="2" t="s">
        <v>484</v>
      </c>
      <c r="M12" s="358"/>
      <c r="N12" s="358"/>
      <c r="O12"/>
      <c r="P12" s="358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ht="11.25" customHeight="1" x14ac:dyDescent="0.25">
      <c r="A13" s="991"/>
      <c r="B13" s="992"/>
      <c r="C13" s="962" t="s">
        <v>299</v>
      </c>
      <c r="D13" s="963"/>
      <c r="E13" s="359">
        <v>80</v>
      </c>
      <c r="F13" s="980"/>
      <c r="G13" s="955"/>
      <c r="H13" s="355" t="s">
        <v>480</v>
      </c>
      <c r="I13" s="360">
        <f>J13+K13</f>
        <v>13.15</v>
      </c>
      <c r="J13" s="361">
        <v>11.15</v>
      </c>
      <c r="K13" s="353">
        <v>2</v>
      </c>
      <c r="L13" s="2" t="s">
        <v>484</v>
      </c>
      <c r="M13" s="362"/>
      <c r="N13" s="362"/>
      <c r="O13" s="363"/>
      <c r="P13" s="362"/>
      <c r="Q13"/>
      <c r="R13"/>
      <c r="S13" s="956"/>
      <c r="T13" s="956"/>
      <c r="U13" s="956"/>
      <c r="V13" s="956"/>
      <c r="W13"/>
      <c r="X13"/>
      <c r="Y13"/>
      <c r="Z13"/>
      <c r="AA13"/>
      <c r="AB13"/>
      <c r="AC13"/>
    </row>
    <row r="14" spans="1:29" ht="11.25" customHeight="1" x14ac:dyDescent="0.25">
      <c r="A14" s="973" t="s">
        <v>300</v>
      </c>
      <c r="B14" s="983" t="s">
        <v>301</v>
      </c>
      <c r="C14" s="983" t="s">
        <v>302</v>
      </c>
      <c r="D14" s="984" t="s">
        <v>303</v>
      </c>
      <c r="E14" s="985"/>
      <c r="F14" s="979" t="s">
        <v>304</v>
      </c>
      <c r="G14" s="953"/>
      <c r="H14" s="365" t="s">
        <v>307</v>
      </c>
      <c r="I14" s="366">
        <f>J14+K14</f>
        <v>10.76</v>
      </c>
      <c r="J14" s="357">
        <v>10.6</v>
      </c>
      <c r="K14" s="357">
        <v>0.16</v>
      </c>
      <c r="L14" s="2" t="s">
        <v>485</v>
      </c>
      <c r="M14" s="362"/>
      <c r="N14" s="362"/>
      <c r="O14" s="363"/>
      <c r="P14" s="362"/>
      <c r="Q14"/>
      <c r="R14"/>
      <c r="S14" s="122"/>
      <c r="T14" s="367"/>
      <c r="U14" s="957"/>
      <c r="V14" s="957"/>
      <c r="W14"/>
      <c r="X14"/>
      <c r="Y14"/>
      <c r="Z14"/>
      <c r="AA14"/>
      <c r="AB14"/>
      <c r="AC14"/>
    </row>
    <row r="15" spans="1:29" ht="11.25" customHeight="1" x14ac:dyDescent="0.25">
      <c r="A15" s="974"/>
      <c r="B15" s="983"/>
      <c r="C15" s="983"/>
      <c r="D15" s="348" t="s">
        <v>305</v>
      </c>
      <c r="E15" s="364" t="s">
        <v>306</v>
      </c>
      <c r="F15" s="980"/>
      <c r="G15" s="955"/>
      <c r="H15" s="369" t="s">
        <v>307</v>
      </c>
      <c r="I15" s="370">
        <f>J15+K15</f>
        <v>10.92</v>
      </c>
      <c r="J15" s="371">
        <v>10.6</v>
      </c>
      <c r="K15" s="357">
        <v>0.32</v>
      </c>
      <c r="L15" s="2" t="s">
        <v>485</v>
      </c>
      <c r="M15" s="362"/>
      <c r="N15" s="362"/>
      <c r="O15" s="363"/>
      <c r="P15" s="362"/>
      <c r="Q15"/>
      <c r="R15"/>
      <c r="S15" s="122"/>
      <c r="T15" s="367"/>
      <c r="U15" s="957"/>
      <c r="V15" s="957"/>
      <c r="W15"/>
      <c r="X15"/>
      <c r="Y15"/>
      <c r="Z15"/>
      <c r="AA15"/>
      <c r="AB15"/>
      <c r="AC15"/>
    </row>
    <row r="16" spans="1:29" ht="11.25" customHeight="1" x14ac:dyDescent="0.25">
      <c r="A16" s="974"/>
      <c r="B16" s="372" t="s">
        <v>308</v>
      </c>
      <c r="C16" s="373">
        <v>2.52</v>
      </c>
      <c r="D16" s="374">
        <f>0.9*1.6</f>
        <v>1.4400000000000002</v>
      </c>
      <c r="E16" s="375">
        <f>5*1.6</f>
        <v>8</v>
      </c>
      <c r="F16" s="976" t="s">
        <v>636</v>
      </c>
      <c r="G16" s="977"/>
      <c r="H16" s="978"/>
      <c r="I16" s="379">
        <v>5</v>
      </c>
      <c r="M16" s="362"/>
      <c r="N16" s="362"/>
      <c r="O16" s="363"/>
      <c r="P16" s="36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1.25" customHeight="1" x14ac:dyDescent="0.25">
      <c r="A17" s="974"/>
      <c r="B17" s="376" t="s">
        <v>309</v>
      </c>
      <c r="C17" s="373">
        <f>2.5*1.05</f>
        <v>2.625</v>
      </c>
      <c r="D17" s="377">
        <f>1.15*1.6</f>
        <v>1.8399999999999999</v>
      </c>
      <c r="E17" s="378">
        <v>16</v>
      </c>
      <c r="F17" s="976" t="s">
        <v>310</v>
      </c>
      <c r="G17" s="977"/>
      <c r="H17" s="978"/>
      <c r="I17" s="379">
        <v>27</v>
      </c>
      <c r="M17" s="362"/>
      <c r="N17" s="362"/>
      <c r="O17" s="363"/>
      <c r="P17" s="362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1.25" customHeight="1" x14ac:dyDescent="0.25">
      <c r="A18" s="974"/>
      <c r="B18" s="376" t="s">
        <v>311</v>
      </c>
      <c r="C18" s="373">
        <f>2.75*1.05</f>
        <v>2.8875000000000002</v>
      </c>
      <c r="D18" s="377">
        <f>1.75*1.6</f>
        <v>2.8000000000000003</v>
      </c>
      <c r="E18" s="378">
        <f>15*1.6</f>
        <v>24</v>
      </c>
      <c r="F18" s="979" t="s">
        <v>312</v>
      </c>
      <c r="G18" s="953"/>
      <c r="H18" s="365" t="s">
        <v>313</v>
      </c>
      <c r="I18" s="380">
        <v>9.5</v>
      </c>
      <c r="M18" s="362"/>
      <c r="N18" s="362"/>
      <c r="O18" s="363"/>
      <c r="P18" s="362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1.25" customHeight="1" x14ac:dyDescent="0.25">
      <c r="A19" s="974"/>
      <c r="B19" s="376" t="s">
        <v>314</v>
      </c>
      <c r="C19" s="373">
        <f>4.05*1.05</f>
        <v>4.2525000000000004</v>
      </c>
      <c r="D19" s="377">
        <f>1.5*1.6</f>
        <v>2.4000000000000004</v>
      </c>
      <c r="E19" s="378">
        <v>16</v>
      </c>
      <c r="F19" s="980"/>
      <c r="G19" s="955"/>
      <c r="H19" s="369" t="s">
        <v>315</v>
      </c>
      <c r="I19" s="381">
        <v>12.25</v>
      </c>
      <c r="M19" s="135"/>
      <c r="N19"/>
      <c r="O19"/>
      <c r="P19"/>
      <c r="Q19"/>
      <c r="R19" s="122"/>
      <c r="S19" s="122"/>
      <c r="T19" s="122"/>
      <c r="U19" s="122"/>
      <c r="V19"/>
      <c r="W19"/>
      <c r="X19"/>
      <c r="Y19" s="382" t="s">
        <v>316</v>
      </c>
      <c r="Z19" s="383">
        <v>1.3</v>
      </c>
      <c r="AA19"/>
      <c r="AB19"/>
      <c r="AC19"/>
    </row>
    <row r="20" spans="1:29" ht="11.25" customHeight="1" x14ac:dyDescent="0.25">
      <c r="A20" s="974"/>
      <c r="B20" s="376" t="s">
        <v>317</v>
      </c>
      <c r="C20" s="373">
        <f>13*1.05</f>
        <v>13.65</v>
      </c>
      <c r="D20" s="377">
        <v>2.4</v>
      </c>
      <c r="E20" s="378">
        <v>24</v>
      </c>
      <c r="F20" s="979" t="s">
        <v>318</v>
      </c>
      <c r="G20" s="953"/>
      <c r="H20" s="365" t="s">
        <v>319</v>
      </c>
      <c r="I20" s="380">
        <v>27</v>
      </c>
      <c r="M20" s="115"/>
      <c r="N20" s="925" t="s">
        <v>254</v>
      </c>
      <c r="O20" s="926"/>
      <c r="P20" s="127" t="s">
        <v>255</v>
      </c>
      <c r="Q20" s="125">
        <v>0.46619144602851298</v>
      </c>
      <c r="R20" s="120"/>
      <c r="S20" s="120"/>
      <c r="T20" s="120"/>
      <c r="U20" s="120"/>
      <c r="V20" s="120"/>
      <c r="W20" s="120"/>
      <c r="X20" s="120"/>
      <c r="Y20" s="126" t="s">
        <v>268</v>
      </c>
      <c r="Z20" s="126" t="s">
        <v>268</v>
      </c>
      <c r="AA20" s="120"/>
      <c r="AB20" s="384"/>
      <c r="AC20" s="120"/>
    </row>
    <row r="21" spans="1:29" ht="11.25" customHeight="1" x14ac:dyDescent="0.25">
      <c r="A21" s="974"/>
      <c r="B21" s="376" t="s">
        <v>320</v>
      </c>
      <c r="C21" s="373">
        <f>15*1.05</f>
        <v>15.75</v>
      </c>
      <c r="D21" s="377">
        <f>2.5*1.16</f>
        <v>2.9</v>
      </c>
      <c r="E21" s="378">
        <v>24</v>
      </c>
      <c r="F21" s="980"/>
      <c r="G21" s="955"/>
      <c r="H21" s="385" t="s">
        <v>321</v>
      </c>
      <c r="I21" s="386">
        <v>27</v>
      </c>
      <c r="M21" s="120" t="s">
        <v>257</v>
      </c>
      <c r="N21" s="120" t="s">
        <v>258</v>
      </c>
      <c r="O21" s="387" t="s">
        <v>259</v>
      </c>
      <c r="P21" s="387" t="s">
        <v>259</v>
      </c>
      <c r="Q21" s="387" t="s">
        <v>260</v>
      </c>
      <c r="R21" s="387" t="s">
        <v>260</v>
      </c>
      <c r="S21" s="387" t="s">
        <v>261</v>
      </c>
      <c r="T21" s="387" t="s">
        <v>261</v>
      </c>
      <c r="U21" s="387" t="s">
        <v>261</v>
      </c>
      <c r="V21" s="387" t="s">
        <v>322</v>
      </c>
      <c r="W21" s="387" t="s">
        <v>263</v>
      </c>
      <c r="X21" s="387" t="s">
        <v>264</v>
      </c>
      <c r="Y21" s="387" t="s">
        <v>265</v>
      </c>
      <c r="Z21" s="387" t="s">
        <v>323</v>
      </c>
      <c r="AA21" s="387" t="s">
        <v>324</v>
      </c>
      <c r="AB21" s="387" t="s">
        <v>324</v>
      </c>
      <c r="AC21" s="120" t="s">
        <v>257</v>
      </c>
    </row>
    <row r="22" spans="1:29" ht="11.25" customHeight="1" x14ac:dyDescent="0.25">
      <c r="A22" s="974"/>
      <c r="B22" s="388"/>
      <c r="C22" s="389"/>
      <c r="D22" s="389"/>
      <c r="E22" s="390"/>
      <c r="F22" s="976" t="s">
        <v>325</v>
      </c>
      <c r="G22" s="977"/>
      <c r="H22" s="978"/>
      <c r="I22" s="381">
        <f>J22+K22</f>
        <v>42.65</v>
      </c>
      <c r="J22" s="357">
        <v>36.5</v>
      </c>
      <c r="K22" s="357">
        <v>6.15</v>
      </c>
      <c r="M22" s="120" t="s">
        <v>269</v>
      </c>
      <c r="N22" s="120" t="s">
        <v>270</v>
      </c>
      <c r="O22" s="387">
        <v>90</v>
      </c>
      <c r="P22" s="387">
        <v>45</v>
      </c>
      <c r="Q22" s="387" t="s">
        <v>271</v>
      </c>
      <c r="R22" s="387" t="s">
        <v>272</v>
      </c>
      <c r="S22" s="387" t="s">
        <v>273</v>
      </c>
      <c r="T22" s="387">
        <v>45</v>
      </c>
      <c r="U22" s="387" t="s">
        <v>274</v>
      </c>
      <c r="V22" s="391" t="s">
        <v>275</v>
      </c>
      <c r="W22" s="387" t="s">
        <v>276</v>
      </c>
      <c r="X22" s="387" t="s">
        <v>277</v>
      </c>
      <c r="Y22" s="387" t="s">
        <v>278</v>
      </c>
      <c r="Z22" s="391" t="s">
        <v>275</v>
      </c>
      <c r="AA22" s="387" t="s">
        <v>326</v>
      </c>
      <c r="AB22" s="387" t="s">
        <v>327</v>
      </c>
      <c r="AC22" s="120" t="s">
        <v>269</v>
      </c>
    </row>
    <row r="23" spans="1:29" ht="11.25" customHeight="1" x14ac:dyDescent="0.25">
      <c r="A23" s="975"/>
      <c r="B23" s="392"/>
      <c r="C23" s="393"/>
      <c r="D23" s="393"/>
      <c r="E23" s="394"/>
      <c r="F23" s="976" t="s">
        <v>495</v>
      </c>
      <c r="G23" s="977"/>
      <c r="H23" s="978"/>
      <c r="I23" s="379">
        <v>8.76</v>
      </c>
      <c r="M23" s="395">
        <v>3</v>
      </c>
      <c r="N23" s="396">
        <v>4.7</v>
      </c>
      <c r="O23" s="397">
        <v>64</v>
      </c>
      <c r="P23" s="397">
        <v>46</v>
      </c>
      <c r="Q23" s="398">
        <v>38</v>
      </c>
      <c r="R23" s="399">
        <v>72</v>
      </c>
      <c r="S23" s="400">
        <v>30</v>
      </c>
      <c r="T23" s="400">
        <v>34</v>
      </c>
      <c r="U23" s="400">
        <v>42</v>
      </c>
      <c r="V23" s="401"/>
      <c r="W23" s="396">
        <v>30</v>
      </c>
      <c r="X23" s="396">
        <v>14</v>
      </c>
      <c r="Y23" s="402">
        <v>10</v>
      </c>
      <c r="Z23" s="401">
        <v>15</v>
      </c>
      <c r="AA23" s="403">
        <v>12</v>
      </c>
      <c r="AB23" s="403">
        <v>18</v>
      </c>
      <c r="AC23" s="119">
        <v>3</v>
      </c>
    </row>
    <row r="24" spans="1:29" ht="11.25" customHeight="1" x14ac:dyDescent="0.25">
      <c r="A24" s="951" t="s">
        <v>328</v>
      </c>
      <c r="B24" s="950"/>
      <c r="C24" s="949" t="s">
        <v>329</v>
      </c>
      <c r="D24" s="950"/>
      <c r="E24" s="404">
        <v>160</v>
      </c>
      <c r="F24" s="979" t="s">
        <v>330</v>
      </c>
      <c r="G24" s="953"/>
      <c r="H24" s="405" t="s">
        <v>331</v>
      </c>
      <c r="I24" s="381">
        <f>J24+K24</f>
        <v>25</v>
      </c>
      <c r="J24" s="2">
        <v>21.15</v>
      </c>
      <c r="K24" s="2">
        <v>3.85</v>
      </c>
      <c r="M24" s="395">
        <v>4</v>
      </c>
      <c r="N24" s="396">
        <v>3.7</v>
      </c>
      <c r="O24" s="397">
        <v>64</v>
      </c>
      <c r="P24" s="397">
        <v>46</v>
      </c>
      <c r="Q24" s="398">
        <v>38</v>
      </c>
      <c r="R24" s="399">
        <v>72</v>
      </c>
      <c r="S24" s="406">
        <v>30</v>
      </c>
      <c r="T24" s="406">
        <v>34</v>
      </c>
      <c r="U24" s="406">
        <v>42</v>
      </c>
      <c r="V24" s="401"/>
      <c r="W24" s="396">
        <v>30</v>
      </c>
      <c r="X24" s="396">
        <v>14</v>
      </c>
      <c r="Y24" s="402">
        <v>10</v>
      </c>
      <c r="Z24" s="401">
        <v>15</v>
      </c>
      <c r="AA24" s="403">
        <v>12</v>
      </c>
      <c r="AB24" s="403">
        <v>18</v>
      </c>
      <c r="AC24" s="119">
        <v>4</v>
      </c>
    </row>
    <row r="25" spans="1:29" ht="11.25" customHeight="1" x14ac:dyDescent="0.25">
      <c r="A25" s="952" t="s">
        <v>53</v>
      </c>
      <c r="B25" s="953"/>
      <c r="C25" s="964" t="s">
        <v>297</v>
      </c>
      <c r="D25" s="965"/>
      <c r="E25" s="407">
        <v>160</v>
      </c>
      <c r="F25" s="986"/>
      <c r="G25" s="959"/>
      <c r="H25" s="408" t="s">
        <v>332</v>
      </c>
      <c r="I25" s="409">
        <v>27</v>
      </c>
      <c r="M25" s="395">
        <v>5</v>
      </c>
      <c r="N25" s="396">
        <v>4.5999999999999996</v>
      </c>
      <c r="O25" s="397">
        <v>64</v>
      </c>
      <c r="P25" s="397">
        <v>46</v>
      </c>
      <c r="Q25" s="398">
        <v>46</v>
      </c>
      <c r="R25" s="399">
        <v>82</v>
      </c>
      <c r="S25" s="406">
        <v>36</v>
      </c>
      <c r="T25" s="406">
        <v>42</v>
      </c>
      <c r="U25" s="406">
        <v>52</v>
      </c>
      <c r="V25" s="401"/>
      <c r="W25" s="410">
        <v>30</v>
      </c>
      <c r="X25" s="411">
        <v>14</v>
      </c>
      <c r="Y25" s="402">
        <v>10</v>
      </c>
      <c r="Z25" s="401">
        <v>15</v>
      </c>
      <c r="AA25" s="403">
        <v>12</v>
      </c>
      <c r="AB25" s="403">
        <v>18</v>
      </c>
      <c r="AC25" s="119">
        <v>5</v>
      </c>
    </row>
    <row r="26" spans="1:29" ht="11.25" customHeight="1" x14ac:dyDescent="0.25">
      <c r="A26" s="954"/>
      <c r="B26" s="955"/>
      <c r="C26" s="962" t="s">
        <v>299</v>
      </c>
      <c r="D26" s="963"/>
      <c r="E26" s="412">
        <v>80</v>
      </c>
      <c r="F26" s="986"/>
      <c r="G26" s="959"/>
      <c r="H26" s="408" t="s">
        <v>333</v>
      </c>
      <c r="I26" s="409">
        <v>51</v>
      </c>
      <c r="J26" s="2">
        <v>47.25</v>
      </c>
      <c r="K26" s="2">
        <v>3.85</v>
      </c>
      <c r="M26" s="395">
        <v>6</v>
      </c>
      <c r="N26" s="396">
        <v>5.6</v>
      </c>
      <c r="O26" s="413">
        <v>74</v>
      </c>
      <c r="P26" s="413">
        <v>50</v>
      </c>
      <c r="Q26" s="398">
        <v>54</v>
      </c>
      <c r="R26" s="399">
        <v>90</v>
      </c>
      <c r="S26" s="406">
        <v>38</v>
      </c>
      <c r="T26" s="406">
        <v>48</v>
      </c>
      <c r="U26" s="406">
        <v>56</v>
      </c>
      <c r="V26" s="401"/>
      <c r="W26" s="410">
        <v>30</v>
      </c>
      <c r="X26" s="411">
        <v>14</v>
      </c>
      <c r="Y26" s="402">
        <f t="shared" ref="Y26:Y51" si="0">AC26*2</f>
        <v>12</v>
      </c>
      <c r="Z26" s="401">
        <v>15</v>
      </c>
      <c r="AA26" s="403">
        <v>12</v>
      </c>
      <c r="AB26" s="403">
        <v>18</v>
      </c>
      <c r="AC26" s="119">
        <v>6</v>
      </c>
    </row>
    <row r="27" spans="1:29" ht="11.25" customHeight="1" x14ac:dyDescent="0.25">
      <c r="A27" s="952" t="s">
        <v>334</v>
      </c>
      <c r="B27" s="953"/>
      <c r="C27" s="964" t="s">
        <v>335</v>
      </c>
      <c r="D27" s="965"/>
      <c r="E27" s="404">
        <v>2.35</v>
      </c>
      <c r="F27" s="980"/>
      <c r="G27" s="955"/>
      <c r="H27" s="408" t="s">
        <v>336</v>
      </c>
      <c r="I27" s="409">
        <v>53</v>
      </c>
      <c r="M27" s="395">
        <v>7</v>
      </c>
      <c r="N27" s="396">
        <v>6.5</v>
      </c>
      <c r="O27" s="413">
        <v>90</v>
      </c>
      <c r="P27" s="413">
        <v>60</v>
      </c>
      <c r="Q27" s="398">
        <v>62</v>
      </c>
      <c r="R27" s="399">
        <v>100</v>
      </c>
      <c r="S27" s="406">
        <v>44</v>
      </c>
      <c r="T27" s="406">
        <v>58</v>
      </c>
      <c r="U27" s="406">
        <v>72</v>
      </c>
      <c r="V27" s="401"/>
      <c r="W27" s="410">
        <v>36</v>
      </c>
      <c r="X27" s="411">
        <v>16</v>
      </c>
      <c r="Y27" s="402">
        <f t="shared" si="0"/>
        <v>14</v>
      </c>
      <c r="Z27" s="401">
        <v>15</v>
      </c>
      <c r="AA27" s="403">
        <v>15</v>
      </c>
      <c r="AB27" s="403">
        <v>22.5</v>
      </c>
      <c r="AC27" s="119">
        <v>7</v>
      </c>
    </row>
    <row r="28" spans="1:29" ht="11.25" customHeight="1" x14ac:dyDescent="0.25">
      <c r="A28" s="958"/>
      <c r="B28" s="959"/>
      <c r="C28" s="960" t="s">
        <v>337</v>
      </c>
      <c r="D28" s="961"/>
      <c r="E28" s="414">
        <v>2.86</v>
      </c>
      <c r="F28" s="976" t="s">
        <v>338</v>
      </c>
      <c r="G28" s="977"/>
      <c r="H28" s="978"/>
      <c r="I28" s="379">
        <v>31.75</v>
      </c>
      <c r="M28" s="395">
        <v>8</v>
      </c>
      <c r="N28" s="396">
        <v>7.4</v>
      </c>
      <c r="O28" s="413">
        <v>100</v>
      </c>
      <c r="P28" s="413">
        <v>70</v>
      </c>
      <c r="Q28" s="398">
        <v>68</v>
      </c>
      <c r="R28" s="399">
        <v>108</v>
      </c>
      <c r="S28" s="406">
        <v>48</v>
      </c>
      <c r="T28" s="406">
        <v>66</v>
      </c>
      <c r="U28" s="406">
        <v>82</v>
      </c>
      <c r="V28" s="401"/>
      <c r="W28" s="410">
        <v>40</v>
      </c>
      <c r="X28" s="411">
        <v>18</v>
      </c>
      <c r="Y28" s="402">
        <f t="shared" si="0"/>
        <v>16</v>
      </c>
      <c r="Z28" s="401">
        <v>15</v>
      </c>
      <c r="AA28" s="403">
        <v>15</v>
      </c>
      <c r="AB28" s="403">
        <v>22.5</v>
      </c>
      <c r="AC28" s="119">
        <v>8</v>
      </c>
    </row>
    <row r="29" spans="1:29" ht="11.25" customHeight="1" x14ac:dyDescent="0.25">
      <c r="A29" s="958"/>
      <c r="B29" s="959"/>
      <c r="C29" s="960" t="s">
        <v>339</v>
      </c>
      <c r="D29" s="961"/>
      <c r="E29" s="414">
        <v>4.75</v>
      </c>
      <c r="F29" s="979" t="s">
        <v>340</v>
      </c>
      <c r="G29" s="953"/>
      <c r="H29" s="369" t="s">
        <v>341</v>
      </c>
      <c r="I29" s="381"/>
      <c r="M29" s="395">
        <v>9</v>
      </c>
      <c r="N29" s="396">
        <v>8.3000000000000007</v>
      </c>
      <c r="O29" s="413">
        <v>120</v>
      </c>
      <c r="P29" s="413">
        <v>72</v>
      </c>
      <c r="Q29" s="398">
        <v>76</v>
      </c>
      <c r="R29" s="399">
        <v>118</v>
      </c>
      <c r="S29" s="406">
        <v>54</v>
      </c>
      <c r="T29" s="406">
        <v>76</v>
      </c>
      <c r="U29" s="406">
        <v>92</v>
      </c>
      <c r="V29" s="401"/>
      <c r="W29" s="410">
        <v>44</v>
      </c>
      <c r="X29" s="411">
        <v>20</v>
      </c>
      <c r="Y29" s="402">
        <f t="shared" si="0"/>
        <v>18</v>
      </c>
      <c r="Z29" s="401">
        <v>15</v>
      </c>
      <c r="AA29" s="403">
        <v>15</v>
      </c>
      <c r="AB29" s="403">
        <v>22.5</v>
      </c>
      <c r="AC29" s="119">
        <v>9</v>
      </c>
    </row>
    <row r="30" spans="1:29" ht="11.25" customHeight="1" x14ac:dyDescent="0.25">
      <c r="A30" s="958"/>
      <c r="B30" s="959"/>
      <c r="C30" s="960" t="s">
        <v>89</v>
      </c>
      <c r="D30" s="961"/>
      <c r="E30" s="414">
        <v>5.45</v>
      </c>
      <c r="F30" s="986"/>
      <c r="G30" s="959"/>
      <c r="H30" s="408" t="s">
        <v>342</v>
      </c>
      <c r="I30" s="409"/>
      <c r="M30" s="395">
        <v>10</v>
      </c>
      <c r="N30" s="396">
        <v>9.3000000000000007</v>
      </c>
      <c r="O30" s="413">
        <v>136</v>
      </c>
      <c r="P30" s="413">
        <v>74</v>
      </c>
      <c r="Q30" s="398">
        <v>82</v>
      </c>
      <c r="R30" s="399">
        <v>128</v>
      </c>
      <c r="S30" s="406">
        <v>60</v>
      </c>
      <c r="T30" s="406">
        <v>86</v>
      </c>
      <c r="U30" s="406">
        <v>102</v>
      </c>
      <c r="V30" s="401">
        <v>132</v>
      </c>
      <c r="W30" s="410">
        <v>48</v>
      </c>
      <c r="X30" s="411">
        <v>22</v>
      </c>
      <c r="Y30" s="402">
        <f t="shared" si="0"/>
        <v>20</v>
      </c>
      <c r="Z30" s="401">
        <v>15</v>
      </c>
      <c r="AA30" s="403">
        <v>15</v>
      </c>
      <c r="AB30" s="403">
        <v>22.5</v>
      </c>
      <c r="AC30" s="119">
        <v>10</v>
      </c>
    </row>
    <row r="31" spans="1:29" ht="11.25" customHeight="1" x14ac:dyDescent="0.25">
      <c r="A31" s="954"/>
      <c r="B31" s="955"/>
      <c r="C31" s="962"/>
      <c r="D31" s="963"/>
      <c r="E31" s="415"/>
      <c r="F31" s="986"/>
      <c r="G31" s="959"/>
      <c r="H31" s="408" t="s">
        <v>343</v>
      </c>
      <c r="I31" s="381"/>
      <c r="M31" s="395">
        <v>11</v>
      </c>
      <c r="N31" s="396">
        <v>10.199999999999999</v>
      </c>
      <c r="O31" s="413">
        <v>164</v>
      </c>
      <c r="P31" s="413">
        <v>88</v>
      </c>
      <c r="Q31" s="398">
        <v>90</v>
      </c>
      <c r="R31" s="399">
        <v>138</v>
      </c>
      <c r="S31" s="406">
        <v>68</v>
      </c>
      <c r="T31" s="406">
        <v>96</v>
      </c>
      <c r="U31" s="406">
        <v>110</v>
      </c>
      <c r="V31" s="401"/>
      <c r="W31" s="410">
        <v>54</v>
      </c>
      <c r="X31" s="411">
        <v>24</v>
      </c>
      <c r="Y31" s="402">
        <f t="shared" si="0"/>
        <v>22</v>
      </c>
      <c r="Z31" s="401">
        <v>15</v>
      </c>
      <c r="AA31" s="403">
        <v>18</v>
      </c>
      <c r="AB31" s="403">
        <v>27</v>
      </c>
      <c r="AC31" s="119">
        <v>11</v>
      </c>
    </row>
    <row r="32" spans="1:29" ht="11.25" customHeight="1" x14ac:dyDescent="0.25">
      <c r="A32" s="973" t="s">
        <v>281</v>
      </c>
      <c r="B32" s="973" t="s">
        <v>303</v>
      </c>
      <c r="C32" s="964" t="s">
        <v>344</v>
      </c>
      <c r="D32" s="965"/>
      <c r="E32" s="407">
        <v>32</v>
      </c>
      <c r="F32" s="986"/>
      <c r="G32" s="959"/>
      <c r="H32" s="408"/>
      <c r="I32" s="416"/>
      <c r="M32" s="395">
        <v>12</v>
      </c>
      <c r="N32" s="396">
        <v>11.1</v>
      </c>
      <c r="O32" s="413">
        <v>182</v>
      </c>
      <c r="P32" s="413">
        <v>98</v>
      </c>
      <c r="Q32" s="398">
        <v>98</v>
      </c>
      <c r="R32" s="399">
        <v>148</v>
      </c>
      <c r="S32" s="406">
        <v>74</v>
      </c>
      <c r="T32" s="406">
        <v>106</v>
      </c>
      <c r="U32" s="406">
        <v>120</v>
      </c>
      <c r="V32" s="401">
        <v>136</v>
      </c>
      <c r="W32" s="410">
        <v>58</v>
      </c>
      <c r="X32" s="411">
        <v>26</v>
      </c>
      <c r="Y32" s="402">
        <f t="shared" si="0"/>
        <v>24</v>
      </c>
      <c r="Z32" s="401">
        <v>15</v>
      </c>
      <c r="AA32" s="403">
        <v>18</v>
      </c>
      <c r="AB32" s="403">
        <v>27</v>
      </c>
      <c r="AC32" s="119">
        <v>12</v>
      </c>
    </row>
    <row r="33" spans="1:29" ht="11.25" customHeight="1" x14ac:dyDescent="0.25">
      <c r="A33" s="974"/>
      <c r="B33" s="975"/>
      <c r="C33" s="962" t="s">
        <v>345</v>
      </c>
      <c r="D33" s="963"/>
      <c r="E33" s="412">
        <v>3.6</v>
      </c>
      <c r="F33" s="980"/>
      <c r="G33" s="955"/>
      <c r="H33" s="408"/>
      <c r="I33" s="381"/>
      <c r="M33" s="395">
        <v>13</v>
      </c>
      <c r="N33" s="396">
        <v>12.1</v>
      </c>
      <c r="O33" s="413">
        <v>200</v>
      </c>
      <c r="P33" s="413">
        <v>108</v>
      </c>
      <c r="Q33" s="398">
        <v>104</v>
      </c>
      <c r="R33" s="399">
        <v>158</v>
      </c>
      <c r="S33" s="406">
        <v>80</v>
      </c>
      <c r="T33" s="406">
        <v>116</v>
      </c>
      <c r="U33" s="406">
        <v>130</v>
      </c>
      <c r="V33" s="401"/>
      <c r="W33" s="410">
        <v>62</v>
      </c>
      <c r="X33" s="411">
        <v>28</v>
      </c>
      <c r="Y33" s="402">
        <f t="shared" si="0"/>
        <v>26</v>
      </c>
      <c r="Z33" s="401">
        <v>15</v>
      </c>
      <c r="AA33" s="403">
        <v>18</v>
      </c>
      <c r="AB33" s="403">
        <v>27</v>
      </c>
      <c r="AC33" s="119">
        <v>13</v>
      </c>
    </row>
    <row r="34" spans="1:29" ht="11.25" customHeight="1" x14ac:dyDescent="0.25">
      <c r="A34" s="974"/>
      <c r="B34" s="973" t="s">
        <v>346</v>
      </c>
      <c r="C34" s="964" t="s">
        <v>347</v>
      </c>
      <c r="D34" s="965"/>
      <c r="E34" s="354">
        <v>3.5</v>
      </c>
      <c r="F34" s="968" t="s">
        <v>348</v>
      </c>
      <c r="G34" s="969"/>
      <c r="H34" s="417" t="s">
        <v>349</v>
      </c>
      <c r="I34" s="418">
        <f>38*2</f>
        <v>76</v>
      </c>
      <c r="M34" s="395">
        <v>14</v>
      </c>
      <c r="N34" s="396">
        <v>16.399999999999999</v>
      </c>
      <c r="O34" s="413">
        <v>220</v>
      </c>
      <c r="P34" s="413">
        <v>118</v>
      </c>
      <c r="Q34" s="398">
        <v>122</v>
      </c>
      <c r="R34" s="399">
        <v>160</v>
      </c>
      <c r="S34" s="406">
        <v>82</v>
      </c>
      <c r="T34" s="406">
        <v>122</v>
      </c>
      <c r="U34" s="406">
        <v>136</v>
      </c>
      <c r="V34" s="419">
        <v>140</v>
      </c>
      <c r="W34" s="410">
        <v>68</v>
      </c>
      <c r="X34" s="411">
        <v>28</v>
      </c>
      <c r="Y34" s="402">
        <f t="shared" si="0"/>
        <v>28</v>
      </c>
      <c r="Z34" s="401">
        <v>15</v>
      </c>
      <c r="AA34" s="403">
        <v>18</v>
      </c>
      <c r="AB34" s="403">
        <v>27</v>
      </c>
      <c r="AC34" s="119">
        <v>14</v>
      </c>
    </row>
    <row r="35" spans="1:29" ht="11.25" customHeight="1" x14ac:dyDescent="0.25">
      <c r="A35" s="974"/>
      <c r="B35" s="974"/>
      <c r="C35" s="960" t="s">
        <v>350</v>
      </c>
      <c r="D35" s="961"/>
      <c r="E35" s="414">
        <v>3.5</v>
      </c>
      <c r="F35" s="968"/>
      <c r="G35" s="969"/>
      <c r="H35" s="420" t="s">
        <v>351</v>
      </c>
      <c r="I35" s="421">
        <f>55*2</f>
        <v>110</v>
      </c>
      <c r="M35" s="395">
        <v>16</v>
      </c>
      <c r="N35" s="396">
        <v>18.7</v>
      </c>
      <c r="O35" s="396">
        <v>260</v>
      </c>
      <c r="P35" s="396">
        <v>138</v>
      </c>
      <c r="Q35" s="398">
        <v>138</v>
      </c>
      <c r="R35" s="399">
        <v>178</v>
      </c>
      <c r="S35" s="406">
        <v>94</v>
      </c>
      <c r="T35" s="406">
        <v>144</v>
      </c>
      <c r="U35" s="406">
        <v>154</v>
      </c>
      <c r="V35" s="419">
        <v>146</v>
      </c>
      <c r="W35" s="396">
        <v>78</v>
      </c>
      <c r="X35" s="396">
        <v>32</v>
      </c>
      <c r="Y35" s="402">
        <f t="shared" si="0"/>
        <v>32</v>
      </c>
      <c r="Z35" s="401">
        <v>16</v>
      </c>
      <c r="AA35" s="403">
        <v>18</v>
      </c>
      <c r="AB35" s="403">
        <v>27</v>
      </c>
      <c r="AC35" s="119">
        <v>16</v>
      </c>
    </row>
    <row r="36" spans="1:29" ht="11.25" customHeight="1" x14ac:dyDescent="0.25">
      <c r="A36" s="974"/>
      <c r="B36" s="974"/>
      <c r="C36" s="960" t="s">
        <v>352</v>
      </c>
      <c r="D36" s="961"/>
      <c r="E36" s="414">
        <v>3.5</v>
      </c>
      <c r="F36" s="966"/>
      <c r="G36" s="967"/>
      <c r="H36" s="422"/>
      <c r="I36" s="423"/>
      <c r="M36" s="395">
        <v>18</v>
      </c>
      <c r="N36" s="396">
        <v>21</v>
      </c>
      <c r="O36" s="396">
        <v>302</v>
      </c>
      <c r="P36" s="396">
        <v>160</v>
      </c>
      <c r="Q36" s="398">
        <v>154</v>
      </c>
      <c r="R36" s="399">
        <v>196</v>
      </c>
      <c r="S36" s="406">
        <v>108</v>
      </c>
      <c r="T36" s="406">
        <v>168</v>
      </c>
      <c r="U36" s="406">
        <v>172</v>
      </c>
      <c r="V36" s="419">
        <v>150</v>
      </c>
      <c r="W36" s="396">
        <v>90</v>
      </c>
      <c r="X36" s="396">
        <v>36</v>
      </c>
      <c r="Y36" s="402">
        <f t="shared" si="0"/>
        <v>36</v>
      </c>
      <c r="Z36" s="401">
        <v>18</v>
      </c>
      <c r="AA36" s="403">
        <v>18</v>
      </c>
      <c r="AB36" s="403">
        <v>27</v>
      </c>
      <c r="AC36" s="119">
        <v>18</v>
      </c>
    </row>
    <row r="37" spans="1:29" ht="11.25" customHeight="1" x14ac:dyDescent="0.25">
      <c r="A37" s="974"/>
      <c r="B37" s="974"/>
      <c r="C37" s="960"/>
      <c r="D37" s="961"/>
      <c r="E37" s="414"/>
      <c r="F37" s="966"/>
      <c r="G37" s="967"/>
      <c r="H37" s="422"/>
      <c r="I37" s="423"/>
      <c r="M37" s="395">
        <v>20</v>
      </c>
      <c r="N37" s="396">
        <v>23.4</v>
      </c>
      <c r="O37" s="396">
        <v>348</v>
      </c>
      <c r="P37" s="396">
        <v>184</v>
      </c>
      <c r="Q37" s="398">
        <v>168</v>
      </c>
      <c r="R37" s="399">
        <v>216</v>
      </c>
      <c r="S37" s="406">
        <v>122</v>
      </c>
      <c r="T37" s="406">
        <v>194</v>
      </c>
      <c r="U37" s="406">
        <v>192</v>
      </c>
      <c r="V37" s="419">
        <v>154</v>
      </c>
      <c r="W37" s="396">
        <v>100</v>
      </c>
      <c r="X37" s="396">
        <v>40</v>
      </c>
      <c r="Y37" s="402">
        <f t="shared" si="0"/>
        <v>40</v>
      </c>
      <c r="Z37" s="401">
        <v>20</v>
      </c>
      <c r="AA37" s="403">
        <v>24</v>
      </c>
      <c r="AB37" s="403">
        <v>36</v>
      </c>
      <c r="AC37" s="119">
        <v>20</v>
      </c>
    </row>
    <row r="38" spans="1:29" ht="11.25" customHeight="1" x14ac:dyDescent="0.25">
      <c r="A38" s="975"/>
      <c r="B38" s="975"/>
      <c r="C38" s="962"/>
      <c r="D38" s="963"/>
      <c r="E38" s="359"/>
      <c r="F38" s="966"/>
      <c r="G38" s="967"/>
      <c r="H38" s="422"/>
      <c r="I38" s="423"/>
      <c r="M38" s="395">
        <v>22</v>
      </c>
      <c r="N38" s="396">
        <v>25.7</v>
      </c>
      <c r="O38" s="413">
        <v>396</v>
      </c>
      <c r="P38" s="413">
        <v>210</v>
      </c>
      <c r="Q38" s="398">
        <v>184</v>
      </c>
      <c r="R38" s="399">
        <v>234</v>
      </c>
      <c r="S38" s="406">
        <v>136</v>
      </c>
      <c r="T38" s="406">
        <v>222</v>
      </c>
      <c r="U38" s="406">
        <v>228</v>
      </c>
      <c r="V38" s="419">
        <v>158</v>
      </c>
      <c r="W38" s="410">
        <v>110</v>
      </c>
      <c r="X38" s="411">
        <v>44</v>
      </c>
      <c r="Y38" s="402">
        <f t="shared" si="0"/>
        <v>44</v>
      </c>
      <c r="Z38" s="401">
        <v>22</v>
      </c>
      <c r="AA38" s="403">
        <v>24</v>
      </c>
      <c r="AB38" s="403">
        <v>36</v>
      </c>
      <c r="AC38" s="119">
        <v>22</v>
      </c>
    </row>
    <row r="39" spans="1:29" ht="11.25" customHeight="1" x14ac:dyDescent="0.25">
      <c r="A39" s="952" t="s">
        <v>353</v>
      </c>
      <c r="B39" s="970"/>
      <c r="C39" s="964" t="s">
        <v>644</v>
      </c>
      <c r="D39" s="965"/>
      <c r="E39" s="424">
        <v>100</v>
      </c>
      <c r="F39" s="966"/>
      <c r="G39" s="967"/>
      <c r="H39" s="422"/>
      <c r="I39" s="423"/>
      <c r="M39" s="395">
        <v>24</v>
      </c>
      <c r="N39" s="396">
        <v>28.1</v>
      </c>
      <c r="O39" s="413">
        <v>498</v>
      </c>
      <c r="P39" s="413">
        <v>262</v>
      </c>
      <c r="Q39" s="398">
        <v>198</v>
      </c>
      <c r="R39" s="399">
        <v>252</v>
      </c>
      <c r="S39" s="406">
        <v>158</v>
      </c>
      <c r="T39" s="406">
        <v>250</v>
      </c>
      <c r="U39" s="406">
        <v>248</v>
      </c>
      <c r="V39" s="419">
        <v>162</v>
      </c>
      <c r="W39" s="410">
        <v>122</v>
      </c>
      <c r="X39" s="411">
        <v>48</v>
      </c>
      <c r="Y39" s="402">
        <f t="shared" si="0"/>
        <v>48</v>
      </c>
      <c r="Z39" s="401">
        <v>24</v>
      </c>
      <c r="AA39" s="403">
        <v>24</v>
      </c>
      <c r="AB39" s="403">
        <v>36</v>
      </c>
      <c r="AC39" s="119">
        <v>24</v>
      </c>
    </row>
    <row r="40" spans="1:29" ht="11.25" customHeight="1" x14ac:dyDescent="0.25">
      <c r="A40" s="971"/>
      <c r="B40" s="972"/>
      <c r="C40" s="960" t="s">
        <v>354</v>
      </c>
      <c r="D40" s="961"/>
      <c r="E40" s="425">
        <v>80</v>
      </c>
      <c r="F40" s="966"/>
      <c r="G40" s="967"/>
      <c r="H40" s="422"/>
      <c r="I40" s="423"/>
      <c r="M40" s="395">
        <v>26</v>
      </c>
      <c r="N40" s="396">
        <v>35.4</v>
      </c>
      <c r="O40" s="413">
        <v>556</v>
      </c>
      <c r="P40" s="413">
        <v>294</v>
      </c>
      <c r="Q40" s="398">
        <v>234</v>
      </c>
      <c r="R40" s="399">
        <v>300</v>
      </c>
      <c r="S40" s="406">
        <v>164</v>
      </c>
      <c r="T40" s="406">
        <v>284</v>
      </c>
      <c r="U40" s="406">
        <v>268</v>
      </c>
      <c r="V40" s="419">
        <v>170</v>
      </c>
      <c r="W40" s="410">
        <v>128</v>
      </c>
      <c r="X40" s="411">
        <v>54</v>
      </c>
      <c r="Y40" s="402">
        <f t="shared" si="0"/>
        <v>52</v>
      </c>
      <c r="Z40" s="401">
        <v>26</v>
      </c>
      <c r="AA40" s="403">
        <v>24</v>
      </c>
      <c r="AB40" s="403">
        <v>36</v>
      </c>
      <c r="AC40" s="119">
        <v>26</v>
      </c>
    </row>
    <row r="41" spans="1:29" ht="11.25" customHeight="1" x14ac:dyDescent="0.25">
      <c r="A41" s="958"/>
      <c r="B41" s="959"/>
      <c r="C41" s="960" t="s">
        <v>355</v>
      </c>
      <c r="D41" s="961"/>
      <c r="E41" s="425">
        <v>80</v>
      </c>
      <c r="F41" s="966"/>
      <c r="G41" s="967"/>
      <c r="H41" s="422"/>
      <c r="I41" s="426"/>
      <c r="M41" s="395">
        <v>28</v>
      </c>
      <c r="N41" s="396">
        <v>38.200000000000003</v>
      </c>
      <c r="O41" s="413">
        <v>620</v>
      </c>
      <c r="P41" s="413">
        <v>326</v>
      </c>
      <c r="Q41" s="398">
        <v>250</v>
      </c>
      <c r="R41" s="399">
        <v>322</v>
      </c>
      <c r="S41" s="406">
        <v>182</v>
      </c>
      <c r="T41" s="406">
        <v>318</v>
      </c>
      <c r="U41" s="406">
        <v>288</v>
      </c>
      <c r="V41" s="419">
        <v>174</v>
      </c>
      <c r="W41" s="410">
        <v>140</v>
      </c>
      <c r="X41" s="411">
        <v>58</v>
      </c>
      <c r="Y41" s="402">
        <f t="shared" si="0"/>
        <v>56</v>
      </c>
      <c r="Z41" s="401">
        <v>28</v>
      </c>
      <c r="AA41" s="403">
        <v>32</v>
      </c>
      <c r="AB41" s="403">
        <v>48</v>
      </c>
      <c r="AC41" s="119">
        <v>28</v>
      </c>
    </row>
    <row r="42" spans="1:29" ht="11.25" customHeight="1" x14ac:dyDescent="0.25">
      <c r="A42" s="958"/>
      <c r="B42" s="959"/>
      <c r="C42" s="960" t="s">
        <v>356</v>
      </c>
      <c r="D42" s="961"/>
      <c r="E42" s="425">
        <v>80</v>
      </c>
      <c r="F42" s="966"/>
      <c r="G42" s="967"/>
      <c r="H42" s="422"/>
      <c r="I42" s="426"/>
      <c r="M42" s="395">
        <v>30</v>
      </c>
      <c r="N42" s="396">
        <v>40.9</v>
      </c>
      <c r="O42" s="413">
        <v>686</v>
      </c>
      <c r="P42" s="413">
        <v>360</v>
      </c>
      <c r="Q42" s="398">
        <v>266</v>
      </c>
      <c r="R42" s="399">
        <v>342</v>
      </c>
      <c r="S42" s="406">
        <v>198</v>
      </c>
      <c r="T42" s="406">
        <v>352</v>
      </c>
      <c r="U42" s="406">
        <v>308</v>
      </c>
      <c r="V42" s="419">
        <v>178</v>
      </c>
      <c r="W42" s="410">
        <v>152</v>
      </c>
      <c r="X42" s="411">
        <v>62</v>
      </c>
      <c r="Y42" s="402">
        <f t="shared" si="0"/>
        <v>60</v>
      </c>
      <c r="Z42" s="401">
        <v>30</v>
      </c>
      <c r="AA42" s="403">
        <v>32</v>
      </c>
      <c r="AB42" s="403">
        <v>48</v>
      </c>
      <c r="AC42" s="119">
        <v>30</v>
      </c>
    </row>
    <row r="43" spans="1:29" ht="11.25" customHeight="1" x14ac:dyDescent="0.25">
      <c r="A43" s="958"/>
      <c r="B43" s="959"/>
      <c r="C43" s="960" t="s">
        <v>357</v>
      </c>
      <c r="D43" s="961"/>
      <c r="E43" s="425">
        <v>80</v>
      </c>
      <c r="F43" s="966"/>
      <c r="G43" s="967"/>
      <c r="H43" s="422"/>
      <c r="I43" s="426"/>
      <c r="M43" s="395">
        <v>32</v>
      </c>
      <c r="N43" s="396">
        <v>43.6</v>
      </c>
      <c r="O43" s="413">
        <v>754</v>
      </c>
      <c r="P43" s="413">
        <v>394</v>
      </c>
      <c r="Q43" s="398">
        <v>284</v>
      </c>
      <c r="R43" s="399">
        <v>362</v>
      </c>
      <c r="S43" s="406">
        <v>216</v>
      </c>
      <c r="T43" s="406">
        <v>390</v>
      </c>
      <c r="U43" s="406">
        <v>330</v>
      </c>
      <c r="V43" s="419">
        <v>218</v>
      </c>
      <c r="W43" s="410">
        <v>164</v>
      </c>
      <c r="X43" s="411">
        <v>66</v>
      </c>
      <c r="Y43" s="402">
        <f t="shared" si="0"/>
        <v>64</v>
      </c>
      <c r="Z43" s="401">
        <v>32</v>
      </c>
      <c r="AA43" s="403">
        <v>32</v>
      </c>
      <c r="AB43" s="403">
        <v>48</v>
      </c>
      <c r="AC43" s="119">
        <v>32</v>
      </c>
    </row>
    <row r="44" spans="1:29" ht="11.25" customHeight="1" x14ac:dyDescent="0.25">
      <c r="A44" s="958"/>
      <c r="B44" s="959"/>
      <c r="C44" s="960" t="s">
        <v>358</v>
      </c>
      <c r="D44" s="961"/>
      <c r="E44" s="425">
        <v>160</v>
      </c>
      <c r="F44" s="966"/>
      <c r="G44" s="967"/>
      <c r="H44" s="422"/>
      <c r="I44" s="426"/>
      <c r="M44" s="395">
        <v>34</v>
      </c>
      <c r="N44" s="396">
        <v>46.3</v>
      </c>
      <c r="O44" s="413">
        <v>824</v>
      </c>
      <c r="P44" s="413">
        <v>432</v>
      </c>
      <c r="Q44" s="398">
        <v>300</v>
      </c>
      <c r="R44" s="399">
        <v>384</v>
      </c>
      <c r="S44" s="406">
        <v>234</v>
      </c>
      <c r="T44" s="406">
        <v>428</v>
      </c>
      <c r="U44" s="406">
        <v>350</v>
      </c>
      <c r="V44" s="419">
        <v>222</v>
      </c>
      <c r="W44" s="410">
        <v>178</v>
      </c>
      <c r="X44" s="411">
        <v>70</v>
      </c>
      <c r="Y44" s="402">
        <f t="shared" si="0"/>
        <v>68</v>
      </c>
      <c r="Z44" s="401">
        <v>34</v>
      </c>
      <c r="AA44" s="403">
        <v>32</v>
      </c>
      <c r="AB44" s="403">
        <v>48</v>
      </c>
      <c r="AC44" s="119">
        <v>34</v>
      </c>
    </row>
    <row r="45" spans="1:29" ht="11.25" customHeight="1" x14ac:dyDescent="0.25">
      <c r="A45" s="954"/>
      <c r="B45" s="955"/>
      <c r="C45" s="949" t="s">
        <v>359</v>
      </c>
      <c r="D45" s="950"/>
      <c r="E45" s="427">
        <v>60</v>
      </c>
      <c r="F45" s="966"/>
      <c r="G45" s="967"/>
      <c r="H45" s="422"/>
      <c r="I45" s="426"/>
      <c r="M45" s="395">
        <v>36</v>
      </c>
      <c r="N45" s="396">
        <v>49.1</v>
      </c>
      <c r="O45" s="413">
        <v>900</v>
      </c>
      <c r="P45" s="413">
        <v>470</v>
      </c>
      <c r="Q45" s="398">
        <v>316</v>
      </c>
      <c r="R45" s="399">
        <v>404</v>
      </c>
      <c r="S45" s="406">
        <v>252</v>
      </c>
      <c r="T45" s="406">
        <v>470</v>
      </c>
      <c r="U45" s="406">
        <v>502</v>
      </c>
      <c r="V45" s="419">
        <v>228</v>
      </c>
      <c r="W45" s="410">
        <v>190</v>
      </c>
      <c r="X45" s="411">
        <v>74</v>
      </c>
      <c r="Y45" s="402">
        <f t="shared" si="0"/>
        <v>72</v>
      </c>
      <c r="Z45" s="401">
        <v>36</v>
      </c>
      <c r="AA45" s="403">
        <v>40</v>
      </c>
      <c r="AB45" s="403">
        <v>60</v>
      </c>
      <c r="AC45" s="119">
        <v>36</v>
      </c>
    </row>
    <row r="46" spans="1:29" ht="11.25" customHeight="1" x14ac:dyDescent="0.25">
      <c r="A46"/>
      <c r="B46"/>
      <c r="C46"/>
      <c r="D46"/>
      <c r="E46" s="428"/>
      <c r="F46"/>
      <c r="G46"/>
      <c r="H46"/>
      <c r="I46"/>
      <c r="M46" s="395">
        <v>38</v>
      </c>
      <c r="N46" s="396">
        <v>59.9</v>
      </c>
      <c r="O46" s="413">
        <v>1250</v>
      </c>
      <c r="P46" s="413">
        <v>652</v>
      </c>
      <c r="Q46" s="398">
        <v>404</v>
      </c>
      <c r="R46" s="399">
        <v>522</v>
      </c>
      <c r="S46" s="406">
        <v>336</v>
      </c>
      <c r="T46" s="406">
        <v>664</v>
      </c>
      <c r="U46" s="406">
        <v>652</v>
      </c>
      <c r="V46" s="419">
        <v>232</v>
      </c>
      <c r="W46" s="410">
        <v>238</v>
      </c>
      <c r="X46" s="411">
        <v>88</v>
      </c>
      <c r="Y46" s="402">
        <f t="shared" si="0"/>
        <v>76</v>
      </c>
      <c r="Z46" s="401">
        <v>38</v>
      </c>
      <c r="AA46" s="403">
        <v>40</v>
      </c>
      <c r="AB46" s="403">
        <v>60</v>
      </c>
      <c r="AC46" s="119">
        <v>38</v>
      </c>
    </row>
    <row r="47" spans="1:29" ht="11.25" customHeight="1" x14ac:dyDescent="0.25">
      <c r="A47"/>
      <c r="B47"/>
      <c r="C47"/>
      <c r="D47"/>
      <c r="E47" s="428"/>
      <c r="F47"/>
      <c r="G47"/>
      <c r="H47"/>
      <c r="I47"/>
      <c r="M47" s="395">
        <v>40</v>
      </c>
      <c r="N47" s="396">
        <v>63</v>
      </c>
      <c r="O47" s="413">
        <v>1354</v>
      </c>
      <c r="P47" s="413">
        <v>706</v>
      </c>
      <c r="Q47" s="398">
        <v>424</v>
      </c>
      <c r="R47" s="399">
        <v>548</v>
      </c>
      <c r="S47" s="406">
        <v>360</v>
      </c>
      <c r="T47" s="406">
        <v>722</v>
      </c>
      <c r="U47" s="406">
        <v>686</v>
      </c>
      <c r="V47" s="419">
        <v>236</v>
      </c>
      <c r="W47" s="410">
        <v>256</v>
      </c>
      <c r="X47" s="411">
        <v>92</v>
      </c>
      <c r="Y47" s="402">
        <f t="shared" si="0"/>
        <v>80</v>
      </c>
      <c r="Z47" s="401">
        <v>40</v>
      </c>
      <c r="AA47" s="403">
        <v>40</v>
      </c>
      <c r="AB47" s="403">
        <v>60</v>
      </c>
      <c r="AC47" s="119">
        <v>40</v>
      </c>
    </row>
    <row r="48" spans="1:29" ht="11.25" customHeight="1" x14ac:dyDescent="0.25">
      <c r="A48"/>
      <c r="B48"/>
      <c r="C48"/>
      <c r="D48"/>
      <c r="E48" s="428"/>
      <c r="F48"/>
      <c r="G48"/>
      <c r="H48"/>
      <c r="I48"/>
      <c r="M48" s="395">
        <v>42</v>
      </c>
      <c r="N48" s="396">
        <v>66.2</v>
      </c>
      <c r="O48" s="413">
        <v>1472</v>
      </c>
      <c r="P48" s="413">
        <v>760</v>
      </c>
      <c r="Q48" s="398">
        <v>444</v>
      </c>
      <c r="R48" s="399">
        <v>574</v>
      </c>
      <c r="S48" s="406">
        <v>386</v>
      </c>
      <c r="T48" s="406">
        <v>782</v>
      </c>
      <c r="U48" s="406">
        <v>720</v>
      </c>
      <c r="V48" s="419">
        <v>240</v>
      </c>
      <c r="W48" s="410">
        <v>272</v>
      </c>
      <c r="X48" s="411">
        <v>96</v>
      </c>
      <c r="Y48" s="402">
        <f t="shared" si="0"/>
        <v>84</v>
      </c>
      <c r="Z48" s="401">
        <v>42</v>
      </c>
      <c r="AA48" s="403">
        <v>40</v>
      </c>
      <c r="AB48" s="403">
        <v>60</v>
      </c>
      <c r="AC48" s="119">
        <v>42</v>
      </c>
    </row>
    <row r="49" spans="1:29" ht="11.25" customHeight="1" x14ac:dyDescent="0.25">
      <c r="A49"/>
      <c r="B49"/>
      <c r="C49"/>
      <c r="D49"/>
      <c r="E49" s="428"/>
      <c r="F49"/>
      <c r="G49"/>
      <c r="H49"/>
      <c r="I49"/>
      <c r="M49" s="395">
        <v>44</v>
      </c>
      <c r="N49" s="396">
        <v>69.3</v>
      </c>
      <c r="O49" s="413">
        <v>1570</v>
      </c>
      <c r="P49" s="413">
        <v>816</v>
      </c>
      <c r="Q49" s="398">
        <v>464</v>
      </c>
      <c r="R49" s="399">
        <v>600</v>
      </c>
      <c r="S49" s="406">
        <v>406</v>
      </c>
      <c r="T49" s="406">
        <v>844</v>
      </c>
      <c r="U49" s="406">
        <v>754</v>
      </c>
      <c r="V49" s="419">
        <v>246</v>
      </c>
      <c r="W49" s="410">
        <v>290</v>
      </c>
      <c r="X49" s="411">
        <v>102</v>
      </c>
      <c r="Y49" s="402">
        <f t="shared" si="0"/>
        <v>88</v>
      </c>
      <c r="Z49" s="401">
        <v>44</v>
      </c>
      <c r="AA49" s="403">
        <v>50</v>
      </c>
      <c r="AB49" s="403">
        <v>60</v>
      </c>
      <c r="AC49" s="119">
        <v>44</v>
      </c>
    </row>
    <row r="50" spans="1:29" ht="11.25" customHeight="1" x14ac:dyDescent="0.3">
      <c r="A50" s="429" t="s">
        <v>360</v>
      </c>
      <c r="B50"/>
      <c r="C50"/>
      <c r="D50"/>
      <c r="E50" s="428"/>
      <c r="F50"/>
      <c r="G50"/>
      <c r="H50"/>
      <c r="I50"/>
      <c r="M50" s="395">
        <v>46</v>
      </c>
      <c r="N50" s="396">
        <v>72.5</v>
      </c>
      <c r="O50" s="413">
        <v>1686</v>
      </c>
      <c r="P50" s="413">
        <v>874</v>
      </c>
      <c r="Q50" s="398">
        <v>486</v>
      </c>
      <c r="R50" s="399">
        <v>624</v>
      </c>
      <c r="S50" s="406">
        <v>440</v>
      </c>
      <c r="T50" s="406">
        <v>908</v>
      </c>
      <c r="U50" s="406">
        <v>786</v>
      </c>
      <c r="V50" s="419">
        <v>250</v>
      </c>
      <c r="W50" s="410">
        <v>308</v>
      </c>
      <c r="X50" s="411">
        <v>106</v>
      </c>
      <c r="Y50" s="402">
        <f t="shared" si="0"/>
        <v>92</v>
      </c>
      <c r="Z50" s="401">
        <v>46</v>
      </c>
      <c r="AA50" s="403">
        <v>50</v>
      </c>
      <c r="AB50" s="403">
        <v>60</v>
      </c>
      <c r="AC50" s="119">
        <v>46</v>
      </c>
    </row>
    <row r="51" spans="1:29" ht="11.25" customHeight="1" x14ac:dyDescent="0.25">
      <c r="A51" s="136" t="s">
        <v>361</v>
      </c>
      <c r="B51" s="436">
        <v>47.63</v>
      </c>
      <c r="C51"/>
      <c r="D51"/>
      <c r="E51" s="428"/>
      <c r="F51"/>
      <c r="G51"/>
      <c r="H51"/>
      <c r="I51"/>
      <c r="M51" s="395">
        <v>48</v>
      </c>
      <c r="N51" s="396">
        <v>75.599999999999994</v>
      </c>
      <c r="O51" s="413">
        <v>1804</v>
      </c>
      <c r="P51" s="413">
        <v>936</v>
      </c>
      <c r="Q51" s="398">
        <v>506</v>
      </c>
      <c r="R51" s="399">
        <v>650</v>
      </c>
      <c r="S51" s="406">
        <v>468</v>
      </c>
      <c r="T51" s="406">
        <v>974</v>
      </c>
      <c r="U51" s="406">
        <v>820</v>
      </c>
      <c r="V51" s="419">
        <v>254</v>
      </c>
      <c r="W51" s="410">
        <v>328</v>
      </c>
      <c r="X51" s="411">
        <v>110</v>
      </c>
      <c r="Y51" s="402">
        <f t="shared" si="0"/>
        <v>96</v>
      </c>
      <c r="Z51" s="401">
        <v>48</v>
      </c>
      <c r="AA51" s="403">
        <v>50</v>
      </c>
      <c r="AB51" s="403">
        <v>60</v>
      </c>
      <c r="AC51" s="119">
        <v>48</v>
      </c>
    </row>
    <row r="52" spans="1:29" ht="11.25" customHeight="1" x14ac:dyDescent="0.25">
      <c r="A52" s="136" t="s">
        <v>362</v>
      </c>
      <c r="B52" s="436">
        <v>53.89</v>
      </c>
      <c r="C52"/>
      <c r="D52"/>
      <c r="E52" s="428"/>
      <c r="F52"/>
      <c r="G52"/>
      <c r="H52"/>
      <c r="I52"/>
      <c r="M52" s="395">
        <v>50</v>
      </c>
      <c r="N52" s="396">
        <v>78.8</v>
      </c>
      <c r="O52" s="413">
        <v>2064</v>
      </c>
      <c r="P52" s="413">
        <v>1068</v>
      </c>
      <c r="Q52" s="398">
        <v>574</v>
      </c>
      <c r="R52" s="399">
        <v>726</v>
      </c>
      <c r="S52" s="406">
        <v>526</v>
      </c>
      <c r="T52" s="406">
        <v>1112</v>
      </c>
      <c r="U52" s="406">
        <v>1146</v>
      </c>
      <c r="V52" s="419">
        <v>292</v>
      </c>
      <c r="W52" s="410">
        <v>370</v>
      </c>
      <c r="X52" s="411">
        <v>116</v>
      </c>
      <c r="Y52" s="430"/>
      <c r="Z52" s="401">
        <v>50</v>
      </c>
      <c r="AA52" s="403">
        <v>50</v>
      </c>
      <c r="AB52" s="403">
        <v>60</v>
      </c>
      <c r="AC52" s="119">
        <v>50</v>
      </c>
    </row>
    <row r="53" spans="1:29" ht="11.25" customHeight="1" x14ac:dyDescent="0.25">
      <c r="A53" s="136" t="s">
        <v>363</v>
      </c>
      <c r="B53" s="436">
        <v>175</v>
      </c>
      <c r="C53"/>
      <c r="D53"/>
      <c r="E53" s="428"/>
      <c r="F53"/>
      <c r="G53"/>
      <c r="H53"/>
      <c r="I53"/>
      <c r="M53" s="395">
        <v>52</v>
      </c>
      <c r="N53" s="396">
        <v>104</v>
      </c>
      <c r="O53" s="413">
        <v>2194</v>
      </c>
      <c r="P53" s="413">
        <v>1134</v>
      </c>
      <c r="Q53" s="398">
        <v>596</v>
      </c>
      <c r="R53" s="399">
        <v>754</v>
      </c>
      <c r="S53" s="406">
        <v>556</v>
      </c>
      <c r="T53" s="406">
        <v>1186</v>
      </c>
      <c r="U53" s="406">
        <v>1192</v>
      </c>
      <c r="V53" s="419">
        <v>298</v>
      </c>
      <c r="W53" s="410">
        <v>390</v>
      </c>
      <c r="X53" s="411">
        <v>120</v>
      </c>
      <c r="Y53" s="430"/>
      <c r="Z53" s="401">
        <v>52</v>
      </c>
      <c r="AA53" s="403">
        <v>60</v>
      </c>
      <c r="AB53" s="403">
        <v>90</v>
      </c>
      <c r="AC53" s="119">
        <v>52</v>
      </c>
    </row>
    <row r="54" spans="1:29" ht="11.25" customHeight="1" x14ac:dyDescent="0.25">
      <c r="A54"/>
      <c r="B54"/>
      <c r="C54"/>
      <c r="D54"/>
      <c r="E54" s="428"/>
      <c r="F54"/>
      <c r="G54"/>
      <c r="H54"/>
      <c r="I54"/>
      <c r="M54" s="395">
        <v>54</v>
      </c>
      <c r="N54" s="396">
        <v>108</v>
      </c>
      <c r="O54" s="413">
        <v>2330</v>
      </c>
      <c r="P54" s="413">
        <v>1202</v>
      </c>
      <c r="Q54" s="398">
        <v>618</v>
      </c>
      <c r="R54" s="399">
        <v>780</v>
      </c>
      <c r="S54" s="406">
        <v>588</v>
      </c>
      <c r="T54" s="406">
        <v>1262</v>
      </c>
      <c r="U54" s="406">
        <v>1236</v>
      </c>
      <c r="V54" s="419">
        <v>302</v>
      </c>
      <c r="W54" s="410">
        <v>412</v>
      </c>
      <c r="X54" s="411">
        <v>124</v>
      </c>
      <c r="Y54" s="430"/>
      <c r="Z54" s="401">
        <v>54</v>
      </c>
      <c r="AA54" s="403">
        <v>60</v>
      </c>
      <c r="AB54" s="403">
        <v>90</v>
      </c>
      <c r="AC54" s="119">
        <v>54</v>
      </c>
    </row>
    <row r="55" spans="1:29" ht="11.25" customHeight="1" x14ac:dyDescent="0.25">
      <c r="B55"/>
      <c r="C55"/>
      <c r="D55"/>
      <c r="E55" s="428"/>
      <c r="F55"/>
      <c r="G55"/>
      <c r="H55"/>
      <c r="I55"/>
      <c r="M55" s="395">
        <v>56</v>
      </c>
      <c r="N55" s="396">
        <v>112</v>
      </c>
      <c r="O55" s="413">
        <v>2468</v>
      </c>
      <c r="P55" s="413">
        <v>1274</v>
      </c>
      <c r="Q55" s="398">
        <v>640</v>
      </c>
      <c r="R55" s="399">
        <v>808</v>
      </c>
      <c r="S55" s="406">
        <v>620</v>
      </c>
      <c r="T55" s="406">
        <v>740</v>
      </c>
      <c r="U55" s="406">
        <v>1282</v>
      </c>
      <c r="V55" s="419">
        <v>308</v>
      </c>
      <c r="W55" s="410">
        <v>432</v>
      </c>
      <c r="X55" s="411">
        <v>130</v>
      </c>
      <c r="Y55" s="430"/>
      <c r="Z55" s="401">
        <v>56</v>
      </c>
      <c r="AA55" s="403">
        <v>60</v>
      </c>
      <c r="AB55" s="403">
        <v>90</v>
      </c>
      <c r="AC55" s="119">
        <v>56</v>
      </c>
    </row>
    <row r="56" spans="1:29" ht="11.25" customHeight="1" x14ac:dyDescent="0.25">
      <c r="B56"/>
      <c r="C56"/>
      <c r="D56"/>
      <c r="E56" s="428"/>
      <c r="F56"/>
      <c r="G56"/>
      <c r="H56"/>
      <c r="I56"/>
      <c r="M56" s="395">
        <v>58</v>
      </c>
      <c r="N56" s="396">
        <v>116</v>
      </c>
      <c r="O56" s="413">
        <v>2612</v>
      </c>
      <c r="P56" s="413">
        <v>1346</v>
      </c>
      <c r="Q56" s="398">
        <v>660</v>
      </c>
      <c r="R56" s="399">
        <v>836</v>
      </c>
      <c r="S56" s="406">
        <v>652</v>
      </c>
      <c r="T56" s="406">
        <v>1420</v>
      </c>
      <c r="U56" s="406">
        <v>1326</v>
      </c>
      <c r="V56" s="419">
        <v>312</v>
      </c>
      <c r="W56" s="410">
        <v>454</v>
      </c>
      <c r="X56" s="411">
        <v>134</v>
      </c>
      <c r="Y56" s="430"/>
      <c r="Z56" s="401">
        <v>58</v>
      </c>
      <c r="AA56" s="403">
        <v>60</v>
      </c>
      <c r="AB56" s="403">
        <v>90</v>
      </c>
      <c r="AC56" s="119">
        <v>58</v>
      </c>
    </row>
    <row r="57" spans="1:29" ht="11.25" customHeight="1" thickBot="1" x14ac:dyDescent="0.3">
      <c r="B57"/>
      <c r="C57"/>
      <c r="D57"/>
      <c r="E57" s="428"/>
      <c r="F57"/>
      <c r="G57"/>
      <c r="H57"/>
      <c r="I57"/>
      <c r="M57" s="395">
        <v>60</v>
      </c>
      <c r="N57" s="396">
        <v>120</v>
      </c>
      <c r="O57" s="413">
        <v>2758</v>
      </c>
      <c r="P57" s="413">
        <v>1420</v>
      </c>
      <c r="Q57" s="431">
        <v>682</v>
      </c>
      <c r="R57" s="399">
        <v>862</v>
      </c>
      <c r="S57" s="406">
        <v>686</v>
      </c>
      <c r="T57" s="406">
        <v>1502</v>
      </c>
      <c r="U57" s="406">
        <v>1370</v>
      </c>
      <c r="V57" s="419">
        <v>352</v>
      </c>
      <c r="W57" s="410">
        <v>476</v>
      </c>
      <c r="X57" s="411">
        <v>138</v>
      </c>
      <c r="Y57" s="430"/>
      <c r="Z57" s="401">
        <v>60</v>
      </c>
      <c r="AA57" s="403">
        <v>60</v>
      </c>
      <c r="AB57" s="403">
        <v>90</v>
      </c>
      <c r="AC57" s="119">
        <v>60</v>
      </c>
    </row>
    <row r="58" spans="1:29" ht="11.25" customHeight="1" x14ac:dyDescent="0.25">
      <c r="B58"/>
      <c r="C58"/>
      <c r="D58"/>
      <c r="E58" s="428"/>
      <c r="F58"/>
      <c r="G58"/>
      <c r="H58"/>
      <c r="I58"/>
      <c r="M58" s="395">
        <v>62</v>
      </c>
      <c r="N58" s="396">
        <v>124</v>
      </c>
      <c r="O58" s="430"/>
      <c r="P58" s="430"/>
      <c r="Q58" s="430"/>
      <c r="R58" s="430"/>
      <c r="S58" s="430"/>
      <c r="T58" s="430"/>
      <c r="U58" s="430"/>
      <c r="V58" s="419">
        <v>358</v>
      </c>
      <c r="W58" s="430"/>
      <c r="X58" s="430"/>
      <c r="Y58" s="430"/>
      <c r="Z58" s="401">
        <v>62</v>
      </c>
      <c r="AA58" s="432"/>
      <c r="AB58" s="432"/>
      <c r="AC58" s="119">
        <v>62</v>
      </c>
    </row>
    <row r="59" spans="1:29" ht="11.25" customHeight="1" x14ac:dyDescent="0.25">
      <c r="B59"/>
      <c r="C59"/>
      <c r="D59"/>
      <c r="E59" s="428"/>
      <c r="F59"/>
      <c r="G59"/>
      <c r="H59"/>
      <c r="I59"/>
      <c r="M59" s="395">
        <v>64</v>
      </c>
      <c r="N59" s="396">
        <v>128</v>
      </c>
      <c r="O59" s="430"/>
      <c r="P59" s="430"/>
      <c r="Q59" s="430"/>
      <c r="R59" s="430"/>
      <c r="S59" s="430"/>
      <c r="T59" s="430"/>
      <c r="U59" s="430"/>
      <c r="V59" s="419">
        <v>362</v>
      </c>
      <c r="W59" s="430"/>
      <c r="X59" s="430"/>
      <c r="Y59" s="430"/>
      <c r="Z59" s="401">
        <v>64</v>
      </c>
      <c r="AA59" s="432"/>
      <c r="AB59" s="432"/>
      <c r="AC59" s="119">
        <v>64</v>
      </c>
    </row>
    <row r="60" spans="1:29" ht="11.25" customHeight="1" x14ac:dyDescent="0.25">
      <c r="B60"/>
      <c r="C60"/>
      <c r="D60"/>
      <c r="E60" s="428"/>
      <c r="F60"/>
      <c r="G60"/>
      <c r="H60"/>
      <c r="I60"/>
      <c r="M60" s="395">
        <v>66</v>
      </c>
      <c r="N60" s="396">
        <v>132</v>
      </c>
      <c r="O60" s="430"/>
      <c r="P60" s="430"/>
      <c r="Q60" s="430"/>
      <c r="R60" s="430"/>
      <c r="S60" s="430"/>
      <c r="T60" s="430"/>
      <c r="U60" s="430"/>
      <c r="V60" s="419">
        <v>368</v>
      </c>
      <c r="W60" s="430"/>
      <c r="X60" s="430"/>
      <c r="Y60" s="430"/>
      <c r="Z60" s="401">
        <v>66</v>
      </c>
      <c r="AA60" s="432"/>
      <c r="AB60" s="432"/>
      <c r="AC60" s="119">
        <v>66</v>
      </c>
    </row>
    <row r="61" spans="1:29" ht="11.25" customHeight="1" x14ac:dyDescent="0.25">
      <c r="B61"/>
      <c r="C61"/>
      <c r="D61"/>
      <c r="E61" s="428"/>
      <c r="F61"/>
      <c r="G61"/>
      <c r="H61"/>
      <c r="I61"/>
      <c r="M61" s="395">
        <v>68</v>
      </c>
      <c r="N61" s="430"/>
      <c r="O61" s="430"/>
      <c r="P61" s="430"/>
      <c r="Q61" s="430"/>
      <c r="R61" s="430"/>
      <c r="S61" s="430"/>
      <c r="T61" s="430"/>
      <c r="U61" s="430"/>
      <c r="V61" s="419">
        <v>384</v>
      </c>
      <c r="W61" s="430"/>
      <c r="X61" s="430"/>
      <c r="Y61" s="430"/>
      <c r="Z61" s="401">
        <v>68</v>
      </c>
      <c r="AA61" s="432"/>
      <c r="AB61" s="432"/>
      <c r="AC61" s="119">
        <v>68</v>
      </c>
    </row>
    <row r="62" spans="1:29" ht="11.25" customHeight="1" x14ac:dyDescent="0.25">
      <c r="B62"/>
      <c r="C62"/>
      <c r="D62"/>
      <c r="E62" s="428"/>
      <c r="F62"/>
      <c r="G62"/>
      <c r="H62"/>
      <c r="I62"/>
      <c r="M62" s="395">
        <v>70</v>
      </c>
      <c r="N62" s="430"/>
      <c r="O62" s="430"/>
      <c r="P62" s="430"/>
      <c r="Q62" s="430"/>
      <c r="R62" s="430"/>
      <c r="S62" s="430"/>
      <c r="T62" s="430"/>
      <c r="U62" s="430"/>
      <c r="V62" s="419">
        <v>390</v>
      </c>
      <c r="W62" s="430"/>
      <c r="X62" s="430"/>
      <c r="Y62" s="430"/>
      <c r="Z62" s="401">
        <v>70</v>
      </c>
      <c r="AA62" s="432"/>
      <c r="AB62" s="432"/>
      <c r="AC62" s="119">
        <v>70</v>
      </c>
    </row>
    <row r="63" spans="1:29" ht="11.25" customHeight="1" x14ac:dyDescent="0.25">
      <c r="B63"/>
      <c r="C63"/>
      <c r="D63"/>
      <c r="E63" s="428"/>
      <c r="F63"/>
      <c r="G63"/>
      <c r="H63"/>
      <c r="I63"/>
      <c r="M63" s="395">
        <v>72</v>
      </c>
      <c r="N63" s="430"/>
      <c r="O63" s="430"/>
      <c r="P63" s="430"/>
      <c r="Q63" s="430"/>
      <c r="R63" s="430"/>
      <c r="S63" s="430"/>
      <c r="T63" s="430"/>
      <c r="U63" s="430"/>
      <c r="V63" s="419">
        <v>394</v>
      </c>
      <c r="W63" s="430"/>
      <c r="X63" s="430"/>
      <c r="Y63" s="430"/>
      <c r="Z63" s="401">
        <v>72</v>
      </c>
      <c r="AA63" s="432"/>
      <c r="AB63" s="432"/>
      <c r="AC63" s="119">
        <v>72</v>
      </c>
    </row>
    <row r="64" spans="1:29" ht="11.25" customHeight="1" x14ac:dyDescent="0.25">
      <c r="B64"/>
      <c r="C64"/>
      <c r="D64"/>
      <c r="E64" s="428"/>
      <c r="F64"/>
      <c r="G64"/>
      <c r="H64"/>
      <c r="I64"/>
      <c r="M64" s="395">
        <v>76</v>
      </c>
      <c r="N64" s="430"/>
      <c r="O64" s="430"/>
      <c r="P64" s="430"/>
      <c r="Q64" s="430"/>
      <c r="R64" s="430"/>
      <c r="S64" s="430"/>
      <c r="T64" s="430"/>
      <c r="U64" s="430"/>
      <c r="V64" s="419">
        <v>404</v>
      </c>
      <c r="W64" s="430"/>
      <c r="X64" s="430"/>
      <c r="Y64" s="430"/>
      <c r="Z64" s="401">
        <v>76</v>
      </c>
      <c r="AA64" s="432"/>
      <c r="AB64" s="432"/>
      <c r="AC64" s="119">
        <v>76</v>
      </c>
    </row>
    <row r="65" spans="1:29" ht="13.2" x14ac:dyDescent="0.25">
      <c r="B65"/>
      <c r="C65"/>
      <c r="D65"/>
      <c r="E65" s="428"/>
      <c r="F65"/>
      <c r="G65"/>
      <c r="H65"/>
      <c r="I65"/>
      <c r="M65" s="395">
        <v>80</v>
      </c>
      <c r="N65" s="430"/>
      <c r="O65" s="430"/>
      <c r="P65" s="430"/>
      <c r="Q65" s="430"/>
      <c r="R65" s="430"/>
      <c r="S65" s="430"/>
      <c r="T65" s="430"/>
      <c r="U65" s="430"/>
      <c r="V65" s="419">
        <v>432</v>
      </c>
      <c r="W65" s="430"/>
      <c r="X65" s="430"/>
      <c r="Y65" s="430"/>
      <c r="Z65" s="401">
        <v>80</v>
      </c>
      <c r="AA65" s="432"/>
      <c r="AB65" s="432"/>
      <c r="AC65" s="119">
        <v>80</v>
      </c>
    </row>
    <row r="66" spans="1:29" ht="13.2" x14ac:dyDescent="0.25">
      <c r="A66" s="446" t="s">
        <v>534</v>
      </c>
      <c r="B66" s="446" t="s">
        <v>535</v>
      </c>
      <c r="C66" s="446" t="s">
        <v>537</v>
      </c>
      <c r="D66"/>
      <c r="E66" s="428"/>
      <c r="F66"/>
      <c r="G66"/>
      <c r="H66"/>
      <c r="I66"/>
      <c r="M66" s="395">
        <v>84</v>
      </c>
      <c r="N66" s="430"/>
      <c r="O66" s="430"/>
      <c r="P66" s="430"/>
      <c r="Q66" s="430"/>
      <c r="R66" s="430"/>
      <c r="S66" s="430"/>
      <c r="T66" s="430"/>
      <c r="U66" s="430"/>
      <c r="V66" s="419">
        <v>442</v>
      </c>
      <c r="W66" s="430"/>
      <c r="X66" s="430"/>
      <c r="Y66" s="430"/>
      <c r="Z66" s="401">
        <v>84</v>
      </c>
      <c r="AA66" s="432"/>
      <c r="AB66" s="432"/>
      <c r="AC66" s="119">
        <v>84</v>
      </c>
    </row>
    <row r="67" spans="1:29" ht="13.2" x14ac:dyDescent="0.25">
      <c r="A67" s="2" t="s">
        <v>552</v>
      </c>
      <c r="B67" s="447">
        <v>0.4</v>
      </c>
      <c r="C67" s="2" t="s">
        <v>554</v>
      </c>
      <c r="D67"/>
      <c r="E67" s="428"/>
      <c r="F67"/>
      <c r="G67"/>
      <c r="H67"/>
      <c r="I67"/>
      <c r="M67" s="395"/>
      <c r="N67" s="430"/>
      <c r="O67" s="430"/>
      <c r="P67" s="430"/>
      <c r="Q67" s="430"/>
      <c r="R67" s="430"/>
      <c r="S67" s="430"/>
      <c r="T67" s="430"/>
      <c r="U67" s="430"/>
      <c r="V67" s="419"/>
      <c r="W67" s="430"/>
      <c r="X67" s="430"/>
      <c r="Y67" s="430"/>
      <c r="Z67" s="401"/>
      <c r="AA67" s="432"/>
      <c r="AB67" s="432"/>
      <c r="AC67" s="119"/>
    </row>
    <row r="68" spans="1:29" ht="13.2" x14ac:dyDescent="0.25">
      <c r="A68" s="2" t="s">
        <v>553</v>
      </c>
      <c r="B68" s="447">
        <v>0.5</v>
      </c>
      <c r="C68" s="2" t="s">
        <v>554</v>
      </c>
      <c r="D68"/>
      <c r="E68" s="428"/>
      <c r="F68"/>
      <c r="G68"/>
      <c r="H68"/>
      <c r="I68"/>
      <c r="M68" s="395"/>
      <c r="N68" s="430"/>
      <c r="O68" s="430"/>
      <c r="P68" s="430"/>
      <c r="Q68" s="430"/>
      <c r="R68" s="430"/>
      <c r="S68" s="430"/>
      <c r="T68" s="430"/>
      <c r="U68" s="430"/>
      <c r="V68" s="419"/>
      <c r="W68" s="430"/>
      <c r="X68" s="430"/>
      <c r="Y68" s="430"/>
      <c r="Z68" s="401"/>
      <c r="AA68" s="432"/>
      <c r="AB68" s="432"/>
      <c r="AC68" s="119"/>
    </row>
    <row r="69" spans="1:29" ht="13.2" x14ac:dyDescent="0.25">
      <c r="A69" s="2" t="s">
        <v>555</v>
      </c>
      <c r="B69" s="447">
        <v>2.2999999999999998</v>
      </c>
      <c r="C69" s="2" t="s">
        <v>554</v>
      </c>
      <c r="D69"/>
      <c r="E69" s="428"/>
      <c r="F69"/>
      <c r="G69"/>
      <c r="H69"/>
      <c r="I69"/>
      <c r="M69" s="395"/>
      <c r="N69" s="430"/>
      <c r="O69" s="430"/>
      <c r="P69" s="430"/>
      <c r="Q69" s="430"/>
      <c r="R69" s="430"/>
      <c r="S69" s="430"/>
      <c r="T69" s="430"/>
      <c r="U69" s="430"/>
      <c r="V69" s="419"/>
      <c r="W69" s="430"/>
      <c r="X69" s="430"/>
      <c r="Y69" s="430"/>
      <c r="Z69" s="401"/>
      <c r="AA69" s="432"/>
      <c r="AB69" s="432"/>
      <c r="AC69" s="119"/>
    </row>
    <row r="70" spans="1:29" ht="13.2" x14ac:dyDescent="0.25">
      <c r="A70" s="2" t="s">
        <v>536</v>
      </c>
      <c r="B70" s="447">
        <v>0.35</v>
      </c>
      <c r="C70" s="2" t="s">
        <v>538</v>
      </c>
      <c r="M70" s="395">
        <v>88</v>
      </c>
      <c r="N70" s="430"/>
      <c r="O70" s="430"/>
      <c r="P70" s="430"/>
      <c r="Q70" s="430"/>
      <c r="R70" s="430"/>
      <c r="S70" s="430"/>
      <c r="T70" s="430"/>
      <c r="U70" s="430"/>
      <c r="V70" s="419">
        <v>482</v>
      </c>
      <c r="W70" s="430"/>
      <c r="X70" s="430"/>
      <c r="Y70" s="430"/>
      <c r="Z70" s="401">
        <v>88</v>
      </c>
      <c r="AA70" s="432"/>
      <c r="AB70" s="432"/>
      <c r="AC70" s="119">
        <v>88</v>
      </c>
    </row>
    <row r="71" spans="1:29" ht="13.2" x14ac:dyDescent="0.25">
      <c r="A71" s="2" t="s">
        <v>539</v>
      </c>
      <c r="B71" s="447">
        <v>0.93</v>
      </c>
      <c r="C71" s="2" t="s">
        <v>538</v>
      </c>
      <c r="M71" s="395">
        <v>92</v>
      </c>
      <c r="N71" s="430"/>
      <c r="O71" s="430"/>
      <c r="P71" s="430"/>
      <c r="Q71" s="430"/>
      <c r="R71" s="430"/>
      <c r="S71" s="430"/>
      <c r="T71" s="430"/>
      <c r="U71" s="430"/>
      <c r="V71" s="419">
        <v>504</v>
      </c>
      <c r="W71" s="430"/>
      <c r="X71" s="430"/>
      <c r="Y71" s="430"/>
      <c r="Z71" s="401">
        <v>92</v>
      </c>
      <c r="AA71" s="432"/>
      <c r="AB71" s="432"/>
      <c r="AC71" s="119">
        <v>92</v>
      </c>
    </row>
    <row r="72" spans="1:29" ht="13.2" x14ac:dyDescent="0.25">
      <c r="A72" s="2" t="s">
        <v>540</v>
      </c>
      <c r="B72" s="447">
        <v>1.05</v>
      </c>
      <c r="C72" s="2" t="s">
        <v>538</v>
      </c>
      <c r="M72" s="395">
        <v>96</v>
      </c>
      <c r="N72" s="430"/>
      <c r="O72" s="430"/>
      <c r="P72" s="430"/>
      <c r="Q72" s="430"/>
      <c r="R72" s="430"/>
      <c r="S72" s="430"/>
      <c r="T72" s="430"/>
      <c r="U72" s="430"/>
      <c r="V72" s="419">
        <v>516</v>
      </c>
      <c r="W72" s="430"/>
      <c r="X72" s="430"/>
      <c r="Y72" s="430"/>
      <c r="Z72" s="401">
        <v>96</v>
      </c>
      <c r="AA72" s="432"/>
      <c r="AB72" s="432"/>
      <c r="AC72" s="119">
        <v>96</v>
      </c>
    </row>
    <row r="73" spans="1:29" ht="13.2" x14ac:dyDescent="0.25">
      <c r="A73" s="2" t="s">
        <v>541</v>
      </c>
      <c r="B73" s="447">
        <v>1.22</v>
      </c>
      <c r="C73" s="2" t="s">
        <v>538</v>
      </c>
      <c r="M73" s="395">
        <v>100</v>
      </c>
      <c r="N73" s="430"/>
      <c r="O73" s="430"/>
      <c r="P73" s="430"/>
      <c r="Q73" s="430"/>
      <c r="R73" s="430"/>
      <c r="S73" s="430"/>
      <c r="T73" s="430"/>
      <c r="U73" s="430"/>
      <c r="V73" s="419">
        <v>528</v>
      </c>
      <c r="W73" s="430"/>
      <c r="X73" s="430"/>
      <c r="Y73" s="430"/>
      <c r="Z73" s="401">
        <v>100</v>
      </c>
      <c r="AA73" s="432"/>
      <c r="AB73" s="432"/>
      <c r="AC73" s="119">
        <v>100</v>
      </c>
    </row>
    <row r="74" spans="1:29" ht="13.2" x14ac:dyDescent="0.25">
      <c r="A74" s="2" t="s">
        <v>542</v>
      </c>
      <c r="B74" s="447">
        <v>1.1200000000000001</v>
      </c>
      <c r="C74" s="2" t="s">
        <v>538</v>
      </c>
      <c r="M74" s="395">
        <v>104</v>
      </c>
      <c r="N74" s="430"/>
      <c r="O74" s="430"/>
      <c r="P74" s="430"/>
      <c r="Q74" s="430"/>
      <c r="R74" s="430"/>
      <c r="S74" s="430"/>
      <c r="T74" s="430"/>
      <c r="U74" s="430"/>
      <c r="V74" s="419">
        <v>538</v>
      </c>
      <c r="W74" s="430"/>
      <c r="X74" s="430"/>
      <c r="Y74" s="430"/>
      <c r="Z74" s="401">
        <v>104</v>
      </c>
      <c r="AA74" s="432"/>
      <c r="AB74" s="432"/>
      <c r="AC74" s="119">
        <v>104</v>
      </c>
    </row>
    <row r="75" spans="1:29" ht="13.2" x14ac:dyDescent="0.25">
      <c r="A75" s="2" t="s">
        <v>543</v>
      </c>
      <c r="B75" s="447">
        <v>1.33</v>
      </c>
      <c r="C75" s="2" t="s">
        <v>538</v>
      </c>
      <c r="M75" s="395">
        <v>108</v>
      </c>
      <c r="N75" s="430"/>
      <c r="O75" s="430"/>
      <c r="P75" s="430"/>
      <c r="Q75" s="430"/>
      <c r="R75" s="430"/>
      <c r="S75" s="430"/>
      <c r="T75" s="430"/>
      <c r="U75" s="430"/>
      <c r="V75" s="419">
        <v>550</v>
      </c>
      <c r="W75" s="430"/>
      <c r="X75" s="430"/>
      <c r="Y75" s="430"/>
      <c r="Z75" s="401">
        <v>108</v>
      </c>
      <c r="AA75" s="432"/>
      <c r="AB75" s="432"/>
      <c r="AC75" s="119">
        <v>108</v>
      </c>
    </row>
    <row r="76" spans="1:29" ht="13.2" x14ac:dyDescent="0.25">
      <c r="A76" s="2" t="s">
        <v>544</v>
      </c>
      <c r="B76" s="447">
        <v>1.6</v>
      </c>
      <c r="C76" s="2" t="s">
        <v>538</v>
      </c>
      <c r="M76" s="395">
        <v>112</v>
      </c>
      <c r="N76" s="430"/>
      <c r="O76" s="430"/>
      <c r="P76" s="430"/>
      <c r="Q76" s="430"/>
      <c r="R76" s="430"/>
      <c r="S76" s="430"/>
      <c r="T76" s="430"/>
      <c r="U76" s="430"/>
      <c r="V76" s="419">
        <v>562</v>
      </c>
      <c r="W76" s="430"/>
      <c r="X76" s="430"/>
      <c r="Y76" s="430"/>
      <c r="Z76" s="401">
        <v>112</v>
      </c>
      <c r="AA76" s="432"/>
      <c r="AB76" s="432"/>
      <c r="AC76" s="119">
        <v>112</v>
      </c>
    </row>
    <row r="77" spans="1:29" ht="13.2" x14ac:dyDescent="0.25">
      <c r="A77" s="2" t="s">
        <v>548</v>
      </c>
      <c r="B77" s="447">
        <v>0.93</v>
      </c>
      <c r="C77" s="2" t="s">
        <v>538</v>
      </c>
      <c r="M77" s="395">
        <v>116</v>
      </c>
      <c r="N77" s="430"/>
      <c r="O77" s="430"/>
      <c r="P77" s="430"/>
      <c r="Q77" s="430"/>
      <c r="R77" s="430"/>
      <c r="S77" s="430"/>
      <c r="T77" s="430"/>
      <c r="U77" s="430"/>
      <c r="V77" s="419">
        <v>574</v>
      </c>
      <c r="W77" s="430"/>
      <c r="X77" s="430"/>
      <c r="Y77" s="430"/>
      <c r="Z77" s="401">
        <v>116</v>
      </c>
      <c r="AA77" s="432"/>
      <c r="AB77" s="432"/>
      <c r="AC77" s="119">
        <v>116</v>
      </c>
    </row>
    <row r="78" spans="1:29" ht="13.2" x14ac:dyDescent="0.25">
      <c r="A78" s="2" t="s">
        <v>549</v>
      </c>
      <c r="B78" s="447">
        <v>1.1000000000000001</v>
      </c>
      <c r="C78" s="2" t="s">
        <v>538</v>
      </c>
      <c r="M78" s="395">
        <v>120</v>
      </c>
      <c r="N78" s="430"/>
      <c r="O78" s="430"/>
      <c r="P78" s="430"/>
      <c r="Q78" s="430"/>
      <c r="R78" s="430"/>
      <c r="S78" s="430"/>
      <c r="T78" s="430"/>
      <c r="U78" s="430"/>
      <c r="V78" s="419">
        <v>584</v>
      </c>
      <c r="W78" s="430"/>
      <c r="X78" s="430"/>
      <c r="Y78" s="430"/>
      <c r="Z78" s="401">
        <v>120</v>
      </c>
      <c r="AA78" s="432"/>
      <c r="AB78" s="432"/>
      <c r="AC78" s="119">
        <v>120</v>
      </c>
    </row>
    <row r="79" spans="1:29" ht="13.2" x14ac:dyDescent="0.25">
      <c r="A79" s="2" t="s">
        <v>550</v>
      </c>
      <c r="B79" s="447">
        <v>1.3</v>
      </c>
      <c r="C79" s="2" t="s">
        <v>538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2">
      <c r="A80" s="2" t="s">
        <v>545</v>
      </c>
      <c r="B80" s="447">
        <v>0.9</v>
      </c>
      <c r="C80" s="2" t="s">
        <v>547</v>
      </c>
    </row>
    <row r="81" spans="1:29" x14ac:dyDescent="0.2">
      <c r="A81" s="2" t="s">
        <v>546</v>
      </c>
      <c r="B81" s="447">
        <f>0.9*1.75</f>
        <v>1.575</v>
      </c>
      <c r="C81" s="2" t="s">
        <v>547</v>
      </c>
    </row>
    <row r="82" spans="1:29" x14ac:dyDescent="0.2">
      <c r="A82" s="2" t="s">
        <v>633</v>
      </c>
      <c r="B82" s="447">
        <v>1.4</v>
      </c>
      <c r="C82" s="2" t="s">
        <v>538</v>
      </c>
      <c r="M82" s="433"/>
    </row>
    <row r="83" spans="1:29" ht="13.2" x14ac:dyDescent="0.25">
      <c r="A83" s="2" t="s">
        <v>634</v>
      </c>
      <c r="B83" s="447">
        <v>1.7</v>
      </c>
      <c r="C83" s="2" t="s">
        <v>538</v>
      </c>
      <c r="M83" s="122"/>
      <c r="N83" s="956"/>
      <c r="O83" s="956"/>
      <c r="P83" s="434"/>
      <c r="Q83" s="358"/>
      <c r="R83" s="122"/>
      <c r="S83" s="122"/>
      <c r="T83" s="122"/>
      <c r="U83" s="122"/>
      <c r="V83" s="122"/>
      <c r="W83" s="122"/>
      <c r="X83" s="122"/>
      <c r="Y83" s="358"/>
      <c r="Z83" s="358"/>
      <c r="AA83" s="122"/>
      <c r="AB83" s="136"/>
      <c r="AC83" s="122"/>
    </row>
    <row r="84" spans="1:29" ht="13.2" x14ac:dyDescent="0.25">
      <c r="A84" s="2" t="s">
        <v>635</v>
      </c>
      <c r="B84" s="447">
        <v>2</v>
      </c>
      <c r="C84" s="2" t="s">
        <v>538</v>
      </c>
      <c r="M84" s="122"/>
      <c r="N84" s="122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122"/>
    </row>
    <row r="85" spans="1:29" ht="13.2" x14ac:dyDescent="0.25">
      <c r="B85" s="447"/>
      <c r="M85" s="122"/>
      <c r="N85" s="122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122"/>
    </row>
    <row r="86" spans="1:29" ht="13.2" x14ac:dyDescent="0.25">
      <c r="B86" s="447"/>
      <c r="M86" s="434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435"/>
      <c r="AB86" s="435"/>
      <c r="AC86" s="368"/>
    </row>
    <row r="87" spans="1:29" ht="13.2" x14ac:dyDescent="0.25">
      <c r="B87" s="447"/>
      <c r="M87" s="434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435"/>
      <c r="AB87" s="435"/>
      <c r="AC87" s="368"/>
    </row>
    <row r="88" spans="1:29" ht="13.2" x14ac:dyDescent="0.25">
      <c r="M88" s="434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435"/>
      <c r="AB88" s="435"/>
      <c r="AC88" s="368"/>
    </row>
    <row r="89" spans="1:29" ht="13.2" x14ac:dyDescent="0.25">
      <c r="M89" s="434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435"/>
      <c r="AB89" s="435"/>
      <c r="AC89" s="368"/>
    </row>
    <row r="90" spans="1:29" ht="13.2" x14ac:dyDescent="0.25">
      <c r="M90" s="434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435"/>
      <c r="AB90" s="435"/>
      <c r="AC90" s="368"/>
    </row>
    <row r="91" spans="1:29" ht="13.2" x14ac:dyDescent="0.25">
      <c r="M91" s="434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435"/>
      <c r="AB91" s="435"/>
      <c r="AC91" s="368"/>
    </row>
    <row r="92" spans="1:29" ht="13.2" x14ac:dyDescent="0.25">
      <c r="M92" s="434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435"/>
      <c r="AB92" s="435"/>
      <c r="AC92" s="368"/>
    </row>
    <row r="93" spans="1:29" ht="13.2" x14ac:dyDescent="0.25">
      <c r="M93" s="434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435"/>
      <c r="AB93" s="435"/>
      <c r="AC93" s="368"/>
    </row>
    <row r="94" spans="1:29" ht="13.2" x14ac:dyDescent="0.25">
      <c r="M94" s="434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435"/>
      <c r="AB94" s="435"/>
      <c r="AC94" s="368"/>
    </row>
    <row r="95" spans="1:29" ht="13.2" x14ac:dyDescent="0.25">
      <c r="M95" s="434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435"/>
      <c r="AB95" s="435"/>
      <c r="AC95" s="368"/>
    </row>
    <row r="96" spans="1:29" ht="13.2" x14ac:dyDescent="0.25">
      <c r="M96" s="434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435"/>
      <c r="AB96" s="435"/>
      <c r="AC96" s="368"/>
    </row>
    <row r="97" spans="13:29" ht="13.2" x14ac:dyDescent="0.25">
      <c r="M97" s="434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435"/>
      <c r="AB97" s="435"/>
      <c r="AC97" s="368"/>
    </row>
    <row r="98" spans="13:29" ht="13.2" x14ac:dyDescent="0.25">
      <c r="M98" s="434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435"/>
      <c r="AB98" s="435"/>
      <c r="AC98" s="368"/>
    </row>
    <row r="99" spans="13:29" ht="13.2" x14ac:dyDescent="0.25">
      <c r="M99" s="434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435"/>
      <c r="AB99" s="435"/>
      <c r="AC99" s="368"/>
    </row>
    <row r="100" spans="13:29" ht="13.2" x14ac:dyDescent="0.25">
      <c r="M100" s="434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435"/>
      <c r="AB100" s="435"/>
      <c r="AC100" s="368"/>
    </row>
    <row r="101" spans="13:29" ht="13.2" x14ac:dyDescent="0.25">
      <c r="M101" s="434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435"/>
      <c r="AB101" s="435"/>
      <c r="AC101" s="368"/>
    </row>
    <row r="102" spans="13:29" ht="13.2" x14ac:dyDescent="0.25">
      <c r="M102" s="434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435"/>
      <c r="AB102" s="435"/>
      <c r="AC102" s="368"/>
    </row>
    <row r="103" spans="13:29" ht="13.2" x14ac:dyDescent="0.25">
      <c r="M103" s="434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435"/>
      <c r="AB103" s="435"/>
      <c r="AC103" s="368"/>
    </row>
    <row r="104" spans="13:29" ht="13.2" x14ac:dyDescent="0.25">
      <c r="M104" s="434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435"/>
      <c r="AB104" s="435"/>
      <c r="AC104" s="368"/>
    </row>
    <row r="105" spans="13:29" ht="13.2" x14ac:dyDescent="0.25">
      <c r="M105" s="434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435"/>
      <c r="AB105" s="435"/>
      <c r="AC105" s="368"/>
    </row>
    <row r="106" spans="13:29" ht="13.2" x14ac:dyDescent="0.25">
      <c r="M106" s="434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435"/>
      <c r="AB106" s="435"/>
      <c r="AC106" s="368"/>
    </row>
    <row r="107" spans="13:29" ht="13.2" x14ac:dyDescent="0.25">
      <c r="M107" s="434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435"/>
      <c r="AB107" s="435"/>
      <c r="AC107" s="368"/>
    </row>
    <row r="108" spans="13:29" ht="13.2" x14ac:dyDescent="0.25">
      <c r="M108" s="434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435"/>
      <c r="AB108" s="435"/>
      <c r="AC108" s="368"/>
    </row>
    <row r="109" spans="13:29" ht="13.2" x14ac:dyDescent="0.25">
      <c r="M109" s="434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435"/>
      <c r="AB109" s="435"/>
      <c r="AC109" s="368"/>
    </row>
    <row r="110" spans="13:29" ht="13.2" x14ac:dyDescent="0.25">
      <c r="M110" s="434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435"/>
      <c r="AB110" s="435"/>
      <c r="AC110" s="368"/>
    </row>
    <row r="111" spans="13:29" ht="13.2" x14ac:dyDescent="0.25">
      <c r="M111" s="434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435"/>
      <c r="AB111" s="435"/>
      <c r="AC111" s="368"/>
    </row>
    <row r="112" spans="13:29" ht="13.2" x14ac:dyDescent="0.25">
      <c r="M112" s="434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435"/>
      <c r="AB112" s="435"/>
      <c r="AC112" s="368"/>
    </row>
    <row r="113" spans="13:29" ht="13.2" x14ac:dyDescent="0.25">
      <c r="M113" s="434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435"/>
      <c r="AB113" s="435"/>
      <c r="AC113" s="368"/>
    </row>
    <row r="114" spans="13:29" ht="13.2" x14ac:dyDescent="0.25">
      <c r="M114" s="434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435"/>
      <c r="AB114" s="435"/>
      <c r="AC114" s="368"/>
    </row>
    <row r="115" spans="13:29" ht="13.2" x14ac:dyDescent="0.25">
      <c r="M115" s="434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435"/>
      <c r="AB115" s="435"/>
      <c r="AC115" s="368"/>
    </row>
    <row r="116" spans="13:29" ht="13.2" x14ac:dyDescent="0.25">
      <c r="M116" s="434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435"/>
      <c r="AB116" s="435"/>
      <c r="AC116" s="368"/>
    </row>
    <row r="117" spans="13:29" ht="13.2" x14ac:dyDescent="0.25">
      <c r="M117" s="434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435"/>
      <c r="AB117" s="435"/>
      <c r="AC117" s="368"/>
    </row>
    <row r="118" spans="13:29" ht="13.2" x14ac:dyDescent="0.25">
      <c r="M118" s="434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435"/>
      <c r="AB118" s="435"/>
      <c r="AC118" s="368"/>
    </row>
    <row r="119" spans="13:29" ht="13.2" x14ac:dyDescent="0.25">
      <c r="M119" s="434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435"/>
      <c r="AB119" s="435"/>
      <c r="AC119" s="368"/>
    </row>
    <row r="120" spans="13:29" ht="13.2" x14ac:dyDescent="0.25">
      <c r="M120" s="434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435"/>
      <c r="AB120" s="435"/>
      <c r="AC120" s="368"/>
    </row>
    <row r="121" spans="13:29" ht="13.2" x14ac:dyDescent="0.25">
      <c r="M121" s="434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435"/>
      <c r="AB121" s="435"/>
      <c r="AC121" s="368"/>
    </row>
    <row r="122" spans="13:29" ht="13.2" x14ac:dyDescent="0.25">
      <c r="M122" s="434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435"/>
      <c r="AB122" s="435"/>
      <c r="AC122" s="368"/>
    </row>
    <row r="123" spans="13:29" ht="13.2" x14ac:dyDescent="0.25">
      <c r="M123" s="434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435"/>
      <c r="AB123" s="435"/>
      <c r="AC123" s="368"/>
    </row>
    <row r="124" spans="13:29" ht="13.2" x14ac:dyDescent="0.25">
      <c r="M124" s="434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435"/>
      <c r="AB124" s="435"/>
      <c r="AC124" s="368"/>
    </row>
    <row r="125" spans="13:29" ht="13.2" x14ac:dyDescent="0.25">
      <c r="M125" s="434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435"/>
      <c r="AB125" s="435"/>
      <c r="AC125" s="368"/>
    </row>
    <row r="126" spans="13:29" ht="13.2" x14ac:dyDescent="0.25">
      <c r="M126" s="434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435"/>
      <c r="AB126" s="435"/>
      <c r="AC126" s="368"/>
    </row>
    <row r="127" spans="13:29" ht="13.2" x14ac:dyDescent="0.25">
      <c r="M127" s="434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435"/>
      <c r="AB127" s="435"/>
      <c r="AC127" s="368"/>
    </row>
    <row r="128" spans="13:29" ht="13.2" x14ac:dyDescent="0.25">
      <c r="M128" s="434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435"/>
      <c r="AB128" s="435"/>
      <c r="AC128" s="368"/>
    </row>
    <row r="129" spans="13:29" ht="13.2" x14ac:dyDescent="0.25">
      <c r="M129" s="434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435"/>
      <c r="AB129" s="435"/>
      <c r="AC129" s="368"/>
    </row>
    <row r="130" spans="13:29" ht="13.2" x14ac:dyDescent="0.25">
      <c r="M130" s="434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435"/>
      <c r="AB130" s="435"/>
      <c r="AC130" s="368"/>
    </row>
    <row r="131" spans="13:29" ht="13.2" x14ac:dyDescent="0.25">
      <c r="M131" s="434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435"/>
      <c r="AB131" s="435"/>
      <c r="AC131" s="368"/>
    </row>
    <row r="132" spans="13:29" ht="13.2" x14ac:dyDescent="0.25">
      <c r="M132" s="434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435"/>
      <c r="AB132" s="435"/>
      <c r="AC132" s="368"/>
    </row>
    <row r="133" spans="13:29" ht="13.2" x14ac:dyDescent="0.25">
      <c r="M133" s="434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435"/>
      <c r="AB133" s="435"/>
      <c r="AC133" s="368"/>
    </row>
    <row r="134" spans="13:29" ht="13.2" x14ac:dyDescent="0.25">
      <c r="M134" s="434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435"/>
      <c r="AB134" s="435"/>
      <c r="AC134" s="368"/>
    </row>
    <row r="135" spans="13:29" ht="13.2" x14ac:dyDescent="0.25">
      <c r="M135" s="434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435"/>
      <c r="AB135" s="435"/>
      <c r="AC135" s="368"/>
    </row>
    <row r="136" spans="13:29" ht="13.2" x14ac:dyDescent="0.25">
      <c r="M136" s="434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435"/>
      <c r="AB136" s="435"/>
      <c r="AC136" s="368"/>
    </row>
    <row r="137" spans="13:29" ht="13.2" x14ac:dyDescent="0.25">
      <c r="M137" s="434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435"/>
      <c r="AB137" s="435"/>
      <c r="AC137" s="368"/>
    </row>
    <row r="138" spans="13:29" ht="13.2" x14ac:dyDescent="0.25">
      <c r="M138" s="434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435"/>
      <c r="AB138" s="435"/>
      <c r="AC138" s="368"/>
    </row>
  </sheetData>
  <sheetProtection sheet="1" objects="1" scenarios="1"/>
  <mergeCells count="66">
    <mergeCell ref="B1:G1"/>
    <mergeCell ref="F37:G37"/>
    <mergeCell ref="B14:B15"/>
    <mergeCell ref="C14:C15"/>
    <mergeCell ref="D14:E14"/>
    <mergeCell ref="F29:G33"/>
    <mergeCell ref="F22:H22"/>
    <mergeCell ref="C33:D33"/>
    <mergeCell ref="C29:D29"/>
    <mergeCell ref="A6:I6"/>
    <mergeCell ref="C27:D27"/>
    <mergeCell ref="F24:G27"/>
    <mergeCell ref="F28:H28"/>
    <mergeCell ref="C30:D30"/>
    <mergeCell ref="A11:I11"/>
    <mergeCell ref="A12:B13"/>
    <mergeCell ref="A14:A23"/>
    <mergeCell ref="C12:D12"/>
    <mergeCell ref="C13:D13"/>
    <mergeCell ref="F23:H23"/>
    <mergeCell ref="F12:G13"/>
    <mergeCell ref="F17:H17"/>
    <mergeCell ref="F18:G19"/>
    <mergeCell ref="F20:G21"/>
    <mergeCell ref="F14:G15"/>
    <mergeCell ref="F16:H16"/>
    <mergeCell ref="A39:B45"/>
    <mergeCell ref="C45:D45"/>
    <mergeCell ref="A32:A38"/>
    <mergeCell ref="B32:B33"/>
    <mergeCell ref="F45:G45"/>
    <mergeCell ref="F39:G39"/>
    <mergeCell ref="F40:G40"/>
    <mergeCell ref="F41:G41"/>
    <mergeCell ref="F43:G43"/>
    <mergeCell ref="F42:G42"/>
    <mergeCell ref="B34:B38"/>
    <mergeCell ref="C37:D37"/>
    <mergeCell ref="C43:D43"/>
    <mergeCell ref="C44:D44"/>
    <mergeCell ref="C42:D42"/>
    <mergeCell ref="C32:D32"/>
    <mergeCell ref="C38:D38"/>
    <mergeCell ref="C36:D36"/>
    <mergeCell ref="F36:G36"/>
    <mergeCell ref="C34:D34"/>
    <mergeCell ref="C41:D41"/>
    <mergeCell ref="C35:D35"/>
    <mergeCell ref="C39:D39"/>
    <mergeCell ref="F38:G38"/>
    <mergeCell ref="C24:D24"/>
    <mergeCell ref="A24:B24"/>
    <mergeCell ref="A25:B26"/>
    <mergeCell ref="N83:O83"/>
    <mergeCell ref="S13:V13"/>
    <mergeCell ref="U14:V14"/>
    <mergeCell ref="U15:V15"/>
    <mergeCell ref="N20:O20"/>
    <mergeCell ref="A27:B31"/>
    <mergeCell ref="C28:D28"/>
    <mergeCell ref="C31:D31"/>
    <mergeCell ref="C25:D25"/>
    <mergeCell ref="C26:D26"/>
    <mergeCell ref="F44:G44"/>
    <mergeCell ref="F34:G35"/>
    <mergeCell ref="C40:D40"/>
  </mergeCells>
  <phoneticPr fontId="0" type="noConversion"/>
  <pageMargins left="0.31496062992125984" right="0.19685039370078741" top="0.59055118110236227" bottom="0" header="0" footer="0"/>
  <pageSetup scale="31" orientation="portrait" horizontalDpi="300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J75"/>
  <sheetViews>
    <sheetView topLeftCell="A41" zoomScale="75" workbookViewId="0">
      <selection activeCell="A74" sqref="A74"/>
    </sheetView>
  </sheetViews>
  <sheetFormatPr defaultColWidth="11.44140625" defaultRowHeight="13.2" x14ac:dyDescent="0.25"/>
  <cols>
    <col min="1" max="1" width="16.6640625" style="3" customWidth="1"/>
    <col min="2" max="2" width="11.44140625" style="3"/>
    <col min="3" max="3" width="9.33203125" style="3" customWidth="1"/>
    <col min="4" max="4" width="16.88671875" style="3" customWidth="1"/>
    <col min="5" max="5" width="11.44140625" style="3"/>
    <col min="6" max="6" width="9.33203125" style="3" customWidth="1"/>
    <col min="7" max="7" width="7.6640625" style="3" customWidth="1"/>
    <col min="8" max="8" width="11.44140625" style="3"/>
    <col min="9" max="9" width="9.6640625" style="3" customWidth="1"/>
    <col min="10" max="16384" width="11.44140625" style="3"/>
  </cols>
  <sheetData>
    <row r="1" spans="1:9" ht="13.8" thickBot="1" x14ac:dyDescent="0.3">
      <c r="A1" s="91" t="s">
        <v>169</v>
      </c>
      <c r="B1" s="1016" t="str">
        <f>IF(ESTIMÉ!B1="","",ESTIMÉ!B1)</f>
        <v/>
      </c>
      <c r="C1" s="1016"/>
      <c r="D1" s="1016"/>
      <c r="E1" s="1017"/>
      <c r="F1" s="1018" t="s">
        <v>170</v>
      </c>
      <c r="G1" s="1019"/>
      <c r="H1" s="1016"/>
      <c r="I1" s="1017"/>
    </row>
    <row r="5" spans="1:9" ht="15.6" x14ac:dyDescent="0.3">
      <c r="A5" s="1027" t="s">
        <v>364</v>
      </c>
      <c r="B5" s="1028"/>
      <c r="C5" s="1028"/>
      <c r="D5" s="1028"/>
      <c r="E5" s="1028"/>
      <c r="F5" s="1028"/>
      <c r="G5" s="1028"/>
      <c r="H5" s="1028"/>
      <c r="I5" s="1029"/>
    </row>
    <row r="11" spans="1:9" ht="17.399999999999999" x14ac:dyDescent="0.3">
      <c r="A11" s="1022" t="s">
        <v>223</v>
      </c>
      <c r="B11" s="1022"/>
      <c r="C11" s="1022"/>
      <c r="D11" s="1022"/>
      <c r="E11" s="1022"/>
      <c r="F11" s="1022"/>
      <c r="G11" s="1022"/>
      <c r="H11" s="1022"/>
      <c r="I11" s="1022"/>
    </row>
    <row r="13" spans="1:9" x14ac:dyDescent="0.25">
      <c r="A13" s="46" t="s">
        <v>75</v>
      </c>
      <c r="B13" s="47" t="s">
        <v>14</v>
      </c>
      <c r="C13" s="50" t="s">
        <v>247</v>
      </c>
      <c r="D13" s="51" t="s">
        <v>10</v>
      </c>
      <c r="E13" s="47" t="s">
        <v>14</v>
      </c>
      <c r="F13" s="50" t="s">
        <v>247</v>
      </c>
      <c r="G13" s="51" t="s">
        <v>224</v>
      </c>
      <c r="H13" s="47" t="s">
        <v>14</v>
      </c>
      <c r="I13" s="72" t="s">
        <v>247</v>
      </c>
    </row>
    <row r="14" spans="1:9" x14ac:dyDescent="0.25">
      <c r="A14" s="140" t="s">
        <v>365</v>
      </c>
      <c r="B14" s="141">
        <f>SUMIF('TAKE OFF'!E20:E1004,"BP",'TAKE OFF'!L20:L1004)</f>
        <v>0</v>
      </c>
      <c r="C14" s="142">
        <f>IF('TAKE OFF'!$N$4="M",SUMIF('TAKE OFF'!E20:E1004,"BP",'TAKE OFF'!C20:C1004)*3.281,SUMIF('TAKE OFF'!E20:E1004,"BP",'TAKE OFF'!C20:C1004))</f>
        <v>0</v>
      </c>
      <c r="D14" s="143" t="s">
        <v>366</v>
      </c>
      <c r="E14" s="141">
        <f>SUMIF('TAKE OFF'!F20:F1004,"SM",'TAKE OFF'!L20:L1004)</f>
        <v>0</v>
      </c>
      <c r="F14" s="142">
        <f>IF('TAKE OFF'!$N$4="M",SUMIF('TAKE OFF'!F20:F1004,"SM",'TAKE OFF'!C20:C1004)*3.281,SUMIF('TAKE OFF'!F20:F1004,"SM",'TAKE OFF'!C20:C1004))</f>
        <v>0</v>
      </c>
      <c r="G14" s="144">
        <v>26</v>
      </c>
      <c r="H14" s="141">
        <f>SUMIF('TAKE OFF'!K20:K1004,26,'TAKE OFF'!AX20:AX1004)</f>
        <v>0</v>
      </c>
      <c r="I14" s="145">
        <f>IF('TAKE OFF'!$N$4="M",SUMIF('TAKE OFF'!K20:K1004,"26",'TAKE OFF'!AW20:AW1004)*3.281,SUMIF('TAKE OFF'!K20:K1004,"26",'TAKE OFF'!AW20:AW1004))</f>
        <v>0</v>
      </c>
    </row>
    <row r="15" spans="1:9" x14ac:dyDescent="0.25">
      <c r="A15" s="146" t="s">
        <v>367</v>
      </c>
      <c r="B15" s="147">
        <f>SUMIF('TAKE OFF'!E20:E1004,"MP",'TAKE OFF'!L20:L1004)</f>
        <v>0</v>
      </c>
      <c r="C15" s="148">
        <f>IF('TAKE OFF'!$N$4="M",SUMIF('TAKE OFF'!E20:E1004,"MP",'TAKE OFF'!C20:C1004)*3.281,SUMIF('TAKE OFF'!E20:E1004,"MP",'TAKE OFF'!C20:C1004))</f>
        <v>0</v>
      </c>
      <c r="D15" s="149" t="s">
        <v>368</v>
      </c>
      <c r="E15" s="147">
        <f>SUMIF('TAKE OFF'!F20:F1004,"HA",'TAKE OFF'!L20:L1004)</f>
        <v>0</v>
      </c>
      <c r="F15" s="148">
        <f>IF('TAKE OFF'!$N$4="M",SUMIF('TAKE OFF'!F20:F1004,"HA",'TAKE OFF'!C20:C1004)*3.281,SUMIF('TAKE OFF'!F20:F1004,"HA",'TAKE OFF'!C20:C1004))</f>
        <v>0</v>
      </c>
      <c r="G15" s="150">
        <v>24</v>
      </c>
      <c r="H15" s="147">
        <f>SUMIF('TAKE OFF'!K20:K1004,24,'TAKE OFF'!AX20:AX1004)</f>
        <v>0</v>
      </c>
      <c r="I15" s="151">
        <f>IF('TAKE OFF'!$N$4="M",SUMIF('TAKE OFF'!K20:K1004,"24",'TAKE OFF'!AW20:AW1004)*3.281,SUMIF('TAKE OFF'!K20:K1004,"24",'TAKE OFF'!AW20:AW1004))</f>
        <v>0</v>
      </c>
    </row>
    <row r="16" spans="1:9" x14ac:dyDescent="0.25">
      <c r="A16" s="146" t="s">
        <v>369</v>
      </c>
      <c r="B16" s="147">
        <f>SUMIF('TAKE OFF'!E20:E1004,"HP",'TAKE OFF'!L20:L1004)</f>
        <v>0</v>
      </c>
      <c r="C16" s="148">
        <f>IF('TAKE OFF'!$N$4="M",SUMIF('TAKE OFF'!E20:E1004,"HP",'TAKE OFF'!C20:C1004)*3.281,SUMIF('TAKE OFF'!E20:E1004,"HP",'TAKE OFF'!C20:C1004))</f>
        <v>0</v>
      </c>
      <c r="D16" s="149" t="s">
        <v>370</v>
      </c>
      <c r="E16" s="147">
        <f>SUMIF('TAKE OFF'!F20:F1004,"RI",'TAKE OFF'!L20:L1004)</f>
        <v>0</v>
      </c>
      <c r="F16" s="148">
        <f>IF('TAKE OFF'!$N$4="M",SUMIF('TAKE OFF'!F20:F1004,"RI",'TAKE OFF'!C20:C1004)*3.281,SUMIF('TAKE OFF'!F20:F1004,"RI",'TAKE OFF'!C20:C1004))</f>
        <v>0</v>
      </c>
      <c r="G16" s="150">
        <v>22</v>
      </c>
      <c r="H16" s="147">
        <f>SUMIF('TAKE OFF'!K20:K1004,22,'TAKE OFF'!AX20:AX1004)</f>
        <v>0</v>
      </c>
      <c r="I16" s="151">
        <f>IF('TAKE OFF'!$N$4="M",SUMIF('TAKE OFF'!K20:K1004,"22",'TAKE OFF'!AW20:AW1004)*3.281,SUMIF('TAKE OFF'!K20:K1004,"22",'TAKE OFF'!AW20:AW1004))</f>
        <v>0</v>
      </c>
    </row>
    <row r="17" spans="1:9" x14ac:dyDescent="0.25">
      <c r="A17" s="146" t="s">
        <v>34</v>
      </c>
      <c r="B17" s="147">
        <f ca="1">SUMIF('TAKE OFF'!E20:E1007,"N",'TAKE OFF'!L20:L1004)</f>
        <v>0</v>
      </c>
      <c r="C17" s="148">
        <f>IF('TAKE OFF'!$N$4="M",SUMIF('TAKE OFF'!E20:E1004,"N",'TAKE OFF'!C20:C1004)*3.281,SUMIF('TAKE OFF'!E20:E1004,"N",'TAKE OFF'!C20:C1004))</f>
        <v>0</v>
      </c>
      <c r="D17" s="149" t="s">
        <v>371</v>
      </c>
      <c r="E17" s="147">
        <f>SUMIF('TAKE OFF'!F20:F1004,"RE",'TAKE OFF'!L20:L1004)</f>
        <v>0</v>
      </c>
      <c r="F17" s="148">
        <f>IF('TAKE OFF'!$N$4="M",SUMIF('TAKE OFF'!F20:F1004,"RE",'TAKE OFF'!C20:C1004)*3.281,SUMIF('TAKE OFF'!F20:F1004,"RE",'TAKE OFF'!C20:C1004))</f>
        <v>0</v>
      </c>
      <c r="G17" s="150">
        <v>20</v>
      </c>
      <c r="H17" s="147">
        <f>SUMIF('TAKE OFF'!K20:K1004,20,'TAKE OFF'!AX20:AX1004)</f>
        <v>0</v>
      </c>
      <c r="I17" s="151">
        <f>IF('TAKE OFF'!$N$4="M",SUMIF('TAKE OFF'!K20:K1004,"20",'TAKE OFF'!AW20:AW1004)*3.281,SUMIF('TAKE OFF'!K20:K1004,"20",'TAKE OFF'!AW20:AW1004))</f>
        <v>0</v>
      </c>
    </row>
    <row r="18" spans="1:9" x14ac:dyDescent="0.25">
      <c r="A18" s="146" t="s">
        <v>317</v>
      </c>
      <c r="B18" s="147">
        <f>SUMIF('TAKE OFF'!E20:E1004,"AL",'TAKE OFF'!L20:L1004)/3</f>
        <v>0</v>
      </c>
      <c r="C18" s="148">
        <f>IF('TAKE OFF'!$N$4="M",SUMIF('TAKE OFF'!E20:E1004,"AL",'TAKE OFF'!C20:C1004)*3.281,SUMIF('TAKE OFF'!E20:E1004,"AL",'TAKE OFF'!C20:C1004))</f>
        <v>0</v>
      </c>
      <c r="D18" s="149" t="s">
        <v>372</v>
      </c>
      <c r="E18" s="147">
        <f>SUMIF('TAKE OFF'!F20:F1004,16,'TAKE OFF'!L20:L1004)</f>
        <v>0</v>
      </c>
      <c r="F18" s="148">
        <f>IF('TAKE OFF'!$N$4="M",SUMIF('TAKE OFF'!F20:F1004,16,'TAKE OFF'!C20:C1004)*3.281,SUMIF('TAKE OFF'!F20:F1004,16,'TAKE OFF'!C20:C1004))</f>
        <v>0</v>
      </c>
      <c r="G18" s="150">
        <v>18</v>
      </c>
      <c r="H18" s="147">
        <f>SUMIF('TAKE OFF'!K20:K1004,18,'TAKE OFF'!AX20:AX1004)</f>
        <v>0</v>
      </c>
      <c r="I18" s="151">
        <f>IF('TAKE OFF'!$N$4="M",SUMIF('TAKE OFF'!K20:K1004,"18",'TAKE OFF'!AW20:AW1004)*3.281,SUMIF('TAKE OFF'!K20:K1004,"18",'TAKE OFF'!AW20:AW1004))</f>
        <v>0</v>
      </c>
    </row>
    <row r="19" spans="1:9" x14ac:dyDescent="0.25">
      <c r="A19" s="152" t="s">
        <v>373</v>
      </c>
      <c r="B19" s="153">
        <f>SUMIF('TAKE OFF'!E20:E1004,"SS",'TAKE OFF'!L20:L1004)</f>
        <v>0</v>
      </c>
      <c r="C19" s="154">
        <f>IF('TAKE OFF'!$N$4="M",SUMIF('TAKE OFF'!E20:E1004,"SS",'TAKE OFF'!C20:C1004)*3.281,SUMIF('TAKE OFF'!E20:E1004,"SS",'TAKE OFF'!C20:C1004))</f>
        <v>0</v>
      </c>
      <c r="D19" s="155" t="s">
        <v>317</v>
      </c>
      <c r="E19" s="153">
        <f>SUMIF('TAKE OFF'!F20:F1004,"AL",'TAKE OFF'!L20:L1004)/3</f>
        <v>0</v>
      </c>
      <c r="F19" s="154">
        <f>IF('TAKE OFF'!$N$4="M",SUMIF('TAKE OFF'!F20:F1004,"AL",'TAKE OFF'!C20:C1004)*3.281,SUMIF('TAKE OFF'!F20:F1004,"AL",'TAKE OFF'!C20:C1004))</f>
        <v>0</v>
      </c>
      <c r="G19" s="156">
        <v>16</v>
      </c>
      <c r="H19" s="153">
        <f>SUMIF('TAKE OFF'!K20:K1004,16,'TAKE OFF'!AX20:AX1004)</f>
        <v>0</v>
      </c>
      <c r="I19" s="157">
        <f>IF('TAKE OFF'!$N$4="M",SUMIF('TAKE OFF'!K20:K1004,"16",'TAKE OFF'!AW20:AW1004)*3.281,SUMIF('TAKE OFF'!K20:K1004,"16",'TAKE OFF'!AW20:AW1004))</f>
        <v>0</v>
      </c>
    </row>
    <row r="20" spans="1:9" x14ac:dyDescent="0.25">
      <c r="A20" s="158"/>
      <c r="B20" s="159">
        <v>0</v>
      </c>
      <c r="C20" s="160">
        <v>0</v>
      </c>
      <c r="D20" s="161"/>
      <c r="E20" s="159">
        <v>0</v>
      </c>
      <c r="F20" s="160">
        <v>0</v>
      </c>
      <c r="G20" s="162" t="s">
        <v>374</v>
      </c>
      <c r="H20" s="159">
        <f>SUM('TAKE OFF'!AV20:AV1004)/3</f>
        <v>0</v>
      </c>
      <c r="I20" s="163">
        <f>SUM('TAKE OFF'!AU20:AU1004)</f>
        <v>0</v>
      </c>
    </row>
    <row r="21" spans="1:9" x14ac:dyDescent="0.25">
      <c r="A21" s="48" t="s">
        <v>375</v>
      </c>
      <c r="B21" s="164">
        <f ca="1">SUM(B14:B20)</f>
        <v>0</v>
      </c>
      <c r="C21" s="165">
        <f>SUM(C14:C20)</f>
        <v>0</v>
      </c>
      <c r="D21" s="52" t="s">
        <v>375</v>
      </c>
      <c r="E21" s="164">
        <f>SUM(E14:E20)</f>
        <v>0</v>
      </c>
      <c r="F21" s="165">
        <f>SUM(F14:F20)</f>
        <v>0</v>
      </c>
      <c r="G21" s="52" t="s">
        <v>375</v>
      </c>
      <c r="H21" s="164">
        <f>SUM(H14:H20)</f>
        <v>0</v>
      </c>
      <c r="I21" s="166">
        <f>SUM(I14:I20)</f>
        <v>0</v>
      </c>
    </row>
    <row r="29" spans="1:9" ht="17.399999999999999" x14ac:dyDescent="0.3">
      <c r="A29" s="1022" t="s">
        <v>245</v>
      </c>
      <c r="B29" s="1022"/>
      <c r="C29" s="1022"/>
      <c r="D29" s="1022"/>
      <c r="E29" s="1022"/>
      <c r="F29" s="1022"/>
      <c r="G29" s="1022"/>
      <c r="H29" s="1022"/>
      <c r="I29" s="1022"/>
    </row>
    <row r="30" spans="1:9" ht="12.75" customHeight="1" x14ac:dyDescent="0.3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25">
      <c r="A31" s="996" t="s">
        <v>75</v>
      </c>
      <c r="B31" s="997"/>
      <c r="C31" s="167" t="s">
        <v>243</v>
      </c>
      <c r="D31" s="168" t="s">
        <v>76</v>
      </c>
      <c r="E31" s="997" t="s">
        <v>75</v>
      </c>
      <c r="F31" s="997"/>
      <c r="G31" s="997"/>
      <c r="H31" s="169" t="s">
        <v>243</v>
      </c>
      <c r="I31" s="170" t="s">
        <v>76</v>
      </c>
    </row>
    <row r="32" spans="1:9" x14ac:dyDescent="0.25">
      <c r="A32" s="964" t="s">
        <v>72</v>
      </c>
      <c r="B32" s="994"/>
      <c r="C32" s="171" t="s">
        <v>376</v>
      </c>
      <c r="D32" s="172">
        <f>SUMIF('TAKE OFF'!M20:M1004,0.5,'TAKE OFF'!N20:N1004)</f>
        <v>0</v>
      </c>
      <c r="E32" s="993" t="s">
        <v>377</v>
      </c>
      <c r="F32" s="994"/>
      <c r="G32" s="995"/>
      <c r="H32" s="173" t="s">
        <v>378</v>
      </c>
      <c r="I32" s="145">
        <f>SUMIF('TAKE OFF'!O20:O1004,1,'TAKE OFF'!P20:P1004)</f>
        <v>0</v>
      </c>
    </row>
    <row r="33" spans="1:9" x14ac:dyDescent="0.25">
      <c r="A33" s="960" t="s">
        <v>72</v>
      </c>
      <c r="B33" s="998"/>
      <c r="C33" s="174" t="s">
        <v>379</v>
      </c>
      <c r="D33" s="175">
        <f>SUMIF('TAKE OFF'!M20:M1004,"1 F",'TAKE OFF'!N20:N1004)</f>
        <v>0</v>
      </c>
      <c r="E33" s="999" t="s">
        <v>377</v>
      </c>
      <c r="F33" s="998"/>
      <c r="G33" s="1000"/>
      <c r="H33" s="176" t="s">
        <v>89</v>
      </c>
      <c r="I33" s="151">
        <f>SUMIF('TAKE OFF'!O20:O1004,2,'TAKE OFF'!P20:P1004)</f>
        <v>0</v>
      </c>
    </row>
    <row r="34" spans="1:9" x14ac:dyDescent="0.25">
      <c r="A34" s="960" t="s">
        <v>72</v>
      </c>
      <c r="B34" s="998"/>
      <c r="C34" s="174" t="s">
        <v>380</v>
      </c>
      <c r="D34" s="175">
        <f>SUMIF('TAKE OFF'!M20:M1004,"1 R",'TAKE OFF'!N20:N1004)</f>
        <v>0</v>
      </c>
      <c r="E34" s="999"/>
      <c r="F34" s="998"/>
      <c r="G34" s="1000"/>
      <c r="H34" s="176"/>
      <c r="I34" s="177"/>
    </row>
    <row r="35" spans="1:9" x14ac:dyDescent="0.25">
      <c r="A35" s="960" t="s">
        <v>72</v>
      </c>
      <c r="B35" s="998"/>
      <c r="C35" s="174" t="s">
        <v>89</v>
      </c>
      <c r="D35" s="175">
        <f>SUMIF('TAKE OFF'!M20:M1004,2,'TAKE OFF'!N20:N1004)</f>
        <v>0</v>
      </c>
      <c r="E35" s="999"/>
      <c r="F35" s="998"/>
      <c r="G35" s="1000"/>
      <c r="H35" s="176"/>
      <c r="I35" s="177"/>
    </row>
    <row r="36" spans="1:9" x14ac:dyDescent="0.25">
      <c r="A36" s="962"/>
      <c r="B36" s="1015"/>
      <c r="C36" s="178"/>
      <c r="D36" s="179"/>
      <c r="E36" s="1025"/>
      <c r="F36" s="1015"/>
      <c r="G36" s="1026"/>
      <c r="H36" s="180"/>
      <c r="I36" s="181"/>
    </row>
    <row r="37" spans="1:9" x14ac:dyDescent="0.25">
      <c r="A37" s="182"/>
      <c r="B37" s="182"/>
      <c r="C37" s="182"/>
      <c r="D37" s="182"/>
      <c r="E37" s="182"/>
      <c r="F37" s="182"/>
      <c r="G37" s="182"/>
      <c r="H37" s="182"/>
      <c r="I37" s="182"/>
    </row>
    <row r="38" spans="1:9" x14ac:dyDescent="0.25">
      <c r="A38" s="136"/>
      <c r="B38" s="136"/>
      <c r="C38" s="136"/>
      <c r="D38" s="136"/>
      <c r="E38" s="136"/>
      <c r="F38" s="136"/>
      <c r="G38" s="136"/>
      <c r="H38" s="136"/>
      <c r="I38" s="136"/>
    </row>
    <row r="39" spans="1:9" x14ac:dyDescent="0.25">
      <c r="A39" s="136"/>
      <c r="B39" s="136"/>
      <c r="C39" s="136"/>
      <c r="D39" s="136"/>
      <c r="E39" s="136"/>
      <c r="F39" s="136"/>
      <c r="G39" s="136"/>
      <c r="H39" s="136"/>
      <c r="I39" s="136"/>
    </row>
    <row r="40" spans="1:9" x14ac:dyDescent="0.25">
      <c r="A40" s="136"/>
      <c r="B40" s="136"/>
      <c r="C40" s="136"/>
      <c r="D40" s="136"/>
      <c r="E40" s="136"/>
      <c r="F40" s="136"/>
      <c r="G40" s="136"/>
      <c r="H40" s="136"/>
      <c r="I40" s="136"/>
    </row>
    <row r="44" spans="1:9" ht="17.399999999999999" x14ac:dyDescent="0.3">
      <c r="A44" s="1022" t="s">
        <v>40</v>
      </c>
      <c r="B44" s="1022"/>
      <c r="C44" s="1022"/>
      <c r="D44" s="1022"/>
      <c r="E44" s="1022"/>
      <c r="F44" s="1022"/>
      <c r="G44" s="1022"/>
      <c r="H44" s="1022"/>
      <c r="I44" s="1022"/>
    </row>
    <row r="46" spans="1:9" x14ac:dyDescent="0.25">
      <c r="A46" s="996" t="s">
        <v>36</v>
      </c>
      <c r="B46" s="997"/>
      <c r="C46" s="997"/>
      <c r="D46" s="169" t="s">
        <v>381</v>
      </c>
      <c r="E46" s="183" t="s">
        <v>17</v>
      </c>
      <c r="F46" s="1023" t="s">
        <v>76</v>
      </c>
      <c r="G46" s="1024"/>
      <c r="H46" s="997" t="s">
        <v>382</v>
      </c>
      <c r="I46" s="1001"/>
    </row>
    <row r="47" spans="1:9" x14ac:dyDescent="0.25">
      <c r="A47" s="1020" t="s">
        <v>383</v>
      </c>
      <c r="B47" s="1021"/>
      <c r="C47" s="1021"/>
      <c r="D47" s="184">
        <v>7</v>
      </c>
      <c r="E47" s="185">
        <f>SUM('TAKE OFF'!R20:R1004)</f>
        <v>0</v>
      </c>
      <c r="F47" s="1004">
        <f>SUM('TAKE OFF'!S20:S1004)</f>
        <v>0</v>
      </c>
      <c r="G47" s="1005"/>
      <c r="H47" s="1002" t="s">
        <v>384</v>
      </c>
      <c r="I47" s="1003"/>
    </row>
    <row r="48" spans="1:9" x14ac:dyDescent="0.25">
      <c r="A48" s="1010" t="s">
        <v>385</v>
      </c>
      <c r="B48" s="1011"/>
      <c r="C48" s="1011"/>
      <c r="D48" s="186">
        <v>71</v>
      </c>
      <c r="E48" s="185">
        <f>SUM('TAKE OFF'!T20:T1004)</f>
        <v>0</v>
      </c>
      <c r="F48" s="1004">
        <f>SUM('TAKE OFF'!U20:U1004)</f>
        <v>0</v>
      </c>
      <c r="G48" s="1005"/>
      <c r="H48" s="1002" t="s">
        <v>384</v>
      </c>
      <c r="I48" s="1003"/>
    </row>
    <row r="49" spans="1:10" x14ac:dyDescent="0.25">
      <c r="A49" s="960" t="s">
        <v>386</v>
      </c>
      <c r="B49" s="998"/>
      <c r="C49" s="998"/>
      <c r="D49" s="176">
        <v>8</v>
      </c>
      <c r="E49" s="185">
        <f>SUM('TAKE OFF'!V20:V1004)</f>
        <v>0</v>
      </c>
      <c r="F49" s="1004" t="s">
        <v>384</v>
      </c>
      <c r="G49" s="1005"/>
      <c r="H49" s="1008">
        <f>SUM('TAKE OFF'!W20:W1004)</f>
        <v>0</v>
      </c>
      <c r="I49" s="1009"/>
    </row>
    <row r="50" spans="1:10" x14ac:dyDescent="0.25">
      <c r="A50" s="960" t="s">
        <v>387</v>
      </c>
      <c r="B50" s="998"/>
      <c r="C50" s="998"/>
      <c r="D50" s="176">
        <v>81</v>
      </c>
      <c r="E50" s="185">
        <f>SUM('TAKE OFF'!X20:X1004)</f>
        <v>0</v>
      </c>
      <c r="F50" s="1004" t="s">
        <v>384</v>
      </c>
      <c r="G50" s="1005"/>
      <c r="H50" s="1008">
        <f>SUM('TAKE OFF'!Y20:Y1004)</f>
        <v>0</v>
      </c>
      <c r="I50" s="1009"/>
    </row>
    <row r="51" spans="1:10" x14ac:dyDescent="0.25">
      <c r="A51" s="960" t="s">
        <v>174</v>
      </c>
      <c r="B51" s="998"/>
      <c r="C51" s="998"/>
      <c r="D51" s="176">
        <v>9</v>
      </c>
      <c r="E51" s="185">
        <f>SUM('TAKE OFF'!Z20:Z1004)</f>
        <v>0</v>
      </c>
      <c r="F51" s="1004" t="s">
        <v>384</v>
      </c>
      <c r="G51" s="1005"/>
      <c r="H51" s="1002" t="s">
        <v>384</v>
      </c>
      <c r="I51" s="1003"/>
    </row>
    <row r="52" spans="1:10" x14ac:dyDescent="0.25">
      <c r="A52" s="960" t="s">
        <v>388</v>
      </c>
      <c r="B52" s="998"/>
      <c r="C52" s="998"/>
      <c r="D52" s="176">
        <v>10</v>
      </c>
      <c r="E52" s="185">
        <f>SUM('TAKE OFF'!AA20:AA1004)</f>
        <v>0</v>
      </c>
      <c r="F52" s="1004">
        <f>SUM(H52*2)</f>
        <v>0</v>
      </c>
      <c r="G52" s="1005"/>
      <c r="H52" s="1006">
        <f>SUM('TAKE OFF'!AB20:AB1004)</f>
        <v>0</v>
      </c>
      <c r="I52" s="1007"/>
      <c r="J52" s="136" t="s">
        <v>496</v>
      </c>
    </row>
    <row r="53" spans="1:10" x14ac:dyDescent="0.25">
      <c r="A53" s="960" t="s">
        <v>389</v>
      </c>
      <c r="B53" s="998"/>
      <c r="C53" s="998"/>
      <c r="D53" s="176">
        <v>11</v>
      </c>
      <c r="E53" s="185">
        <f>SUM('TAKE OFF'!AE20:AE1004)</f>
        <v>0</v>
      </c>
      <c r="F53" s="1004">
        <f>SUM('TAKE OFF'!AF20:AF1004)</f>
        <v>0</v>
      </c>
      <c r="G53" s="1005"/>
      <c r="H53" s="1002" t="s">
        <v>384</v>
      </c>
      <c r="I53" s="1003"/>
    </row>
    <row r="54" spans="1:10" x14ac:dyDescent="0.25">
      <c r="A54" s="960" t="s">
        <v>390</v>
      </c>
      <c r="B54" s="998"/>
      <c r="C54" s="998"/>
      <c r="D54" s="176">
        <v>111</v>
      </c>
      <c r="E54" s="185">
        <f>SUM('TAKE OFF'!AG20:AG1004)</f>
        <v>0</v>
      </c>
      <c r="F54" s="1004">
        <f>SUM('TAKE OFF'!AH20:AH1004)</f>
        <v>0</v>
      </c>
      <c r="G54" s="1005"/>
      <c r="H54" s="1002" t="s">
        <v>384</v>
      </c>
      <c r="I54" s="1003"/>
    </row>
    <row r="55" spans="1:10" x14ac:dyDescent="0.25">
      <c r="A55" s="960" t="s">
        <v>391</v>
      </c>
      <c r="B55" s="998"/>
      <c r="C55" s="998"/>
      <c r="D55" s="176">
        <v>12</v>
      </c>
      <c r="E55" s="185">
        <f>SUM('TAKE OFF'!AI20:AI1004)</f>
        <v>0</v>
      </c>
      <c r="F55" s="1004">
        <f>SUM('TAKE OFF'!AJ20:AJ1004)</f>
        <v>0</v>
      </c>
      <c r="G55" s="1005"/>
      <c r="H55" s="1002" t="s">
        <v>384</v>
      </c>
      <c r="I55" s="1003"/>
    </row>
    <row r="56" spans="1:10" x14ac:dyDescent="0.25">
      <c r="A56" s="960" t="s">
        <v>392</v>
      </c>
      <c r="B56" s="998"/>
      <c r="C56" s="998"/>
      <c r="D56" s="176">
        <v>13</v>
      </c>
      <c r="E56" s="185">
        <f>SUM('TAKE OFF'!AK20:AK1004)</f>
        <v>0</v>
      </c>
      <c r="F56" s="1004" t="s">
        <v>384</v>
      </c>
      <c r="G56" s="1005"/>
      <c r="H56" s="1002" t="s">
        <v>384</v>
      </c>
      <c r="I56" s="1003"/>
    </row>
    <row r="57" spans="1:10" x14ac:dyDescent="0.25">
      <c r="A57" s="960" t="s">
        <v>393</v>
      </c>
      <c r="B57" s="998"/>
      <c r="C57" s="998"/>
      <c r="D57" s="176">
        <v>131</v>
      </c>
      <c r="E57" s="185">
        <f>SUM('TAKE OFF'!AL20:AL1004)</f>
        <v>0</v>
      </c>
      <c r="F57" s="1004">
        <f>SUM('TAKE OFF'!AM20:AM1004)</f>
        <v>0</v>
      </c>
      <c r="G57" s="1005"/>
      <c r="H57" s="1002" t="s">
        <v>384</v>
      </c>
      <c r="I57" s="1003"/>
    </row>
    <row r="58" spans="1:10" x14ac:dyDescent="0.25">
      <c r="A58" s="960" t="s">
        <v>237</v>
      </c>
      <c r="B58" s="998"/>
      <c r="C58" s="998"/>
      <c r="D58" s="176">
        <v>14</v>
      </c>
      <c r="E58" s="185">
        <f>SUM('TAKE OFF'!AN20:AN1004)</f>
        <v>0</v>
      </c>
      <c r="F58" s="1004">
        <f>SUM('TAKE OFF'!AO20:AO1004)</f>
        <v>0</v>
      </c>
      <c r="G58" s="1005"/>
      <c r="H58" s="1002" t="s">
        <v>384</v>
      </c>
      <c r="I58" s="1003"/>
    </row>
    <row r="59" spans="1:10" x14ac:dyDescent="0.25">
      <c r="A59" s="960" t="s">
        <v>394</v>
      </c>
      <c r="B59" s="998"/>
      <c r="C59" s="998"/>
      <c r="D59" s="176">
        <v>141</v>
      </c>
      <c r="E59" s="185">
        <f>SUM('TAKE OFF'!AP20:AP1004)</f>
        <v>0</v>
      </c>
      <c r="F59" s="1004">
        <f>SUM('TAKE OFF'!AQ20:AQ1004)</f>
        <v>0</v>
      </c>
      <c r="G59" s="1005"/>
      <c r="H59" s="1002" t="s">
        <v>384</v>
      </c>
      <c r="I59" s="1003"/>
    </row>
    <row r="60" spans="1:10" x14ac:dyDescent="0.25">
      <c r="A60" s="960" t="s">
        <v>395</v>
      </c>
      <c r="B60" s="998"/>
      <c r="C60" s="998"/>
      <c r="D60" s="176">
        <v>15</v>
      </c>
      <c r="E60" s="185">
        <f>SUM('TAKE OFF'!AR20:AR1004)</f>
        <v>0</v>
      </c>
      <c r="F60" s="1004" t="s">
        <v>384</v>
      </c>
      <c r="G60" s="1005"/>
      <c r="H60" s="1002" t="s">
        <v>384</v>
      </c>
      <c r="I60" s="1003"/>
    </row>
    <row r="61" spans="1:10" x14ac:dyDescent="0.25">
      <c r="A61" s="960" t="s">
        <v>113</v>
      </c>
      <c r="B61" s="998"/>
      <c r="C61" s="998"/>
      <c r="D61" s="176">
        <v>16</v>
      </c>
      <c r="E61" s="185">
        <f>SUM('TAKE OFF'!AS20:AS1004)</f>
        <v>0</v>
      </c>
      <c r="F61" s="1004">
        <f>SUM('TAKE OFF'!AT20:AT1004)</f>
        <v>0</v>
      </c>
      <c r="G61" s="1005"/>
      <c r="H61" s="1002" t="s">
        <v>384</v>
      </c>
      <c r="I61" s="1003"/>
    </row>
    <row r="62" spans="1:10" x14ac:dyDescent="0.25">
      <c r="A62" s="960" t="s">
        <v>743</v>
      </c>
      <c r="B62" s="998"/>
      <c r="C62" s="998"/>
      <c r="D62" s="176">
        <v>100</v>
      </c>
      <c r="E62" s="174">
        <f>SUM('TAKE OFF'!AC20:AC1004)</f>
        <v>0</v>
      </c>
      <c r="F62" s="1004" t="s">
        <v>384</v>
      </c>
      <c r="G62" s="1005"/>
      <c r="H62" s="1002" t="s">
        <v>384</v>
      </c>
      <c r="I62" s="1003"/>
    </row>
    <row r="63" spans="1:10" x14ac:dyDescent="0.25">
      <c r="A63" s="960"/>
      <c r="B63" s="998"/>
      <c r="C63" s="998"/>
      <c r="D63" s="176"/>
      <c r="E63" s="174"/>
      <c r="F63" s="1004"/>
      <c r="G63" s="1005"/>
      <c r="H63" s="1002"/>
      <c r="I63" s="1003"/>
    </row>
    <row r="64" spans="1:10" x14ac:dyDescent="0.25">
      <c r="A64" s="962"/>
      <c r="B64" s="1015"/>
      <c r="C64" s="1015"/>
      <c r="D64" s="180"/>
      <c r="E64" s="178"/>
      <c r="F64" s="1012"/>
      <c r="G64" s="1013"/>
      <c r="H64" s="1012"/>
      <c r="I64" s="1014"/>
    </row>
    <row r="65" spans="1:9" x14ac:dyDescent="0.25">
      <c r="A65" s="138"/>
      <c r="B65" s="138"/>
      <c r="C65" s="138"/>
      <c r="D65" s="139"/>
      <c r="E65" s="139"/>
      <c r="F65" s="139"/>
      <c r="G65" s="139"/>
      <c r="H65" s="139"/>
      <c r="I65" s="139"/>
    </row>
    <row r="66" spans="1:9" x14ac:dyDescent="0.25">
      <c r="A66" s="138"/>
      <c r="B66" s="138"/>
      <c r="C66" s="138"/>
      <c r="D66" s="139"/>
      <c r="E66" s="139"/>
      <c r="F66" s="139"/>
      <c r="G66" s="139"/>
      <c r="H66" s="139"/>
      <c r="I66" s="139"/>
    </row>
    <row r="67" spans="1:9" x14ac:dyDescent="0.25">
      <c r="A67" s="138"/>
      <c r="B67" s="138"/>
      <c r="C67" s="138"/>
      <c r="D67" s="139"/>
      <c r="E67" s="139"/>
      <c r="F67" s="139"/>
      <c r="G67" s="139"/>
      <c r="H67" s="139"/>
      <c r="I67" s="139"/>
    </row>
    <row r="68" spans="1:9" x14ac:dyDescent="0.25">
      <c r="A68" s="138" t="s">
        <v>396</v>
      </c>
      <c r="B68" s="138"/>
      <c r="C68" s="138"/>
      <c r="D68" s="139" t="s">
        <v>397</v>
      </c>
      <c r="E68" s="139"/>
      <c r="F68" s="139"/>
      <c r="G68" s="139"/>
      <c r="H68" s="139"/>
      <c r="I68" s="139"/>
    </row>
    <row r="69" spans="1:9" x14ac:dyDescent="0.25">
      <c r="A69" s="138" t="s">
        <v>398</v>
      </c>
      <c r="B69" s="138"/>
      <c r="C69" s="138"/>
      <c r="D69" s="139" t="s">
        <v>399</v>
      </c>
      <c r="E69" s="139"/>
      <c r="F69" s="139"/>
      <c r="G69" s="139"/>
      <c r="H69" s="139"/>
      <c r="I69" s="139"/>
    </row>
    <row r="70" spans="1:9" x14ac:dyDescent="0.25">
      <c r="A70" s="136" t="s">
        <v>400</v>
      </c>
      <c r="B70" s="136"/>
      <c r="C70" s="136"/>
      <c r="D70" s="136" t="s">
        <v>401</v>
      </c>
      <c r="E70" s="136"/>
      <c r="F70" s="136"/>
      <c r="G70" s="136"/>
      <c r="H70" s="136"/>
      <c r="I70" s="136"/>
    </row>
    <row r="71" spans="1:9" x14ac:dyDescent="0.25">
      <c r="A71" s="138" t="s">
        <v>402</v>
      </c>
      <c r="B71" s="136"/>
      <c r="C71" s="136"/>
      <c r="D71" s="139" t="s">
        <v>403</v>
      </c>
      <c r="E71" s="136"/>
      <c r="F71" s="136"/>
      <c r="G71" s="136"/>
      <c r="H71" s="136"/>
      <c r="I71" s="136"/>
    </row>
    <row r="72" spans="1:9" x14ac:dyDescent="0.25">
      <c r="A72" s="138" t="s">
        <v>442</v>
      </c>
      <c r="B72" s="136"/>
      <c r="C72" s="136"/>
      <c r="D72" s="136"/>
      <c r="E72" s="136"/>
      <c r="F72" s="136"/>
      <c r="G72" s="136"/>
      <c r="H72" s="136"/>
      <c r="I72" s="136"/>
    </row>
    <row r="73" spans="1:9" x14ac:dyDescent="0.25">
      <c r="A73" s="138" t="s">
        <v>773</v>
      </c>
      <c r="B73" s="136"/>
      <c r="C73" s="136"/>
      <c r="D73" s="136"/>
      <c r="E73" s="136"/>
      <c r="F73" s="136"/>
      <c r="G73" s="136"/>
      <c r="H73" s="136"/>
      <c r="I73" s="136"/>
    </row>
    <row r="74" spans="1:9" x14ac:dyDescent="0.25">
      <c r="A74" s="138" t="s">
        <v>752</v>
      </c>
      <c r="B74" s="136"/>
      <c r="C74" s="136"/>
      <c r="D74" s="136"/>
      <c r="E74" s="136"/>
      <c r="F74" s="136"/>
      <c r="G74" s="136"/>
      <c r="H74" s="136"/>
      <c r="I74" s="136"/>
    </row>
    <row r="75" spans="1:9" x14ac:dyDescent="0.25">
      <c r="A75" s="138" t="s">
        <v>443</v>
      </c>
    </row>
  </sheetData>
  <mergeCells count="76">
    <mergeCell ref="B1:E1"/>
    <mergeCell ref="F1:G1"/>
    <mergeCell ref="H1:I1"/>
    <mergeCell ref="F51:G51"/>
    <mergeCell ref="A47:C47"/>
    <mergeCell ref="F47:G47"/>
    <mergeCell ref="A44:I44"/>
    <mergeCell ref="F46:G46"/>
    <mergeCell ref="F49:G49"/>
    <mergeCell ref="E35:G35"/>
    <mergeCell ref="A36:B36"/>
    <mergeCell ref="E36:G36"/>
    <mergeCell ref="A11:I11"/>
    <mergeCell ref="A5:I5"/>
    <mergeCell ref="A29:I29"/>
    <mergeCell ref="A32:B32"/>
    <mergeCell ref="F64:G64"/>
    <mergeCell ref="H64:I64"/>
    <mergeCell ref="A64:C64"/>
    <mergeCell ref="A62:C62"/>
    <mergeCell ref="A63:C63"/>
    <mergeCell ref="H62:I62"/>
    <mergeCell ref="F63:G63"/>
    <mergeCell ref="H63:I63"/>
    <mergeCell ref="A60:C60"/>
    <mergeCell ref="A61:C61"/>
    <mergeCell ref="F62:G62"/>
    <mergeCell ref="F59:G59"/>
    <mergeCell ref="A59:C59"/>
    <mergeCell ref="A58:C58"/>
    <mergeCell ref="F56:G56"/>
    <mergeCell ref="H56:I56"/>
    <mergeCell ref="F57:G57"/>
    <mergeCell ref="H57:I57"/>
    <mergeCell ref="A56:C56"/>
    <mergeCell ref="F58:G58"/>
    <mergeCell ref="H58:I58"/>
    <mergeCell ref="A57:C57"/>
    <mergeCell ref="H59:I59"/>
    <mergeCell ref="H60:I60"/>
    <mergeCell ref="F61:G61"/>
    <mergeCell ref="H61:I61"/>
    <mergeCell ref="F60:G60"/>
    <mergeCell ref="A55:C55"/>
    <mergeCell ref="F52:G52"/>
    <mergeCell ref="F55:G55"/>
    <mergeCell ref="H54:I54"/>
    <mergeCell ref="A51:C51"/>
    <mergeCell ref="F54:G54"/>
    <mergeCell ref="H55:I55"/>
    <mergeCell ref="F48:G48"/>
    <mergeCell ref="H53:I53"/>
    <mergeCell ref="A52:C52"/>
    <mergeCell ref="A53:C53"/>
    <mergeCell ref="A54:C54"/>
    <mergeCell ref="H51:I51"/>
    <mergeCell ref="H52:I52"/>
    <mergeCell ref="F53:G53"/>
    <mergeCell ref="F50:G50"/>
    <mergeCell ref="A50:C50"/>
    <mergeCell ref="A49:C49"/>
    <mergeCell ref="H48:I48"/>
    <mergeCell ref="H49:I49"/>
    <mergeCell ref="H50:I50"/>
    <mergeCell ref="A48:C48"/>
    <mergeCell ref="A34:B34"/>
    <mergeCell ref="E34:G34"/>
    <mergeCell ref="H46:I46"/>
    <mergeCell ref="A46:C46"/>
    <mergeCell ref="H47:I47"/>
    <mergeCell ref="A35:B35"/>
    <mergeCell ref="E32:G32"/>
    <mergeCell ref="A31:B31"/>
    <mergeCell ref="E31:G31"/>
    <mergeCell ref="A33:B33"/>
    <mergeCell ref="E33:G33"/>
  </mergeCells>
  <phoneticPr fontId="0" type="noConversion"/>
  <pageMargins left="0.19685039370078741" right="0.19685039370078741" top="0.78740157480314965" bottom="0.39370078740157483" header="0" footer="0"/>
  <pageSetup paperSize="5" orientation="portrait" horizontalDpi="300" verticalDpi="14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view="pageLayout" topLeftCell="A16" zoomScaleNormal="100" workbookViewId="0">
      <selection activeCell="D31" sqref="D31"/>
    </sheetView>
  </sheetViews>
  <sheetFormatPr defaultColWidth="11.44140625" defaultRowHeight="13.2" x14ac:dyDescent="0.25"/>
  <cols>
    <col min="1" max="1" width="11.44140625" style="191"/>
    <col min="2" max="2" width="8.6640625" style="191" customWidth="1"/>
    <col min="3" max="3" width="7.5546875" style="191" customWidth="1"/>
    <col min="4" max="4" width="6.109375" style="191" customWidth="1"/>
    <col min="5" max="5" width="5.5546875" style="191" customWidth="1"/>
    <col min="6" max="7" width="4.44140625" style="191" customWidth="1"/>
    <col min="8" max="10" width="11.44140625" style="191"/>
    <col min="11" max="11" width="21.6640625" style="191" customWidth="1"/>
    <col min="12" max="12" width="9.6640625" style="191" customWidth="1"/>
    <col min="13" max="13" width="8.33203125" style="191" customWidth="1"/>
    <col min="14" max="14" width="9.5546875" style="191" customWidth="1"/>
    <col min="15" max="15" width="7.44140625" style="191" customWidth="1"/>
    <col min="16" max="16" width="6.6640625" style="191" customWidth="1"/>
    <col min="17" max="17" width="5.109375" style="191" customWidth="1"/>
    <col min="18" max="18" width="5.6640625" style="191" customWidth="1"/>
    <col min="19" max="16384" width="11.44140625" style="191"/>
  </cols>
  <sheetData>
    <row r="1" spans="1:22" ht="18" thickBot="1" x14ac:dyDescent="0.3">
      <c r="A1" s="504"/>
      <c r="B1" s="504"/>
      <c r="C1" s="1076" t="s">
        <v>404</v>
      </c>
      <c r="D1" s="1076"/>
      <c r="E1" s="1076"/>
      <c r="F1" s="1076"/>
      <c r="G1" s="1076"/>
      <c r="H1" s="1076"/>
      <c r="I1" s="1076"/>
      <c r="J1" s="1076"/>
      <c r="K1" s="505" t="s">
        <v>405</v>
      </c>
      <c r="L1" s="493"/>
      <c r="M1" s="493"/>
      <c r="N1" s="1077" t="s">
        <v>404</v>
      </c>
      <c r="O1" s="1077"/>
      <c r="P1" s="1077"/>
      <c r="Q1" s="1077"/>
      <c r="R1" s="1077"/>
      <c r="S1" s="1077"/>
      <c r="T1" s="1077"/>
      <c r="U1" s="1077"/>
      <c r="V1" s="494" t="s">
        <v>441</v>
      </c>
    </row>
    <row r="2" spans="1:22" ht="13.8" thickBot="1" x14ac:dyDescent="0.3">
      <c r="A2" s="490" t="s">
        <v>0</v>
      </c>
      <c r="B2" s="1036" t="str">
        <f>HYPERLINK(ESTIMÉ!B1)</f>
        <v/>
      </c>
      <c r="C2" s="1037"/>
      <c r="D2" s="1037"/>
      <c r="E2" s="1037"/>
      <c r="F2" s="1037"/>
      <c r="G2" s="1037"/>
      <c r="H2" s="1037"/>
      <c r="I2" s="1037"/>
      <c r="J2" s="1037"/>
      <c r="K2" s="1038"/>
      <c r="L2" s="495" t="s">
        <v>0</v>
      </c>
      <c r="M2" s="1078" t="str">
        <f>HYPERLINK(ESTIMÉ!B1)</f>
        <v/>
      </c>
      <c r="N2" s="1079"/>
      <c r="O2" s="1079"/>
      <c r="P2" s="1079"/>
      <c r="Q2" s="1079"/>
      <c r="R2" s="1079"/>
      <c r="S2" s="1079"/>
      <c r="T2" s="1079"/>
      <c r="U2" s="1079"/>
      <c r="V2" s="1080"/>
    </row>
    <row r="3" spans="1:22" ht="13.8" thickBot="1" x14ac:dyDescent="0.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</row>
    <row r="4" spans="1:22" x14ac:dyDescent="0.25">
      <c r="A4" s="1047" t="s">
        <v>11</v>
      </c>
      <c r="B4" s="1048"/>
      <c r="C4" s="1052" t="str">
        <f>HYPERLINK(ESTIMÉ!B4)</f>
        <v/>
      </c>
      <c r="D4" s="1053"/>
      <c r="E4" s="1053"/>
      <c r="F4" s="1053"/>
      <c r="G4" s="1053"/>
      <c r="H4" s="1053"/>
      <c r="I4" s="1053"/>
      <c r="J4" s="1053"/>
      <c r="K4" s="1054"/>
      <c r="L4" s="1081" t="s">
        <v>11</v>
      </c>
      <c r="M4" s="1082"/>
      <c r="N4" s="1085" t="str">
        <f>HYPERLINK(ESTIMÉ!B4)</f>
        <v/>
      </c>
      <c r="O4" s="813"/>
      <c r="P4" s="813"/>
      <c r="Q4" s="813"/>
      <c r="R4" s="813"/>
      <c r="S4" s="813"/>
      <c r="T4" s="813"/>
      <c r="U4" s="813"/>
      <c r="V4" s="1086"/>
    </row>
    <row r="5" spans="1:22" ht="13.8" thickBot="1" x14ac:dyDescent="0.3">
      <c r="A5" s="1057"/>
      <c r="B5" s="1055"/>
      <c r="C5" s="497" t="s">
        <v>406</v>
      </c>
      <c r="D5" s="1042"/>
      <c r="E5" s="1042"/>
      <c r="F5" s="498" t="s">
        <v>407</v>
      </c>
      <c r="G5" s="1042"/>
      <c r="H5" s="1042"/>
      <c r="I5" s="498" t="s">
        <v>408</v>
      </c>
      <c r="J5" s="1042"/>
      <c r="K5" s="1043"/>
      <c r="L5" s="1083"/>
      <c r="M5" s="1084"/>
      <c r="N5" s="497" t="s">
        <v>406</v>
      </c>
      <c r="O5" s="1087"/>
      <c r="P5" s="1042"/>
      <c r="Q5" s="498" t="s">
        <v>407</v>
      </c>
      <c r="R5" s="1087"/>
      <c r="S5" s="1042"/>
      <c r="T5" s="498" t="s">
        <v>408</v>
      </c>
      <c r="U5" s="1087"/>
      <c r="V5" s="1043"/>
    </row>
    <row r="6" spans="1:22" ht="13.8" thickBot="1" x14ac:dyDescent="0.3">
      <c r="A6" s="499"/>
      <c r="L6" s="499"/>
    </row>
    <row r="7" spans="1:22" x14ac:dyDescent="0.25">
      <c r="A7" s="1044" t="s">
        <v>409</v>
      </c>
      <c r="B7" s="1045"/>
      <c r="C7" s="1046"/>
      <c r="D7" s="1050" t="s">
        <v>39</v>
      </c>
      <c r="E7" s="1051"/>
      <c r="F7" s="1050" t="s">
        <v>410</v>
      </c>
      <c r="G7" s="1051"/>
      <c r="H7" s="1045" t="s">
        <v>411</v>
      </c>
      <c r="I7" s="1045"/>
      <c r="J7" s="1045"/>
      <c r="K7" s="1046"/>
      <c r="L7" s="1088" t="s">
        <v>409</v>
      </c>
      <c r="M7" s="1089"/>
      <c r="N7" s="1090"/>
      <c r="O7" s="1092" t="s">
        <v>39</v>
      </c>
      <c r="P7" s="1093"/>
      <c r="Q7" s="1092" t="s">
        <v>410</v>
      </c>
      <c r="R7" s="1093"/>
      <c r="S7" s="1089" t="s">
        <v>411</v>
      </c>
      <c r="T7" s="1089"/>
      <c r="U7" s="1089"/>
      <c r="V7" s="1090"/>
    </row>
    <row r="8" spans="1:22" ht="13.8" thickBot="1" x14ac:dyDescent="0.3">
      <c r="A8" s="1047"/>
      <c r="B8" s="1048"/>
      <c r="C8" s="1049"/>
      <c r="D8" s="491" t="s">
        <v>412</v>
      </c>
      <c r="E8" s="492" t="s">
        <v>413</v>
      </c>
      <c r="F8" s="491" t="s">
        <v>414</v>
      </c>
      <c r="G8" s="492" t="s">
        <v>415</v>
      </c>
      <c r="H8" s="1055"/>
      <c r="I8" s="1055"/>
      <c r="J8" s="1055"/>
      <c r="K8" s="1056"/>
      <c r="L8" s="1081"/>
      <c r="M8" s="1082"/>
      <c r="N8" s="1091"/>
      <c r="O8" s="500" t="s">
        <v>412</v>
      </c>
      <c r="P8" s="501" t="s">
        <v>413</v>
      </c>
      <c r="Q8" s="500" t="s">
        <v>414</v>
      </c>
      <c r="R8" s="501" t="s">
        <v>415</v>
      </c>
      <c r="S8" s="1084"/>
      <c r="T8" s="1084"/>
      <c r="U8" s="1084"/>
      <c r="V8" s="1094"/>
    </row>
    <row r="9" spans="1:22" ht="16.2" thickBot="1" x14ac:dyDescent="0.35">
      <c r="A9" s="1030" t="s">
        <v>416</v>
      </c>
      <c r="B9" s="1031"/>
      <c r="C9" s="1031"/>
      <c r="D9" s="1031"/>
      <c r="E9" s="1031"/>
      <c r="F9" s="1031"/>
      <c r="G9" s="1031"/>
      <c r="H9" s="1031"/>
      <c r="I9" s="1031"/>
      <c r="J9" s="1031"/>
      <c r="K9" s="1032"/>
      <c r="L9" s="1061"/>
      <c r="M9" s="1062"/>
      <c r="N9" s="1063"/>
      <c r="O9" s="502"/>
      <c r="P9" s="503"/>
      <c r="Q9" s="502"/>
      <c r="R9" s="503"/>
      <c r="S9" s="1064"/>
      <c r="T9" s="1065"/>
      <c r="U9" s="1065"/>
      <c r="V9" s="1066"/>
    </row>
    <row r="10" spans="1:22" ht="13.8" thickBot="1" x14ac:dyDescent="0.3">
      <c r="A10" s="1039" t="s">
        <v>417</v>
      </c>
      <c r="B10" s="1040"/>
      <c r="C10" s="1041"/>
      <c r="D10" s="502"/>
      <c r="E10" s="503"/>
      <c r="F10" s="502"/>
      <c r="G10" s="503"/>
      <c r="H10" s="1058"/>
      <c r="I10" s="1059"/>
      <c r="J10" s="1059"/>
      <c r="K10" s="1060"/>
      <c r="L10" s="1061"/>
      <c r="M10" s="1062"/>
      <c r="N10" s="1063"/>
      <c r="O10" s="502"/>
      <c r="P10" s="503"/>
      <c r="Q10" s="502"/>
      <c r="R10" s="503"/>
      <c r="S10" s="1064"/>
      <c r="T10" s="1065"/>
      <c r="U10" s="1065"/>
      <c r="V10" s="1066"/>
    </row>
    <row r="11" spans="1:22" ht="13.8" thickBot="1" x14ac:dyDescent="0.3">
      <c r="A11" s="1039" t="s">
        <v>133</v>
      </c>
      <c r="B11" s="1040"/>
      <c r="C11" s="1041"/>
      <c r="D11" s="502"/>
      <c r="E11" s="503"/>
      <c r="F11" s="502"/>
      <c r="G11" s="503"/>
      <c r="H11" s="1064"/>
      <c r="I11" s="1065"/>
      <c r="J11" s="1065"/>
      <c r="K11" s="1066"/>
      <c r="L11" s="1061"/>
      <c r="M11" s="1062"/>
      <c r="N11" s="1063"/>
      <c r="O11" s="502"/>
      <c r="P11" s="503"/>
      <c r="Q11" s="502"/>
      <c r="R11" s="503"/>
      <c r="S11" s="1064"/>
      <c r="T11" s="1065"/>
      <c r="U11" s="1065"/>
      <c r="V11" s="1066"/>
    </row>
    <row r="12" spans="1:22" ht="13.8" thickBot="1" x14ac:dyDescent="0.3">
      <c r="A12" s="1039" t="s">
        <v>135</v>
      </c>
      <c r="B12" s="1040"/>
      <c r="C12" s="1041"/>
      <c r="D12" s="502"/>
      <c r="E12" s="503"/>
      <c r="F12" s="502"/>
      <c r="G12" s="503"/>
      <c r="H12" s="1064"/>
      <c r="I12" s="1065"/>
      <c r="J12" s="1065"/>
      <c r="K12" s="1066"/>
      <c r="L12" s="1061"/>
      <c r="M12" s="1062"/>
      <c r="N12" s="1063"/>
      <c r="O12" s="502"/>
      <c r="P12" s="503"/>
      <c r="Q12" s="502"/>
      <c r="R12" s="503"/>
      <c r="S12" s="1064"/>
      <c r="T12" s="1065"/>
      <c r="U12" s="1065"/>
      <c r="V12" s="1066"/>
    </row>
    <row r="13" spans="1:22" ht="13.8" thickBot="1" x14ac:dyDescent="0.3">
      <c r="A13" s="1039" t="s">
        <v>418</v>
      </c>
      <c r="B13" s="1040"/>
      <c r="C13" s="1041"/>
      <c r="D13" s="502"/>
      <c r="E13" s="503"/>
      <c r="F13" s="502"/>
      <c r="G13" s="503"/>
      <c r="H13" s="1064"/>
      <c r="I13" s="1065"/>
      <c r="J13" s="1065"/>
      <c r="K13" s="1066"/>
      <c r="L13" s="1061"/>
      <c r="M13" s="1062"/>
      <c r="N13" s="1063"/>
      <c r="O13" s="502"/>
      <c r="P13" s="503"/>
      <c r="Q13" s="502"/>
      <c r="R13" s="503"/>
      <c r="S13" s="1064"/>
      <c r="T13" s="1065"/>
      <c r="U13" s="1065"/>
      <c r="V13" s="1066"/>
    </row>
    <row r="14" spans="1:22" ht="13.8" thickBot="1" x14ac:dyDescent="0.3">
      <c r="A14" s="1039" t="s">
        <v>419</v>
      </c>
      <c r="B14" s="1040"/>
      <c r="C14" s="1041"/>
      <c r="D14" s="502"/>
      <c r="E14" s="503"/>
      <c r="F14" s="502"/>
      <c r="G14" s="503"/>
      <c r="H14" s="1064"/>
      <c r="I14" s="1065"/>
      <c r="J14" s="1065"/>
      <c r="K14" s="1066"/>
      <c r="L14" s="1061"/>
      <c r="M14" s="1062"/>
      <c r="N14" s="1063"/>
      <c r="O14" s="502"/>
      <c r="P14" s="503"/>
      <c r="Q14" s="502"/>
      <c r="R14" s="503"/>
      <c r="S14" s="1064"/>
      <c r="T14" s="1065"/>
      <c r="U14" s="1065"/>
      <c r="V14" s="1066"/>
    </row>
    <row r="15" spans="1:22" ht="13.8" thickBot="1" x14ac:dyDescent="0.3">
      <c r="A15" s="1039" t="s">
        <v>120</v>
      </c>
      <c r="B15" s="1040"/>
      <c r="C15" s="1041"/>
      <c r="D15" s="502"/>
      <c r="E15" s="503"/>
      <c r="F15" s="502"/>
      <c r="G15" s="503"/>
      <c r="H15" s="1064"/>
      <c r="I15" s="1065"/>
      <c r="J15" s="1065"/>
      <c r="K15" s="1066"/>
      <c r="L15" s="1061"/>
      <c r="M15" s="1062"/>
      <c r="N15" s="1063"/>
      <c r="O15" s="502"/>
      <c r="P15" s="503"/>
      <c r="Q15" s="502"/>
      <c r="R15" s="503"/>
      <c r="S15" s="1064"/>
      <c r="T15" s="1065"/>
      <c r="U15" s="1065"/>
      <c r="V15" s="1066"/>
    </row>
    <row r="16" spans="1:22" ht="13.8" thickBot="1" x14ac:dyDescent="0.3">
      <c r="A16" s="1039" t="s">
        <v>118</v>
      </c>
      <c r="B16" s="1040"/>
      <c r="C16" s="1041"/>
      <c r="D16" s="502"/>
      <c r="E16" s="503"/>
      <c r="F16" s="502"/>
      <c r="G16" s="503"/>
      <c r="H16" s="1064"/>
      <c r="I16" s="1065"/>
      <c r="J16" s="1065"/>
      <c r="K16" s="1066"/>
      <c r="L16" s="1061"/>
      <c r="M16" s="1062"/>
      <c r="N16" s="1063"/>
      <c r="O16" s="502"/>
      <c r="P16" s="503"/>
      <c r="Q16" s="502"/>
      <c r="R16" s="503"/>
      <c r="S16" s="1064"/>
      <c r="T16" s="1065"/>
      <c r="U16" s="1065"/>
      <c r="V16" s="1066"/>
    </row>
    <row r="17" spans="1:22" ht="13.8" thickBot="1" x14ac:dyDescent="0.3">
      <c r="A17" s="1039" t="s">
        <v>420</v>
      </c>
      <c r="B17" s="1040"/>
      <c r="C17" s="1041"/>
      <c r="D17" s="502"/>
      <c r="E17" s="503"/>
      <c r="F17" s="502"/>
      <c r="G17" s="503"/>
      <c r="H17" s="1064"/>
      <c r="I17" s="1065"/>
      <c r="J17" s="1065"/>
      <c r="K17" s="1066"/>
      <c r="L17" s="1061"/>
      <c r="M17" s="1062"/>
      <c r="N17" s="1063"/>
      <c r="O17" s="502"/>
      <c r="P17" s="503"/>
      <c r="Q17" s="502"/>
      <c r="R17" s="503"/>
      <c r="S17" s="1064"/>
      <c r="T17" s="1065"/>
      <c r="U17" s="1065"/>
      <c r="V17" s="1066"/>
    </row>
    <row r="18" spans="1:22" ht="13.8" thickBot="1" x14ac:dyDescent="0.3">
      <c r="A18" s="1039" t="s">
        <v>421</v>
      </c>
      <c r="B18" s="1040"/>
      <c r="C18" s="1041"/>
      <c r="D18" s="502"/>
      <c r="E18" s="503"/>
      <c r="F18" s="502"/>
      <c r="G18" s="503"/>
      <c r="H18" s="1064"/>
      <c r="I18" s="1065"/>
      <c r="J18" s="1065"/>
      <c r="K18" s="1066"/>
      <c r="L18" s="1061"/>
      <c r="M18" s="1062"/>
      <c r="N18" s="1063"/>
      <c r="O18" s="502"/>
      <c r="P18" s="503"/>
      <c r="Q18" s="502"/>
      <c r="R18" s="503"/>
      <c r="S18" s="1064"/>
      <c r="T18" s="1065"/>
      <c r="U18" s="1065"/>
      <c r="V18" s="1066"/>
    </row>
    <row r="19" spans="1:22" ht="13.8" thickBot="1" x14ac:dyDescent="0.3">
      <c r="A19" s="1061"/>
      <c r="B19" s="1062"/>
      <c r="C19" s="1063"/>
      <c r="D19" s="502"/>
      <c r="E19" s="503"/>
      <c r="F19" s="502"/>
      <c r="G19" s="503"/>
      <c r="H19" s="1064"/>
      <c r="I19" s="1065"/>
      <c r="J19" s="1065"/>
      <c r="K19" s="1066"/>
      <c r="L19" s="1061"/>
      <c r="M19" s="1062"/>
      <c r="N19" s="1063"/>
      <c r="O19" s="502"/>
      <c r="P19" s="503"/>
      <c r="Q19" s="502"/>
      <c r="R19" s="503"/>
      <c r="S19" s="1064"/>
      <c r="T19" s="1065"/>
      <c r="U19" s="1065"/>
      <c r="V19" s="1066"/>
    </row>
    <row r="20" spans="1:22" ht="13.8" thickBot="1" x14ac:dyDescent="0.3">
      <c r="A20" s="1061"/>
      <c r="B20" s="1062"/>
      <c r="C20" s="1063"/>
      <c r="D20" s="502"/>
      <c r="E20" s="503"/>
      <c r="F20" s="502"/>
      <c r="G20" s="503"/>
      <c r="H20" s="1064"/>
      <c r="I20" s="1065"/>
      <c r="J20" s="1065"/>
      <c r="K20" s="1066"/>
      <c r="L20" s="1061"/>
      <c r="M20" s="1062"/>
      <c r="N20" s="1063"/>
      <c r="O20" s="502"/>
      <c r="P20" s="503"/>
      <c r="Q20" s="502"/>
      <c r="R20" s="503"/>
      <c r="S20" s="1064"/>
      <c r="T20" s="1065"/>
      <c r="U20" s="1065"/>
      <c r="V20" s="1066"/>
    </row>
    <row r="21" spans="1:22" ht="13.8" thickBot="1" x14ac:dyDescent="0.3">
      <c r="A21" s="1061"/>
      <c r="B21" s="1062"/>
      <c r="C21" s="1063"/>
      <c r="D21" s="502"/>
      <c r="E21" s="503"/>
      <c r="F21" s="502"/>
      <c r="G21" s="503"/>
      <c r="H21" s="1064"/>
      <c r="I21" s="1065"/>
      <c r="J21" s="1065"/>
      <c r="K21" s="1066"/>
      <c r="L21" s="1061"/>
      <c r="M21" s="1062"/>
      <c r="N21" s="1063"/>
      <c r="O21" s="502"/>
      <c r="P21" s="503"/>
      <c r="Q21" s="502"/>
      <c r="R21" s="503"/>
      <c r="S21" s="1064"/>
      <c r="T21" s="1065"/>
      <c r="U21" s="1065"/>
      <c r="V21" s="1066"/>
    </row>
    <row r="22" spans="1:22" ht="16.2" thickBot="1" x14ac:dyDescent="0.35">
      <c r="A22" s="1033" t="s">
        <v>422</v>
      </c>
      <c r="B22" s="1034"/>
      <c r="C22" s="1034"/>
      <c r="D22" s="1034"/>
      <c r="E22" s="1034"/>
      <c r="F22" s="1034"/>
      <c r="G22" s="1034"/>
      <c r="H22" s="1034"/>
      <c r="I22" s="1034"/>
      <c r="J22" s="1034"/>
      <c r="K22" s="1035"/>
      <c r="L22" s="1061"/>
      <c r="M22" s="1062"/>
      <c r="N22" s="1063"/>
      <c r="O22" s="502"/>
      <c r="P22" s="503"/>
      <c r="Q22" s="502"/>
      <c r="R22" s="503"/>
      <c r="S22" s="1064"/>
      <c r="T22" s="1065"/>
      <c r="U22" s="1065"/>
      <c r="V22" s="1066"/>
    </row>
    <row r="23" spans="1:22" ht="13.8" thickBot="1" x14ac:dyDescent="0.3">
      <c r="A23" s="1039" t="s">
        <v>423</v>
      </c>
      <c r="B23" s="1040"/>
      <c r="C23" s="1041"/>
      <c r="D23" s="502"/>
      <c r="E23" s="503"/>
      <c r="F23" s="502"/>
      <c r="G23" s="503"/>
      <c r="H23" s="1064"/>
      <c r="I23" s="1065"/>
      <c r="J23" s="1065"/>
      <c r="K23" s="1066"/>
      <c r="L23" s="1061"/>
      <c r="M23" s="1062"/>
      <c r="N23" s="1063"/>
      <c r="O23" s="502"/>
      <c r="P23" s="503"/>
      <c r="Q23" s="502"/>
      <c r="R23" s="503"/>
      <c r="S23" s="1064"/>
      <c r="T23" s="1065"/>
      <c r="U23" s="1065"/>
      <c r="V23" s="1066"/>
    </row>
    <row r="24" spans="1:22" ht="13.8" thickBot="1" x14ac:dyDescent="0.3">
      <c r="A24" s="1039" t="s">
        <v>424</v>
      </c>
      <c r="B24" s="1040"/>
      <c r="C24" s="1041"/>
      <c r="D24" s="502"/>
      <c r="E24" s="503"/>
      <c r="F24" s="502"/>
      <c r="G24" s="503"/>
      <c r="H24" s="1064"/>
      <c r="I24" s="1065"/>
      <c r="J24" s="1065"/>
      <c r="K24" s="1066"/>
      <c r="L24" s="1061"/>
      <c r="M24" s="1062"/>
      <c r="N24" s="1063"/>
      <c r="O24" s="502"/>
      <c r="P24" s="503"/>
      <c r="Q24" s="502"/>
      <c r="R24" s="503"/>
      <c r="S24" s="1064"/>
      <c r="T24" s="1065"/>
      <c r="U24" s="1065"/>
      <c r="V24" s="1066"/>
    </row>
    <row r="25" spans="1:22" ht="13.8" thickBot="1" x14ac:dyDescent="0.3">
      <c r="A25" s="1039" t="s">
        <v>425</v>
      </c>
      <c r="B25" s="1040"/>
      <c r="C25" s="1041"/>
      <c r="D25" s="502"/>
      <c r="E25" s="503"/>
      <c r="F25" s="502"/>
      <c r="G25" s="503"/>
      <c r="H25" s="1064"/>
      <c r="I25" s="1065"/>
      <c r="J25" s="1065"/>
      <c r="K25" s="1066"/>
      <c r="L25" s="1061"/>
      <c r="M25" s="1062"/>
      <c r="N25" s="1063"/>
      <c r="O25" s="502"/>
      <c r="P25" s="503"/>
      <c r="Q25" s="502"/>
      <c r="R25" s="503"/>
      <c r="S25" s="1064"/>
      <c r="T25" s="1065"/>
      <c r="U25" s="1065"/>
      <c r="V25" s="1066"/>
    </row>
    <row r="26" spans="1:22" ht="13.8" thickBot="1" x14ac:dyDescent="0.3">
      <c r="A26" s="1039" t="s">
        <v>426</v>
      </c>
      <c r="B26" s="1040"/>
      <c r="C26" s="1041"/>
      <c r="D26" s="502"/>
      <c r="E26" s="503"/>
      <c r="F26" s="502"/>
      <c r="G26" s="503"/>
      <c r="H26" s="1064"/>
      <c r="I26" s="1065"/>
      <c r="J26" s="1065"/>
      <c r="K26" s="1066"/>
      <c r="L26" s="1061"/>
      <c r="M26" s="1062"/>
      <c r="N26" s="1063"/>
      <c r="O26" s="502"/>
      <c r="P26" s="503"/>
      <c r="Q26" s="502"/>
      <c r="R26" s="503"/>
      <c r="S26" s="1064"/>
      <c r="T26" s="1065"/>
      <c r="U26" s="1065"/>
      <c r="V26" s="1066"/>
    </row>
    <row r="27" spans="1:22" ht="13.8" thickBot="1" x14ac:dyDescent="0.3">
      <c r="A27" s="1039" t="s">
        <v>427</v>
      </c>
      <c r="B27" s="1040"/>
      <c r="C27" s="1041"/>
      <c r="D27" s="502"/>
      <c r="E27" s="503"/>
      <c r="F27" s="502"/>
      <c r="G27" s="503"/>
      <c r="H27" s="1064"/>
      <c r="I27" s="1065"/>
      <c r="J27" s="1065"/>
      <c r="K27" s="1066"/>
      <c r="L27" s="1061"/>
      <c r="M27" s="1062"/>
      <c r="N27" s="1063"/>
      <c r="O27" s="502"/>
      <c r="P27" s="503"/>
      <c r="Q27" s="502"/>
      <c r="R27" s="503"/>
      <c r="S27" s="1064"/>
      <c r="T27" s="1065"/>
      <c r="U27" s="1065"/>
      <c r="V27" s="1066"/>
    </row>
    <row r="28" spans="1:22" ht="13.8" thickBot="1" x14ac:dyDescent="0.3">
      <c r="A28" s="1039" t="s">
        <v>428</v>
      </c>
      <c r="B28" s="1040"/>
      <c r="C28" s="1041"/>
      <c r="D28" s="502"/>
      <c r="E28" s="503"/>
      <c r="F28" s="502"/>
      <c r="G28" s="503"/>
      <c r="H28" s="1064"/>
      <c r="I28" s="1065"/>
      <c r="J28" s="1065"/>
      <c r="K28" s="1066"/>
      <c r="L28" s="1061"/>
      <c r="M28" s="1062"/>
      <c r="N28" s="1063"/>
      <c r="O28" s="502"/>
      <c r="P28" s="503"/>
      <c r="Q28" s="502"/>
      <c r="R28" s="503"/>
      <c r="S28" s="1064"/>
      <c r="T28" s="1065"/>
      <c r="U28" s="1065"/>
      <c r="V28" s="1066"/>
    </row>
    <row r="29" spans="1:22" ht="13.8" thickBot="1" x14ac:dyDescent="0.3">
      <c r="A29" s="1039" t="s">
        <v>429</v>
      </c>
      <c r="B29" s="1040"/>
      <c r="C29" s="1041"/>
      <c r="D29" s="502"/>
      <c r="E29" s="503"/>
      <c r="F29" s="502"/>
      <c r="G29" s="503"/>
      <c r="H29" s="1064"/>
      <c r="I29" s="1065"/>
      <c r="J29" s="1065"/>
      <c r="K29" s="1066"/>
      <c r="L29" s="1061"/>
      <c r="M29" s="1062"/>
      <c r="N29" s="1063"/>
      <c r="O29" s="502"/>
      <c r="P29" s="503"/>
      <c r="Q29" s="502"/>
      <c r="R29" s="503"/>
      <c r="S29" s="1064"/>
      <c r="T29" s="1065"/>
      <c r="U29" s="1065"/>
      <c r="V29" s="1066"/>
    </row>
    <row r="30" spans="1:22" ht="13.8" thickBot="1" x14ac:dyDescent="0.3">
      <c r="A30" s="1039" t="s">
        <v>430</v>
      </c>
      <c r="B30" s="1040"/>
      <c r="C30" s="1041"/>
      <c r="D30" s="502"/>
      <c r="E30" s="503"/>
      <c r="F30" s="502"/>
      <c r="G30" s="503"/>
      <c r="H30" s="1064"/>
      <c r="I30" s="1065"/>
      <c r="J30" s="1065"/>
      <c r="K30" s="1066"/>
      <c r="L30" s="1061"/>
      <c r="M30" s="1062"/>
      <c r="N30" s="1063"/>
      <c r="O30" s="502"/>
      <c r="P30" s="503"/>
      <c r="Q30" s="502"/>
      <c r="R30" s="503"/>
      <c r="S30" s="1064"/>
      <c r="T30" s="1065"/>
      <c r="U30" s="1065"/>
      <c r="V30" s="1066"/>
    </row>
    <row r="31" spans="1:22" ht="13.8" thickBot="1" x14ac:dyDescent="0.3">
      <c r="A31" s="1039" t="s">
        <v>115</v>
      </c>
      <c r="B31" s="1040"/>
      <c r="C31" s="1041"/>
      <c r="D31" s="502"/>
      <c r="E31" s="503"/>
      <c r="F31" s="502"/>
      <c r="G31" s="503"/>
      <c r="H31" s="1064"/>
      <c r="I31" s="1065"/>
      <c r="J31" s="1065"/>
      <c r="K31" s="1066"/>
      <c r="L31" s="1061"/>
      <c r="M31" s="1062"/>
      <c r="N31" s="1063"/>
      <c r="O31" s="502"/>
      <c r="P31" s="503"/>
      <c r="Q31" s="502"/>
      <c r="R31" s="503"/>
      <c r="S31" s="1064"/>
      <c r="T31" s="1065"/>
      <c r="U31" s="1065"/>
      <c r="V31" s="1066"/>
    </row>
    <row r="32" spans="1:22" ht="13.8" thickBot="1" x14ac:dyDescent="0.3">
      <c r="A32" s="1039" t="s">
        <v>431</v>
      </c>
      <c r="B32" s="1040"/>
      <c r="C32" s="1041"/>
      <c r="D32" s="502"/>
      <c r="E32" s="503"/>
      <c r="F32" s="502"/>
      <c r="G32" s="503"/>
      <c r="H32" s="584" t="s">
        <v>75</v>
      </c>
      <c r="I32" s="1070"/>
      <c r="J32" s="1071"/>
      <c r="K32" s="1072"/>
      <c r="L32" s="1061"/>
      <c r="M32" s="1062"/>
      <c r="N32" s="1063"/>
      <c r="O32" s="502"/>
      <c r="P32" s="503"/>
      <c r="Q32" s="502"/>
      <c r="R32" s="503"/>
      <c r="S32" s="1064"/>
      <c r="T32" s="1065"/>
      <c r="U32" s="1065"/>
      <c r="V32" s="1066"/>
    </row>
    <row r="33" spans="1:22" ht="13.8" thickBot="1" x14ac:dyDescent="0.3">
      <c r="A33" s="1061"/>
      <c r="B33" s="1062"/>
      <c r="C33" s="1063"/>
      <c r="D33" s="502"/>
      <c r="E33" s="503"/>
      <c r="F33" s="502"/>
      <c r="G33" s="503"/>
      <c r="H33" s="584" t="s">
        <v>432</v>
      </c>
      <c r="I33" s="1070"/>
      <c r="J33" s="1071"/>
      <c r="K33" s="1072"/>
      <c r="L33" s="1061"/>
      <c r="M33" s="1062"/>
      <c r="N33" s="1063"/>
      <c r="O33" s="502"/>
      <c r="P33" s="503"/>
      <c r="Q33" s="502"/>
      <c r="R33" s="503"/>
      <c r="S33" s="1064"/>
      <c r="T33" s="1065"/>
      <c r="U33" s="1065"/>
      <c r="V33" s="1066"/>
    </row>
    <row r="34" spans="1:22" ht="13.8" thickBot="1" x14ac:dyDescent="0.3">
      <c r="A34" s="1061"/>
      <c r="B34" s="1062"/>
      <c r="C34" s="1063"/>
      <c r="D34" s="502"/>
      <c r="E34" s="503"/>
      <c r="F34" s="502"/>
      <c r="G34" s="503"/>
      <c r="H34" s="584" t="s">
        <v>75</v>
      </c>
      <c r="I34" s="1070"/>
      <c r="J34" s="1071"/>
      <c r="K34" s="1072"/>
      <c r="L34" s="1061"/>
      <c r="M34" s="1062"/>
      <c r="N34" s="1063"/>
      <c r="O34" s="502"/>
      <c r="P34" s="503"/>
      <c r="Q34" s="502"/>
      <c r="R34" s="503"/>
      <c r="S34" s="1064"/>
      <c r="T34" s="1065"/>
      <c r="U34" s="1065"/>
      <c r="V34" s="1066"/>
    </row>
    <row r="35" spans="1:22" ht="13.8" thickBot="1" x14ac:dyDescent="0.3">
      <c r="A35" s="1061"/>
      <c r="B35" s="1062"/>
      <c r="C35" s="1063"/>
      <c r="D35" s="502"/>
      <c r="E35" s="503"/>
      <c r="F35" s="502"/>
      <c r="G35" s="503"/>
      <c r="H35" s="585" t="s">
        <v>432</v>
      </c>
      <c r="I35" s="1070"/>
      <c r="J35" s="1071"/>
      <c r="K35" s="1072"/>
      <c r="L35" s="1061"/>
      <c r="M35" s="1062"/>
      <c r="N35" s="1063"/>
      <c r="O35" s="502"/>
      <c r="P35" s="503"/>
      <c r="Q35" s="502"/>
      <c r="R35" s="503"/>
      <c r="S35" s="1064"/>
      <c r="T35" s="1065"/>
      <c r="U35" s="1065"/>
      <c r="V35" s="1066"/>
    </row>
    <row r="36" spans="1:22" ht="13.8" thickBot="1" x14ac:dyDescent="0.3">
      <c r="A36" s="1061"/>
      <c r="B36" s="1062"/>
      <c r="C36" s="1063"/>
      <c r="D36" s="502"/>
      <c r="E36" s="503"/>
      <c r="F36" s="502"/>
      <c r="G36" s="503"/>
      <c r="H36" s="1064"/>
      <c r="I36" s="1065"/>
      <c r="J36" s="1065"/>
      <c r="K36" s="1066"/>
      <c r="L36" s="1061"/>
      <c r="M36" s="1062"/>
      <c r="N36" s="1063"/>
      <c r="O36" s="502"/>
      <c r="P36" s="503"/>
      <c r="Q36" s="502"/>
      <c r="R36" s="503"/>
      <c r="S36" s="1064"/>
      <c r="T36" s="1065"/>
      <c r="U36" s="1065"/>
      <c r="V36" s="1066"/>
    </row>
    <row r="37" spans="1:22" ht="13.8" thickBot="1" x14ac:dyDescent="0.3">
      <c r="A37" s="1061"/>
      <c r="B37" s="1062"/>
      <c r="C37" s="1063"/>
      <c r="D37" s="502"/>
      <c r="E37" s="503"/>
      <c r="F37" s="502"/>
      <c r="G37" s="503"/>
      <c r="H37" s="1064"/>
      <c r="I37" s="1065"/>
      <c r="J37" s="1065"/>
      <c r="K37" s="1066"/>
      <c r="L37" s="1061"/>
      <c r="M37" s="1062"/>
      <c r="N37" s="1063"/>
      <c r="O37" s="502"/>
      <c r="P37" s="503"/>
      <c r="Q37" s="502"/>
      <c r="R37" s="503"/>
      <c r="S37" s="1064"/>
      <c r="T37" s="1065"/>
      <c r="U37" s="1065"/>
      <c r="V37" s="1066"/>
    </row>
    <row r="38" spans="1:22" ht="13.8" thickBot="1" x14ac:dyDescent="0.3">
      <c r="A38" s="1061"/>
      <c r="B38" s="1062"/>
      <c r="C38" s="1063"/>
      <c r="D38" s="502"/>
      <c r="E38" s="503"/>
      <c r="F38" s="502"/>
      <c r="G38" s="503"/>
      <c r="H38" s="1064"/>
      <c r="I38" s="1065"/>
      <c r="J38" s="1065"/>
      <c r="K38" s="1066"/>
      <c r="L38" s="1061"/>
      <c r="M38" s="1062"/>
      <c r="N38" s="1063"/>
      <c r="O38" s="502"/>
      <c r="P38" s="503"/>
      <c r="Q38" s="502"/>
      <c r="R38" s="503"/>
      <c r="S38" s="1064"/>
      <c r="T38" s="1065"/>
      <c r="U38" s="1065"/>
      <c r="V38" s="1066"/>
    </row>
    <row r="39" spans="1:22" ht="13.8" thickBot="1" x14ac:dyDescent="0.3">
      <c r="A39" s="1061"/>
      <c r="B39" s="1062"/>
      <c r="C39" s="1063"/>
      <c r="D39" s="502"/>
      <c r="E39" s="503"/>
      <c r="F39" s="502"/>
      <c r="G39" s="503"/>
      <c r="H39" s="1064"/>
      <c r="I39" s="1065"/>
      <c r="J39" s="1065"/>
      <c r="K39" s="1066"/>
      <c r="L39" s="1061"/>
      <c r="M39" s="1062"/>
      <c r="N39" s="1063"/>
      <c r="O39" s="502"/>
      <c r="P39" s="503"/>
      <c r="Q39" s="502"/>
      <c r="R39" s="503"/>
      <c r="S39" s="1064"/>
      <c r="T39" s="1065"/>
      <c r="U39" s="1065"/>
      <c r="V39" s="1066"/>
    </row>
    <row r="40" spans="1:22" ht="13.8" thickBot="1" x14ac:dyDescent="0.3">
      <c r="A40" s="1061"/>
      <c r="B40" s="1062"/>
      <c r="C40" s="1063"/>
      <c r="D40" s="502"/>
      <c r="E40" s="503"/>
      <c r="F40" s="502"/>
      <c r="G40" s="503"/>
      <c r="H40" s="1064"/>
      <c r="I40" s="1065"/>
      <c r="J40" s="1065"/>
      <c r="K40" s="1066"/>
      <c r="L40" s="1061"/>
      <c r="M40" s="1062"/>
      <c r="N40" s="1063"/>
      <c r="O40" s="502"/>
      <c r="P40" s="503"/>
      <c r="Q40" s="502"/>
      <c r="R40" s="503"/>
      <c r="S40" s="1064"/>
      <c r="T40" s="1065"/>
      <c r="U40" s="1065"/>
      <c r="V40" s="1066"/>
    </row>
    <row r="41" spans="1:22" ht="13.8" thickBot="1" x14ac:dyDescent="0.3">
      <c r="A41" s="1061"/>
      <c r="B41" s="1062"/>
      <c r="C41" s="1063"/>
      <c r="D41" s="502"/>
      <c r="E41" s="503"/>
      <c r="F41" s="502"/>
      <c r="G41" s="503"/>
      <c r="H41" s="1073"/>
      <c r="I41" s="1074"/>
      <c r="J41" s="1074"/>
      <c r="K41" s="1075"/>
      <c r="L41" s="1061"/>
      <c r="M41" s="1062"/>
      <c r="N41" s="1063"/>
      <c r="O41" s="502"/>
      <c r="P41" s="503"/>
      <c r="Q41" s="502"/>
      <c r="R41" s="503"/>
      <c r="S41" s="1064"/>
      <c r="T41" s="1065"/>
      <c r="U41" s="1065"/>
      <c r="V41" s="1066"/>
    </row>
    <row r="42" spans="1:22" ht="16.2" thickBot="1" x14ac:dyDescent="0.35">
      <c r="A42" s="1033" t="s">
        <v>33</v>
      </c>
      <c r="B42" s="1034"/>
      <c r="C42" s="1034"/>
      <c r="D42" s="1034"/>
      <c r="E42" s="1034"/>
      <c r="F42" s="1034"/>
      <c r="G42" s="1034"/>
      <c r="H42" s="1034"/>
      <c r="I42" s="1034"/>
      <c r="J42" s="1034"/>
      <c r="K42" s="1035"/>
      <c r="L42" s="1061"/>
      <c r="M42" s="1062"/>
      <c r="N42" s="1063"/>
      <c r="O42" s="502"/>
      <c r="P42" s="503"/>
      <c r="Q42" s="502"/>
      <c r="R42" s="503"/>
      <c r="S42" s="1064"/>
      <c r="T42" s="1065"/>
      <c r="U42" s="1065"/>
      <c r="V42" s="1066"/>
    </row>
    <row r="43" spans="1:22" ht="13.8" thickBot="1" x14ac:dyDescent="0.3">
      <c r="A43" s="1039" t="s">
        <v>695</v>
      </c>
      <c r="B43" s="1040"/>
      <c r="C43" s="1041"/>
      <c r="D43" s="502"/>
      <c r="E43" s="503"/>
      <c r="F43" s="502"/>
      <c r="G43" s="503"/>
      <c r="H43" s="1064"/>
      <c r="I43" s="1065"/>
      <c r="J43" s="1065"/>
      <c r="K43" s="1066"/>
      <c r="L43" s="1061"/>
      <c r="M43" s="1062"/>
      <c r="N43" s="1063"/>
      <c r="O43" s="502"/>
      <c r="P43" s="503"/>
      <c r="Q43" s="502"/>
      <c r="R43" s="503"/>
      <c r="S43" s="1064"/>
      <c r="T43" s="1065"/>
      <c r="U43" s="1065"/>
      <c r="V43" s="1066"/>
    </row>
    <row r="44" spans="1:22" ht="13.8" thickBot="1" x14ac:dyDescent="0.3">
      <c r="A44" s="1061"/>
      <c r="B44" s="1062"/>
      <c r="C44" s="1063"/>
      <c r="D44" s="502"/>
      <c r="E44" s="503"/>
      <c r="F44" s="502"/>
      <c r="G44" s="503"/>
      <c r="H44" s="1064"/>
      <c r="I44" s="1065"/>
      <c r="J44" s="1065"/>
      <c r="K44" s="1066"/>
      <c r="L44" s="1061"/>
      <c r="M44" s="1062"/>
      <c r="N44" s="1063"/>
      <c r="O44" s="502"/>
      <c r="P44" s="503"/>
      <c r="Q44" s="502"/>
      <c r="R44" s="503"/>
      <c r="S44" s="1064"/>
      <c r="T44" s="1065"/>
      <c r="U44" s="1065"/>
      <c r="V44" s="1066"/>
    </row>
    <row r="45" spans="1:22" ht="13.8" thickBot="1" x14ac:dyDescent="0.3">
      <c r="A45" s="1061"/>
      <c r="B45" s="1062"/>
      <c r="C45" s="1063"/>
      <c r="D45" s="502"/>
      <c r="E45" s="503"/>
      <c r="F45" s="502"/>
      <c r="G45" s="503"/>
      <c r="H45" s="1064"/>
      <c r="I45" s="1065"/>
      <c r="J45" s="1065"/>
      <c r="K45" s="1066"/>
      <c r="L45" s="1061"/>
      <c r="M45" s="1062"/>
      <c r="N45" s="1063"/>
      <c r="O45" s="502"/>
      <c r="P45" s="503"/>
      <c r="Q45" s="502"/>
      <c r="R45" s="503"/>
      <c r="S45" s="1064"/>
      <c r="T45" s="1065"/>
      <c r="U45" s="1065"/>
      <c r="V45" s="1066"/>
    </row>
    <row r="46" spans="1:22" ht="13.8" thickBot="1" x14ac:dyDescent="0.3">
      <c r="A46" s="1061"/>
      <c r="B46" s="1062"/>
      <c r="C46" s="1063"/>
      <c r="D46" s="502"/>
      <c r="E46" s="503"/>
      <c r="F46" s="502"/>
      <c r="G46" s="503"/>
      <c r="H46" s="1064"/>
      <c r="I46" s="1065"/>
      <c r="J46" s="1065"/>
      <c r="K46" s="1066"/>
      <c r="L46" s="1061"/>
      <c r="M46" s="1062"/>
      <c r="N46" s="1063"/>
      <c r="O46" s="502"/>
      <c r="P46" s="503"/>
      <c r="Q46" s="502"/>
      <c r="R46" s="503"/>
      <c r="S46" s="1064"/>
      <c r="T46" s="1065"/>
      <c r="U46" s="1065"/>
      <c r="V46" s="1066"/>
    </row>
    <row r="47" spans="1:22" ht="13.8" thickBot="1" x14ac:dyDescent="0.3">
      <c r="A47" s="1061"/>
      <c r="B47" s="1062"/>
      <c r="C47" s="1063"/>
      <c r="D47" s="502"/>
      <c r="E47" s="503"/>
      <c r="F47" s="502"/>
      <c r="G47" s="503"/>
      <c r="H47" s="1064"/>
      <c r="I47" s="1065"/>
      <c r="J47" s="1065"/>
      <c r="K47" s="1066"/>
      <c r="L47" s="1061"/>
      <c r="M47" s="1062"/>
      <c r="N47" s="1063"/>
      <c r="O47" s="502"/>
      <c r="P47" s="503"/>
      <c r="Q47" s="502"/>
      <c r="R47" s="503"/>
      <c r="S47" s="1064"/>
      <c r="T47" s="1065"/>
      <c r="U47" s="1065"/>
      <c r="V47" s="1066"/>
    </row>
    <row r="48" spans="1:22" ht="13.8" thickBot="1" x14ac:dyDescent="0.3">
      <c r="A48" s="1061"/>
      <c r="B48" s="1062"/>
      <c r="C48" s="1063"/>
      <c r="D48" s="502"/>
      <c r="E48" s="503"/>
      <c r="F48" s="502"/>
      <c r="G48" s="503"/>
      <c r="H48" s="1064"/>
      <c r="I48" s="1065"/>
      <c r="J48" s="1065"/>
      <c r="K48" s="1066"/>
      <c r="L48" s="1061"/>
      <c r="M48" s="1062"/>
      <c r="N48" s="1063"/>
      <c r="O48" s="502"/>
      <c r="P48" s="503"/>
      <c r="Q48" s="502"/>
      <c r="R48" s="503"/>
      <c r="S48" s="1064"/>
      <c r="T48" s="1065"/>
      <c r="U48" s="1065"/>
      <c r="V48" s="1066"/>
    </row>
    <row r="49" spans="1:22" ht="13.8" thickBot="1" x14ac:dyDescent="0.3">
      <c r="A49" s="1061"/>
      <c r="B49" s="1062"/>
      <c r="C49" s="1063"/>
      <c r="D49" s="502"/>
      <c r="E49" s="503"/>
      <c r="F49" s="502"/>
      <c r="G49" s="503"/>
      <c r="H49" s="1064"/>
      <c r="I49" s="1065"/>
      <c r="J49" s="1065"/>
      <c r="K49" s="1066"/>
      <c r="L49" s="1061"/>
      <c r="M49" s="1062"/>
      <c r="N49" s="1063"/>
      <c r="O49" s="502"/>
      <c r="P49" s="503"/>
      <c r="Q49" s="502"/>
      <c r="R49" s="503"/>
      <c r="S49" s="1064"/>
      <c r="T49" s="1065"/>
      <c r="U49" s="1065"/>
      <c r="V49" s="1066"/>
    </row>
    <row r="50" spans="1:22" ht="13.8" thickBot="1" x14ac:dyDescent="0.3">
      <c r="A50" s="1061"/>
      <c r="B50" s="1062"/>
      <c r="C50" s="1063"/>
      <c r="D50" s="502"/>
      <c r="E50" s="503"/>
      <c r="F50" s="502"/>
      <c r="G50" s="503"/>
      <c r="H50" s="1064"/>
      <c r="I50" s="1065"/>
      <c r="J50" s="1065"/>
      <c r="K50" s="1066"/>
      <c r="L50" s="1061"/>
      <c r="M50" s="1062"/>
      <c r="N50" s="1063"/>
      <c r="O50" s="502"/>
      <c r="P50" s="503"/>
      <c r="Q50" s="502"/>
      <c r="R50" s="503"/>
      <c r="S50" s="1064"/>
      <c r="T50" s="1065"/>
      <c r="U50" s="1065"/>
      <c r="V50" s="1066"/>
    </row>
    <row r="51" spans="1:22" ht="13.8" thickBot="1" x14ac:dyDescent="0.3">
      <c r="A51" s="1061"/>
      <c r="B51" s="1062"/>
      <c r="C51" s="1063"/>
      <c r="D51" s="502"/>
      <c r="E51" s="503"/>
      <c r="F51" s="502"/>
      <c r="G51" s="503"/>
      <c r="H51" s="1064"/>
      <c r="I51" s="1065"/>
      <c r="J51" s="1065"/>
      <c r="K51" s="1066"/>
      <c r="L51" s="1061"/>
      <c r="M51" s="1062"/>
      <c r="N51" s="1063"/>
      <c r="O51" s="502"/>
      <c r="P51" s="503"/>
      <c r="Q51" s="502"/>
      <c r="R51" s="503"/>
      <c r="S51" s="1064"/>
      <c r="T51" s="1065"/>
      <c r="U51" s="1065"/>
      <c r="V51" s="1066"/>
    </row>
    <row r="52" spans="1:22" ht="13.8" thickBot="1" x14ac:dyDescent="0.3">
      <c r="A52" s="1061"/>
      <c r="B52" s="1062"/>
      <c r="C52" s="1063"/>
      <c r="D52" s="502"/>
      <c r="E52" s="503"/>
      <c r="F52" s="502"/>
      <c r="G52" s="503"/>
      <c r="H52" s="1064"/>
      <c r="I52" s="1065"/>
      <c r="J52" s="1065"/>
      <c r="K52" s="1066"/>
      <c r="L52" s="1061"/>
      <c r="M52" s="1062"/>
      <c r="N52" s="1063"/>
      <c r="O52" s="502"/>
      <c r="P52" s="503"/>
      <c r="Q52" s="502"/>
      <c r="R52" s="503"/>
      <c r="S52" s="1064"/>
      <c r="T52" s="1065"/>
      <c r="U52" s="1065"/>
      <c r="V52" s="1066"/>
    </row>
    <row r="53" spans="1:22" ht="13.8" thickBot="1" x14ac:dyDescent="0.3">
      <c r="A53" s="1061"/>
      <c r="B53" s="1062"/>
      <c r="C53" s="1063"/>
      <c r="D53" s="502"/>
      <c r="E53" s="503"/>
      <c r="F53" s="502"/>
      <c r="G53" s="503"/>
      <c r="H53" s="1064"/>
      <c r="I53" s="1065"/>
      <c r="J53" s="1065"/>
      <c r="K53" s="1066"/>
      <c r="L53" s="1061"/>
      <c r="M53" s="1062"/>
      <c r="N53" s="1063"/>
      <c r="O53" s="502"/>
      <c r="P53" s="503"/>
      <c r="Q53" s="502"/>
      <c r="R53" s="503"/>
      <c r="S53" s="1064"/>
      <c r="T53" s="1065"/>
      <c r="U53" s="1065"/>
      <c r="V53" s="1066"/>
    </row>
    <row r="54" spans="1:22" ht="13.8" thickBot="1" x14ac:dyDescent="0.3">
      <c r="A54" s="1061"/>
      <c r="B54" s="1062"/>
      <c r="C54" s="1063"/>
      <c r="D54" s="502"/>
      <c r="E54" s="503"/>
      <c r="F54" s="502"/>
      <c r="G54" s="503"/>
      <c r="H54" s="1064"/>
      <c r="I54" s="1065"/>
      <c r="J54" s="1065"/>
      <c r="K54" s="1066"/>
      <c r="L54" s="1061"/>
      <c r="M54" s="1062"/>
      <c r="N54" s="1063"/>
      <c r="O54" s="502"/>
      <c r="P54" s="503"/>
      <c r="Q54" s="502"/>
      <c r="R54" s="503"/>
      <c r="S54" s="1064"/>
      <c r="T54" s="1065"/>
      <c r="U54" s="1065"/>
      <c r="V54" s="1066"/>
    </row>
    <row r="55" spans="1:22" ht="13.8" thickBot="1" x14ac:dyDescent="0.3">
      <c r="A55" s="1061"/>
      <c r="B55" s="1062"/>
      <c r="C55" s="1063"/>
      <c r="D55" s="502"/>
      <c r="E55" s="503"/>
      <c r="F55" s="502"/>
      <c r="G55" s="503"/>
      <c r="H55" s="1064"/>
      <c r="I55" s="1065"/>
      <c r="J55" s="1065"/>
      <c r="K55" s="1066"/>
      <c r="L55" s="1061"/>
      <c r="M55" s="1062"/>
      <c r="N55" s="1063"/>
      <c r="O55" s="502"/>
      <c r="P55" s="503"/>
      <c r="Q55" s="502"/>
      <c r="R55" s="503"/>
      <c r="S55" s="1064"/>
      <c r="T55" s="1065"/>
      <c r="U55" s="1065"/>
      <c r="V55" s="1066"/>
    </row>
    <row r="56" spans="1:22" ht="13.8" thickBot="1" x14ac:dyDescent="0.3">
      <c r="A56" s="1061"/>
      <c r="B56" s="1062"/>
      <c r="C56" s="1063"/>
      <c r="D56" s="502"/>
      <c r="E56" s="503"/>
      <c r="F56" s="502"/>
      <c r="G56" s="503"/>
      <c r="H56" s="1064"/>
      <c r="I56" s="1065"/>
      <c r="J56" s="1065"/>
      <c r="K56" s="1066"/>
      <c r="L56" s="1061"/>
      <c r="M56" s="1062"/>
      <c r="N56" s="1063"/>
      <c r="O56" s="502"/>
      <c r="P56" s="503"/>
      <c r="Q56" s="502"/>
      <c r="R56" s="503"/>
      <c r="S56" s="1064"/>
      <c r="T56" s="1065"/>
      <c r="U56" s="1065"/>
      <c r="V56" s="1066"/>
    </row>
    <row r="57" spans="1:22" ht="13.8" thickBot="1" x14ac:dyDescent="0.3">
      <c r="A57" s="1061"/>
      <c r="B57" s="1062"/>
      <c r="C57" s="1063"/>
      <c r="D57" s="502"/>
      <c r="E57" s="503"/>
      <c r="F57" s="502"/>
      <c r="G57" s="503"/>
      <c r="H57" s="1064"/>
      <c r="I57" s="1065"/>
      <c r="J57" s="1065"/>
      <c r="K57" s="1066"/>
      <c r="L57" s="1061"/>
      <c r="M57" s="1062"/>
      <c r="N57" s="1063"/>
      <c r="O57" s="502"/>
      <c r="P57" s="503"/>
      <c r="Q57" s="502"/>
      <c r="R57" s="503"/>
      <c r="S57" s="1064"/>
      <c r="T57" s="1065"/>
      <c r="U57" s="1065"/>
      <c r="V57" s="1066"/>
    </row>
    <row r="58" spans="1:22" ht="13.8" thickBot="1" x14ac:dyDescent="0.3">
      <c r="A58" s="1061"/>
      <c r="B58" s="1062"/>
      <c r="C58" s="1063"/>
      <c r="D58" s="502"/>
      <c r="E58" s="503"/>
      <c r="F58" s="502"/>
      <c r="G58" s="503"/>
      <c r="H58" s="1064"/>
      <c r="I58" s="1065"/>
      <c r="J58" s="1065"/>
      <c r="K58" s="1066"/>
      <c r="L58" s="1061"/>
      <c r="M58" s="1062"/>
      <c r="N58" s="1063"/>
      <c r="O58" s="502"/>
      <c r="P58" s="503"/>
      <c r="Q58" s="502"/>
      <c r="R58" s="503"/>
      <c r="S58" s="1064"/>
      <c r="T58" s="1065"/>
      <c r="U58" s="1065"/>
      <c r="V58" s="1066"/>
    </row>
    <row r="59" spans="1:22" ht="13.8" thickBot="1" x14ac:dyDescent="0.3">
      <c r="A59" s="1061"/>
      <c r="B59" s="1062"/>
      <c r="C59" s="1063"/>
      <c r="D59" s="502"/>
      <c r="E59" s="503"/>
      <c r="F59" s="502"/>
      <c r="G59" s="503"/>
      <c r="H59" s="1064"/>
      <c r="I59" s="1065"/>
      <c r="J59" s="1065"/>
      <c r="K59" s="1066"/>
      <c r="L59" s="1061"/>
      <c r="M59" s="1062"/>
      <c r="N59" s="1063"/>
      <c r="O59" s="502"/>
      <c r="P59" s="503"/>
      <c r="Q59" s="502"/>
      <c r="R59" s="503"/>
      <c r="S59" s="1064"/>
      <c r="T59" s="1065"/>
      <c r="U59" s="1065"/>
      <c r="V59" s="1066"/>
    </row>
    <row r="60" spans="1:22" ht="18" thickBot="1" x14ac:dyDescent="0.35">
      <c r="A60" s="1067" t="s">
        <v>433</v>
      </c>
      <c r="B60" s="1068"/>
      <c r="C60" s="1068"/>
      <c r="D60" s="1068"/>
      <c r="E60" s="1068"/>
      <c r="F60" s="1068"/>
      <c r="G60" s="1068"/>
      <c r="H60" s="1068"/>
      <c r="I60" s="1068"/>
      <c r="J60" s="1068"/>
      <c r="K60" s="1069"/>
      <c r="L60" s="1061"/>
      <c r="M60" s="1062"/>
      <c r="N60" s="1063"/>
      <c r="O60" s="502"/>
      <c r="P60" s="503"/>
      <c r="Q60" s="502"/>
      <c r="R60" s="503"/>
      <c r="S60" s="1064"/>
      <c r="T60" s="1065"/>
      <c r="U60" s="1065"/>
      <c r="V60" s="1066"/>
    </row>
    <row r="61" spans="1:22" ht="13.8" thickBot="1" x14ac:dyDescent="0.3">
      <c r="A61" s="1039" t="s">
        <v>434</v>
      </c>
      <c r="B61" s="1040"/>
      <c r="C61" s="1041"/>
      <c r="D61" s="502"/>
      <c r="E61" s="503"/>
      <c r="F61" s="502"/>
      <c r="G61" s="503"/>
      <c r="H61" s="1064"/>
      <c r="I61" s="1065"/>
      <c r="J61" s="1065"/>
      <c r="K61" s="1066"/>
      <c r="L61" s="1061"/>
      <c r="M61" s="1062"/>
      <c r="N61" s="1063"/>
      <c r="O61" s="502"/>
      <c r="P61" s="503"/>
      <c r="Q61" s="502"/>
      <c r="R61" s="503"/>
      <c r="S61" s="1064"/>
      <c r="T61" s="1065"/>
      <c r="U61" s="1065"/>
      <c r="V61" s="1066"/>
    </row>
    <row r="62" spans="1:22" ht="13.8" thickBot="1" x14ac:dyDescent="0.3">
      <c r="A62" s="1039" t="s">
        <v>435</v>
      </c>
      <c r="B62" s="1040"/>
      <c r="C62" s="1041"/>
      <c r="D62" s="502"/>
      <c r="E62" s="503"/>
      <c r="F62" s="502"/>
      <c r="G62" s="503"/>
      <c r="H62" s="1064"/>
      <c r="I62" s="1065"/>
      <c r="J62" s="1065"/>
      <c r="K62" s="1066"/>
      <c r="L62" s="1061"/>
      <c r="M62" s="1062"/>
      <c r="N62" s="1063"/>
      <c r="O62" s="502"/>
      <c r="P62" s="503"/>
      <c r="Q62" s="502"/>
      <c r="R62" s="503"/>
      <c r="S62" s="1064"/>
      <c r="T62" s="1065"/>
      <c r="U62" s="1065"/>
      <c r="V62" s="1066"/>
    </row>
    <row r="63" spans="1:22" ht="13.8" thickBot="1" x14ac:dyDescent="0.3">
      <c r="A63" s="1039" t="s">
        <v>436</v>
      </c>
      <c r="B63" s="1040"/>
      <c r="C63" s="1041"/>
      <c r="D63" s="502"/>
      <c r="E63" s="503"/>
      <c r="F63" s="502"/>
      <c r="G63" s="503"/>
      <c r="H63" s="1064"/>
      <c r="I63" s="1065"/>
      <c r="J63" s="1065"/>
      <c r="K63" s="1066"/>
      <c r="L63" s="1061"/>
      <c r="M63" s="1062"/>
      <c r="N63" s="1063"/>
      <c r="O63" s="502"/>
      <c r="P63" s="503"/>
      <c r="Q63" s="502"/>
      <c r="R63" s="503"/>
      <c r="S63" s="1064"/>
      <c r="T63" s="1065"/>
      <c r="U63" s="1065"/>
      <c r="V63" s="1066"/>
    </row>
    <row r="64" spans="1:22" ht="13.8" thickBot="1" x14ac:dyDescent="0.3">
      <c r="A64" s="1039" t="s">
        <v>437</v>
      </c>
      <c r="B64" s="1040"/>
      <c r="C64" s="1041"/>
      <c r="D64" s="502"/>
      <c r="E64" s="503"/>
      <c r="F64" s="502"/>
      <c r="G64" s="503"/>
      <c r="H64" s="1064"/>
      <c r="I64" s="1065"/>
      <c r="J64" s="1065"/>
      <c r="K64" s="1066"/>
      <c r="L64" s="1061"/>
      <c r="M64" s="1062"/>
      <c r="N64" s="1063"/>
      <c r="O64" s="502"/>
      <c r="P64" s="503"/>
      <c r="Q64" s="502"/>
      <c r="R64" s="503"/>
      <c r="S64" s="1064"/>
      <c r="T64" s="1065"/>
      <c r="U64" s="1065"/>
      <c r="V64" s="1066"/>
    </row>
    <row r="65" spans="1:22" ht="13.8" thickBot="1" x14ac:dyDescent="0.3">
      <c r="A65" s="1039" t="s">
        <v>659</v>
      </c>
      <c r="B65" s="1040"/>
      <c r="C65" s="1041"/>
      <c r="D65" s="502"/>
      <c r="E65" s="503"/>
      <c r="F65" s="502"/>
      <c r="G65" s="503"/>
      <c r="H65" s="1064"/>
      <c r="I65" s="1065"/>
      <c r="J65" s="1065"/>
      <c r="K65" s="1066"/>
      <c r="L65" s="1061"/>
      <c r="M65" s="1062"/>
      <c r="N65" s="1063"/>
      <c r="O65" s="502"/>
      <c r="P65" s="503"/>
      <c r="Q65" s="502"/>
      <c r="R65" s="503"/>
      <c r="S65" s="1064"/>
      <c r="T65" s="1065"/>
      <c r="U65" s="1065"/>
      <c r="V65" s="1066"/>
    </row>
    <row r="66" spans="1:22" ht="13.8" thickBot="1" x14ac:dyDescent="0.3">
      <c r="A66" s="1039" t="s">
        <v>122</v>
      </c>
      <c r="B66" s="1040"/>
      <c r="C66" s="1041"/>
      <c r="D66" s="502"/>
      <c r="E66" s="503"/>
      <c r="F66" s="502"/>
      <c r="G66" s="503"/>
      <c r="H66" s="1064"/>
      <c r="I66" s="1065"/>
      <c r="J66" s="1065"/>
      <c r="K66" s="1066"/>
      <c r="L66" s="1061"/>
      <c r="M66" s="1062"/>
      <c r="N66" s="1063"/>
      <c r="O66" s="502"/>
      <c r="P66" s="503"/>
      <c r="Q66" s="502"/>
      <c r="R66" s="503"/>
      <c r="S66" s="1064"/>
      <c r="T66" s="1065"/>
      <c r="U66" s="1065"/>
      <c r="V66" s="1066"/>
    </row>
    <row r="67" spans="1:22" ht="13.8" thickBot="1" x14ac:dyDescent="0.3">
      <c r="A67" s="1039" t="s">
        <v>438</v>
      </c>
      <c r="B67" s="1040"/>
      <c r="C67" s="1041"/>
      <c r="D67" s="502"/>
      <c r="E67" s="503"/>
      <c r="F67" s="502"/>
      <c r="G67" s="503"/>
      <c r="H67" s="1058"/>
      <c r="I67" s="1059"/>
      <c r="J67" s="1059"/>
      <c r="K67" s="1060"/>
      <c r="L67" s="1061"/>
      <c r="M67" s="1062"/>
      <c r="N67" s="1063"/>
      <c r="O67" s="502"/>
      <c r="P67" s="503"/>
      <c r="Q67" s="502"/>
      <c r="R67" s="503"/>
      <c r="S67" s="1064"/>
      <c r="T67" s="1065"/>
      <c r="U67" s="1065"/>
      <c r="V67" s="1066"/>
    </row>
    <row r="68" spans="1:22" ht="13.8" thickBot="1" x14ac:dyDescent="0.3">
      <c r="A68" s="1039" t="s">
        <v>439</v>
      </c>
      <c r="B68" s="1040"/>
      <c r="C68" s="1041"/>
      <c r="D68" s="502"/>
      <c r="E68" s="503"/>
      <c r="F68" s="502"/>
      <c r="G68" s="503"/>
      <c r="H68" s="1064"/>
      <c r="I68" s="1065"/>
      <c r="J68" s="1065"/>
      <c r="K68" s="1066"/>
      <c r="L68" s="1061"/>
      <c r="M68" s="1062"/>
      <c r="N68" s="1063"/>
      <c r="O68" s="502"/>
      <c r="P68" s="503"/>
      <c r="Q68" s="502"/>
      <c r="R68" s="503"/>
      <c r="S68" s="1064"/>
      <c r="T68" s="1065"/>
      <c r="U68" s="1065"/>
      <c r="V68" s="1066"/>
    </row>
    <row r="69" spans="1:22" ht="13.8" thickBot="1" x14ac:dyDescent="0.3">
      <c r="A69" s="1039" t="s">
        <v>440</v>
      </c>
      <c r="B69" s="1040"/>
      <c r="C69" s="1041"/>
      <c r="D69" s="502"/>
      <c r="E69" s="503"/>
      <c r="F69" s="502"/>
      <c r="G69" s="503"/>
      <c r="H69" s="1064"/>
      <c r="I69" s="1065"/>
      <c r="J69" s="1065"/>
      <c r="K69" s="1066"/>
      <c r="L69" s="1061"/>
      <c r="M69" s="1062"/>
      <c r="N69" s="1063"/>
      <c r="O69" s="502"/>
      <c r="P69" s="503"/>
      <c r="Q69" s="502"/>
      <c r="R69" s="503"/>
      <c r="S69" s="1064"/>
      <c r="T69" s="1065"/>
      <c r="U69" s="1065"/>
      <c r="V69" s="1066"/>
    </row>
    <row r="70" spans="1:22" ht="13.8" thickBot="1" x14ac:dyDescent="0.3">
      <c r="A70" s="1061"/>
      <c r="B70" s="1062"/>
      <c r="C70" s="1063"/>
      <c r="D70" s="502"/>
      <c r="E70" s="503"/>
      <c r="F70" s="502"/>
      <c r="G70" s="503"/>
      <c r="H70" s="1058"/>
      <c r="I70" s="1059"/>
      <c r="J70" s="1059"/>
      <c r="K70" s="1060"/>
      <c r="L70" s="1061"/>
      <c r="M70" s="1062"/>
      <c r="N70" s="1063"/>
      <c r="O70" s="502"/>
      <c r="P70" s="503"/>
      <c r="Q70" s="502"/>
      <c r="R70" s="503"/>
      <c r="S70" s="1064"/>
      <c r="T70" s="1065"/>
      <c r="U70" s="1065"/>
      <c r="V70" s="1066"/>
    </row>
    <row r="71" spans="1:22" ht="18" thickBot="1" x14ac:dyDescent="0.3">
      <c r="A71" s="493"/>
      <c r="B71" s="493"/>
      <c r="C71" s="1077" t="s">
        <v>404</v>
      </c>
      <c r="D71" s="1077"/>
      <c r="E71" s="1077"/>
      <c r="F71" s="1077"/>
      <c r="G71" s="1077"/>
      <c r="H71" s="1077"/>
      <c r="I71" s="1077"/>
      <c r="J71" s="1077"/>
      <c r="K71" s="494" t="s">
        <v>663</v>
      </c>
      <c r="L71" s="493"/>
      <c r="M71" s="493"/>
      <c r="N71" s="1077" t="s">
        <v>404</v>
      </c>
      <c r="O71" s="1077"/>
      <c r="P71" s="1077"/>
      <c r="Q71" s="1077"/>
      <c r="R71" s="1077"/>
      <c r="S71" s="1077"/>
      <c r="T71" s="1077"/>
      <c r="U71" s="1077"/>
      <c r="V71" s="494" t="s">
        <v>664</v>
      </c>
    </row>
    <row r="72" spans="1:22" ht="13.8" thickBot="1" x14ac:dyDescent="0.3">
      <c r="A72" s="495" t="s">
        <v>0</v>
      </c>
      <c r="B72" s="1078" t="str">
        <f>HYPERLINK(ESTIMÉ!B1)</f>
        <v/>
      </c>
      <c r="C72" s="1079"/>
      <c r="D72" s="1079"/>
      <c r="E72" s="1079"/>
      <c r="F72" s="1079"/>
      <c r="G72" s="1079"/>
      <c r="H72" s="1079"/>
      <c r="I72" s="1079"/>
      <c r="J72" s="1079"/>
      <c r="K72" s="1080"/>
      <c r="L72" s="495" t="s">
        <v>0</v>
      </c>
      <c r="M72" s="1078" t="str">
        <f>HYPERLINK(ESTIMÉ!B1)</f>
        <v/>
      </c>
      <c r="N72" s="1079"/>
      <c r="O72" s="1079"/>
      <c r="P72" s="1079"/>
      <c r="Q72" s="1079"/>
      <c r="R72" s="1079"/>
      <c r="S72" s="1079"/>
      <c r="T72" s="1079"/>
      <c r="U72" s="1079"/>
      <c r="V72" s="1080"/>
    </row>
    <row r="73" spans="1:22" ht="13.8" thickBot="1" x14ac:dyDescent="0.3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</row>
    <row r="74" spans="1:22" x14ac:dyDescent="0.25">
      <c r="A74" s="1081" t="s">
        <v>11</v>
      </c>
      <c r="B74" s="1082"/>
      <c r="C74" s="1085" t="str">
        <f>HYPERLINK(ESTIMÉ!B4)</f>
        <v/>
      </c>
      <c r="D74" s="813"/>
      <c r="E74" s="813"/>
      <c r="F74" s="813"/>
      <c r="G74" s="813"/>
      <c r="H74" s="813"/>
      <c r="I74" s="813"/>
      <c r="J74" s="813"/>
      <c r="K74" s="1086"/>
      <c r="L74" s="1081" t="s">
        <v>11</v>
      </c>
      <c r="M74" s="1082"/>
      <c r="N74" s="1085" t="str">
        <f>HYPERLINK(ESTIMÉ!B4)</f>
        <v/>
      </c>
      <c r="O74" s="813"/>
      <c r="P74" s="813"/>
      <c r="Q74" s="813"/>
      <c r="R74" s="813"/>
      <c r="S74" s="813"/>
      <c r="T74" s="813"/>
      <c r="U74" s="813"/>
      <c r="V74" s="1086"/>
    </row>
    <row r="75" spans="1:22" ht="13.8" thickBot="1" x14ac:dyDescent="0.3">
      <c r="A75" s="1083"/>
      <c r="B75" s="1084"/>
      <c r="C75" s="497" t="s">
        <v>406</v>
      </c>
      <c r="D75" s="1087" t="str">
        <f>HYPERLINK(ESTIMÉ!D5)</f>
        <v/>
      </c>
      <c r="E75" s="1042"/>
      <c r="F75" s="498" t="s">
        <v>407</v>
      </c>
      <c r="G75" s="1087" t="str">
        <f>HYPERLINK(G5)</f>
        <v/>
      </c>
      <c r="H75" s="1042"/>
      <c r="I75" s="498" t="s">
        <v>408</v>
      </c>
      <c r="J75" s="1087" t="str">
        <f>HYPERLINK(J5)</f>
        <v/>
      </c>
      <c r="K75" s="1043"/>
      <c r="L75" s="1083"/>
      <c r="M75" s="1084"/>
      <c r="N75" s="497" t="s">
        <v>406</v>
      </c>
      <c r="O75" s="1087"/>
      <c r="P75" s="1042"/>
      <c r="Q75" s="498" t="s">
        <v>407</v>
      </c>
      <c r="R75" s="1087"/>
      <c r="S75" s="1042"/>
      <c r="T75" s="498" t="s">
        <v>408</v>
      </c>
      <c r="U75" s="1087"/>
      <c r="V75" s="1043"/>
    </row>
    <row r="76" spans="1:22" ht="13.8" thickBot="1" x14ac:dyDescent="0.3">
      <c r="A76" s="499"/>
      <c r="L76" s="499"/>
    </row>
    <row r="77" spans="1:22" x14ac:dyDescent="0.25">
      <c r="A77" s="1088" t="s">
        <v>409</v>
      </c>
      <c r="B77" s="1089"/>
      <c r="C77" s="1090"/>
      <c r="D77" s="1092" t="s">
        <v>39</v>
      </c>
      <c r="E77" s="1093"/>
      <c r="F77" s="1092" t="s">
        <v>410</v>
      </c>
      <c r="G77" s="1093"/>
      <c r="H77" s="1089" t="s">
        <v>411</v>
      </c>
      <c r="I77" s="1089"/>
      <c r="J77" s="1089"/>
      <c r="K77" s="1090"/>
      <c r="L77" s="1088" t="s">
        <v>409</v>
      </c>
      <c r="M77" s="1089"/>
      <c r="N77" s="1090"/>
      <c r="O77" s="1092" t="s">
        <v>39</v>
      </c>
      <c r="P77" s="1093"/>
      <c r="Q77" s="1092" t="s">
        <v>410</v>
      </c>
      <c r="R77" s="1093"/>
      <c r="S77" s="1089" t="s">
        <v>411</v>
      </c>
      <c r="T77" s="1089"/>
      <c r="U77" s="1089"/>
      <c r="V77" s="1090"/>
    </row>
    <row r="78" spans="1:22" ht="13.8" thickBot="1" x14ac:dyDescent="0.3">
      <c r="A78" s="1081"/>
      <c r="B78" s="1082"/>
      <c r="C78" s="1091"/>
      <c r="D78" s="500" t="s">
        <v>412</v>
      </c>
      <c r="E78" s="501" t="s">
        <v>413</v>
      </c>
      <c r="F78" s="500" t="s">
        <v>414</v>
      </c>
      <c r="G78" s="501" t="s">
        <v>415</v>
      </c>
      <c r="H78" s="1084"/>
      <c r="I78" s="1084"/>
      <c r="J78" s="1084"/>
      <c r="K78" s="1094"/>
      <c r="L78" s="1081"/>
      <c r="M78" s="1082"/>
      <c r="N78" s="1091"/>
      <c r="O78" s="500" t="s">
        <v>412</v>
      </c>
      <c r="P78" s="501" t="s">
        <v>413</v>
      </c>
      <c r="Q78" s="500" t="s">
        <v>414</v>
      </c>
      <c r="R78" s="501" t="s">
        <v>415</v>
      </c>
      <c r="S78" s="1084"/>
      <c r="T78" s="1084"/>
      <c r="U78" s="1084"/>
      <c r="V78" s="1094"/>
    </row>
    <row r="79" spans="1:22" ht="13.8" thickBot="1" x14ac:dyDescent="0.3">
      <c r="A79" s="1061"/>
      <c r="B79" s="1062"/>
      <c r="C79" s="1063"/>
      <c r="D79" s="502"/>
      <c r="E79" s="503"/>
      <c r="F79" s="502"/>
      <c r="G79" s="503"/>
      <c r="H79" s="1064"/>
      <c r="I79" s="1065"/>
      <c r="J79" s="1065"/>
      <c r="K79" s="1066"/>
      <c r="L79" s="1061"/>
      <c r="M79" s="1062"/>
      <c r="N79" s="1063"/>
      <c r="O79" s="502"/>
      <c r="P79" s="503"/>
      <c r="Q79" s="502"/>
      <c r="R79" s="503"/>
      <c r="S79" s="1064"/>
      <c r="T79" s="1065"/>
      <c r="U79" s="1065"/>
      <c r="V79" s="1066"/>
    </row>
    <row r="80" spans="1:22" ht="13.8" thickBot="1" x14ac:dyDescent="0.3">
      <c r="A80" s="1061"/>
      <c r="B80" s="1062"/>
      <c r="C80" s="1063"/>
      <c r="D80" s="502"/>
      <c r="E80" s="503"/>
      <c r="F80" s="502"/>
      <c r="G80" s="503"/>
      <c r="H80" s="1064"/>
      <c r="I80" s="1065"/>
      <c r="J80" s="1065"/>
      <c r="K80" s="1066"/>
      <c r="L80" s="1061"/>
      <c r="M80" s="1062"/>
      <c r="N80" s="1063"/>
      <c r="O80" s="502"/>
      <c r="P80" s="503"/>
      <c r="Q80" s="502"/>
      <c r="R80" s="503"/>
      <c r="S80" s="1064"/>
      <c r="T80" s="1065"/>
      <c r="U80" s="1065"/>
      <c r="V80" s="1066"/>
    </row>
    <row r="81" spans="1:22" ht="13.8" thickBot="1" x14ac:dyDescent="0.3">
      <c r="A81" s="1061"/>
      <c r="B81" s="1062"/>
      <c r="C81" s="1063"/>
      <c r="D81" s="502"/>
      <c r="E81" s="503"/>
      <c r="F81" s="502"/>
      <c r="G81" s="503"/>
      <c r="H81" s="1064"/>
      <c r="I81" s="1065"/>
      <c r="J81" s="1065"/>
      <c r="K81" s="1066"/>
      <c r="L81" s="1061"/>
      <c r="M81" s="1062"/>
      <c r="N81" s="1063"/>
      <c r="O81" s="502"/>
      <c r="P81" s="503"/>
      <c r="Q81" s="502"/>
      <c r="R81" s="503"/>
      <c r="S81" s="1064"/>
      <c r="T81" s="1065"/>
      <c r="U81" s="1065"/>
      <c r="V81" s="1066"/>
    </row>
    <row r="82" spans="1:22" ht="13.8" thickBot="1" x14ac:dyDescent="0.3">
      <c r="A82" s="1061"/>
      <c r="B82" s="1062"/>
      <c r="C82" s="1063"/>
      <c r="D82" s="502"/>
      <c r="E82" s="503"/>
      <c r="F82" s="502"/>
      <c r="G82" s="503"/>
      <c r="H82" s="1064"/>
      <c r="I82" s="1065"/>
      <c r="J82" s="1065"/>
      <c r="K82" s="1066"/>
      <c r="L82" s="1061"/>
      <c r="M82" s="1062"/>
      <c r="N82" s="1063"/>
      <c r="O82" s="502"/>
      <c r="P82" s="503"/>
      <c r="Q82" s="502"/>
      <c r="R82" s="503"/>
      <c r="S82" s="1064"/>
      <c r="T82" s="1065"/>
      <c r="U82" s="1065"/>
      <c r="V82" s="1066"/>
    </row>
    <row r="83" spans="1:22" ht="13.8" thickBot="1" x14ac:dyDescent="0.3">
      <c r="A83" s="1061"/>
      <c r="B83" s="1062"/>
      <c r="C83" s="1063"/>
      <c r="D83" s="502"/>
      <c r="E83" s="503"/>
      <c r="F83" s="502"/>
      <c r="G83" s="503"/>
      <c r="H83" s="1064"/>
      <c r="I83" s="1065"/>
      <c r="J83" s="1065"/>
      <c r="K83" s="1066"/>
      <c r="L83" s="1061"/>
      <c r="M83" s="1062"/>
      <c r="N83" s="1063"/>
      <c r="O83" s="502"/>
      <c r="P83" s="503"/>
      <c r="Q83" s="502"/>
      <c r="R83" s="503"/>
      <c r="S83" s="1064"/>
      <c r="T83" s="1065"/>
      <c r="U83" s="1065"/>
      <c r="V83" s="1066"/>
    </row>
    <row r="84" spans="1:22" ht="13.8" thickBot="1" x14ac:dyDescent="0.3">
      <c r="A84" s="1061"/>
      <c r="B84" s="1062"/>
      <c r="C84" s="1063"/>
      <c r="D84" s="502"/>
      <c r="E84" s="503"/>
      <c r="F84" s="502"/>
      <c r="G84" s="503"/>
      <c r="H84" s="1064"/>
      <c r="I84" s="1065"/>
      <c r="J84" s="1065"/>
      <c r="K84" s="1066"/>
      <c r="L84" s="1061"/>
      <c r="M84" s="1062"/>
      <c r="N84" s="1063"/>
      <c r="O84" s="502"/>
      <c r="P84" s="503"/>
      <c r="Q84" s="502"/>
      <c r="R84" s="503"/>
      <c r="S84" s="1064"/>
      <c r="T84" s="1065"/>
      <c r="U84" s="1065"/>
      <c r="V84" s="1066"/>
    </row>
    <row r="85" spans="1:22" ht="13.8" thickBot="1" x14ac:dyDescent="0.3">
      <c r="A85" s="1061"/>
      <c r="B85" s="1062"/>
      <c r="C85" s="1063"/>
      <c r="D85" s="502"/>
      <c r="E85" s="503"/>
      <c r="F85" s="502"/>
      <c r="G85" s="503"/>
      <c r="H85" s="1064"/>
      <c r="I85" s="1065"/>
      <c r="J85" s="1065"/>
      <c r="K85" s="1066"/>
      <c r="L85" s="1061"/>
      <c r="M85" s="1062"/>
      <c r="N85" s="1063"/>
      <c r="O85" s="502"/>
      <c r="P85" s="503"/>
      <c r="Q85" s="502"/>
      <c r="R85" s="503"/>
      <c r="S85" s="1064"/>
      <c r="T85" s="1065"/>
      <c r="U85" s="1065"/>
      <c r="V85" s="1066"/>
    </row>
    <row r="86" spans="1:22" ht="13.8" thickBot="1" x14ac:dyDescent="0.3">
      <c r="A86" s="1061"/>
      <c r="B86" s="1062"/>
      <c r="C86" s="1063"/>
      <c r="D86" s="502"/>
      <c r="E86" s="503"/>
      <c r="F86" s="502"/>
      <c r="G86" s="503"/>
      <c r="H86" s="1064"/>
      <c r="I86" s="1065"/>
      <c r="J86" s="1065"/>
      <c r="K86" s="1066"/>
      <c r="L86" s="1061"/>
      <c r="M86" s="1062"/>
      <c r="N86" s="1063"/>
      <c r="O86" s="502"/>
      <c r="P86" s="503"/>
      <c r="Q86" s="502"/>
      <c r="R86" s="503"/>
      <c r="S86" s="1064"/>
      <c r="T86" s="1065"/>
      <c r="U86" s="1065"/>
      <c r="V86" s="1066"/>
    </row>
    <row r="87" spans="1:22" ht="13.8" thickBot="1" x14ac:dyDescent="0.3">
      <c r="A87" s="1061"/>
      <c r="B87" s="1062"/>
      <c r="C87" s="1063"/>
      <c r="D87" s="502"/>
      <c r="E87" s="503"/>
      <c r="F87" s="502"/>
      <c r="G87" s="503"/>
      <c r="H87" s="1064"/>
      <c r="I87" s="1065"/>
      <c r="J87" s="1065"/>
      <c r="K87" s="1066"/>
      <c r="L87" s="1061"/>
      <c r="M87" s="1062"/>
      <c r="N87" s="1063"/>
      <c r="O87" s="502"/>
      <c r="P87" s="503"/>
      <c r="Q87" s="502"/>
      <c r="R87" s="503"/>
      <c r="S87" s="1064"/>
      <c r="T87" s="1065"/>
      <c r="U87" s="1065"/>
      <c r="V87" s="1066"/>
    </row>
    <row r="88" spans="1:22" ht="13.8" thickBot="1" x14ac:dyDescent="0.3">
      <c r="A88" s="1061"/>
      <c r="B88" s="1062"/>
      <c r="C88" s="1063"/>
      <c r="D88" s="502"/>
      <c r="E88" s="503"/>
      <c r="F88" s="502"/>
      <c r="G88" s="503"/>
      <c r="H88" s="1064"/>
      <c r="I88" s="1065"/>
      <c r="J88" s="1065"/>
      <c r="K88" s="1066"/>
      <c r="L88" s="1061"/>
      <c r="M88" s="1062"/>
      <c r="N88" s="1063"/>
      <c r="O88" s="502"/>
      <c r="P88" s="503"/>
      <c r="Q88" s="502"/>
      <c r="R88" s="503"/>
      <c r="S88" s="1064"/>
      <c r="T88" s="1065"/>
      <c r="U88" s="1065"/>
      <c r="V88" s="1066"/>
    </row>
    <row r="89" spans="1:22" ht="13.8" thickBot="1" x14ac:dyDescent="0.3">
      <c r="A89" s="1061"/>
      <c r="B89" s="1062"/>
      <c r="C89" s="1063"/>
      <c r="D89" s="502"/>
      <c r="E89" s="503"/>
      <c r="F89" s="502"/>
      <c r="G89" s="503"/>
      <c r="H89" s="1064"/>
      <c r="I89" s="1065"/>
      <c r="J89" s="1065"/>
      <c r="K89" s="1066"/>
      <c r="L89" s="1061"/>
      <c r="M89" s="1062"/>
      <c r="N89" s="1063"/>
      <c r="O89" s="502"/>
      <c r="P89" s="503"/>
      <c r="Q89" s="502"/>
      <c r="R89" s="503"/>
      <c r="S89" s="1064"/>
      <c r="T89" s="1065"/>
      <c r="U89" s="1065"/>
      <c r="V89" s="1066"/>
    </row>
    <row r="90" spans="1:22" ht="13.8" thickBot="1" x14ac:dyDescent="0.3">
      <c r="A90" s="1061"/>
      <c r="B90" s="1062"/>
      <c r="C90" s="1063"/>
      <c r="D90" s="502"/>
      <c r="E90" s="503"/>
      <c r="F90" s="502"/>
      <c r="G90" s="503"/>
      <c r="H90" s="1064"/>
      <c r="I90" s="1065"/>
      <c r="J90" s="1065"/>
      <c r="K90" s="1066"/>
      <c r="L90" s="1061"/>
      <c r="M90" s="1062"/>
      <c r="N90" s="1063"/>
      <c r="O90" s="502"/>
      <c r="P90" s="503"/>
      <c r="Q90" s="502"/>
      <c r="R90" s="503"/>
      <c r="S90" s="1064"/>
      <c r="T90" s="1065"/>
      <c r="U90" s="1065"/>
      <c r="V90" s="1066"/>
    </row>
    <row r="91" spans="1:22" ht="13.8" thickBot="1" x14ac:dyDescent="0.3">
      <c r="A91" s="1061"/>
      <c r="B91" s="1062"/>
      <c r="C91" s="1063"/>
      <c r="D91" s="502"/>
      <c r="E91" s="503"/>
      <c r="F91" s="502"/>
      <c r="G91" s="503"/>
      <c r="H91" s="1064"/>
      <c r="I91" s="1065"/>
      <c r="J91" s="1065"/>
      <c r="K91" s="1066"/>
      <c r="L91" s="1061"/>
      <c r="M91" s="1062"/>
      <c r="N91" s="1063"/>
      <c r="O91" s="502"/>
      <c r="P91" s="503"/>
      <c r="Q91" s="502"/>
      <c r="R91" s="503"/>
      <c r="S91" s="1064"/>
      <c r="T91" s="1065"/>
      <c r="U91" s="1065"/>
      <c r="V91" s="1066"/>
    </row>
    <row r="92" spans="1:22" ht="13.8" thickBot="1" x14ac:dyDescent="0.3">
      <c r="A92" s="1061"/>
      <c r="B92" s="1062"/>
      <c r="C92" s="1063"/>
      <c r="D92" s="502"/>
      <c r="E92" s="503"/>
      <c r="F92" s="502"/>
      <c r="G92" s="503"/>
      <c r="H92" s="1064"/>
      <c r="I92" s="1065"/>
      <c r="J92" s="1065"/>
      <c r="K92" s="1066"/>
      <c r="L92" s="1061"/>
      <c r="M92" s="1062"/>
      <c r="N92" s="1063"/>
      <c r="O92" s="502"/>
      <c r="P92" s="503"/>
      <c r="Q92" s="502"/>
      <c r="R92" s="503"/>
      <c r="S92" s="1064"/>
      <c r="T92" s="1065"/>
      <c r="U92" s="1065"/>
      <c r="V92" s="1066"/>
    </row>
    <row r="93" spans="1:22" ht="13.8" thickBot="1" x14ac:dyDescent="0.3">
      <c r="A93" s="1061"/>
      <c r="B93" s="1062"/>
      <c r="C93" s="1063"/>
      <c r="D93" s="502"/>
      <c r="E93" s="503"/>
      <c r="F93" s="502"/>
      <c r="G93" s="503"/>
      <c r="H93" s="1064"/>
      <c r="I93" s="1065"/>
      <c r="J93" s="1065"/>
      <c r="K93" s="1066"/>
      <c r="L93" s="1061"/>
      <c r="M93" s="1062"/>
      <c r="N93" s="1063"/>
      <c r="O93" s="502"/>
      <c r="P93" s="503"/>
      <c r="Q93" s="502"/>
      <c r="R93" s="503"/>
      <c r="S93" s="1064"/>
      <c r="T93" s="1065"/>
      <c r="U93" s="1065"/>
      <c r="V93" s="1066"/>
    </row>
    <row r="94" spans="1:22" ht="13.8" thickBot="1" x14ac:dyDescent="0.3">
      <c r="A94" s="1061"/>
      <c r="B94" s="1062"/>
      <c r="C94" s="1063"/>
      <c r="D94" s="502"/>
      <c r="E94" s="503"/>
      <c r="F94" s="502"/>
      <c r="G94" s="503"/>
      <c r="H94" s="1064"/>
      <c r="I94" s="1065"/>
      <c r="J94" s="1065"/>
      <c r="K94" s="1066"/>
      <c r="L94" s="1061"/>
      <c r="M94" s="1062"/>
      <c r="N94" s="1063"/>
      <c r="O94" s="502"/>
      <c r="P94" s="503"/>
      <c r="Q94" s="502"/>
      <c r="R94" s="503"/>
      <c r="S94" s="1064"/>
      <c r="T94" s="1065"/>
      <c r="U94" s="1065"/>
      <c r="V94" s="1066"/>
    </row>
    <row r="95" spans="1:22" ht="13.8" thickBot="1" x14ac:dyDescent="0.3">
      <c r="A95" s="1061"/>
      <c r="B95" s="1062"/>
      <c r="C95" s="1063"/>
      <c r="D95" s="502"/>
      <c r="E95" s="503"/>
      <c r="F95" s="502"/>
      <c r="G95" s="503"/>
      <c r="H95" s="1064"/>
      <c r="I95" s="1065"/>
      <c r="J95" s="1065"/>
      <c r="K95" s="1066"/>
      <c r="L95" s="1061"/>
      <c r="M95" s="1062"/>
      <c r="N95" s="1063"/>
      <c r="O95" s="502"/>
      <c r="P95" s="503"/>
      <c r="Q95" s="502"/>
      <c r="R95" s="503"/>
      <c r="S95" s="1064"/>
      <c r="T95" s="1065"/>
      <c r="U95" s="1065"/>
      <c r="V95" s="1066"/>
    </row>
    <row r="96" spans="1:22" ht="13.8" thickBot="1" x14ac:dyDescent="0.3">
      <c r="A96" s="1061"/>
      <c r="B96" s="1062"/>
      <c r="C96" s="1063"/>
      <c r="D96" s="502"/>
      <c r="E96" s="503"/>
      <c r="F96" s="502"/>
      <c r="G96" s="503"/>
      <c r="H96" s="1064"/>
      <c r="I96" s="1065"/>
      <c r="J96" s="1065"/>
      <c r="K96" s="1066"/>
      <c r="L96" s="1061"/>
      <c r="M96" s="1062"/>
      <c r="N96" s="1063"/>
      <c r="O96" s="502"/>
      <c r="P96" s="503"/>
      <c r="Q96" s="502"/>
      <c r="R96" s="503"/>
      <c r="S96" s="1064"/>
      <c r="T96" s="1065"/>
      <c r="U96" s="1065"/>
      <c r="V96" s="1066"/>
    </row>
    <row r="97" spans="1:22" ht="13.8" thickBot="1" x14ac:dyDescent="0.3">
      <c r="A97" s="1061"/>
      <c r="B97" s="1062"/>
      <c r="C97" s="1063"/>
      <c r="D97" s="502"/>
      <c r="E97" s="503"/>
      <c r="F97" s="502"/>
      <c r="G97" s="503"/>
      <c r="H97" s="1064"/>
      <c r="I97" s="1065"/>
      <c r="J97" s="1065"/>
      <c r="K97" s="1066"/>
      <c r="L97" s="1061"/>
      <c r="M97" s="1062"/>
      <c r="N97" s="1063"/>
      <c r="O97" s="502"/>
      <c r="P97" s="503"/>
      <c r="Q97" s="502"/>
      <c r="R97" s="503"/>
      <c r="S97" s="1064"/>
      <c r="T97" s="1065"/>
      <c r="U97" s="1065"/>
      <c r="V97" s="1066"/>
    </row>
    <row r="98" spans="1:22" ht="13.8" thickBot="1" x14ac:dyDescent="0.3">
      <c r="A98" s="1061"/>
      <c r="B98" s="1062"/>
      <c r="C98" s="1063"/>
      <c r="D98" s="502"/>
      <c r="E98" s="503"/>
      <c r="F98" s="502"/>
      <c r="G98" s="503"/>
      <c r="H98" s="1064"/>
      <c r="I98" s="1065"/>
      <c r="J98" s="1065"/>
      <c r="K98" s="1066"/>
      <c r="L98" s="1061"/>
      <c r="M98" s="1062"/>
      <c r="N98" s="1063"/>
      <c r="O98" s="502"/>
      <c r="P98" s="503"/>
      <c r="Q98" s="502"/>
      <c r="R98" s="503"/>
      <c r="S98" s="1064"/>
      <c r="T98" s="1065"/>
      <c r="U98" s="1065"/>
      <c r="V98" s="1066"/>
    </row>
    <row r="99" spans="1:22" ht="13.8" thickBot="1" x14ac:dyDescent="0.3">
      <c r="A99" s="1061"/>
      <c r="B99" s="1062"/>
      <c r="C99" s="1063"/>
      <c r="D99" s="502"/>
      <c r="E99" s="503"/>
      <c r="F99" s="502"/>
      <c r="G99" s="503"/>
      <c r="H99" s="1064"/>
      <c r="I99" s="1065"/>
      <c r="J99" s="1065"/>
      <c r="K99" s="1066"/>
      <c r="L99" s="1061"/>
      <c r="M99" s="1062"/>
      <c r="N99" s="1063"/>
      <c r="O99" s="502"/>
      <c r="P99" s="503"/>
      <c r="Q99" s="502"/>
      <c r="R99" s="503"/>
      <c r="S99" s="1064"/>
      <c r="T99" s="1065"/>
      <c r="U99" s="1065"/>
      <c r="V99" s="1066"/>
    </row>
    <row r="100" spans="1:22" ht="13.8" thickBot="1" x14ac:dyDescent="0.3">
      <c r="A100" s="1061"/>
      <c r="B100" s="1062"/>
      <c r="C100" s="1063"/>
      <c r="D100" s="502"/>
      <c r="E100" s="503"/>
      <c r="F100" s="502"/>
      <c r="G100" s="503"/>
      <c r="H100" s="1064"/>
      <c r="I100" s="1065"/>
      <c r="J100" s="1065"/>
      <c r="K100" s="1066"/>
      <c r="L100" s="1061"/>
      <c r="M100" s="1062"/>
      <c r="N100" s="1063"/>
      <c r="O100" s="502"/>
      <c r="P100" s="503"/>
      <c r="Q100" s="502"/>
      <c r="R100" s="503"/>
      <c r="S100" s="1064"/>
      <c r="T100" s="1065"/>
      <c r="U100" s="1065"/>
      <c r="V100" s="1066"/>
    </row>
    <row r="101" spans="1:22" ht="13.8" thickBot="1" x14ac:dyDescent="0.3">
      <c r="A101" s="1061"/>
      <c r="B101" s="1062"/>
      <c r="C101" s="1063"/>
      <c r="D101" s="502"/>
      <c r="E101" s="503"/>
      <c r="F101" s="502"/>
      <c r="G101" s="503"/>
      <c r="H101" s="1064"/>
      <c r="I101" s="1065"/>
      <c r="J101" s="1065"/>
      <c r="K101" s="1066"/>
      <c r="L101" s="1061"/>
      <c r="M101" s="1062"/>
      <c r="N101" s="1063"/>
      <c r="O101" s="502"/>
      <c r="P101" s="503"/>
      <c r="Q101" s="502"/>
      <c r="R101" s="503"/>
      <c r="S101" s="1064"/>
      <c r="T101" s="1065"/>
      <c r="U101" s="1065"/>
      <c r="V101" s="1066"/>
    </row>
    <row r="102" spans="1:22" ht="13.8" thickBot="1" x14ac:dyDescent="0.3">
      <c r="A102" s="1061"/>
      <c r="B102" s="1062"/>
      <c r="C102" s="1063"/>
      <c r="D102" s="502"/>
      <c r="E102" s="503"/>
      <c r="F102" s="502"/>
      <c r="G102" s="503"/>
      <c r="H102" s="1064"/>
      <c r="I102" s="1065"/>
      <c r="J102" s="1065"/>
      <c r="K102" s="1066"/>
      <c r="L102" s="1061"/>
      <c r="M102" s="1062"/>
      <c r="N102" s="1063"/>
      <c r="O102" s="502"/>
      <c r="P102" s="503"/>
      <c r="Q102" s="502"/>
      <c r="R102" s="503"/>
      <c r="S102" s="1064"/>
      <c r="T102" s="1065"/>
      <c r="U102" s="1065"/>
      <c r="V102" s="1066"/>
    </row>
    <row r="103" spans="1:22" ht="13.8" thickBot="1" x14ac:dyDescent="0.3">
      <c r="A103" s="1061"/>
      <c r="B103" s="1062"/>
      <c r="C103" s="1063"/>
      <c r="D103" s="502"/>
      <c r="E103" s="503"/>
      <c r="F103" s="502"/>
      <c r="G103" s="503"/>
      <c r="H103" s="1064"/>
      <c r="I103" s="1065"/>
      <c r="J103" s="1065"/>
      <c r="K103" s="1066"/>
      <c r="L103" s="1061"/>
      <c r="M103" s="1062"/>
      <c r="N103" s="1063"/>
      <c r="O103" s="502"/>
      <c r="P103" s="503"/>
      <c r="Q103" s="502"/>
      <c r="R103" s="503"/>
      <c r="S103" s="1064"/>
      <c r="T103" s="1065"/>
      <c r="U103" s="1065"/>
      <c r="V103" s="1066"/>
    </row>
    <row r="104" spans="1:22" ht="13.8" thickBot="1" x14ac:dyDescent="0.3">
      <c r="A104" s="1061"/>
      <c r="B104" s="1062"/>
      <c r="C104" s="1063"/>
      <c r="D104" s="502"/>
      <c r="E104" s="503"/>
      <c r="F104" s="502"/>
      <c r="G104" s="503"/>
      <c r="H104" s="1064"/>
      <c r="I104" s="1065"/>
      <c r="J104" s="1065"/>
      <c r="K104" s="1066"/>
      <c r="L104" s="1061"/>
      <c r="M104" s="1062"/>
      <c r="N104" s="1063"/>
      <c r="O104" s="502"/>
      <c r="P104" s="503"/>
      <c r="Q104" s="502"/>
      <c r="R104" s="503"/>
      <c r="S104" s="1064"/>
      <c r="T104" s="1065"/>
      <c r="U104" s="1065"/>
      <c r="V104" s="1066"/>
    </row>
    <row r="105" spans="1:22" ht="13.8" thickBot="1" x14ac:dyDescent="0.3">
      <c r="A105" s="1061"/>
      <c r="B105" s="1062"/>
      <c r="C105" s="1063"/>
      <c r="D105" s="502"/>
      <c r="E105" s="503"/>
      <c r="F105" s="502"/>
      <c r="G105" s="503"/>
      <c r="H105" s="1064"/>
      <c r="I105" s="1065"/>
      <c r="J105" s="1065"/>
      <c r="K105" s="1066"/>
      <c r="L105" s="1061"/>
      <c r="M105" s="1062"/>
      <c r="N105" s="1063"/>
      <c r="O105" s="502"/>
      <c r="P105" s="503"/>
      <c r="Q105" s="502"/>
      <c r="R105" s="503"/>
      <c r="S105" s="1064"/>
      <c r="T105" s="1065"/>
      <c r="U105" s="1065"/>
      <c r="V105" s="1066"/>
    </row>
    <row r="106" spans="1:22" ht="13.8" thickBot="1" x14ac:dyDescent="0.3">
      <c r="A106" s="1061"/>
      <c r="B106" s="1062"/>
      <c r="C106" s="1063"/>
      <c r="D106" s="502"/>
      <c r="E106" s="503"/>
      <c r="F106" s="502"/>
      <c r="G106" s="503"/>
      <c r="H106" s="1064"/>
      <c r="I106" s="1065"/>
      <c r="J106" s="1065"/>
      <c r="K106" s="1066"/>
      <c r="L106" s="1061"/>
      <c r="M106" s="1062"/>
      <c r="N106" s="1063"/>
      <c r="O106" s="502"/>
      <c r="P106" s="503"/>
      <c r="Q106" s="502"/>
      <c r="R106" s="503"/>
      <c r="S106" s="1064"/>
      <c r="T106" s="1065"/>
      <c r="U106" s="1065"/>
      <c r="V106" s="1066"/>
    </row>
    <row r="107" spans="1:22" ht="13.8" thickBot="1" x14ac:dyDescent="0.3">
      <c r="A107" s="1061"/>
      <c r="B107" s="1062"/>
      <c r="C107" s="1063"/>
      <c r="D107" s="502"/>
      <c r="E107" s="503"/>
      <c r="F107" s="502"/>
      <c r="G107" s="503"/>
      <c r="H107" s="1064"/>
      <c r="I107" s="1065"/>
      <c r="J107" s="1065"/>
      <c r="K107" s="1066"/>
      <c r="L107" s="1061"/>
      <c r="M107" s="1062"/>
      <c r="N107" s="1063"/>
      <c r="O107" s="502"/>
      <c r="P107" s="503"/>
      <c r="Q107" s="502"/>
      <c r="R107" s="503"/>
      <c r="S107" s="1064"/>
      <c r="T107" s="1065"/>
      <c r="U107" s="1065"/>
      <c r="V107" s="1066"/>
    </row>
    <row r="108" spans="1:22" ht="13.8" thickBot="1" x14ac:dyDescent="0.3">
      <c r="A108" s="1061"/>
      <c r="B108" s="1062"/>
      <c r="C108" s="1063"/>
      <c r="D108" s="502"/>
      <c r="E108" s="503"/>
      <c r="F108" s="502"/>
      <c r="G108" s="503"/>
      <c r="H108" s="1064"/>
      <c r="I108" s="1065"/>
      <c r="J108" s="1065"/>
      <c r="K108" s="1066"/>
      <c r="L108" s="1061"/>
      <c r="M108" s="1062"/>
      <c r="N108" s="1063"/>
      <c r="O108" s="502"/>
      <c r="P108" s="503"/>
      <c r="Q108" s="502"/>
      <c r="R108" s="503"/>
      <c r="S108" s="1064"/>
      <c r="T108" s="1065"/>
      <c r="U108" s="1065"/>
      <c r="V108" s="1066"/>
    </row>
    <row r="109" spans="1:22" ht="13.8" thickBot="1" x14ac:dyDescent="0.3">
      <c r="A109" s="1061"/>
      <c r="B109" s="1062"/>
      <c r="C109" s="1063"/>
      <c r="D109" s="502"/>
      <c r="E109" s="503"/>
      <c r="F109" s="502"/>
      <c r="G109" s="503"/>
      <c r="H109" s="1064"/>
      <c r="I109" s="1065"/>
      <c r="J109" s="1065"/>
      <c r="K109" s="1066"/>
      <c r="L109" s="1061"/>
      <c r="M109" s="1062"/>
      <c r="N109" s="1063"/>
      <c r="O109" s="502"/>
      <c r="P109" s="503"/>
      <c r="Q109" s="502"/>
      <c r="R109" s="503"/>
      <c r="S109" s="1064"/>
      <c r="T109" s="1065"/>
      <c r="U109" s="1065"/>
      <c r="V109" s="1066"/>
    </row>
    <row r="110" spans="1:22" ht="13.8" thickBot="1" x14ac:dyDescent="0.3">
      <c r="A110" s="1061"/>
      <c r="B110" s="1062"/>
      <c r="C110" s="1063"/>
      <c r="D110" s="502"/>
      <c r="E110" s="503"/>
      <c r="F110" s="502"/>
      <c r="G110" s="503"/>
      <c r="H110" s="1064"/>
      <c r="I110" s="1065"/>
      <c r="J110" s="1065"/>
      <c r="K110" s="1066"/>
      <c r="L110" s="1061"/>
      <c r="M110" s="1062"/>
      <c r="N110" s="1063"/>
      <c r="O110" s="502"/>
      <c r="P110" s="503"/>
      <c r="Q110" s="502"/>
      <c r="R110" s="503"/>
      <c r="S110" s="1064"/>
      <c r="T110" s="1065"/>
      <c r="U110" s="1065"/>
      <c r="V110" s="1066"/>
    </row>
    <row r="111" spans="1:22" ht="13.8" thickBot="1" x14ac:dyDescent="0.3">
      <c r="A111" s="1061"/>
      <c r="B111" s="1062"/>
      <c r="C111" s="1063"/>
      <c r="D111" s="502"/>
      <c r="E111" s="503"/>
      <c r="F111" s="502"/>
      <c r="G111" s="503"/>
      <c r="H111" s="1064"/>
      <c r="I111" s="1065"/>
      <c r="J111" s="1065"/>
      <c r="K111" s="1066"/>
      <c r="L111" s="1061"/>
      <c r="M111" s="1062"/>
      <c r="N111" s="1063"/>
      <c r="O111" s="502"/>
      <c r="P111" s="503"/>
      <c r="Q111" s="502"/>
      <c r="R111" s="503"/>
      <c r="S111" s="1064"/>
      <c r="T111" s="1065"/>
      <c r="U111" s="1065"/>
      <c r="V111" s="1066"/>
    </row>
    <row r="112" spans="1:22" ht="13.8" thickBot="1" x14ac:dyDescent="0.3">
      <c r="A112" s="1061"/>
      <c r="B112" s="1062"/>
      <c r="C112" s="1063"/>
      <c r="D112" s="502"/>
      <c r="E112" s="503"/>
      <c r="F112" s="502"/>
      <c r="G112" s="503"/>
      <c r="H112" s="1064"/>
      <c r="I112" s="1065"/>
      <c r="J112" s="1065"/>
      <c r="K112" s="1066"/>
      <c r="L112" s="1061"/>
      <c r="M112" s="1062"/>
      <c r="N112" s="1063"/>
      <c r="O112" s="502"/>
      <c r="P112" s="503"/>
      <c r="Q112" s="502"/>
      <c r="R112" s="503"/>
      <c r="S112" s="1064"/>
      <c r="T112" s="1065"/>
      <c r="U112" s="1065"/>
      <c r="V112" s="1066"/>
    </row>
    <row r="113" spans="1:22" ht="13.8" thickBot="1" x14ac:dyDescent="0.3">
      <c r="A113" s="1061"/>
      <c r="B113" s="1062"/>
      <c r="C113" s="1063"/>
      <c r="D113" s="502"/>
      <c r="E113" s="503"/>
      <c r="F113" s="502"/>
      <c r="G113" s="503"/>
      <c r="H113" s="1064"/>
      <c r="I113" s="1065"/>
      <c r="J113" s="1065"/>
      <c r="K113" s="1066"/>
      <c r="L113" s="1061"/>
      <c r="M113" s="1062"/>
      <c r="N113" s="1063"/>
      <c r="O113" s="502"/>
      <c r="P113" s="503"/>
      <c r="Q113" s="502"/>
      <c r="R113" s="503"/>
      <c r="S113" s="1064"/>
      <c r="T113" s="1065"/>
      <c r="U113" s="1065"/>
      <c r="V113" s="1066"/>
    </row>
    <row r="114" spans="1:22" ht="13.8" thickBot="1" x14ac:dyDescent="0.3">
      <c r="A114" s="1061"/>
      <c r="B114" s="1062"/>
      <c r="C114" s="1063"/>
      <c r="D114" s="502"/>
      <c r="E114" s="503"/>
      <c r="F114" s="502"/>
      <c r="G114" s="503"/>
      <c r="H114" s="1064"/>
      <c r="I114" s="1065"/>
      <c r="J114" s="1065"/>
      <c r="K114" s="1066"/>
      <c r="L114" s="1061"/>
      <c r="M114" s="1062"/>
      <c r="N114" s="1063"/>
      <c r="O114" s="502"/>
      <c r="P114" s="503"/>
      <c r="Q114" s="502"/>
      <c r="R114" s="503"/>
      <c r="S114" s="1064"/>
      <c r="T114" s="1065"/>
      <c r="U114" s="1065"/>
      <c r="V114" s="1066"/>
    </row>
    <row r="115" spans="1:22" ht="13.8" thickBot="1" x14ac:dyDescent="0.3">
      <c r="A115" s="1061"/>
      <c r="B115" s="1062"/>
      <c r="C115" s="1063"/>
      <c r="D115" s="502"/>
      <c r="E115" s="503"/>
      <c r="F115" s="502"/>
      <c r="G115" s="503"/>
      <c r="H115" s="1064"/>
      <c r="I115" s="1065"/>
      <c r="J115" s="1065"/>
      <c r="K115" s="1066"/>
      <c r="L115" s="1061"/>
      <c r="M115" s="1062"/>
      <c r="N115" s="1063"/>
      <c r="O115" s="502"/>
      <c r="P115" s="503"/>
      <c r="Q115" s="502"/>
      <c r="R115" s="503"/>
      <c r="S115" s="1064"/>
      <c r="T115" s="1065"/>
      <c r="U115" s="1065"/>
      <c r="V115" s="1066"/>
    </row>
    <row r="116" spans="1:22" ht="13.8" thickBot="1" x14ac:dyDescent="0.3">
      <c r="A116" s="1061"/>
      <c r="B116" s="1062"/>
      <c r="C116" s="1063"/>
      <c r="D116" s="502"/>
      <c r="E116" s="503"/>
      <c r="F116" s="502"/>
      <c r="G116" s="503"/>
      <c r="H116" s="1064"/>
      <c r="I116" s="1065"/>
      <c r="J116" s="1065"/>
      <c r="K116" s="1066"/>
      <c r="L116" s="1061"/>
      <c r="M116" s="1062"/>
      <c r="N116" s="1063"/>
      <c r="O116" s="502"/>
      <c r="P116" s="503"/>
      <c r="Q116" s="502"/>
      <c r="R116" s="503"/>
      <c r="S116" s="1064"/>
      <c r="T116" s="1065"/>
      <c r="U116" s="1065"/>
      <c r="V116" s="1066"/>
    </row>
    <row r="117" spans="1:22" ht="13.8" thickBot="1" x14ac:dyDescent="0.3">
      <c r="A117" s="1061"/>
      <c r="B117" s="1062"/>
      <c r="C117" s="1063"/>
      <c r="D117" s="502"/>
      <c r="E117" s="503"/>
      <c r="F117" s="502"/>
      <c r="G117" s="503"/>
      <c r="H117" s="1064"/>
      <c r="I117" s="1065"/>
      <c r="J117" s="1065"/>
      <c r="K117" s="1066"/>
      <c r="L117" s="1061"/>
      <c r="M117" s="1062"/>
      <c r="N117" s="1063"/>
      <c r="O117" s="502"/>
      <c r="P117" s="503"/>
      <c r="Q117" s="502"/>
      <c r="R117" s="503"/>
      <c r="S117" s="1064"/>
      <c r="T117" s="1065"/>
      <c r="U117" s="1065"/>
      <c r="V117" s="1066"/>
    </row>
    <row r="118" spans="1:22" ht="13.8" thickBot="1" x14ac:dyDescent="0.3">
      <c r="A118" s="1061"/>
      <c r="B118" s="1062"/>
      <c r="C118" s="1063"/>
      <c r="D118" s="502"/>
      <c r="E118" s="503"/>
      <c r="F118" s="502"/>
      <c r="G118" s="503"/>
      <c r="H118" s="1064"/>
      <c r="I118" s="1065"/>
      <c r="J118" s="1065"/>
      <c r="K118" s="1066"/>
      <c r="L118" s="1061"/>
      <c r="M118" s="1062"/>
      <c r="N118" s="1063"/>
      <c r="O118" s="502"/>
      <c r="P118" s="503"/>
      <c r="Q118" s="502"/>
      <c r="R118" s="503"/>
      <c r="S118" s="1064"/>
      <c r="T118" s="1065"/>
      <c r="U118" s="1065"/>
      <c r="V118" s="1066"/>
    </row>
    <row r="119" spans="1:22" ht="13.8" thickBot="1" x14ac:dyDescent="0.3">
      <c r="A119" s="1061"/>
      <c r="B119" s="1062"/>
      <c r="C119" s="1063"/>
      <c r="D119" s="502"/>
      <c r="E119" s="503"/>
      <c r="F119" s="502"/>
      <c r="G119" s="503"/>
      <c r="H119" s="1064"/>
      <c r="I119" s="1065"/>
      <c r="J119" s="1065"/>
      <c r="K119" s="1066"/>
      <c r="L119" s="1061"/>
      <c r="M119" s="1062"/>
      <c r="N119" s="1063"/>
      <c r="O119" s="502"/>
      <c r="P119" s="503"/>
      <c r="Q119" s="502"/>
      <c r="R119" s="503"/>
      <c r="S119" s="1064"/>
      <c r="T119" s="1065"/>
      <c r="U119" s="1065"/>
      <c r="V119" s="1066"/>
    </row>
    <row r="120" spans="1:22" ht="13.8" thickBot="1" x14ac:dyDescent="0.3">
      <c r="A120" s="1061"/>
      <c r="B120" s="1062"/>
      <c r="C120" s="1063"/>
      <c r="D120" s="502"/>
      <c r="E120" s="503"/>
      <c r="F120" s="502"/>
      <c r="G120" s="503"/>
      <c r="H120" s="1064"/>
      <c r="I120" s="1065"/>
      <c r="J120" s="1065"/>
      <c r="K120" s="1066"/>
      <c r="L120" s="1061"/>
      <c r="M120" s="1062"/>
      <c r="N120" s="1063"/>
      <c r="O120" s="502"/>
      <c r="P120" s="503"/>
      <c r="Q120" s="502"/>
      <c r="R120" s="503"/>
      <c r="S120" s="1064"/>
      <c r="T120" s="1065"/>
      <c r="U120" s="1065"/>
      <c r="V120" s="1066"/>
    </row>
    <row r="121" spans="1:22" ht="13.8" thickBot="1" x14ac:dyDescent="0.3">
      <c r="A121" s="1061"/>
      <c r="B121" s="1062"/>
      <c r="C121" s="1063"/>
      <c r="D121" s="502"/>
      <c r="E121" s="503"/>
      <c r="F121" s="502"/>
      <c r="G121" s="503"/>
      <c r="H121" s="1064"/>
      <c r="I121" s="1065"/>
      <c r="J121" s="1065"/>
      <c r="K121" s="1066"/>
      <c r="L121" s="1061"/>
      <c r="M121" s="1062"/>
      <c r="N121" s="1063"/>
      <c r="O121" s="502"/>
      <c r="P121" s="503"/>
      <c r="Q121" s="502"/>
      <c r="R121" s="503"/>
      <c r="S121" s="1064"/>
      <c r="T121" s="1065"/>
      <c r="U121" s="1065"/>
      <c r="V121" s="1066"/>
    </row>
    <row r="122" spans="1:22" ht="13.8" thickBot="1" x14ac:dyDescent="0.3">
      <c r="A122" s="1061"/>
      <c r="B122" s="1062"/>
      <c r="C122" s="1063"/>
      <c r="D122" s="502"/>
      <c r="E122" s="503"/>
      <c r="F122" s="502"/>
      <c r="G122" s="503"/>
      <c r="H122" s="1064"/>
      <c r="I122" s="1065"/>
      <c r="J122" s="1065"/>
      <c r="K122" s="1066"/>
      <c r="L122" s="1061"/>
      <c r="M122" s="1062"/>
      <c r="N122" s="1063"/>
      <c r="O122" s="502"/>
      <c r="P122" s="503"/>
      <c r="Q122" s="502"/>
      <c r="R122" s="503"/>
      <c r="S122" s="1064"/>
      <c r="T122" s="1065"/>
      <c r="U122" s="1065"/>
      <c r="V122" s="1066"/>
    </row>
    <row r="123" spans="1:22" ht="13.8" thickBot="1" x14ac:dyDescent="0.3">
      <c r="A123" s="1061"/>
      <c r="B123" s="1062"/>
      <c r="C123" s="1063"/>
      <c r="D123" s="502"/>
      <c r="E123" s="503"/>
      <c r="F123" s="502"/>
      <c r="G123" s="503"/>
      <c r="H123" s="1064"/>
      <c r="I123" s="1065"/>
      <c r="J123" s="1065"/>
      <c r="K123" s="1066"/>
      <c r="L123" s="1061"/>
      <c r="M123" s="1062"/>
      <c r="N123" s="1063"/>
      <c r="O123" s="502"/>
      <c r="P123" s="503"/>
      <c r="Q123" s="502"/>
      <c r="R123" s="503"/>
      <c r="S123" s="1064"/>
      <c r="T123" s="1065"/>
      <c r="U123" s="1065"/>
      <c r="V123" s="1066"/>
    </row>
    <row r="124" spans="1:22" ht="13.8" thickBot="1" x14ac:dyDescent="0.3">
      <c r="A124" s="1061"/>
      <c r="B124" s="1062"/>
      <c r="C124" s="1063"/>
      <c r="D124" s="502"/>
      <c r="E124" s="503"/>
      <c r="F124" s="502"/>
      <c r="G124" s="503"/>
      <c r="H124" s="1064"/>
      <c r="I124" s="1065"/>
      <c r="J124" s="1065"/>
      <c r="K124" s="1066"/>
      <c r="L124" s="1061"/>
      <c r="M124" s="1062"/>
      <c r="N124" s="1063"/>
      <c r="O124" s="502"/>
      <c r="P124" s="503"/>
      <c r="Q124" s="502"/>
      <c r="R124" s="503"/>
      <c r="S124" s="1064"/>
      <c r="T124" s="1065"/>
      <c r="U124" s="1065"/>
      <c r="V124" s="1066"/>
    </row>
    <row r="125" spans="1:22" ht="13.8" thickBot="1" x14ac:dyDescent="0.3">
      <c r="A125" s="1061"/>
      <c r="B125" s="1062"/>
      <c r="C125" s="1063"/>
      <c r="D125" s="502"/>
      <c r="E125" s="503"/>
      <c r="F125" s="502"/>
      <c r="G125" s="503"/>
      <c r="H125" s="1064"/>
      <c r="I125" s="1065"/>
      <c r="J125" s="1065"/>
      <c r="K125" s="1066"/>
      <c r="L125" s="1061"/>
      <c r="M125" s="1062"/>
      <c r="N125" s="1063"/>
      <c r="O125" s="502"/>
      <c r="P125" s="503"/>
      <c r="Q125" s="502"/>
      <c r="R125" s="503"/>
      <c r="S125" s="1064"/>
      <c r="T125" s="1065"/>
      <c r="U125" s="1065"/>
      <c r="V125" s="1066"/>
    </row>
    <row r="126" spans="1:22" ht="13.8" thickBot="1" x14ac:dyDescent="0.3">
      <c r="A126" s="1061"/>
      <c r="B126" s="1062"/>
      <c r="C126" s="1063"/>
      <c r="D126" s="502"/>
      <c r="E126" s="503"/>
      <c r="F126" s="502"/>
      <c r="G126" s="503"/>
      <c r="H126" s="1064"/>
      <c r="I126" s="1065"/>
      <c r="J126" s="1065"/>
      <c r="K126" s="1066"/>
      <c r="L126" s="1061"/>
      <c r="M126" s="1062"/>
      <c r="N126" s="1063"/>
      <c r="O126" s="502"/>
      <c r="P126" s="503"/>
      <c r="Q126" s="502"/>
      <c r="R126" s="503"/>
      <c r="S126" s="1064"/>
      <c r="T126" s="1065"/>
      <c r="U126" s="1065"/>
      <c r="V126" s="1066"/>
    </row>
    <row r="127" spans="1:22" ht="13.8" thickBot="1" x14ac:dyDescent="0.3">
      <c r="A127" s="1061"/>
      <c r="B127" s="1062"/>
      <c r="C127" s="1063"/>
      <c r="D127" s="502"/>
      <c r="E127" s="503"/>
      <c r="F127" s="502"/>
      <c r="G127" s="503"/>
      <c r="H127" s="1064"/>
      <c r="I127" s="1065"/>
      <c r="J127" s="1065"/>
      <c r="K127" s="1066"/>
      <c r="L127" s="1061"/>
      <c r="M127" s="1062"/>
      <c r="N127" s="1063"/>
      <c r="O127" s="502"/>
      <c r="P127" s="503"/>
      <c r="Q127" s="502"/>
      <c r="R127" s="503"/>
      <c r="S127" s="1064"/>
      <c r="T127" s="1065"/>
      <c r="U127" s="1065"/>
      <c r="V127" s="1066"/>
    </row>
    <row r="128" spans="1:22" ht="13.8" thickBot="1" x14ac:dyDescent="0.3">
      <c r="A128" s="1061"/>
      <c r="B128" s="1062"/>
      <c r="C128" s="1063"/>
      <c r="D128" s="502"/>
      <c r="E128" s="503"/>
      <c r="F128" s="502"/>
      <c r="G128" s="503"/>
      <c r="H128" s="1064"/>
      <c r="I128" s="1065"/>
      <c r="J128" s="1065"/>
      <c r="K128" s="1066"/>
      <c r="L128" s="1061"/>
      <c r="M128" s="1062"/>
      <c r="N128" s="1063"/>
      <c r="O128" s="502"/>
      <c r="P128" s="503"/>
      <c r="Q128" s="502"/>
      <c r="R128" s="503"/>
      <c r="S128" s="1064"/>
      <c r="T128" s="1065"/>
      <c r="U128" s="1065"/>
      <c r="V128" s="1066"/>
    </row>
    <row r="129" spans="1:22" ht="13.8" thickBot="1" x14ac:dyDescent="0.3">
      <c r="A129" s="1061"/>
      <c r="B129" s="1062"/>
      <c r="C129" s="1063"/>
      <c r="D129" s="502"/>
      <c r="E129" s="503"/>
      <c r="F129" s="502"/>
      <c r="G129" s="503"/>
      <c r="H129" s="1064"/>
      <c r="I129" s="1065"/>
      <c r="J129" s="1065"/>
      <c r="K129" s="1066"/>
      <c r="L129" s="1061"/>
      <c r="M129" s="1062"/>
      <c r="N129" s="1063"/>
      <c r="O129" s="502"/>
      <c r="P129" s="503"/>
      <c r="Q129" s="502"/>
      <c r="R129" s="503"/>
      <c r="S129" s="1064"/>
      <c r="T129" s="1065"/>
      <c r="U129" s="1065"/>
      <c r="V129" s="1066"/>
    </row>
    <row r="130" spans="1:22" ht="13.8" thickBot="1" x14ac:dyDescent="0.3">
      <c r="A130" s="1061"/>
      <c r="B130" s="1062"/>
      <c r="C130" s="1063"/>
      <c r="D130" s="502"/>
      <c r="E130" s="503"/>
      <c r="F130" s="502"/>
      <c r="G130" s="503"/>
      <c r="H130" s="1064"/>
      <c r="I130" s="1065"/>
      <c r="J130" s="1065"/>
      <c r="K130" s="1066"/>
      <c r="L130" s="1061"/>
      <c r="M130" s="1062"/>
      <c r="N130" s="1063"/>
      <c r="O130" s="502"/>
      <c r="P130" s="503"/>
      <c r="Q130" s="502"/>
      <c r="R130" s="503"/>
      <c r="S130" s="1064"/>
      <c r="T130" s="1065"/>
      <c r="U130" s="1065"/>
      <c r="V130" s="1066"/>
    </row>
    <row r="131" spans="1:22" ht="13.8" thickBot="1" x14ac:dyDescent="0.3">
      <c r="A131" s="1061"/>
      <c r="B131" s="1062"/>
      <c r="C131" s="1063"/>
      <c r="D131" s="502"/>
      <c r="E131" s="503"/>
      <c r="F131" s="502"/>
      <c r="G131" s="503"/>
      <c r="H131" s="1064"/>
      <c r="I131" s="1065"/>
      <c r="J131" s="1065"/>
      <c r="K131" s="1066"/>
      <c r="L131" s="1061"/>
      <c r="M131" s="1062"/>
      <c r="N131" s="1063"/>
      <c r="O131" s="502"/>
      <c r="P131" s="503"/>
      <c r="Q131" s="502"/>
      <c r="R131" s="503"/>
      <c r="S131" s="1064"/>
      <c r="T131" s="1065"/>
      <c r="U131" s="1065"/>
      <c r="V131" s="1066"/>
    </row>
    <row r="132" spans="1:22" ht="13.8" thickBot="1" x14ac:dyDescent="0.3">
      <c r="A132" s="1061"/>
      <c r="B132" s="1062"/>
      <c r="C132" s="1063"/>
      <c r="D132" s="502"/>
      <c r="E132" s="503"/>
      <c r="F132" s="502"/>
      <c r="G132" s="503"/>
      <c r="H132" s="1064"/>
      <c r="I132" s="1065"/>
      <c r="J132" s="1065"/>
      <c r="K132" s="1066"/>
      <c r="L132" s="1061"/>
      <c r="M132" s="1062"/>
      <c r="N132" s="1063"/>
      <c r="O132" s="502"/>
      <c r="P132" s="503"/>
      <c r="Q132" s="502"/>
      <c r="R132" s="503"/>
      <c r="S132" s="1064"/>
      <c r="T132" s="1065"/>
      <c r="U132" s="1065"/>
      <c r="V132" s="1066"/>
    </row>
    <row r="133" spans="1:22" ht="13.8" thickBot="1" x14ac:dyDescent="0.3">
      <c r="A133" s="1061"/>
      <c r="B133" s="1062"/>
      <c r="C133" s="1063"/>
      <c r="D133" s="502"/>
      <c r="E133" s="503"/>
      <c r="F133" s="502"/>
      <c r="G133" s="503"/>
      <c r="H133" s="1064"/>
      <c r="I133" s="1065"/>
      <c r="J133" s="1065"/>
      <c r="K133" s="1066"/>
      <c r="L133" s="1061"/>
      <c r="M133" s="1062"/>
      <c r="N133" s="1063"/>
      <c r="O133" s="502"/>
      <c r="P133" s="503"/>
      <c r="Q133" s="502"/>
      <c r="R133" s="503"/>
      <c r="S133" s="1064"/>
      <c r="T133" s="1065"/>
      <c r="U133" s="1065"/>
      <c r="V133" s="1066"/>
    </row>
    <row r="134" spans="1:22" ht="13.8" thickBot="1" x14ac:dyDescent="0.3">
      <c r="A134" s="1061"/>
      <c r="B134" s="1062"/>
      <c r="C134" s="1063"/>
      <c r="D134" s="502"/>
      <c r="E134" s="503"/>
      <c r="F134" s="502"/>
      <c r="G134" s="503"/>
      <c r="H134" s="1064"/>
      <c r="I134" s="1065"/>
      <c r="J134" s="1065"/>
      <c r="K134" s="1066"/>
      <c r="L134" s="1061"/>
      <c r="M134" s="1062"/>
      <c r="N134" s="1063"/>
      <c r="O134" s="502"/>
      <c r="P134" s="503"/>
      <c r="Q134" s="502"/>
      <c r="R134" s="503"/>
      <c r="S134" s="1064"/>
      <c r="T134" s="1065"/>
      <c r="U134" s="1065"/>
      <c r="V134" s="1066"/>
    </row>
    <row r="135" spans="1:22" ht="13.8" thickBot="1" x14ac:dyDescent="0.3">
      <c r="A135" s="1061"/>
      <c r="B135" s="1062"/>
      <c r="C135" s="1063"/>
      <c r="D135" s="502"/>
      <c r="E135" s="503"/>
      <c r="F135" s="502"/>
      <c r="G135" s="503"/>
      <c r="H135" s="1064"/>
      <c r="I135" s="1065"/>
      <c r="J135" s="1065"/>
      <c r="K135" s="1066"/>
      <c r="L135" s="1061"/>
      <c r="M135" s="1062"/>
      <c r="N135" s="1063"/>
      <c r="O135" s="502"/>
      <c r="P135" s="503"/>
      <c r="Q135" s="502"/>
      <c r="R135" s="503"/>
      <c r="S135" s="1064"/>
      <c r="T135" s="1065"/>
      <c r="U135" s="1065"/>
      <c r="V135" s="1066"/>
    </row>
    <row r="136" spans="1:22" ht="13.8" thickBot="1" x14ac:dyDescent="0.3">
      <c r="A136" s="1061"/>
      <c r="B136" s="1062"/>
      <c r="C136" s="1063"/>
      <c r="D136" s="502"/>
      <c r="E136" s="503"/>
      <c r="F136" s="502"/>
      <c r="G136" s="503"/>
      <c r="H136" s="1064"/>
      <c r="I136" s="1065"/>
      <c r="J136" s="1065"/>
      <c r="K136" s="1066"/>
      <c r="L136" s="1061"/>
      <c r="M136" s="1062"/>
      <c r="N136" s="1063"/>
      <c r="O136" s="502"/>
      <c r="P136" s="503"/>
      <c r="Q136" s="502"/>
      <c r="R136" s="503"/>
      <c r="S136" s="1064"/>
      <c r="T136" s="1065"/>
      <c r="U136" s="1065"/>
      <c r="V136" s="1066"/>
    </row>
    <row r="137" spans="1:22" ht="13.8" thickBot="1" x14ac:dyDescent="0.3">
      <c r="A137" s="1061"/>
      <c r="B137" s="1062"/>
      <c r="C137" s="1063"/>
      <c r="D137" s="502"/>
      <c r="E137" s="503"/>
      <c r="F137" s="502"/>
      <c r="G137" s="503"/>
      <c r="H137" s="1064"/>
      <c r="I137" s="1065"/>
      <c r="J137" s="1065"/>
      <c r="K137" s="1066"/>
      <c r="L137" s="1061"/>
      <c r="M137" s="1062"/>
      <c r="N137" s="1063"/>
      <c r="O137" s="502"/>
      <c r="P137" s="503"/>
      <c r="Q137" s="502"/>
      <c r="R137" s="503"/>
      <c r="S137" s="1064"/>
      <c r="T137" s="1065"/>
      <c r="U137" s="1065"/>
      <c r="V137" s="1066"/>
    </row>
    <row r="138" spans="1:22" ht="13.8" thickBot="1" x14ac:dyDescent="0.3">
      <c r="A138" s="1061"/>
      <c r="B138" s="1062"/>
      <c r="C138" s="1063"/>
      <c r="D138" s="502"/>
      <c r="E138" s="503"/>
      <c r="F138" s="502"/>
      <c r="G138" s="503"/>
      <c r="H138" s="1064"/>
      <c r="I138" s="1065"/>
      <c r="J138" s="1065"/>
      <c r="K138" s="1066"/>
      <c r="L138" s="1061"/>
      <c r="M138" s="1062"/>
      <c r="N138" s="1063"/>
      <c r="O138" s="502"/>
      <c r="P138" s="503"/>
      <c r="Q138" s="502"/>
      <c r="R138" s="503"/>
      <c r="S138" s="1064"/>
      <c r="T138" s="1065"/>
      <c r="U138" s="1065"/>
      <c r="V138" s="1066"/>
    </row>
    <row r="139" spans="1:22" ht="13.8" thickBot="1" x14ac:dyDescent="0.3">
      <c r="A139" s="1061"/>
      <c r="B139" s="1062"/>
      <c r="C139" s="1063"/>
      <c r="D139" s="502"/>
      <c r="E139" s="503"/>
      <c r="F139" s="502"/>
      <c r="G139" s="503"/>
      <c r="H139" s="1064"/>
      <c r="I139" s="1065"/>
      <c r="J139" s="1065"/>
      <c r="K139" s="1066"/>
      <c r="L139" s="1061"/>
      <c r="M139" s="1062"/>
      <c r="N139" s="1063"/>
      <c r="O139" s="502"/>
      <c r="P139" s="503"/>
      <c r="Q139" s="502"/>
      <c r="R139" s="503"/>
      <c r="S139" s="1064"/>
      <c r="T139" s="1065"/>
      <c r="U139" s="1065"/>
      <c r="V139" s="1066"/>
    </row>
    <row r="140" spans="1:22" ht="13.8" thickBot="1" x14ac:dyDescent="0.3">
      <c r="A140" s="1061"/>
      <c r="B140" s="1062"/>
      <c r="C140" s="1063"/>
      <c r="D140" s="502"/>
      <c r="E140" s="503"/>
      <c r="F140" s="502"/>
      <c r="G140" s="503"/>
      <c r="H140" s="1064"/>
      <c r="I140" s="1065"/>
      <c r="J140" s="1065"/>
      <c r="K140" s="1066"/>
      <c r="L140" s="1061"/>
      <c r="M140" s="1062"/>
      <c r="N140" s="1063"/>
      <c r="O140" s="502"/>
      <c r="P140" s="503"/>
      <c r="Q140" s="502"/>
      <c r="R140" s="503"/>
      <c r="S140" s="1064"/>
      <c r="T140" s="1065"/>
      <c r="U140" s="1065"/>
      <c r="V140" s="1066"/>
    </row>
    <row r="141" spans="1:22" x14ac:dyDescent="0.25">
      <c r="A141" s="1061"/>
      <c r="B141" s="1062"/>
      <c r="C141" s="1063"/>
      <c r="D141" s="502"/>
      <c r="E141" s="503"/>
      <c r="F141" s="502"/>
      <c r="G141" s="503"/>
      <c r="H141" s="1064"/>
      <c r="I141" s="1065"/>
      <c r="J141" s="1065"/>
      <c r="K141" s="1066"/>
    </row>
  </sheetData>
  <sheetProtection sheet="1" objects="1" scenarios="1" formatCells="0" formatRows="0" insertHyperlinks="0"/>
  <mergeCells count="538">
    <mergeCell ref="L137:N137"/>
    <mergeCell ref="S137:V137"/>
    <mergeCell ref="L138:N138"/>
    <mergeCell ref="S138:V138"/>
    <mergeCell ref="L139:N139"/>
    <mergeCell ref="S139:V139"/>
    <mergeCell ref="L140:N140"/>
    <mergeCell ref="S140:V140"/>
    <mergeCell ref="L132:N132"/>
    <mergeCell ref="S132:V132"/>
    <mergeCell ref="L133:N133"/>
    <mergeCell ref="S133:V133"/>
    <mergeCell ref="L134:N134"/>
    <mergeCell ref="S134:V134"/>
    <mergeCell ref="L135:N135"/>
    <mergeCell ref="S135:V135"/>
    <mergeCell ref="L136:N136"/>
    <mergeCell ref="S136:V136"/>
    <mergeCell ref="L127:N127"/>
    <mergeCell ref="S127:V127"/>
    <mergeCell ref="L128:N128"/>
    <mergeCell ref="S128:V128"/>
    <mergeCell ref="L129:N129"/>
    <mergeCell ref="S129:V129"/>
    <mergeCell ref="L130:N130"/>
    <mergeCell ref="S130:V130"/>
    <mergeCell ref="L131:N131"/>
    <mergeCell ref="S131:V131"/>
    <mergeCell ref="L122:N122"/>
    <mergeCell ref="S122:V122"/>
    <mergeCell ref="L123:N123"/>
    <mergeCell ref="S123:V123"/>
    <mergeCell ref="L124:N124"/>
    <mergeCell ref="S124:V124"/>
    <mergeCell ref="L125:N125"/>
    <mergeCell ref="S125:V125"/>
    <mergeCell ref="L126:N126"/>
    <mergeCell ref="S126:V126"/>
    <mergeCell ref="L117:N117"/>
    <mergeCell ref="S117:V117"/>
    <mergeCell ref="L118:N118"/>
    <mergeCell ref="S118:V118"/>
    <mergeCell ref="L119:N119"/>
    <mergeCell ref="S119:V119"/>
    <mergeCell ref="L120:N120"/>
    <mergeCell ref="S120:V120"/>
    <mergeCell ref="L121:N121"/>
    <mergeCell ref="S121:V121"/>
    <mergeCell ref="L112:N112"/>
    <mergeCell ref="S112:V112"/>
    <mergeCell ref="L113:N113"/>
    <mergeCell ref="S113:V113"/>
    <mergeCell ref="L114:N114"/>
    <mergeCell ref="S114:V114"/>
    <mergeCell ref="L115:N115"/>
    <mergeCell ref="S115:V115"/>
    <mergeCell ref="L116:N116"/>
    <mergeCell ref="S116:V116"/>
    <mergeCell ref="L107:N107"/>
    <mergeCell ref="S107:V107"/>
    <mergeCell ref="L108:N108"/>
    <mergeCell ref="S108:V108"/>
    <mergeCell ref="L109:N109"/>
    <mergeCell ref="S109:V109"/>
    <mergeCell ref="L110:N110"/>
    <mergeCell ref="S110:V110"/>
    <mergeCell ref="L111:N111"/>
    <mergeCell ref="S111:V111"/>
    <mergeCell ref="L102:N102"/>
    <mergeCell ref="S102:V102"/>
    <mergeCell ref="L103:N103"/>
    <mergeCell ref="S103:V103"/>
    <mergeCell ref="L104:N104"/>
    <mergeCell ref="S104:V104"/>
    <mergeCell ref="L105:N105"/>
    <mergeCell ref="S105:V105"/>
    <mergeCell ref="L106:N106"/>
    <mergeCell ref="S106:V106"/>
    <mergeCell ref="L97:N97"/>
    <mergeCell ref="S97:V97"/>
    <mergeCell ref="L98:N98"/>
    <mergeCell ref="S98:V98"/>
    <mergeCell ref="L99:N99"/>
    <mergeCell ref="S99:V99"/>
    <mergeCell ref="L100:N100"/>
    <mergeCell ref="S100:V100"/>
    <mergeCell ref="L101:N101"/>
    <mergeCell ref="S101:V101"/>
    <mergeCell ref="L92:N92"/>
    <mergeCell ref="S92:V92"/>
    <mergeCell ref="L93:N93"/>
    <mergeCell ref="S93:V93"/>
    <mergeCell ref="L94:N94"/>
    <mergeCell ref="S94:V94"/>
    <mergeCell ref="L95:N95"/>
    <mergeCell ref="S95:V95"/>
    <mergeCell ref="L96:N96"/>
    <mergeCell ref="S96:V96"/>
    <mergeCell ref="L87:N87"/>
    <mergeCell ref="S87:V87"/>
    <mergeCell ref="L88:N88"/>
    <mergeCell ref="S88:V88"/>
    <mergeCell ref="L89:N89"/>
    <mergeCell ref="S89:V89"/>
    <mergeCell ref="L90:N90"/>
    <mergeCell ref="S90:V90"/>
    <mergeCell ref="L91:N91"/>
    <mergeCell ref="S91:V91"/>
    <mergeCell ref="L82:N82"/>
    <mergeCell ref="S82:V82"/>
    <mergeCell ref="L83:N83"/>
    <mergeCell ref="S83:V83"/>
    <mergeCell ref="L84:N84"/>
    <mergeCell ref="S84:V84"/>
    <mergeCell ref="L85:N85"/>
    <mergeCell ref="S85:V85"/>
    <mergeCell ref="L86:N86"/>
    <mergeCell ref="S86:V86"/>
    <mergeCell ref="L77:N78"/>
    <mergeCell ref="O77:P77"/>
    <mergeCell ref="Q77:R77"/>
    <mergeCell ref="S77:V78"/>
    <mergeCell ref="L79:N79"/>
    <mergeCell ref="S79:V79"/>
    <mergeCell ref="L80:N80"/>
    <mergeCell ref="S80:V80"/>
    <mergeCell ref="L81:N81"/>
    <mergeCell ref="S81:V81"/>
    <mergeCell ref="L69:N69"/>
    <mergeCell ref="S69:V69"/>
    <mergeCell ref="L70:N70"/>
    <mergeCell ref="S70:V70"/>
    <mergeCell ref="N71:U71"/>
    <mergeCell ref="M72:V72"/>
    <mergeCell ref="L74:M75"/>
    <mergeCell ref="N74:V74"/>
    <mergeCell ref="O75:P75"/>
    <mergeCell ref="R75:S75"/>
    <mergeCell ref="U75:V75"/>
    <mergeCell ref="L64:N64"/>
    <mergeCell ref="S64:V64"/>
    <mergeCell ref="L65:N65"/>
    <mergeCell ref="S65:V65"/>
    <mergeCell ref="L66:N66"/>
    <mergeCell ref="S66:V66"/>
    <mergeCell ref="L67:N67"/>
    <mergeCell ref="S67:V67"/>
    <mergeCell ref="L68:N68"/>
    <mergeCell ref="S68:V68"/>
    <mergeCell ref="L59:N59"/>
    <mergeCell ref="S59:V59"/>
    <mergeCell ref="L60:N60"/>
    <mergeCell ref="S60:V60"/>
    <mergeCell ref="L61:N61"/>
    <mergeCell ref="S61:V61"/>
    <mergeCell ref="L62:N62"/>
    <mergeCell ref="S62:V62"/>
    <mergeCell ref="L63:N63"/>
    <mergeCell ref="S63:V63"/>
    <mergeCell ref="L54:N54"/>
    <mergeCell ref="S54:V54"/>
    <mergeCell ref="L55:N55"/>
    <mergeCell ref="S55:V55"/>
    <mergeCell ref="L56:N56"/>
    <mergeCell ref="S56:V56"/>
    <mergeCell ref="L57:N57"/>
    <mergeCell ref="S57:V57"/>
    <mergeCell ref="L58:N58"/>
    <mergeCell ref="S58:V58"/>
    <mergeCell ref="L49:N49"/>
    <mergeCell ref="S49:V49"/>
    <mergeCell ref="L50:N50"/>
    <mergeCell ref="S50:V50"/>
    <mergeCell ref="L51:N51"/>
    <mergeCell ref="S51:V51"/>
    <mergeCell ref="L52:N52"/>
    <mergeCell ref="S52:V52"/>
    <mergeCell ref="L53:N53"/>
    <mergeCell ref="S53:V53"/>
    <mergeCell ref="L44:N44"/>
    <mergeCell ref="S44:V44"/>
    <mergeCell ref="L45:N45"/>
    <mergeCell ref="S45:V45"/>
    <mergeCell ref="L46:N46"/>
    <mergeCell ref="S46:V46"/>
    <mergeCell ref="L47:N47"/>
    <mergeCell ref="S47:V47"/>
    <mergeCell ref="L48:N48"/>
    <mergeCell ref="S48:V48"/>
    <mergeCell ref="L39:N39"/>
    <mergeCell ref="S39:V39"/>
    <mergeCell ref="L40:N40"/>
    <mergeCell ref="S40:V40"/>
    <mergeCell ref="L41:N41"/>
    <mergeCell ref="S41:V41"/>
    <mergeCell ref="L42:N42"/>
    <mergeCell ref="S42:V42"/>
    <mergeCell ref="L43:N43"/>
    <mergeCell ref="S43:V43"/>
    <mergeCell ref="L34:N34"/>
    <mergeCell ref="S34:V34"/>
    <mergeCell ref="L35:N35"/>
    <mergeCell ref="S35:V35"/>
    <mergeCell ref="L36:N36"/>
    <mergeCell ref="S36:V36"/>
    <mergeCell ref="L37:N37"/>
    <mergeCell ref="S37:V37"/>
    <mergeCell ref="L38:N38"/>
    <mergeCell ref="S38:V38"/>
    <mergeCell ref="L29:N29"/>
    <mergeCell ref="S29:V29"/>
    <mergeCell ref="L30:N30"/>
    <mergeCell ref="S30:V30"/>
    <mergeCell ref="L31:N31"/>
    <mergeCell ref="S31:V31"/>
    <mergeCell ref="L32:N32"/>
    <mergeCell ref="S32:V32"/>
    <mergeCell ref="L33:N33"/>
    <mergeCell ref="S33:V33"/>
    <mergeCell ref="L24:N24"/>
    <mergeCell ref="S24:V24"/>
    <mergeCell ref="L25:N25"/>
    <mergeCell ref="S25:V25"/>
    <mergeCell ref="L26:N26"/>
    <mergeCell ref="S26:V26"/>
    <mergeCell ref="L27:N27"/>
    <mergeCell ref="S27:V27"/>
    <mergeCell ref="L28:N28"/>
    <mergeCell ref="S28:V28"/>
    <mergeCell ref="L19:N19"/>
    <mergeCell ref="S19:V19"/>
    <mergeCell ref="L20:N20"/>
    <mergeCell ref="S20:V20"/>
    <mergeCell ref="L21:N21"/>
    <mergeCell ref="S21:V21"/>
    <mergeCell ref="L22:N22"/>
    <mergeCell ref="S22:V22"/>
    <mergeCell ref="L23:N23"/>
    <mergeCell ref="S23:V23"/>
    <mergeCell ref="L14:N14"/>
    <mergeCell ref="S14:V14"/>
    <mergeCell ref="L15:N15"/>
    <mergeCell ref="S15:V15"/>
    <mergeCell ref="L16:N16"/>
    <mergeCell ref="S16:V16"/>
    <mergeCell ref="L17:N17"/>
    <mergeCell ref="S17:V17"/>
    <mergeCell ref="L18:N18"/>
    <mergeCell ref="S18:V18"/>
    <mergeCell ref="L9:N9"/>
    <mergeCell ref="S9:V9"/>
    <mergeCell ref="L10:N10"/>
    <mergeCell ref="S10:V10"/>
    <mergeCell ref="L11:N11"/>
    <mergeCell ref="S11:V11"/>
    <mergeCell ref="L12:N12"/>
    <mergeCell ref="S12:V12"/>
    <mergeCell ref="L13:N13"/>
    <mergeCell ref="S13:V13"/>
    <mergeCell ref="N1:U1"/>
    <mergeCell ref="M2:V2"/>
    <mergeCell ref="L4:M5"/>
    <mergeCell ref="N4:V4"/>
    <mergeCell ref="O5:P5"/>
    <mergeCell ref="R5:S5"/>
    <mergeCell ref="U5:V5"/>
    <mergeCell ref="L7:N8"/>
    <mergeCell ref="O7:P7"/>
    <mergeCell ref="Q7:R7"/>
    <mergeCell ref="S7:V8"/>
    <mergeCell ref="A133:C133"/>
    <mergeCell ref="H133:K133"/>
    <mergeCell ref="A134:C134"/>
    <mergeCell ref="H134:K134"/>
    <mergeCell ref="A135:C135"/>
    <mergeCell ref="H135:K135"/>
    <mergeCell ref="A141:C141"/>
    <mergeCell ref="H141:K141"/>
    <mergeCell ref="A136:C136"/>
    <mergeCell ref="H136:K136"/>
    <mergeCell ref="A137:C137"/>
    <mergeCell ref="H137:K137"/>
    <mergeCell ref="A138:C138"/>
    <mergeCell ref="H138:K138"/>
    <mergeCell ref="A139:C139"/>
    <mergeCell ref="H139:K139"/>
    <mergeCell ref="A140:C140"/>
    <mergeCell ref="H140:K140"/>
    <mergeCell ref="A128:C128"/>
    <mergeCell ref="H128:K128"/>
    <mergeCell ref="A129:C129"/>
    <mergeCell ref="H129:K129"/>
    <mergeCell ref="A130:C130"/>
    <mergeCell ref="H130:K130"/>
    <mergeCell ref="A131:C131"/>
    <mergeCell ref="H131:K131"/>
    <mergeCell ref="A132:C132"/>
    <mergeCell ref="H132:K132"/>
    <mergeCell ref="A123:C123"/>
    <mergeCell ref="H123:K123"/>
    <mergeCell ref="A124:C124"/>
    <mergeCell ref="H124:K124"/>
    <mergeCell ref="A125:C125"/>
    <mergeCell ref="H125:K125"/>
    <mergeCell ref="A126:C126"/>
    <mergeCell ref="H126:K126"/>
    <mergeCell ref="A127:C127"/>
    <mergeCell ref="H127:K127"/>
    <mergeCell ref="A118:C118"/>
    <mergeCell ref="H118:K118"/>
    <mergeCell ref="A119:C119"/>
    <mergeCell ref="H119:K119"/>
    <mergeCell ref="A120:C120"/>
    <mergeCell ref="H120:K120"/>
    <mergeCell ref="A121:C121"/>
    <mergeCell ref="H121:K121"/>
    <mergeCell ref="A122:C122"/>
    <mergeCell ref="H122:K122"/>
    <mergeCell ref="A113:C113"/>
    <mergeCell ref="H113:K113"/>
    <mergeCell ref="A114:C114"/>
    <mergeCell ref="H114:K114"/>
    <mergeCell ref="A115:C115"/>
    <mergeCell ref="H115:K115"/>
    <mergeCell ref="A116:C116"/>
    <mergeCell ref="H116:K116"/>
    <mergeCell ref="A117:C117"/>
    <mergeCell ref="H117:K117"/>
    <mergeCell ref="A108:C108"/>
    <mergeCell ref="H108:K108"/>
    <mergeCell ref="A109:C109"/>
    <mergeCell ref="H109:K109"/>
    <mergeCell ref="A110:C110"/>
    <mergeCell ref="H110:K110"/>
    <mergeCell ref="A111:C111"/>
    <mergeCell ref="H111:K111"/>
    <mergeCell ref="A112:C112"/>
    <mergeCell ref="H112:K112"/>
    <mergeCell ref="A103:C103"/>
    <mergeCell ref="H103:K103"/>
    <mergeCell ref="A104:C104"/>
    <mergeCell ref="H104:K104"/>
    <mergeCell ref="A105:C105"/>
    <mergeCell ref="H105:K105"/>
    <mergeCell ref="A106:C106"/>
    <mergeCell ref="H106:K106"/>
    <mergeCell ref="A107:C107"/>
    <mergeCell ref="H107:K107"/>
    <mergeCell ref="A98:C98"/>
    <mergeCell ref="H98:K98"/>
    <mergeCell ref="A99:C99"/>
    <mergeCell ref="H99:K99"/>
    <mergeCell ref="A100:C100"/>
    <mergeCell ref="H100:K100"/>
    <mergeCell ref="A101:C101"/>
    <mergeCell ref="H101:K101"/>
    <mergeCell ref="A102:C102"/>
    <mergeCell ref="H102:K102"/>
    <mergeCell ref="A93:C93"/>
    <mergeCell ref="H93:K93"/>
    <mergeCell ref="A94:C94"/>
    <mergeCell ref="H94:K94"/>
    <mergeCell ref="A95:C95"/>
    <mergeCell ref="H95:K95"/>
    <mergeCell ref="A96:C96"/>
    <mergeCell ref="H96:K96"/>
    <mergeCell ref="A97:C97"/>
    <mergeCell ref="H97:K97"/>
    <mergeCell ref="A91:C91"/>
    <mergeCell ref="H91:K91"/>
    <mergeCell ref="A92:C92"/>
    <mergeCell ref="H92:K92"/>
    <mergeCell ref="A89:C89"/>
    <mergeCell ref="H89:K89"/>
    <mergeCell ref="A90:C90"/>
    <mergeCell ref="H90:K90"/>
    <mergeCell ref="A82:C82"/>
    <mergeCell ref="H82:K82"/>
    <mergeCell ref="A83:C83"/>
    <mergeCell ref="H83:K83"/>
    <mergeCell ref="A84:C84"/>
    <mergeCell ref="H84:K84"/>
    <mergeCell ref="A85:C85"/>
    <mergeCell ref="H85:K85"/>
    <mergeCell ref="A86:C86"/>
    <mergeCell ref="H86:K86"/>
    <mergeCell ref="A87:C87"/>
    <mergeCell ref="H87:K87"/>
    <mergeCell ref="A88:C88"/>
    <mergeCell ref="H88:K88"/>
    <mergeCell ref="A77:C78"/>
    <mergeCell ref="D77:E77"/>
    <mergeCell ref="F77:G77"/>
    <mergeCell ref="H77:K78"/>
    <mergeCell ref="H62:K62"/>
    <mergeCell ref="A62:C62"/>
    <mergeCell ref="A79:C79"/>
    <mergeCell ref="H79:K79"/>
    <mergeCell ref="A80:C80"/>
    <mergeCell ref="H80:K80"/>
    <mergeCell ref="H70:K70"/>
    <mergeCell ref="H68:K68"/>
    <mergeCell ref="H69:K69"/>
    <mergeCell ref="A81:C81"/>
    <mergeCell ref="H81:K81"/>
    <mergeCell ref="A15:C15"/>
    <mergeCell ref="H15:K15"/>
    <mergeCell ref="C1:J1"/>
    <mergeCell ref="C71:J71"/>
    <mergeCell ref="B72:K72"/>
    <mergeCell ref="A74:B75"/>
    <mergeCell ref="C74:K74"/>
    <mergeCell ref="D75:E75"/>
    <mergeCell ref="G75:H75"/>
    <mergeCell ref="J75:K75"/>
    <mergeCell ref="H37:K37"/>
    <mergeCell ref="A39:C39"/>
    <mergeCell ref="H39:K39"/>
    <mergeCell ref="A40:C40"/>
    <mergeCell ref="H40:K40"/>
    <mergeCell ref="H57:K57"/>
    <mergeCell ref="H48:K48"/>
    <mergeCell ref="H49:K49"/>
    <mergeCell ref="H50:K50"/>
    <mergeCell ref="H51:K51"/>
    <mergeCell ref="H52:K52"/>
    <mergeCell ref="H53:K53"/>
    <mergeCell ref="H54:K54"/>
    <mergeCell ref="H55:K55"/>
    <mergeCell ref="H56:K56"/>
    <mergeCell ref="A56:C56"/>
    <mergeCell ref="A57:C57"/>
    <mergeCell ref="A42:K42"/>
    <mergeCell ref="A43:C43"/>
    <mergeCell ref="A44:C44"/>
    <mergeCell ref="A54:C54"/>
    <mergeCell ref="A55:C55"/>
    <mergeCell ref="H58:K58"/>
    <mergeCell ref="A58:C58"/>
    <mergeCell ref="H59:K59"/>
    <mergeCell ref="H61:K61"/>
    <mergeCell ref="H63:K63"/>
    <mergeCell ref="H64:K64"/>
    <mergeCell ref="H65:K65"/>
    <mergeCell ref="H66:K66"/>
    <mergeCell ref="H67:K67"/>
    <mergeCell ref="H36:K36"/>
    <mergeCell ref="H38:K38"/>
    <mergeCell ref="H41:K41"/>
    <mergeCell ref="A45:C45"/>
    <mergeCell ref="A46:C46"/>
    <mergeCell ref="A47:C47"/>
    <mergeCell ref="H11:K11"/>
    <mergeCell ref="H12:K12"/>
    <mergeCell ref="H13:K13"/>
    <mergeCell ref="H14:K14"/>
    <mergeCell ref="H18:K18"/>
    <mergeCell ref="H19:K19"/>
    <mergeCell ref="H20:K20"/>
    <mergeCell ref="H21:K21"/>
    <mergeCell ref="H16:K16"/>
    <mergeCell ref="H17:K17"/>
    <mergeCell ref="H43:K43"/>
    <mergeCell ref="H44:K44"/>
    <mergeCell ref="H45:K45"/>
    <mergeCell ref="H46:K46"/>
    <mergeCell ref="H47:K47"/>
    <mergeCell ref="I32:K32"/>
    <mergeCell ref="H23:K23"/>
    <mergeCell ref="H25:K25"/>
    <mergeCell ref="H27:K27"/>
    <mergeCell ref="H28:K28"/>
    <mergeCell ref="H29:K29"/>
    <mergeCell ref="H30:K30"/>
    <mergeCell ref="H31:K31"/>
    <mergeCell ref="I33:K33"/>
    <mergeCell ref="I34:K34"/>
    <mergeCell ref="H26:K26"/>
    <mergeCell ref="I35:K35"/>
    <mergeCell ref="H24:K24"/>
    <mergeCell ref="A61:C61"/>
    <mergeCell ref="A63:C63"/>
    <mergeCell ref="A64:C64"/>
    <mergeCell ref="A65:C65"/>
    <mergeCell ref="A66:C66"/>
    <mergeCell ref="A67:C67"/>
    <mergeCell ref="A70:C70"/>
    <mergeCell ref="A68:C68"/>
    <mergeCell ref="A69:C69"/>
    <mergeCell ref="A60:K60"/>
    <mergeCell ref="A59:C59"/>
    <mergeCell ref="A48:C48"/>
    <mergeCell ref="A49:C49"/>
    <mergeCell ref="A50:C50"/>
    <mergeCell ref="A51:C51"/>
    <mergeCell ref="A52:C52"/>
    <mergeCell ref="A53:C53"/>
    <mergeCell ref="A34:C34"/>
    <mergeCell ref="A35:C35"/>
    <mergeCell ref="A36:C36"/>
    <mergeCell ref="A38:C38"/>
    <mergeCell ref="A41:C41"/>
    <mergeCell ref="A37:C37"/>
    <mergeCell ref="A23:C23"/>
    <mergeCell ref="A25:C25"/>
    <mergeCell ref="A27:C27"/>
    <mergeCell ref="A28:C28"/>
    <mergeCell ref="A29:C29"/>
    <mergeCell ref="A32:C32"/>
    <mergeCell ref="A33:C33"/>
    <mergeCell ref="A26:C26"/>
    <mergeCell ref="A24:C24"/>
    <mergeCell ref="A30:C30"/>
    <mergeCell ref="A31:C31"/>
    <mergeCell ref="A9:K9"/>
    <mergeCell ref="A22:K22"/>
    <mergeCell ref="B2:K2"/>
    <mergeCell ref="A10:C10"/>
    <mergeCell ref="D5:E5"/>
    <mergeCell ref="G5:H5"/>
    <mergeCell ref="J5:K5"/>
    <mergeCell ref="A7:C8"/>
    <mergeCell ref="D7:E7"/>
    <mergeCell ref="F7:G7"/>
    <mergeCell ref="C4:K4"/>
    <mergeCell ref="H7:K8"/>
    <mergeCell ref="A4:B5"/>
    <mergeCell ref="H10:K10"/>
    <mergeCell ref="A11:C11"/>
    <mergeCell ref="A12:C12"/>
    <mergeCell ref="A13:C13"/>
    <mergeCell ref="A14:C14"/>
    <mergeCell ref="A16:C16"/>
    <mergeCell ref="A17:C17"/>
    <mergeCell ref="A18:C18"/>
    <mergeCell ref="A19:C19"/>
    <mergeCell ref="A20:C20"/>
    <mergeCell ref="A21:C21"/>
  </mergeCells>
  <phoneticPr fontId="3" type="noConversion"/>
  <pageMargins left="0.19685039370078741" right="0.19685039370078741" top="0.23622047244094491" bottom="0.74803149606299213" header="0.31496062992125984" footer="0.31496062992125984"/>
  <pageSetup paperSize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3"/>
  <sheetViews>
    <sheetView zoomScale="85" zoomScaleNormal="85" workbookViewId="0">
      <selection sqref="A1:K103"/>
    </sheetView>
  </sheetViews>
  <sheetFormatPr defaultColWidth="11.44140625" defaultRowHeight="13.2" x14ac:dyDescent="0.25"/>
  <cols>
    <col min="1" max="1" width="17.5546875" style="506" customWidth="1"/>
    <col min="2" max="5" width="11.44140625" style="506"/>
    <col min="6" max="6" width="11.44140625" style="506" customWidth="1"/>
    <col min="7" max="16384" width="11.44140625" style="506"/>
  </cols>
  <sheetData>
    <row r="1" spans="1:14" ht="17.399999999999999" x14ac:dyDescent="0.25">
      <c r="A1" s="1218" t="s">
        <v>665</v>
      </c>
      <c r="B1" s="1219"/>
      <c r="C1" s="1219"/>
      <c r="D1" s="1219"/>
      <c r="E1" s="1219"/>
      <c r="F1" s="1219"/>
      <c r="G1" s="1219"/>
      <c r="H1" s="1219"/>
      <c r="I1" s="1219"/>
      <c r="J1" s="1219"/>
      <c r="K1" s="1220"/>
    </row>
    <row r="2" spans="1:14" ht="17.399999999999999" x14ac:dyDescent="0.25">
      <c r="A2" s="507"/>
      <c r="B2" s="572"/>
      <c r="C2" s="572"/>
      <c r="D2" s="572"/>
      <c r="E2" s="572"/>
      <c r="F2" s="572"/>
      <c r="G2" s="572"/>
      <c r="H2" s="572"/>
      <c r="I2" s="572"/>
      <c r="J2" s="572"/>
      <c r="K2" s="508"/>
    </row>
    <row r="3" spans="1:14" ht="12.75" customHeight="1" thickBot="1" x14ac:dyDescent="0.3">
      <c r="A3" s="507"/>
      <c r="B3" s="572"/>
      <c r="C3" s="572"/>
      <c r="D3" s="572"/>
      <c r="E3" s="572"/>
      <c r="F3" s="572"/>
      <c r="G3" s="572"/>
      <c r="H3" s="572"/>
      <c r="I3" s="572"/>
      <c r="J3" s="572"/>
      <c r="K3" s="509"/>
    </row>
    <row r="4" spans="1:14" ht="18.75" customHeight="1" x14ac:dyDescent="0.25">
      <c r="A4" s="510" t="s">
        <v>666</v>
      </c>
      <c r="B4" s="1221" t="str">
        <f>HYPERLINK(ESTIMÉ!B1)</f>
        <v/>
      </c>
      <c r="C4" s="1222"/>
      <c r="D4" s="1222"/>
      <c r="E4" s="1222"/>
      <c r="F4" s="1222"/>
      <c r="G4" s="1222"/>
      <c r="H4" s="1222"/>
      <c r="I4" s="1222"/>
      <c r="J4" s="1222"/>
      <c r="K4" s="1223"/>
    </row>
    <row r="5" spans="1:14" ht="18.75" customHeight="1" x14ac:dyDescent="0.25">
      <c r="A5" s="511" t="s">
        <v>667</v>
      </c>
      <c r="B5" s="1224"/>
      <c r="C5" s="1225"/>
      <c r="D5" s="1225"/>
      <c r="E5" s="1226"/>
      <c r="F5" s="512" t="s">
        <v>668</v>
      </c>
      <c r="G5" s="1227"/>
      <c r="H5" s="1228"/>
      <c r="I5" s="1228"/>
      <c r="J5" s="1228"/>
      <c r="K5" s="1229"/>
    </row>
    <row r="6" spans="1:14" ht="18.75" customHeight="1" thickBot="1" x14ac:dyDescent="0.3">
      <c r="A6" s="513" t="s">
        <v>669</v>
      </c>
      <c r="B6" s="1230" t="str">
        <f>IF(ESTIMÉ!I1="","",ESTIMÉ!I1)</f>
        <v/>
      </c>
      <c r="C6" s="1231"/>
      <c r="D6" s="1231"/>
      <c r="E6" s="1232"/>
      <c r="F6" s="514" t="s">
        <v>670</v>
      </c>
      <c r="G6" s="1230" t="str">
        <f>IF(ESTIMÉ!B7="","",ESTIMÉ!B7)</f>
        <v/>
      </c>
      <c r="H6" s="1231"/>
      <c r="I6" s="1231"/>
      <c r="J6" s="1231"/>
      <c r="K6" s="1233"/>
    </row>
    <row r="7" spans="1:14" ht="13.8" thickBot="1" x14ac:dyDescent="0.3">
      <c r="A7" s="515"/>
      <c r="B7" s="516"/>
      <c r="C7" s="517"/>
      <c r="D7" s="518"/>
      <c r="E7" s="518"/>
      <c r="F7" s="518"/>
      <c r="G7" s="517"/>
      <c r="H7" s="517"/>
      <c r="I7" s="517"/>
      <c r="J7" s="517"/>
      <c r="K7" s="519"/>
    </row>
    <row r="8" spans="1:14" ht="18.75" customHeight="1" x14ac:dyDescent="0.25">
      <c r="A8" s="1203" t="s">
        <v>11</v>
      </c>
      <c r="B8" s="1204"/>
      <c r="C8" s="1207" t="str">
        <f>HYPERLINK(ESTIMÉ!B4)</f>
        <v/>
      </c>
      <c r="D8" s="1208"/>
      <c r="E8" s="1208"/>
      <c r="F8" s="1208"/>
      <c r="G8" s="1208"/>
      <c r="H8" s="1208"/>
      <c r="I8" s="1208"/>
      <c r="J8" s="1208"/>
      <c r="K8" s="1209"/>
    </row>
    <row r="9" spans="1:14" ht="17.25" customHeight="1" thickBot="1" x14ac:dyDescent="0.3">
      <c r="A9" s="1205"/>
      <c r="B9" s="1206"/>
      <c r="C9" s="582" t="s">
        <v>406</v>
      </c>
      <c r="D9" s="1210"/>
      <c r="E9" s="1210"/>
      <c r="F9" s="583" t="s">
        <v>407</v>
      </c>
      <c r="G9" s="1210"/>
      <c r="H9" s="1210"/>
      <c r="I9" s="583" t="s">
        <v>408</v>
      </c>
      <c r="J9" s="1211"/>
      <c r="K9" s="1212"/>
      <c r="N9" s="522"/>
    </row>
    <row r="10" spans="1:14" ht="15.75" customHeight="1" thickBot="1" x14ac:dyDescent="0.3">
      <c r="A10" s="520"/>
      <c r="B10" s="521"/>
      <c r="C10" s="523"/>
      <c r="D10" s="517"/>
      <c r="E10" s="517"/>
      <c r="F10" s="523"/>
      <c r="G10" s="517"/>
      <c r="H10" s="517"/>
      <c r="I10" s="523"/>
      <c r="J10" s="517"/>
      <c r="K10" s="519"/>
      <c r="N10" s="522"/>
    </row>
    <row r="11" spans="1:14" ht="21.75" customHeight="1" thickBot="1" x14ac:dyDescent="0.3">
      <c r="A11" s="524"/>
      <c r="B11" s="573"/>
      <c r="C11" s="1213" t="s">
        <v>671</v>
      </c>
      <c r="D11" s="1214"/>
      <c r="E11" s="1215"/>
      <c r="F11" s="1216">
        <f ca="1">ESTIMÉ!N54</f>
        <v>0</v>
      </c>
      <c r="G11" s="1217"/>
      <c r="H11" s="574"/>
      <c r="I11" s="574"/>
      <c r="J11" s="574"/>
      <c r="K11" s="525"/>
      <c r="N11" s="522"/>
    </row>
    <row r="12" spans="1:14" ht="15.75" customHeight="1" thickBot="1" x14ac:dyDescent="0.3">
      <c r="A12" s="526"/>
      <c r="B12" s="527"/>
      <c r="C12" s="527"/>
      <c r="D12" s="527"/>
      <c r="E12" s="527"/>
      <c r="F12" s="527"/>
      <c r="G12" s="527"/>
      <c r="H12" s="527"/>
      <c r="I12" s="527"/>
      <c r="J12" s="527"/>
      <c r="K12" s="528"/>
      <c r="N12" s="522"/>
    </row>
    <row r="13" spans="1:14" x14ac:dyDescent="0.25">
      <c r="A13" s="1203" t="s">
        <v>409</v>
      </c>
      <c r="B13" s="1204"/>
      <c r="C13" s="1234"/>
      <c r="D13" s="1236" t="s">
        <v>39</v>
      </c>
      <c r="E13" s="1237"/>
      <c r="F13" s="1203" t="s">
        <v>411</v>
      </c>
      <c r="G13" s="1204"/>
      <c r="H13" s="1204"/>
      <c r="I13" s="1204"/>
      <c r="J13" s="1204"/>
      <c r="K13" s="1234"/>
    </row>
    <row r="14" spans="1:14" ht="13.8" thickBot="1" x14ac:dyDescent="0.3">
      <c r="A14" s="1205"/>
      <c r="B14" s="1206"/>
      <c r="C14" s="1235"/>
      <c r="D14" s="526" t="s">
        <v>412</v>
      </c>
      <c r="E14" s="528" t="s">
        <v>413</v>
      </c>
      <c r="F14" s="1205"/>
      <c r="G14" s="1206"/>
      <c r="H14" s="1206"/>
      <c r="I14" s="1206"/>
      <c r="J14" s="1206"/>
      <c r="K14" s="1235"/>
    </row>
    <row r="15" spans="1:14" ht="13.8" thickBot="1" x14ac:dyDescent="0.3">
      <c r="A15" s="1197" t="s">
        <v>672</v>
      </c>
      <c r="B15" s="1198"/>
      <c r="C15" s="1198"/>
      <c r="D15" s="1198"/>
      <c r="E15" s="1198"/>
      <c r="F15" s="1198"/>
      <c r="G15" s="1198"/>
      <c r="H15" s="1198"/>
      <c r="I15" s="1198"/>
      <c r="J15" s="1198"/>
      <c r="K15" s="1199"/>
    </row>
    <row r="16" spans="1:14" x14ac:dyDescent="0.25">
      <c r="A16" s="1171" t="str">
        <f>IF(INFOSPROJET!A23="","",INFOSPROJET!A23)</f>
        <v>CONDUITS LIVRÉES CAPÉES OU LEED</v>
      </c>
      <c r="B16" s="1172"/>
      <c r="C16" s="1173"/>
      <c r="D16" s="529" t="str">
        <f>IF(INFOSPROJET!D23="","",INFOSPROJET!D23)</f>
        <v/>
      </c>
      <c r="E16" s="529" t="str">
        <f>IF(INFOSPROJET!E23="","",INFOSPROJET!E23)</f>
        <v/>
      </c>
      <c r="F16" s="1200" t="str">
        <f>IF(INFOSPROJET!H23="","",INFOSPROJET!H23)</f>
        <v/>
      </c>
      <c r="G16" s="1201"/>
      <c r="H16" s="1201"/>
      <c r="I16" s="1201"/>
      <c r="J16" s="1201"/>
      <c r="K16" s="1202"/>
    </row>
    <row r="17" spans="1:11" x14ac:dyDescent="0.25">
      <c r="A17" s="1185" t="str">
        <f>IF(INFOSPROJET!A24="","",INFOSPROJET!A24)</f>
        <v>CONDUITS BASSE PRESSION</v>
      </c>
      <c r="B17" s="1186"/>
      <c r="C17" s="1187"/>
      <c r="D17" s="530" t="str">
        <f>IF(INFOSPROJET!D24="","",INFOSPROJET!D24)</f>
        <v/>
      </c>
      <c r="E17" s="530" t="str">
        <f>IF(INFOSPROJET!E24="","",INFOSPROJET!E24)</f>
        <v/>
      </c>
      <c r="F17" s="1188" t="str">
        <f>IF(INFOSPROJET!H24="","",INFOSPROJET!H24)</f>
        <v/>
      </c>
      <c r="G17" s="1189"/>
      <c r="H17" s="1189"/>
      <c r="I17" s="1189"/>
      <c r="J17" s="1189"/>
      <c r="K17" s="1190"/>
    </row>
    <row r="18" spans="1:11" x14ac:dyDescent="0.25">
      <c r="A18" s="1185" t="str">
        <f>IF(INFOSPROJET!A25="","",INFOSPROJET!A25)</f>
        <v>CONDUITS MOYENNE PRESSION</v>
      </c>
      <c r="B18" s="1186"/>
      <c r="C18" s="1187"/>
      <c r="D18" s="530" t="str">
        <f>IF(INFOSPROJET!D25="","",INFOSPROJET!D25)</f>
        <v/>
      </c>
      <c r="E18" s="530" t="str">
        <f>IF(INFOSPROJET!E25="","",INFOSPROJET!E25)</f>
        <v/>
      </c>
      <c r="F18" s="1188" t="str">
        <f>IF(INFOSPROJET!H25="","",INFOSPROJET!H25)</f>
        <v/>
      </c>
      <c r="G18" s="1189"/>
      <c r="H18" s="1189"/>
      <c r="I18" s="1189"/>
      <c r="J18" s="1189"/>
      <c r="K18" s="1190"/>
    </row>
    <row r="19" spans="1:11" x14ac:dyDescent="0.25">
      <c r="A19" s="1185" t="str">
        <f>IF(INFOSPROJET!A26="","",INFOSPROJET!A26)</f>
        <v>CONDUITS HAUTE PRESSION</v>
      </c>
      <c r="B19" s="1186"/>
      <c r="C19" s="1187"/>
      <c r="D19" s="530" t="str">
        <f>IF(INFOSPROJET!D26="","",INFOSPROJET!D26)</f>
        <v/>
      </c>
      <c r="E19" s="530" t="str">
        <f>IF(INFOSPROJET!E26="","",INFOSPROJET!E26)</f>
        <v/>
      </c>
      <c r="F19" s="1188" t="str">
        <f>IF(INFOSPROJET!H26="","",INFOSPROJET!H26)</f>
        <v/>
      </c>
      <c r="G19" s="1189"/>
      <c r="H19" s="1189"/>
      <c r="I19" s="1189"/>
      <c r="J19" s="1189"/>
      <c r="K19" s="1190"/>
    </row>
    <row r="20" spans="1:11" x14ac:dyDescent="0.25">
      <c r="A20" s="1191" t="str">
        <f>IF(INFOSPROJET!A27="","",INFOSPROJET!A27)</f>
        <v>CONDUITS INOXYDABLE</v>
      </c>
      <c r="B20" s="1192"/>
      <c r="C20" s="1193"/>
      <c r="D20" s="531" t="str">
        <f>IF(INFOSPROJET!D27="","",INFOSPROJET!D27)</f>
        <v/>
      </c>
      <c r="E20" s="531" t="str">
        <f>IF(INFOSPROJET!E27="","",INFOSPROJET!E27)</f>
        <v/>
      </c>
      <c r="F20" s="1194" t="str">
        <f>IF(INFOSPROJET!H27="","",INFOSPROJET!H27)</f>
        <v/>
      </c>
      <c r="G20" s="1195"/>
      <c r="H20" s="1195"/>
      <c r="I20" s="1195"/>
      <c r="J20" s="1195"/>
      <c r="K20" s="1196"/>
    </row>
    <row r="21" spans="1:11" x14ac:dyDescent="0.25">
      <c r="A21" s="1191" t="str">
        <f>IF(INFOSPROJET!A28="","",INFOSPROJET!A28)</f>
        <v>CONDUITS ACIER NOIR</v>
      </c>
      <c r="B21" s="1192"/>
      <c r="C21" s="1193"/>
      <c r="D21" s="531" t="str">
        <f>IF(INFOSPROJET!D28="","",INFOSPROJET!D28)</f>
        <v/>
      </c>
      <c r="E21" s="531" t="str">
        <f>IF(INFOSPROJET!E28="","",INFOSPROJET!E28)</f>
        <v/>
      </c>
      <c r="F21" s="1194" t="str">
        <f>IF(INFOSPROJET!H28="","",INFOSPROJET!H28)</f>
        <v/>
      </c>
      <c r="G21" s="1195"/>
      <c r="H21" s="1195"/>
      <c r="I21" s="1195"/>
      <c r="J21" s="1195"/>
      <c r="K21" s="1196"/>
    </row>
    <row r="22" spans="1:11" x14ac:dyDescent="0.25">
      <c r="A22" s="1191" t="str">
        <f>IF(INFOSPROJET!A29="","",INFOSPROJET!A29)</f>
        <v>CONDUITS ALUMINIUM</v>
      </c>
      <c r="B22" s="1192"/>
      <c r="C22" s="1193"/>
      <c r="D22" s="531" t="str">
        <f>IF(INFOSPROJET!D29="","",INFOSPROJET!D29)</f>
        <v/>
      </c>
      <c r="E22" s="531" t="str">
        <f>IF(INFOSPROJET!E29="","",INFOSPROJET!E29)</f>
        <v/>
      </c>
      <c r="F22" s="1194" t="str">
        <f>IF(INFOSPROJET!H29="","",INFOSPROJET!H29)</f>
        <v/>
      </c>
      <c r="G22" s="1195"/>
      <c r="H22" s="1195"/>
      <c r="I22" s="1195"/>
      <c r="J22" s="1195"/>
      <c r="K22" s="1196"/>
    </row>
    <row r="23" spans="1:11" x14ac:dyDescent="0.25">
      <c r="A23" s="1185" t="str">
        <f>IF(INFOSPROJET!A30="","",INFOSPROJET!A30)</f>
        <v>CONDUITS RONDS</v>
      </c>
      <c r="B23" s="1186"/>
      <c r="C23" s="1187"/>
      <c r="D23" s="530" t="str">
        <f>IF(INFOSPROJET!D30="","",INFOSPROJET!D30)</f>
        <v/>
      </c>
      <c r="E23" s="530" t="str">
        <f>IF(INFOSPROJET!E30="","",INFOSPROJET!E30)</f>
        <v/>
      </c>
      <c r="F23" s="1188" t="str">
        <f>IF(INFOSPROJET!H30="","",INFOSPROJET!H30)</f>
        <v/>
      </c>
      <c r="G23" s="1189"/>
      <c r="H23" s="1189"/>
      <c r="I23" s="1189"/>
      <c r="J23" s="1189"/>
      <c r="K23" s="1190"/>
    </row>
    <row r="24" spans="1:11" x14ac:dyDescent="0.25">
      <c r="A24" s="1185" t="str">
        <f>IF(INFOSPROJET!A31="","",INFOSPROJET!A31)</f>
        <v>CONDUITS FLEXIBLES</v>
      </c>
      <c r="B24" s="1186"/>
      <c r="C24" s="1187"/>
      <c r="D24" s="530" t="str">
        <f>IF(INFOSPROJET!D31="","",INFOSPROJET!D31)</f>
        <v/>
      </c>
      <c r="E24" s="530" t="str">
        <f>IF(INFOSPROJET!E31="","",INFOSPROJET!E31)</f>
        <v/>
      </c>
      <c r="F24" s="1188" t="str">
        <f>IF(INFOSPROJET!H31="","",INFOSPROJET!H31)</f>
        <v/>
      </c>
      <c r="G24" s="1189"/>
      <c r="H24" s="1189"/>
      <c r="I24" s="1189"/>
      <c r="J24" s="1189"/>
      <c r="K24" s="1190"/>
    </row>
    <row r="25" spans="1:11" x14ac:dyDescent="0.25">
      <c r="A25" s="1180" t="str">
        <f>IF(INFOSPROJET!A32="","",INFOSPROJET!A32)</f>
        <v>ISOLATION ACOUSTIQUE</v>
      </c>
      <c r="B25" s="1181"/>
      <c r="C25" s="1182"/>
      <c r="D25" s="532" t="str">
        <f>IF(INFOSPROJET!D32="","",INFOSPROJET!D32)</f>
        <v/>
      </c>
      <c r="E25" s="532" t="str">
        <f>IF(INFOSPROJET!E32="","",INFOSPROJET!E32)</f>
        <v/>
      </c>
      <c r="F25" s="533" t="s">
        <v>75</v>
      </c>
      <c r="G25" s="1183" t="str">
        <f>IF(INFOSPROJET!I32="","",INFOSPROJET!I32)</f>
        <v/>
      </c>
      <c r="H25" s="1183"/>
      <c r="I25" s="1183"/>
      <c r="J25" s="1183"/>
      <c r="K25" s="1184"/>
    </row>
    <row r="26" spans="1:11" x14ac:dyDescent="0.25">
      <c r="A26" s="1180" t="str">
        <f>IF(INFOSPROJET!A33="","",INFOSPROJET!A33)</f>
        <v/>
      </c>
      <c r="B26" s="1181"/>
      <c r="C26" s="1182"/>
      <c r="D26" s="532" t="str">
        <f>IF(INFOSPROJET!D33="","",INFOSPROJET!D33)</f>
        <v/>
      </c>
      <c r="E26" s="532" t="str">
        <f>IF(INFOSPROJET!E33="","",INFOSPROJET!E33)</f>
        <v/>
      </c>
      <c r="F26" s="533" t="s">
        <v>432</v>
      </c>
      <c r="G26" s="1183" t="str">
        <f>IF(INFOSPROJET!I33="","",INFOSPROJET!I33)</f>
        <v/>
      </c>
      <c r="H26" s="1183"/>
      <c r="I26" s="1183"/>
      <c r="J26" s="1183"/>
      <c r="K26" s="1184"/>
    </row>
    <row r="27" spans="1:11" x14ac:dyDescent="0.25">
      <c r="A27" s="1180" t="str">
        <f>IF(INFOSPROJET!A34="","",INFOSPROJET!A34)</f>
        <v/>
      </c>
      <c r="B27" s="1181"/>
      <c r="C27" s="1182"/>
      <c r="D27" s="532" t="str">
        <f>IF(INFOSPROJET!D34="","",INFOSPROJET!D34)</f>
        <v/>
      </c>
      <c r="E27" s="532" t="str">
        <f>IF(INFOSPROJET!E34="","",INFOSPROJET!E34)</f>
        <v/>
      </c>
      <c r="F27" s="533" t="s">
        <v>75</v>
      </c>
      <c r="G27" s="1183" t="str">
        <f>IF(INFOSPROJET!I34="","",INFOSPROJET!I34)</f>
        <v/>
      </c>
      <c r="H27" s="1183"/>
      <c r="I27" s="1183"/>
      <c r="J27" s="1183"/>
      <c r="K27" s="1184"/>
    </row>
    <row r="28" spans="1:11" x14ac:dyDescent="0.25">
      <c r="A28" s="1180" t="str">
        <f>IF(INFOSPROJET!A35="","",INFOSPROJET!A35)</f>
        <v/>
      </c>
      <c r="B28" s="1181"/>
      <c r="C28" s="1182"/>
      <c r="D28" s="532" t="str">
        <f>IF(INFOSPROJET!D35="","",INFOSPROJET!D35)</f>
        <v/>
      </c>
      <c r="E28" s="532" t="str">
        <f>IF(INFOSPROJET!E35="","",INFOSPROJET!E35)</f>
        <v/>
      </c>
      <c r="F28" s="534" t="s">
        <v>432</v>
      </c>
      <c r="G28" s="1183" t="str">
        <f>IF(INFOSPROJET!I35="","",INFOSPROJET!I35)</f>
        <v/>
      </c>
      <c r="H28" s="1183"/>
      <c r="I28" s="1183"/>
      <c r="J28" s="1183"/>
      <c r="K28" s="1184"/>
    </row>
    <row r="29" spans="1:11" x14ac:dyDescent="0.25">
      <c r="A29" s="1171" t="str">
        <f>IF(INFOSPROJET!A36="","",INFOSPROJET!A36)</f>
        <v/>
      </c>
      <c r="B29" s="1172"/>
      <c r="C29" s="1173"/>
      <c r="D29" s="529" t="str">
        <f>IF(INFOSPROJET!D36="","",INFOSPROJET!D36)</f>
        <v/>
      </c>
      <c r="E29" s="529" t="str">
        <f>IF(INFOSPROJET!E36="","",INFOSPROJET!E36)</f>
        <v/>
      </c>
      <c r="F29" s="1174" t="str">
        <f>IF(INFOSPROJET!H36="","",INFOSPROJET!H36)</f>
        <v/>
      </c>
      <c r="G29" s="1175"/>
      <c r="H29" s="1175"/>
      <c r="I29" s="1175"/>
      <c r="J29" s="1175"/>
      <c r="K29" s="1176"/>
    </row>
    <row r="30" spans="1:11" x14ac:dyDescent="0.25">
      <c r="A30" s="1171" t="str">
        <f>IF(INFOSPROJET!A37="","",INFOSPROJET!A37)</f>
        <v/>
      </c>
      <c r="B30" s="1172"/>
      <c r="C30" s="1173"/>
      <c r="D30" s="529" t="str">
        <f>IF(INFOSPROJET!D37="","",INFOSPROJET!D37)</f>
        <v/>
      </c>
      <c r="E30" s="529" t="str">
        <f>IF(INFOSPROJET!E37="","",INFOSPROJET!E37)</f>
        <v/>
      </c>
      <c r="F30" s="1174" t="str">
        <f>IF(INFOSPROJET!H37="","",INFOSPROJET!H37)</f>
        <v/>
      </c>
      <c r="G30" s="1175"/>
      <c r="H30" s="1175"/>
      <c r="I30" s="1175"/>
      <c r="J30" s="1175"/>
      <c r="K30" s="1176"/>
    </row>
    <row r="31" spans="1:11" x14ac:dyDescent="0.25">
      <c r="A31" s="1171" t="str">
        <f>IF(INFOSPROJET!A38="","",INFOSPROJET!A38)</f>
        <v/>
      </c>
      <c r="B31" s="1172"/>
      <c r="C31" s="1173"/>
      <c r="D31" s="529" t="str">
        <f>IF(INFOSPROJET!D38="","",INFOSPROJET!D38)</f>
        <v/>
      </c>
      <c r="E31" s="529" t="str">
        <f>IF(INFOSPROJET!E38="","",INFOSPROJET!E38)</f>
        <v/>
      </c>
      <c r="F31" s="1174" t="str">
        <f>IF(INFOSPROJET!H38="","",INFOSPROJET!H38)</f>
        <v/>
      </c>
      <c r="G31" s="1175"/>
      <c r="H31" s="1175"/>
      <c r="I31" s="1175"/>
      <c r="J31" s="1175"/>
      <c r="K31" s="1176"/>
    </row>
    <row r="32" spans="1:11" x14ac:dyDescent="0.25">
      <c r="A32" s="1171" t="str">
        <f>IF(INFOSPROJET!A39="","",INFOSPROJET!A39)</f>
        <v/>
      </c>
      <c r="B32" s="1172"/>
      <c r="C32" s="1173"/>
      <c r="D32" s="529" t="str">
        <f>IF(INFOSPROJET!D39="","",INFOSPROJET!D39)</f>
        <v/>
      </c>
      <c r="E32" s="529" t="str">
        <f>IF(INFOSPROJET!E39="","",INFOSPROJET!E39)</f>
        <v/>
      </c>
      <c r="F32" s="1174" t="str">
        <f>IF(INFOSPROJET!H39="","",INFOSPROJET!H39)</f>
        <v/>
      </c>
      <c r="G32" s="1175"/>
      <c r="H32" s="1175"/>
      <c r="I32" s="1175"/>
      <c r="J32" s="1175"/>
      <c r="K32" s="1176"/>
    </row>
    <row r="33" spans="1:17" x14ac:dyDescent="0.25">
      <c r="A33" s="1171" t="str">
        <f>IF(INFOSPROJET!A40="","",INFOSPROJET!A40)</f>
        <v/>
      </c>
      <c r="B33" s="1172"/>
      <c r="C33" s="1173"/>
      <c r="D33" s="529" t="str">
        <f>IF(INFOSPROJET!D40="","",INFOSPROJET!D40)</f>
        <v/>
      </c>
      <c r="E33" s="529" t="str">
        <f>IF(INFOSPROJET!E40="","",INFOSPROJET!E40)</f>
        <v/>
      </c>
      <c r="F33" s="1174" t="str">
        <f>IF(INFOSPROJET!H40="","",INFOSPROJET!H40)</f>
        <v/>
      </c>
      <c r="G33" s="1175"/>
      <c r="H33" s="1175"/>
      <c r="I33" s="1175"/>
      <c r="J33" s="1175"/>
      <c r="K33" s="1176"/>
    </row>
    <row r="34" spans="1:17" ht="13.8" thickBot="1" x14ac:dyDescent="0.3">
      <c r="A34" s="1177" t="str">
        <f>IF(INFOSPROJET!A41="","",INFOSPROJET!A41)</f>
        <v/>
      </c>
      <c r="B34" s="1178"/>
      <c r="C34" s="1179"/>
      <c r="D34" s="535" t="str">
        <f>IF(INFOSPROJET!D41="","",INFOSPROJET!D41)</f>
        <v/>
      </c>
      <c r="E34" s="535" t="str">
        <f>IF(INFOSPROJET!E41="","",INFOSPROJET!E41)</f>
        <v/>
      </c>
      <c r="F34" s="1174" t="str">
        <f>IF(INFOSPROJET!H41="","",INFOSPROJET!H41)</f>
        <v/>
      </c>
      <c r="G34" s="1175"/>
      <c r="H34" s="1175"/>
      <c r="I34" s="1175"/>
      <c r="J34" s="1175"/>
      <c r="K34" s="1176"/>
    </row>
    <row r="35" spans="1:17" ht="13.8" thickBot="1" x14ac:dyDescent="0.3">
      <c r="A35" s="515"/>
      <c r="B35" s="518"/>
      <c r="C35" s="518"/>
      <c r="D35" s="518"/>
      <c r="E35" s="518"/>
      <c r="F35" s="518"/>
      <c r="G35" s="518"/>
      <c r="H35" s="518"/>
      <c r="I35" s="518"/>
      <c r="J35" s="518"/>
      <c r="K35" s="536"/>
    </row>
    <row r="36" spans="1:17" ht="13.8" thickBot="1" x14ac:dyDescent="0.3">
      <c r="A36" s="1168" t="s">
        <v>673</v>
      </c>
      <c r="B36" s="1169"/>
      <c r="C36" s="1169"/>
      <c r="D36" s="1169"/>
      <c r="E36" s="1169"/>
      <c r="F36" s="1169"/>
      <c r="G36" s="1169"/>
      <c r="H36" s="1169"/>
      <c r="I36" s="1169"/>
      <c r="J36" s="1169"/>
      <c r="K36" s="1170"/>
    </row>
    <row r="37" spans="1:17" ht="13.8" thickBot="1" x14ac:dyDescent="0.3">
      <c r="A37" s="537"/>
      <c r="B37" s="522"/>
      <c r="C37" s="522"/>
      <c r="D37" s="522"/>
      <c r="E37" s="522"/>
      <c r="F37" s="522"/>
      <c r="G37" s="522"/>
      <c r="H37" s="522"/>
      <c r="I37" s="522"/>
      <c r="J37" s="522"/>
      <c r="K37" s="538"/>
    </row>
    <row r="38" spans="1:17" x14ac:dyDescent="0.25">
      <c r="A38" s="539"/>
      <c r="B38" s="1101" t="s">
        <v>5</v>
      </c>
      <c r="C38" s="1102"/>
      <c r="D38" s="1102"/>
      <c r="E38" s="1103"/>
      <c r="F38" s="575"/>
      <c r="G38" s="1101" t="s">
        <v>674</v>
      </c>
      <c r="H38" s="1102"/>
      <c r="I38" s="1102"/>
      <c r="J38" s="1103"/>
      <c r="K38" s="540"/>
    </row>
    <row r="39" spans="1:17" x14ac:dyDescent="0.25">
      <c r="A39" s="539"/>
      <c r="B39" s="1117" t="s">
        <v>8</v>
      </c>
      <c r="C39" s="1118"/>
      <c r="D39" s="1118"/>
      <c r="E39" s="1119"/>
      <c r="F39" s="576"/>
      <c r="G39" s="1117" t="s">
        <v>8</v>
      </c>
      <c r="H39" s="1118"/>
      <c r="I39" s="1118"/>
      <c r="J39" s="1119"/>
      <c r="K39" s="540"/>
    </row>
    <row r="40" spans="1:17" x14ac:dyDescent="0.25">
      <c r="A40" s="539"/>
      <c r="B40" s="1117" t="s">
        <v>13</v>
      </c>
      <c r="C40" s="1132"/>
      <c r="D40" s="541" t="s">
        <v>14</v>
      </c>
      <c r="E40" s="542" t="s">
        <v>15</v>
      </c>
      <c r="F40" s="543"/>
      <c r="G40" s="1117" t="s">
        <v>13</v>
      </c>
      <c r="H40" s="1132"/>
      <c r="I40" s="1118" t="s">
        <v>15</v>
      </c>
      <c r="J40" s="1119"/>
      <c r="K40" s="540"/>
    </row>
    <row r="41" spans="1:17" x14ac:dyDescent="0.25">
      <c r="A41" s="539"/>
      <c r="B41" s="1162" t="s">
        <v>23</v>
      </c>
      <c r="C41" s="1163"/>
      <c r="D41" s="544">
        <f>ESTIMÉ!M5</f>
        <v>0</v>
      </c>
      <c r="E41" s="545">
        <f>ESTIMÉ!N5</f>
        <v>0</v>
      </c>
      <c r="F41" s="577"/>
      <c r="G41" s="1164" t="s">
        <v>675</v>
      </c>
      <c r="H41" s="1165"/>
      <c r="I41" s="1166">
        <f>SUM(ESTIMÉ!S18:S21)</f>
        <v>0</v>
      </c>
      <c r="J41" s="1167"/>
      <c r="K41" s="540"/>
    </row>
    <row r="42" spans="1:17" x14ac:dyDescent="0.25">
      <c r="A42" s="539"/>
      <c r="B42" s="1158" t="s">
        <v>27</v>
      </c>
      <c r="C42" s="1159"/>
      <c r="D42" s="544">
        <f>ESTIMÉ!M6</f>
        <v>0</v>
      </c>
      <c r="E42" s="545">
        <f>ESTIMÉ!N6</f>
        <v>0</v>
      </c>
      <c r="F42" s="577"/>
      <c r="G42" s="1158" t="s">
        <v>676</v>
      </c>
      <c r="H42" s="1159"/>
      <c r="I42" s="1160">
        <f>ESTIMÉ!F48</f>
        <v>0</v>
      </c>
      <c r="J42" s="1161"/>
      <c r="K42" s="540"/>
    </row>
    <row r="43" spans="1:17" x14ac:dyDescent="0.25">
      <c r="A43" s="539"/>
      <c r="B43" s="1158" t="s">
        <v>31</v>
      </c>
      <c r="C43" s="1159"/>
      <c r="D43" s="544">
        <f>ESTIMÉ!M7</f>
        <v>0</v>
      </c>
      <c r="E43" s="545">
        <f>ESTIMÉ!N7</f>
        <v>0</v>
      </c>
      <c r="F43" s="577"/>
      <c r="G43" s="1158" t="s">
        <v>677</v>
      </c>
      <c r="H43" s="1159"/>
      <c r="I43" s="1160">
        <f>ESTIMÉ!F47</f>
        <v>0</v>
      </c>
      <c r="J43" s="1161"/>
      <c r="K43" s="540"/>
      <c r="O43" s="546"/>
      <c r="P43" s="546"/>
      <c r="Q43" s="546"/>
    </row>
    <row r="44" spans="1:17" x14ac:dyDescent="0.25">
      <c r="A44" s="539"/>
      <c r="B44" s="1148" t="s">
        <v>678</v>
      </c>
      <c r="C44" s="1149"/>
      <c r="D44" s="547">
        <f ca="1">ESTIMÉ!M8</f>
        <v>0</v>
      </c>
      <c r="E44" s="548">
        <f>ESTIMÉ!N8</f>
        <v>0</v>
      </c>
      <c r="F44" s="577"/>
      <c r="G44" s="1150"/>
      <c r="H44" s="1151"/>
      <c r="I44" s="1152"/>
      <c r="J44" s="1153"/>
      <c r="K44" s="540"/>
      <c r="O44" s="543"/>
      <c r="P44" s="543"/>
      <c r="Q44" s="543"/>
    </row>
    <row r="45" spans="1:17" x14ac:dyDescent="0.25">
      <c r="A45" s="539"/>
      <c r="B45" s="1148" t="s">
        <v>44</v>
      </c>
      <c r="C45" s="1149"/>
      <c r="D45" s="547">
        <f>ESTIMÉ!M9</f>
        <v>0</v>
      </c>
      <c r="E45" s="548">
        <f>ESTIMÉ!N9</f>
        <v>0</v>
      </c>
      <c r="F45" s="577"/>
      <c r="G45" s="1150"/>
      <c r="H45" s="1151"/>
      <c r="I45" s="1152"/>
      <c r="J45" s="1153"/>
      <c r="K45" s="540"/>
      <c r="O45" s="549"/>
      <c r="P45" s="549"/>
      <c r="Q45" s="550"/>
    </row>
    <row r="46" spans="1:17" x14ac:dyDescent="0.25">
      <c r="A46" s="539"/>
      <c r="B46" s="1148" t="s">
        <v>47</v>
      </c>
      <c r="C46" s="1149"/>
      <c r="D46" s="551">
        <f>ESTIMÉ!M10</f>
        <v>0</v>
      </c>
      <c r="E46" s="552">
        <f>ESTIMÉ!N10</f>
        <v>0</v>
      </c>
      <c r="F46" s="577"/>
      <c r="G46" s="1154"/>
      <c r="H46" s="1155"/>
      <c r="I46" s="1156"/>
      <c r="J46" s="1157"/>
      <c r="K46" s="540"/>
      <c r="O46" s="549"/>
      <c r="P46" s="549"/>
      <c r="Q46" s="550"/>
    </row>
    <row r="47" spans="1:17" ht="13.8" thickBot="1" x14ac:dyDescent="0.3">
      <c r="A47" s="539"/>
      <c r="B47" s="1140" t="s">
        <v>375</v>
      </c>
      <c r="C47" s="1141"/>
      <c r="D47" s="553">
        <f ca="1">SUM(D41:D46)</f>
        <v>0</v>
      </c>
      <c r="E47" s="554">
        <f>SUM(E41:E46)</f>
        <v>0</v>
      </c>
      <c r="F47" s="578"/>
      <c r="G47" s="1140" t="s">
        <v>375</v>
      </c>
      <c r="H47" s="1141"/>
      <c r="I47" s="1142">
        <f>SUM(I41:J46)</f>
        <v>0</v>
      </c>
      <c r="J47" s="1143"/>
      <c r="K47" s="540"/>
      <c r="O47" s="549"/>
      <c r="P47" s="549"/>
      <c r="Q47" s="550"/>
    </row>
    <row r="48" spans="1:17" ht="13.8" thickBot="1" x14ac:dyDescent="0.3">
      <c r="A48" s="539"/>
      <c r="B48" s="555"/>
      <c r="C48" s="579"/>
      <c r="D48" s="556"/>
      <c r="E48" s="556"/>
      <c r="F48" s="578"/>
      <c r="G48" s="579"/>
      <c r="H48" s="579"/>
      <c r="I48" s="550"/>
      <c r="J48" s="557"/>
      <c r="K48" s="540"/>
    </row>
    <row r="49" spans="1:11" x14ac:dyDescent="0.25">
      <c r="A49" s="1144"/>
      <c r="B49" s="1145"/>
      <c r="C49" s="1146" t="s">
        <v>679</v>
      </c>
      <c r="D49" s="1147"/>
      <c r="H49" s="1101" t="s">
        <v>72</v>
      </c>
      <c r="I49" s="1102"/>
      <c r="J49" s="1103"/>
      <c r="K49" s="540"/>
    </row>
    <row r="50" spans="1:11" x14ac:dyDescent="0.25">
      <c r="A50" s="539"/>
      <c r="B50" s="540"/>
      <c r="C50" s="1130" t="s">
        <v>680</v>
      </c>
      <c r="D50" s="1131"/>
      <c r="H50" s="1117" t="s">
        <v>75</v>
      </c>
      <c r="I50" s="1132"/>
      <c r="J50" s="542" t="s">
        <v>76</v>
      </c>
      <c r="K50" s="540"/>
    </row>
    <row r="51" spans="1:11" x14ac:dyDescent="0.25">
      <c r="A51" s="1120"/>
      <c r="B51" s="1121"/>
      <c r="C51" s="1133" t="s">
        <v>681</v>
      </c>
      <c r="D51" s="1134"/>
      <c r="H51" s="1104" t="s">
        <v>80</v>
      </c>
      <c r="I51" s="1135"/>
      <c r="J51" s="558">
        <f>ESTIMÉ!N33</f>
        <v>0</v>
      </c>
      <c r="K51" s="540"/>
    </row>
    <row r="52" spans="1:11" x14ac:dyDescent="0.25">
      <c r="A52" s="1120"/>
      <c r="B52" s="1121"/>
      <c r="C52" s="1136" t="s">
        <v>682</v>
      </c>
      <c r="D52" s="1137"/>
      <c r="H52" s="1138" t="s">
        <v>83</v>
      </c>
      <c r="I52" s="1139"/>
      <c r="J52" s="560">
        <f>ESTIMÉ!N34</f>
        <v>0</v>
      </c>
      <c r="K52" s="540"/>
    </row>
    <row r="53" spans="1:11" x14ac:dyDescent="0.25">
      <c r="A53" s="1120"/>
      <c r="B53" s="1121"/>
      <c r="C53" s="1122" t="s">
        <v>683</v>
      </c>
      <c r="D53" s="1123"/>
      <c r="H53" s="1124" t="s">
        <v>85</v>
      </c>
      <c r="I53" s="1125"/>
      <c r="J53" s="560">
        <f>ESTIMÉ!N35</f>
        <v>0</v>
      </c>
      <c r="K53" s="540"/>
    </row>
    <row r="54" spans="1:11" ht="13.8" thickBot="1" x14ac:dyDescent="0.3">
      <c r="A54" s="1120"/>
      <c r="B54" s="1121"/>
      <c r="C54" s="1126" t="s">
        <v>684</v>
      </c>
      <c r="D54" s="1127"/>
      <c r="H54" s="1128" t="s">
        <v>89</v>
      </c>
      <c r="I54" s="1129"/>
      <c r="J54" s="561">
        <f>ESTIMÉ!N36</f>
        <v>0</v>
      </c>
      <c r="K54" s="540"/>
    </row>
    <row r="55" spans="1:11" ht="13.8" thickBot="1" x14ac:dyDescent="0.3">
      <c r="A55" s="539"/>
      <c r="K55" s="540"/>
    </row>
    <row r="56" spans="1:11" x14ac:dyDescent="0.25">
      <c r="A56" s="1101" t="s">
        <v>685</v>
      </c>
      <c r="B56" s="1102"/>
      <c r="C56" s="1102"/>
      <c r="D56" s="1102"/>
      <c r="E56" s="1102"/>
      <c r="F56" s="1102"/>
      <c r="G56" s="1102"/>
      <c r="H56" s="1102"/>
      <c r="I56" s="1102"/>
      <c r="J56" s="1102"/>
      <c r="K56" s="1103"/>
    </row>
    <row r="57" spans="1:11" x14ac:dyDescent="0.25">
      <c r="A57" s="1117" t="s">
        <v>8</v>
      </c>
      <c r="B57" s="1118"/>
      <c r="C57" s="1118"/>
      <c r="D57" s="1118"/>
      <c r="E57" s="1118"/>
      <c r="F57" s="1118"/>
      <c r="G57" s="1118"/>
      <c r="H57" s="1118"/>
      <c r="I57" s="1118"/>
      <c r="J57" s="1118"/>
      <c r="K57" s="1119"/>
    </row>
    <row r="58" spans="1:11" x14ac:dyDescent="0.25">
      <c r="A58" s="1117" t="s">
        <v>13</v>
      </c>
      <c r="B58" s="1118"/>
      <c r="C58" s="1118"/>
      <c r="D58" s="562" t="s">
        <v>15</v>
      </c>
      <c r="E58" s="562" t="s">
        <v>686</v>
      </c>
      <c r="F58" s="541" t="s">
        <v>687</v>
      </c>
      <c r="G58" s="1118" t="s">
        <v>432</v>
      </c>
      <c r="H58" s="1118"/>
      <c r="I58" s="1118"/>
      <c r="J58" s="1118"/>
      <c r="K58" s="1119"/>
    </row>
    <row r="59" spans="1:11" x14ac:dyDescent="0.25">
      <c r="A59" s="1095"/>
      <c r="B59" s="1096"/>
      <c r="C59" s="1107"/>
      <c r="D59" s="586"/>
      <c r="E59" s="589"/>
      <c r="F59" s="592"/>
      <c r="G59" s="1108"/>
      <c r="H59" s="1096"/>
      <c r="I59" s="1096"/>
      <c r="J59" s="1096"/>
      <c r="K59" s="1097"/>
    </row>
    <row r="60" spans="1:11" x14ac:dyDescent="0.25">
      <c r="A60" s="1095"/>
      <c r="B60" s="1096"/>
      <c r="C60" s="1107"/>
      <c r="D60" s="587"/>
      <c r="E60" s="590"/>
      <c r="F60" s="587"/>
      <c r="G60" s="1108"/>
      <c r="H60" s="1096"/>
      <c r="I60" s="1096"/>
      <c r="J60" s="1096"/>
      <c r="K60" s="1097"/>
    </row>
    <row r="61" spans="1:11" x14ac:dyDescent="0.25">
      <c r="A61" s="1095"/>
      <c r="B61" s="1096"/>
      <c r="C61" s="1107"/>
      <c r="D61" s="587"/>
      <c r="E61" s="589"/>
      <c r="F61" s="587"/>
      <c r="G61" s="1108"/>
      <c r="H61" s="1096"/>
      <c r="I61" s="1096"/>
      <c r="J61" s="1096"/>
      <c r="K61" s="1097"/>
    </row>
    <row r="62" spans="1:11" x14ac:dyDescent="0.25">
      <c r="A62" s="1095"/>
      <c r="B62" s="1096"/>
      <c r="C62" s="1107"/>
      <c r="D62" s="587"/>
      <c r="E62" s="590"/>
      <c r="F62" s="587"/>
      <c r="G62" s="1108"/>
      <c r="H62" s="1096"/>
      <c r="I62" s="1096"/>
      <c r="J62" s="1096"/>
      <c r="K62" s="1097"/>
    </row>
    <row r="63" spans="1:11" x14ac:dyDescent="0.25">
      <c r="A63" s="1095"/>
      <c r="B63" s="1096"/>
      <c r="C63" s="1107"/>
      <c r="D63" s="587"/>
      <c r="E63" s="589"/>
      <c r="F63" s="587"/>
      <c r="G63" s="1108"/>
      <c r="H63" s="1096"/>
      <c r="I63" s="1096"/>
      <c r="J63" s="1096"/>
      <c r="K63" s="1097"/>
    </row>
    <row r="64" spans="1:11" x14ac:dyDescent="0.25">
      <c r="A64" s="1095"/>
      <c r="B64" s="1096"/>
      <c r="C64" s="1107"/>
      <c r="D64" s="587"/>
      <c r="E64" s="590"/>
      <c r="F64" s="587"/>
      <c r="G64" s="1108"/>
      <c r="H64" s="1096"/>
      <c r="I64" s="1096"/>
      <c r="J64" s="1096"/>
      <c r="K64" s="1097"/>
    </row>
    <row r="65" spans="1:11" ht="13.8" thickBot="1" x14ac:dyDescent="0.3">
      <c r="A65" s="1098"/>
      <c r="B65" s="1099"/>
      <c r="C65" s="1109"/>
      <c r="D65" s="588"/>
      <c r="E65" s="591"/>
      <c r="F65" s="588"/>
      <c r="G65" s="1110"/>
      <c r="H65" s="1099"/>
      <c r="I65" s="1099"/>
      <c r="J65" s="1099"/>
      <c r="K65" s="1100"/>
    </row>
    <row r="66" spans="1:11" ht="13.8" thickBot="1" x14ac:dyDescent="0.3">
      <c r="A66" s="559"/>
      <c r="B66" s="549"/>
      <c r="C66" s="549"/>
      <c r="D66" s="563"/>
      <c r="E66" s="543"/>
      <c r="F66" s="563"/>
      <c r="G66" s="580"/>
      <c r="H66" s="580"/>
      <c r="I66" s="580"/>
      <c r="J66" s="580"/>
      <c r="K66" s="564"/>
    </row>
    <row r="67" spans="1:11" x14ac:dyDescent="0.25">
      <c r="A67" s="1101" t="s">
        <v>694</v>
      </c>
      <c r="B67" s="1102"/>
      <c r="C67" s="1102"/>
      <c r="D67" s="1102"/>
      <c r="E67" s="1102"/>
      <c r="F67" s="1102"/>
      <c r="G67" s="1102"/>
      <c r="H67" s="1102"/>
      <c r="I67" s="1102"/>
      <c r="J67" s="1102"/>
      <c r="K67" s="1103"/>
    </row>
    <row r="68" spans="1:11" x14ac:dyDescent="0.25">
      <c r="A68" s="568" t="s">
        <v>37</v>
      </c>
      <c r="B68" s="569" t="s">
        <v>689</v>
      </c>
      <c r="C68" s="1111" t="s">
        <v>691</v>
      </c>
      <c r="D68" s="1111"/>
      <c r="E68" s="1111"/>
      <c r="F68" s="1111" t="s">
        <v>37</v>
      </c>
      <c r="G68" s="1111"/>
      <c r="H68" s="570" t="s">
        <v>690</v>
      </c>
      <c r="I68" s="1111" t="s">
        <v>691</v>
      </c>
      <c r="J68" s="1111"/>
      <c r="K68" s="1112"/>
    </row>
    <row r="69" spans="1:11" x14ac:dyDescent="0.25">
      <c r="A69" s="593"/>
      <c r="B69" s="595"/>
      <c r="C69" s="1113"/>
      <c r="D69" s="1113"/>
      <c r="E69" s="1113"/>
      <c r="F69" s="1113"/>
      <c r="G69" s="1113"/>
      <c r="H69" s="595"/>
      <c r="I69" s="1113"/>
      <c r="J69" s="1113"/>
      <c r="K69" s="1114"/>
    </row>
    <row r="70" spans="1:11" x14ac:dyDescent="0.25">
      <c r="A70" s="594"/>
      <c r="B70" s="596"/>
      <c r="C70" s="1115"/>
      <c r="D70" s="1115"/>
      <c r="E70" s="1115"/>
      <c r="F70" s="1115"/>
      <c r="G70" s="1115"/>
      <c r="H70" s="596"/>
      <c r="I70" s="1115"/>
      <c r="J70" s="1115"/>
      <c r="K70" s="1116"/>
    </row>
    <row r="71" spans="1:11" x14ac:dyDescent="0.25">
      <c r="A71" s="594"/>
      <c r="B71" s="596"/>
      <c r="C71" s="1115"/>
      <c r="D71" s="1115"/>
      <c r="E71" s="1115"/>
      <c r="F71" s="1115"/>
      <c r="G71" s="1115"/>
      <c r="H71" s="596"/>
      <c r="I71" s="1115"/>
      <c r="J71" s="1115"/>
      <c r="K71" s="1116"/>
    </row>
    <row r="72" spans="1:11" x14ac:dyDescent="0.25">
      <c r="A72" s="594"/>
      <c r="B72" s="596"/>
      <c r="C72" s="1115"/>
      <c r="D72" s="1115"/>
      <c r="E72" s="1115"/>
      <c r="F72" s="1115"/>
      <c r="G72" s="1115"/>
      <c r="H72" s="596"/>
      <c r="I72" s="1115"/>
      <c r="J72" s="1115"/>
      <c r="K72" s="1116"/>
    </row>
    <row r="73" spans="1:11" x14ac:dyDescent="0.25">
      <c r="A73" s="594"/>
      <c r="B73" s="596"/>
      <c r="C73" s="1115"/>
      <c r="D73" s="1115"/>
      <c r="E73" s="1115"/>
      <c r="F73" s="1115"/>
      <c r="G73" s="1115"/>
      <c r="H73" s="596"/>
      <c r="I73" s="1115"/>
      <c r="J73" s="1115"/>
      <c r="K73" s="1116"/>
    </row>
    <row r="74" spans="1:11" x14ac:dyDescent="0.25">
      <c r="A74" s="594"/>
      <c r="B74" s="596"/>
      <c r="C74" s="1115"/>
      <c r="D74" s="1115"/>
      <c r="E74" s="1115"/>
      <c r="F74" s="1115"/>
      <c r="G74" s="1115"/>
      <c r="H74" s="596"/>
      <c r="I74" s="1115"/>
      <c r="J74" s="1115"/>
      <c r="K74" s="1116"/>
    </row>
    <row r="75" spans="1:11" x14ac:dyDescent="0.25">
      <c r="A75" s="594"/>
      <c r="B75" s="596"/>
      <c r="C75" s="1115"/>
      <c r="D75" s="1115"/>
      <c r="E75" s="1115"/>
      <c r="F75" s="1115"/>
      <c r="G75" s="1115"/>
      <c r="H75" s="596"/>
      <c r="I75" s="1115"/>
      <c r="J75" s="1115"/>
      <c r="K75" s="1116"/>
    </row>
    <row r="76" spans="1:11" x14ac:dyDescent="0.25">
      <c r="A76" s="594"/>
      <c r="B76" s="596"/>
      <c r="C76" s="1115"/>
      <c r="D76" s="1115"/>
      <c r="E76" s="1115"/>
      <c r="F76" s="1115"/>
      <c r="G76" s="1115"/>
      <c r="H76" s="596"/>
      <c r="I76" s="1115"/>
      <c r="J76" s="1115"/>
      <c r="K76" s="1116"/>
    </row>
    <row r="77" spans="1:11" x14ac:dyDescent="0.25">
      <c r="A77" s="581"/>
      <c r="B77" s="571"/>
      <c r="C77" s="1244"/>
      <c r="D77" s="1244"/>
      <c r="E77" s="1244"/>
      <c r="F77" s="1244"/>
      <c r="G77" s="1244"/>
      <c r="H77" s="571"/>
      <c r="I77" s="1244"/>
      <c r="J77" s="1244"/>
      <c r="K77" s="1245"/>
    </row>
    <row r="78" spans="1:11" ht="13.8" thickBot="1" x14ac:dyDescent="0.3">
      <c r="A78" s="1241" t="s">
        <v>693</v>
      </c>
      <c r="B78" s="1242"/>
      <c r="C78" s="1242"/>
      <c r="D78" s="1242"/>
      <c r="E78" s="1242"/>
      <c r="F78" s="1242"/>
      <c r="G78" s="1242"/>
      <c r="H78" s="1242"/>
      <c r="I78" s="1242"/>
      <c r="J78" s="1242"/>
      <c r="K78" s="1243"/>
    </row>
    <row r="79" spans="1:11" ht="13.8" thickBot="1" x14ac:dyDescent="0.3">
      <c r="A79" s="539"/>
      <c r="K79" s="540"/>
    </row>
    <row r="80" spans="1:11" x14ac:dyDescent="0.25">
      <c r="A80" s="1101" t="s">
        <v>692</v>
      </c>
      <c r="B80" s="1102"/>
      <c r="C80" s="1102"/>
      <c r="D80" s="1102"/>
      <c r="E80" s="1102"/>
      <c r="F80" s="1102"/>
      <c r="G80" s="1102"/>
      <c r="H80" s="1102"/>
      <c r="I80" s="1102"/>
      <c r="J80" s="1102"/>
      <c r="K80" s="1103"/>
    </row>
    <row r="81" spans="1:11" x14ac:dyDescent="0.25">
      <c r="A81" s="1104"/>
      <c r="B81" s="1105"/>
      <c r="C81" s="1105"/>
      <c r="D81" s="1105"/>
      <c r="E81" s="1105"/>
      <c r="F81" s="1105"/>
      <c r="G81" s="1105"/>
      <c r="H81" s="1105"/>
      <c r="I81" s="1105"/>
      <c r="J81" s="1105"/>
      <c r="K81" s="1106"/>
    </row>
    <row r="82" spans="1:11" x14ac:dyDescent="0.25">
      <c r="A82" s="1095"/>
      <c r="B82" s="1096"/>
      <c r="C82" s="1096"/>
      <c r="D82" s="1096"/>
      <c r="E82" s="1096"/>
      <c r="F82" s="1096"/>
      <c r="G82" s="1096"/>
      <c r="H82" s="1096"/>
      <c r="I82" s="1096"/>
      <c r="J82" s="1096"/>
      <c r="K82" s="1097"/>
    </row>
    <row r="83" spans="1:11" x14ac:dyDescent="0.25">
      <c r="A83" s="1095"/>
      <c r="B83" s="1096"/>
      <c r="C83" s="1096"/>
      <c r="D83" s="1096"/>
      <c r="E83" s="1096"/>
      <c r="F83" s="1096"/>
      <c r="G83" s="1096"/>
      <c r="H83" s="1096"/>
      <c r="I83" s="1096"/>
      <c r="J83" s="1096"/>
      <c r="K83" s="1097"/>
    </row>
    <row r="84" spans="1:11" x14ac:dyDescent="0.25">
      <c r="A84" s="1095"/>
      <c r="B84" s="1096"/>
      <c r="C84" s="1096"/>
      <c r="D84" s="1096"/>
      <c r="E84" s="1096"/>
      <c r="F84" s="1096"/>
      <c r="G84" s="1096"/>
      <c r="H84" s="1096"/>
      <c r="I84" s="1096"/>
      <c r="J84" s="1096"/>
      <c r="K84" s="1097"/>
    </row>
    <row r="85" spans="1:11" ht="13.8" thickBot="1" x14ac:dyDescent="0.3">
      <c r="A85" s="1098"/>
      <c r="B85" s="1099"/>
      <c r="C85" s="1099"/>
      <c r="D85" s="1099"/>
      <c r="E85" s="1099"/>
      <c r="F85" s="1099"/>
      <c r="G85" s="1099"/>
      <c r="H85" s="1099"/>
      <c r="I85" s="1099"/>
      <c r="J85" s="1099"/>
      <c r="K85" s="1100"/>
    </row>
    <row r="86" spans="1:11" ht="13.8" thickBot="1" x14ac:dyDescent="0.3">
      <c r="A86" s="565"/>
      <c r="B86" s="566"/>
      <c r="C86" s="566"/>
      <c r="D86" s="566"/>
      <c r="E86" s="566"/>
      <c r="F86" s="566"/>
      <c r="G86" s="566"/>
      <c r="H86" s="566"/>
      <c r="I86" s="566"/>
      <c r="J86" s="566"/>
      <c r="K86" s="567"/>
    </row>
    <row r="87" spans="1:11" x14ac:dyDescent="0.25">
      <c r="A87" s="1101" t="s">
        <v>688</v>
      </c>
      <c r="B87" s="1102"/>
      <c r="C87" s="1102"/>
      <c r="D87" s="1102"/>
      <c r="E87" s="1102"/>
      <c r="F87" s="1102"/>
      <c r="G87" s="1102"/>
      <c r="H87" s="1102"/>
      <c r="I87" s="1102"/>
      <c r="J87" s="1102"/>
      <c r="K87" s="1103"/>
    </row>
    <row r="88" spans="1:11" x14ac:dyDescent="0.25">
      <c r="A88" s="1238"/>
      <c r="B88" s="1239"/>
      <c r="C88" s="1239"/>
      <c r="D88" s="1239"/>
      <c r="E88" s="1239"/>
      <c r="F88" s="1239"/>
      <c r="G88" s="1239"/>
      <c r="H88" s="1239"/>
      <c r="I88" s="1239"/>
      <c r="J88" s="1239"/>
      <c r="K88" s="1240"/>
    </row>
    <row r="89" spans="1:11" x14ac:dyDescent="0.25">
      <c r="A89" s="1095"/>
      <c r="B89" s="1096"/>
      <c r="C89" s="1096"/>
      <c r="D89" s="1096"/>
      <c r="E89" s="1096"/>
      <c r="F89" s="1096"/>
      <c r="G89" s="1096"/>
      <c r="H89" s="1096"/>
      <c r="I89" s="1096"/>
      <c r="J89" s="1096"/>
      <c r="K89" s="1097"/>
    </row>
    <row r="90" spans="1:11" x14ac:dyDescent="0.25">
      <c r="A90" s="1095"/>
      <c r="B90" s="1096"/>
      <c r="C90" s="1096"/>
      <c r="D90" s="1096"/>
      <c r="E90" s="1096"/>
      <c r="F90" s="1096"/>
      <c r="G90" s="1096"/>
      <c r="H90" s="1096"/>
      <c r="I90" s="1096"/>
      <c r="J90" s="1096"/>
      <c r="K90" s="1097"/>
    </row>
    <row r="91" spans="1:11" x14ac:dyDescent="0.25">
      <c r="A91" s="1095"/>
      <c r="B91" s="1096"/>
      <c r="C91" s="1096"/>
      <c r="D91" s="1096"/>
      <c r="E91" s="1096"/>
      <c r="F91" s="1096"/>
      <c r="G91" s="1096"/>
      <c r="H91" s="1096"/>
      <c r="I91" s="1096"/>
      <c r="J91" s="1096"/>
      <c r="K91" s="1097"/>
    </row>
    <row r="92" spans="1:11" x14ac:dyDescent="0.25">
      <c r="A92" s="1095"/>
      <c r="B92" s="1096"/>
      <c r="C92" s="1096"/>
      <c r="D92" s="1096"/>
      <c r="E92" s="1096"/>
      <c r="F92" s="1096"/>
      <c r="G92" s="1096"/>
      <c r="H92" s="1096"/>
      <c r="I92" s="1096"/>
      <c r="J92" s="1096"/>
      <c r="K92" s="1097"/>
    </row>
    <row r="93" spans="1:11" x14ac:dyDescent="0.25">
      <c r="A93" s="1095"/>
      <c r="B93" s="1096"/>
      <c r="C93" s="1096"/>
      <c r="D93" s="1096"/>
      <c r="E93" s="1096"/>
      <c r="F93" s="1096"/>
      <c r="G93" s="1096"/>
      <c r="H93" s="1096"/>
      <c r="I93" s="1096"/>
      <c r="J93" s="1096"/>
      <c r="K93" s="1097"/>
    </row>
    <row r="94" spans="1:11" x14ac:dyDescent="0.25">
      <c r="A94" s="1095"/>
      <c r="B94" s="1096"/>
      <c r="C94" s="1096"/>
      <c r="D94" s="1096"/>
      <c r="E94" s="1096"/>
      <c r="F94" s="1096"/>
      <c r="G94" s="1096"/>
      <c r="H94" s="1096"/>
      <c r="I94" s="1096"/>
      <c r="J94" s="1096"/>
      <c r="K94" s="1097"/>
    </row>
    <row r="95" spans="1:11" x14ac:dyDescent="0.25">
      <c r="A95" s="1095"/>
      <c r="B95" s="1096"/>
      <c r="C95" s="1096"/>
      <c r="D95" s="1096"/>
      <c r="E95" s="1096"/>
      <c r="F95" s="1096"/>
      <c r="G95" s="1096"/>
      <c r="H95" s="1096"/>
      <c r="I95" s="1096"/>
      <c r="J95" s="1096"/>
      <c r="K95" s="1097"/>
    </row>
    <row r="96" spans="1:11" x14ac:dyDescent="0.25">
      <c r="A96" s="1095"/>
      <c r="B96" s="1096"/>
      <c r="C96" s="1096"/>
      <c r="D96" s="1096"/>
      <c r="E96" s="1096"/>
      <c r="F96" s="1096"/>
      <c r="G96" s="1096"/>
      <c r="H96" s="1096"/>
      <c r="I96" s="1096"/>
      <c r="J96" s="1096"/>
      <c r="K96" s="1097"/>
    </row>
    <row r="97" spans="1:11" x14ac:dyDescent="0.25">
      <c r="A97" s="1095"/>
      <c r="B97" s="1096"/>
      <c r="C97" s="1096"/>
      <c r="D97" s="1096"/>
      <c r="E97" s="1096"/>
      <c r="F97" s="1096"/>
      <c r="G97" s="1096"/>
      <c r="H97" s="1096"/>
      <c r="I97" s="1096"/>
      <c r="J97" s="1096"/>
      <c r="K97" s="1097"/>
    </row>
    <row r="98" spans="1:11" x14ac:dyDescent="0.25">
      <c r="A98" s="1095"/>
      <c r="B98" s="1096"/>
      <c r="C98" s="1096"/>
      <c r="D98" s="1096"/>
      <c r="E98" s="1096"/>
      <c r="F98" s="1096"/>
      <c r="G98" s="1096"/>
      <c r="H98" s="1096"/>
      <c r="I98" s="1096"/>
      <c r="J98" s="1096"/>
      <c r="K98" s="1097"/>
    </row>
    <row r="99" spans="1:11" x14ac:dyDescent="0.25">
      <c r="A99" s="1095"/>
      <c r="B99" s="1096"/>
      <c r="C99" s="1096"/>
      <c r="D99" s="1096"/>
      <c r="E99" s="1096"/>
      <c r="F99" s="1096"/>
      <c r="G99" s="1096"/>
      <c r="H99" s="1096"/>
      <c r="I99" s="1096"/>
      <c r="J99" s="1096"/>
      <c r="K99" s="1097"/>
    </row>
    <row r="100" spans="1:11" x14ac:dyDescent="0.25">
      <c r="A100" s="1095"/>
      <c r="B100" s="1096"/>
      <c r="C100" s="1096"/>
      <c r="D100" s="1096"/>
      <c r="E100" s="1096"/>
      <c r="F100" s="1096"/>
      <c r="G100" s="1096"/>
      <c r="H100" s="1096"/>
      <c r="I100" s="1096"/>
      <c r="J100" s="1096"/>
      <c r="K100" s="1097"/>
    </row>
    <row r="101" spans="1:11" x14ac:dyDescent="0.25">
      <c r="A101" s="1095"/>
      <c r="B101" s="1096"/>
      <c r="C101" s="1096"/>
      <c r="D101" s="1096"/>
      <c r="E101" s="1096"/>
      <c r="F101" s="1096"/>
      <c r="G101" s="1096"/>
      <c r="H101" s="1096"/>
      <c r="I101" s="1096"/>
      <c r="J101" s="1096"/>
      <c r="K101" s="1097"/>
    </row>
    <row r="102" spans="1:11" x14ac:dyDescent="0.25">
      <c r="A102" s="1095"/>
      <c r="B102" s="1096"/>
      <c r="C102" s="1096"/>
      <c r="D102" s="1096"/>
      <c r="E102" s="1096"/>
      <c r="F102" s="1096"/>
      <c r="G102" s="1096"/>
      <c r="H102" s="1096"/>
      <c r="I102" s="1096"/>
      <c r="J102" s="1096"/>
      <c r="K102" s="1097"/>
    </row>
    <row r="103" spans="1:11" ht="13.8" thickBot="1" x14ac:dyDescent="0.3">
      <c r="A103" s="1098"/>
      <c r="B103" s="1099"/>
      <c r="C103" s="1099"/>
      <c r="D103" s="1099"/>
      <c r="E103" s="1099"/>
      <c r="F103" s="1099"/>
      <c r="G103" s="1099"/>
      <c r="H103" s="1099"/>
      <c r="I103" s="1099"/>
      <c r="J103" s="1099"/>
      <c r="K103" s="1100"/>
    </row>
  </sheetData>
  <mergeCells count="174">
    <mergeCell ref="C76:E76"/>
    <mergeCell ref="F76:G76"/>
    <mergeCell ref="I76:K76"/>
    <mergeCell ref="C77:E77"/>
    <mergeCell ref="F77:G77"/>
    <mergeCell ref="I77:K77"/>
    <mergeCell ref="I72:K72"/>
    <mergeCell ref="C73:E73"/>
    <mergeCell ref="F73:G73"/>
    <mergeCell ref="I73:K73"/>
    <mergeCell ref="C74:E74"/>
    <mergeCell ref="F74:G74"/>
    <mergeCell ref="I74:K74"/>
    <mergeCell ref="C75:E75"/>
    <mergeCell ref="F75:G75"/>
    <mergeCell ref="I75:K75"/>
    <mergeCell ref="A13:C14"/>
    <mergeCell ref="D13:E13"/>
    <mergeCell ref="F13:K14"/>
    <mergeCell ref="A101:K101"/>
    <mergeCell ref="A102:K102"/>
    <mergeCell ref="A103:K103"/>
    <mergeCell ref="A92:K92"/>
    <mergeCell ref="A93:K93"/>
    <mergeCell ref="A94:K94"/>
    <mergeCell ref="A95:K95"/>
    <mergeCell ref="A96:K96"/>
    <mergeCell ref="A87:K87"/>
    <mergeCell ref="A88:K88"/>
    <mergeCell ref="A89:K89"/>
    <mergeCell ref="A90:K90"/>
    <mergeCell ref="A91:K91"/>
    <mergeCell ref="A97:K97"/>
    <mergeCell ref="A98:K98"/>
    <mergeCell ref="A99:K99"/>
    <mergeCell ref="A100:K100"/>
    <mergeCell ref="A78:K78"/>
    <mergeCell ref="A67:K67"/>
    <mergeCell ref="C68:E68"/>
    <mergeCell ref="F68:G68"/>
    <mergeCell ref="A8:B9"/>
    <mergeCell ref="C8:K8"/>
    <mergeCell ref="D9:E9"/>
    <mergeCell ref="G9:H9"/>
    <mergeCell ref="J9:K9"/>
    <mergeCell ref="C11:E11"/>
    <mergeCell ref="F11:G11"/>
    <mergeCell ref="A1:K1"/>
    <mergeCell ref="B4:K4"/>
    <mergeCell ref="B5:E5"/>
    <mergeCell ref="G5:K5"/>
    <mergeCell ref="B6:E6"/>
    <mergeCell ref="G6:K6"/>
    <mergeCell ref="A17:C17"/>
    <mergeCell ref="F17:K17"/>
    <mergeCell ref="A18:C18"/>
    <mergeCell ref="F18:K18"/>
    <mergeCell ref="A19:C19"/>
    <mergeCell ref="F19:K19"/>
    <mergeCell ref="A15:K15"/>
    <mergeCell ref="A16:C16"/>
    <mergeCell ref="F16:K16"/>
    <mergeCell ref="A23:C23"/>
    <mergeCell ref="F23:K23"/>
    <mergeCell ref="A24:C24"/>
    <mergeCell ref="F24:K24"/>
    <mergeCell ref="A25:C25"/>
    <mergeCell ref="G25:K25"/>
    <mergeCell ref="A20:C20"/>
    <mergeCell ref="F20:K20"/>
    <mergeCell ref="A21:C21"/>
    <mergeCell ref="F21:K21"/>
    <mergeCell ref="A22:C22"/>
    <mergeCell ref="F22:K22"/>
    <mergeCell ref="A29:C29"/>
    <mergeCell ref="F29:K29"/>
    <mergeCell ref="A30:C30"/>
    <mergeCell ref="F30:K30"/>
    <mergeCell ref="A31:C31"/>
    <mergeCell ref="F31:K31"/>
    <mergeCell ref="A26:C26"/>
    <mergeCell ref="G26:K26"/>
    <mergeCell ref="A27:C27"/>
    <mergeCell ref="G27:K27"/>
    <mergeCell ref="A28:C28"/>
    <mergeCell ref="G28:K28"/>
    <mergeCell ref="A36:K36"/>
    <mergeCell ref="B38:E38"/>
    <mergeCell ref="G38:J38"/>
    <mergeCell ref="B39:E39"/>
    <mergeCell ref="G39:J39"/>
    <mergeCell ref="B40:C40"/>
    <mergeCell ref="G40:H40"/>
    <mergeCell ref="I40:J40"/>
    <mergeCell ref="A32:C32"/>
    <mergeCell ref="F32:K32"/>
    <mergeCell ref="A33:C33"/>
    <mergeCell ref="F33:K33"/>
    <mergeCell ref="A34:C34"/>
    <mergeCell ref="F34:K34"/>
    <mergeCell ref="B43:C43"/>
    <mergeCell ref="G43:H43"/>
    <mergeCell ref="I43:J43"/>
    <mergeCell ref="B44:C44"/>
    <mergeCell ref="G44:H44"/>
    <mergeCell ref="I44:J44"/>
    <mergeCell ref="B41:C41"/>
    <mergeCell ref="G41:H41"/>
    <mergeCell ref="I41:J41"/>
    <mergeCell ref="B42:C42"/>
    <mergeCell ref="G42:H42"/>
    <mergeCell ref="I42:J42"/>
    <mergeCell ref="B47:C47"/>
    <mergeCell ref="G47:H47"/>
    <mergeCell ref="I47:J47"/>
    <mergeCell ref="A49:B49"/>
    <mergeCell ref="C49:D49"/>
    <mergeCell ref="H49:J49"/>
    <mergeCell ref="B45:C45"/>
    <mergeCell ref="G45:H45"/>
    <mergeCell ref="I45:J45"/>
    <mergeCell ref="B46:C46"/>
    <mergeCell ref="G46:H46"/>
    <mergeCell ref="I46:J46"/>
    <mergeCell ref="A53:B53"/>
    <mergeCell ref="C53:D53"/>
    <mergeCell ref="H53:I53"/>
    <mergeCell ref="A54:B54"/>
    <mergeCell ref="C54:D54"/>
    <mergeCell ref="H54:I54"/>
    <mergeCell ref="C50:D50"/>
    <mergeCell ref="H50:I50"/>
    <mergeCell ref="A51:B51"/>
    <mergeCell ref="C51:D51"/>
    <mergeCell ref="H51:I51"/>
    <mergeCell ref="A52:B52"/>
    <mergeCell ref="C52:D52"/>
    <mergeCell ref="H52:I52"/>
    <mergeCell ref="A60:C60"/>
    <mergeCell ref="G60:K60"/>
    <mergeCell ref="A61:C61"/>
    <mergeCell ref="G61:K61"/>
    <mergeCell ref="A62:C62"/>
    <mergeCell ref="G62:K62"/>
    <mergeCell ref="A56:K56"/>
    <mergeCell ref="A57:K57"/>
    <mergeCell ref="A58:C58"/>
    <mergeCell ref="G58:K58"/>
    <mergeCell ref="A59:C59"/>
    <mergeCell ref="G59:K59"/>
    <mergeCell ref="A84:K84"/>
    <mergeCell ref="A85:K85"/>
    <mergeCell ref="A80:K80"/>
    <mergeCell ref="A81:K81"/>
    <mergeCell ref="A82:K82"/>
    <mergeCell ref="A83:K83"/>
    <mergeCell ref="A63:C63"/>
    <mergeCell ref="G63:K63"/>
    <mergeCell ref="A64:C64"/>
    <mergeCell ref="G64:K64"/>
    <mergeCell ref="A65:C65"/>
    <mergeCell ref="G65:K65"/>
    <mergeCell ref="I68:K68"/>
    <mergeCell ref="C69:E69"/>
    <mergeCell ref="F69:G69"/>
    <mergeCell ref="I69:K69"/>
    <mergeCell ref="C70:E70"/>
    <mergeCell ref="F70:G70"/>
    <mergeCell ref="I70:K70"/>
    <mergeCell ref="C71:E71"/>
    <mergeCell ref="F71:G71"/>
    <mergeCell ref="I71:K71"/>
    <mergeCell ref="C72:E72"/>
    <mergeCell ref="F72:G72"/>
  </mergeCells>
  <printOptions horizontalCentered="1" verticalCentered="1"/>
  <pageMargins left="0" right="0" top="0.19685039370078741" bottom="0" header="0.19685039370078741" footer="0"/>
  <pageSetup paperSize="5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view="pageLayout" zoomScaleNormal="70" workbookViewId="0">
      <selection activeCell="B15" sqref="B15:E15"/>
    </sheetView>
  </sheetViews>
  <sheetFormatPr defaultColWidth="12.5546875" defaultRowHeight="15.6" x14ac:dyDescent="0.3"/>
  <cols>
    <col min="1" max="1" width="22.88671875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8" width="37.109375" style="598" customWidth="1"/>
    <col min="9" max="16384" width="12.5546875" style="598"/>
  </cols>
  <sheetData>
    <row r="1" spans="1:9" ht="21" customHeight="1" thickTop="1" x14ac:dyDescent="0.3">
      <c r="A1" s="1252" t="s">
        <v>696</v>
      </c>
      <c r="B1" s="1253"/>
      <c r="C1" s="1253"/>
      <c r="D1" s="1253"/>
      <c r="E1" s="1253"/>
      <c r="F1" s="1253"/>
      <c r="G1" s="1253"/>
      <c r="H1" s="1254"/>
      <c r="I1" s="651"/>
    </row>
    <row r="2" spans="1:9" ht="84.6" customHeight="1" x14ac:dyDescent="0.3">
      <c r="A2" s="1255"/>
      <c r="B2" s="1256"/>
      <c r="C2" s="1256"/>
      <c r="D2" s="1256"/>
      <c r="E2" s="1256"/>
      <c r="F2" s="1256"/>
      <c r="G2" s="1256"/>
      <c r="H2" s="1257"/>
      <c r="I2" s="651"/>
    </row>
    <row r="3" spans="1:9" ht="25.2" customHeight="1" x14ac:dyDescent="0.3">
      <c r="A3" s="1255"/>
      <c r="B3" s="1256"/>
      <c r="C3" s="1256"/>
      <c r="D3" s="1256"/>
      <c r="E3" s="1256"/>
      <c r="F3" s="1256"/>
      <c r="G3" s="1256"/>
      <c r="H3" s="1257"/>
      <c r="I3" s="651"/>
    </row>
    <row r="4" spans="1:9" ht="25.2" customHeight="1" x14ac:dyDescent="0.3">
      <c r="A4" s="1258"/>
      <c r="B4" s="1259"/>
      <c r="C4" s="1259"/>
      <c r="D4" s="1259"/>
      <c r="E4" s="1259"/>
      <c r="F4" s="1259"/>
      <c r="G4" s="1259"/>
      <c r="H4" s="1260"/>
      <c r="I4" s="651"/>
    </row>
    <row r="5" spans="1:9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264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HARRISSON","k.harrisson@ventilationjeanroy.com",IF(B5="KARELL ROY","k.roy@ventilationjeanroy.com",""))))))</f>
        <v/>
      </c>
      <c r="F5" s="1265"/>
      <c r="G5" s="1265"/>
      <c r="H5" s="1266"/>
      <c r="I5" s="600"/>
    </row>
    <row r="6" spans="1:9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7"/>
      <c r="H6" s="1248"/>
    </row>
    <row r="7" spans="1:9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7"/>
      <c r="H7" s="1248"/>
    </row>
    <row r="8" spans="1:9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7"/>
      <c r="H8" s="1248"/>
    </row>
    <row r="9" spans="1:9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7"/>
      <c r="H9" s="1248"/>
    </row>
    <row r="10" spans="1:9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6"/>
      <c r="H10" s="1277"/>
    </row>
    <row r="11" spans="1:9" s="599" customFormat="1" ht="22.5" customHeight="1" thickTop="1" thickBot="1" x14ac:dyDescent="0.3">
      <c r="A11" s="632" t="s">
        <v>118</v>
      </c>
      <c r="B11" s="1278" t="s">
        <v>756</v>
      </c>
      <c r="C11" s="1279"/>
      <c r="D11" s="1279"/>
      <c r="E11" s="1279"/>
      <c r="F11" s="633" t="s">
        <v>763</v>
      </c>
      <c r="G11" s="634" t="s">
        <v>764</v>
      </c>
      <c r="H11" s="634" t="s">
        <v>287</v>
      </c>
    </row>
    <row r="12" spans="1:9" s="599" customFormat="1" ht="22.5" customHeight="1" thickBot="1" x14ac:dyDescent="0.3">
      <c r="A12" s="635"/>
      <c r="B12" s="1249"/>
      <c r="C12" s="1250"/>
      <c r="D12" s="1250"/>
      <c r="E12" s="1251"/>
      <c r="F12" s="631"/>
      <c r="G12" s="636" t="s">
        <v>703</v>
      </c>
      <c r="H12" s="652">
        <v>0</v>
      </c>
    </row>
    <row r="13" spans="1:9" s="599" customFormat="1" ht="22.5" customHeight="1" thickBot="1" x14ac:dyDescent="0.3">
      <c r="A13" s="635"/>
      <c r="B13" s="1249"/>
      <c r="C13" s="1250"/>
      <c r="D13" s="1250"/>
      <c r="E13" s="1251"/>
      <c r="F13" s="631"/>
      <c r="G13" s="636" t="s">
        <v>704</v>
      </c>
      <c r="H13" s="652">
        <v>0</v>
      </c>
    </row>
    <row r="14" spans="1:9" s="599" customFormat="1" ht="22.5" customHeight="1" thickBot="1" x14ac:dyDescent="0.3">
      <c r="A14" s="635"/>
      <c r="B14" s="1249"/>
      <c r="C14" s="1250"/>
      <c r="D14" s="1250"/>
      <c r="E14" s="1251"/>
      <c r="F14" s="631"/>
      <c r="G14" s="636" t="s">
        <v>769</v>
      </c>
      <c r="H14" s="652">
        <v>0</v>
      </c>
    </row>
    <row r="15" spans="1:9" s="599" customFormat="1" ht="22.5" customHeight="1" thickBot="1" x14ac:dyDescent="0.3">
      <c r="A15" s="635"/>
      <c r="B15" s="1249"/>
      <c r="C15" s="1250"/>
      <c r="D15" s="1250"/>
      <c r="E15" s="1251"/>
      <c r="F15" s="631"/>
      <c r="G15" s="636" t="s">
        <v>774</v>
      </c>
      <c r="H15" s="652">
        <v>0</v>
      </c>
    </row>
    <row r="16" spans="1:9" s="599" customFormat="1" ht="22.5" customHeight="1" thickBot="1" x14ac:dyDescent="0.3">
      <c r="A16" s="635"/>
      <c r="B16" s="1249"/>
      <c r="C16" s="1250"/>
      <c r="D16" s="1250"/>
      <c r="E16" s="1251"/>
      <c r="F16" s="631"/>
      <c r="G16" s="636" t="s">
        <v>770</v>
      </c>
      <c r="H16" s="652">
        <v>0</v>
      </c>
    </row>
    <row r="17" spans="1:8" s="599" customFormat="1" ht="22.5" customHeight="1" thickBot="1" x14ac:dyDescent="0.3">
      <c r="A17" s="635"/>
      <c r="B17" s="1249"/>
      <c r="C17" s="1250"/>
      <c r="D17" s="1250"/>
      <c r="E17" s="1251"/>
      <c r="F17" s="631"/>
      <c r="G17" s="637" t="s">
        <v>762</v>
      </c>
      <c r="H17" s="652">
        <v>0</v>
      </c>
    </row>
    <row r="18" spans="1:8" s="599" customFormat="1" ht="22.5" customHeight="1" thickBot="1" x14ac:dyDescent="0.3">
      <c r="A18" s="635"/>
      <c r="B18" s="1249"/>
      <c r="C18" s="1250"/>
      <c r="D18" s="1250"/>
      <c r="E18" s="1251"/>
      <c r="F18" s="631"/>
      <c r="G18" s="638" t="s">
        <v>705</v>
      </c>
      <c r="H18" s="652">
        <v>0</v>
      </c>
    </row>
    <row r="19" spans="1:8" s="599" customFormat="1" ht="22.5" customHeight="1" thickBot="1" x14ac:dyDescent="0.3">
      <c r="A19" s="635"/>
      <c r="B19" s="1249"/>
      <c r="C19" s="1250"/>
      <c r="D19" s="1250"/>
      <c r="E19" s="1251"/>
      <c r="F19" s="631"/>
      <c r="G19" s="1280" t="s">
        <v>765</v>
      </c>
      <c r="H19" s="1267">
        <v>0</v>
      </c>
    </row>
    <row r="20" spans="1:8" s="599" customFormat="1" ht="22.5" customHeight="1" x14ac:dyDescent="0.25">
      <c r="A20" s="635"/>
      <c r="B20" s="1249"/>
      <c r="C20" s="1250"/>
      <c r="D20" s="1250"/>
      <c r="E20" s="1251"/>
      <c r="F20" s="1270"/>
      <c r="G20" s="1281"/>
      <c r="H20" s="1268"/>
    </row>
    <row r="21" spans="1:8" s="599" customFormat="1" ht="22.5" customHeight="1" thickBot="1" x14ac:dyDescent="0.3">
      <c r="A21" s="635"/>
      <c r="B21" s="1272"/>
      <c r="C21" s="1273"/>
      <c r="D21" s="1273"/>
      <c r="E21" s="1274"/>
      <c r="F21" s="1271"/>
      <c r="G21" s="1281"/>
      <c r="H21" s="1269"/>
    </row>
    <row r="22" spans="1:8" s="599" customFormat="1" ht="22.5" customHeight="1" thickTop="1" thickBot="1" x14ac:dyDescent="0.3">
      <c r="A22" s="639"/>
      <c r="B22" s="1283" t="s">
        <v>702</v>
      </c>
      <c r="C22" s="1284"/>
      <c r="D22" s="1284"/>
      <c r="E22" s="1284"/>
      <c r="F22" s="1284"/>
      <c r="G22" s="1285"/>
      <c r="H22" s="653"/>
    </row>
    <row r="23" spans="1:8" s="599" customFormat="1" ht="22.5" customHeight="1" thickTop="1" thickBot="1" x14ac:dyDescent="0.3">
      <c r="A23" s="632" t="s">
        <v>757</v>
      </c>
      <c r="B23" s="1278" t="s">
        <v>756</v>
      </c>
      <c r="C23" s="1279"/>
      <c r="D23" s="1279"/>
      <c r="E23" s="1279"/>
      <c r="F23" s="633" t="s">
        <v>763</v>
      </c>
      <c r="G23" s="634" t="s">
        <v>764</v>
      </c>
      <c r="H23" s="634" t="s">
        <v>287</v>
      </c>
    </row>
    <row r="24" spans="1:8" s="599" customFormat="1" ht="22.5" customHeight="1" thickBot="1" x14ac:dyDescent="0.3">
      <c r="A24" s="635"/>
      <c r="B24" s="1249"/>
      <c r="C24" s="1250"/>
      <c r="D24" s="1250"/>
      <c r="E24" s="1251"/>
      <c r="F24" s="631"/>
      <c r="G24" s="637" t="s">
        <v>758</v>
      </c>
      <c r="H24" s="652">
        <v>0</v>
      </c>
    </row>
    <row r="25" spans="1:8" s="599" customFormat="1" ht="22.5" customHeight="1" thickBot="1" x14ac:dyDescent="0.3">
      <c r="A25" s="635"/>
      <c r="B25" s="1249"/>
      <c r="C25" s="1250"/>
      <c r="D25" s="1250"/>
      <c r="E25" s="1251"/>
      <c r="F25" s="631"/>
      <c r="G25" s="637" t="s">
        <v>771</v>
      </c>
      <c r="H25" s="652">
        <v>0</v>
      </c>
    </row>
    <row r="26" spans="1:8" s="599" customFormat="1" ht="22.5" customHeight="1" thickBot="1" x14ac:dyDescent="0.3">
      <c r="A26" s="635"/>
      <c r="B26" s="1249"/>
      <c r="C26" s="1250"/>
      <c r="D26" s="1250"/>
      <c r="E26" s="1251"/>
      <c r="F26" s="631"/>
      <c r="G26" s="1280" t="s">
        <v>761</v>
      </c>
      <c r="H26" s="1267">
        <v>0</v>
      </c>
    </row>
    <row r="27" spans="1:8" s="599" customFormat="1" ht="22.5" customHeight="1" x14ac:dyDescent="0.25">
      <c r="A27" s="635"/>
      <c r="B27" s="1249"/>
      <c r="C27" s="1250"/>
      <c r="D27" s="1250"/>
      <c r="E27" s="1251"/>
      <c r="F27" s="1270"/>
      <c r="G27" s="1281"/>
      <c r="H27" s="1268"/>
    </row>
    <row r="28" spans="1:8" s="599" customFormat="1" ht="22.5" customHeight="1" thickBot="1" x14ac:dyDescent="0.3">
      <c r="A28" s="635"/>
      <c r="B28" s="1272"/>
      <c r="C28" s="1273"/>
      <c r="D28" s="1273"/>
      <c r="E28" s="1274"/>
      <c r="F28" s="1271"/>
      <c r="G28" s="1286"/>
      <c r="H28" s="1269"/>
    </row>
    <row r="29" spans="1:8" s="599" customFormat="1" ht="22.5" customHeight="1" thickTop="1" x14ac:dyDescent="0.25">
      <c r="A29" s="635"/>
      <c r="B29" s="1249"/>
      <c r="C29" s="1250"/>
      <c r="D29" s="1250"/>
      <c r="E29" s="1250"/>
      <c r="F29" s="1250"/>
      <c r="G29" s="1287"/>
      <c r="H29" s="1288"/>
    </row>
    <row r="30" spans="1:8" s="599" customFormat="1" ht="22.5" customHeight="1" x14ac:dyDescent="0.25">
      <c r="A30" s="635"/>
      <c r="B30" s="1249"/>
      <c r="C30" s="1250"/>
      <c r="D30" s="1250"/>
      <c r="E30" s="1250"/>
      <c r="F30" s="1250"/>
      <c r="G30" s="1250"/>
      <c r="H30" s="1282"/>
    </row>
    <row r="31" spans="1:8" s="599" customFormat="1" ht="22.5" customHeight="1" x14ac:dyDescent="0.25">
      <c r="A31" s="635"/>
      <c r="B31" s="1249"/>
      <c r="C31" s="1250"/>
      <c r="D31" s="1250"/>
      <c r="E31" s="1250"/>
      <c r="F31" s="1250"/>
      <c r="G31" s="1250"/>
      <c r="H31" s="1282"/>
    </row>
    <row r="32" spans="1:8" s="599" customFormat="1" ht="22.5" customHeight="1" thickBot="1" x14ac:dyDescent="0.3">
      <c r="A32" s="635"/>
      <c r="B32" s="1289"/>
      <c r="C32" s="1290"/>
      <c r="D32" s="1290"/>
      <c r="E32" s="1290"/>
      <c r="F32" s="1290"/>
      <c r="G32" s="1290"/>
      <c r="H32" s="1291"/>
    </row>
    <row r="33" spans="1:8" s="599" customFormat="1" ht="22.5" customHeight="1" thickTop="1" thickBot="1" x14ac:dyDescent="0.3">
      <c r="A33" s="632" t="s">
        <v>754</v>
      </c>
      <c r="B33" s="1278" t="s">
        <v>756</v>
      </c>
      <c r="C33" s="1279"/>
      <c r="D33" s="1279"/>
      <c r="E33" s="1279"/>
      <c r="F33" s="633" t="s">
        <v>763</v>
      </c>
      <c r="G33" s="634" t="s">
        <v>764</v>
      </c>
      <c r="H33" s="634" t="s">
        <v>287</v>
      </c>
    </row>
    <row r="34" spans="1:8" s="599" customFormat="1" ht="22.5" customHeight="1" thickBot="1" x14ac:dyDescent="0.3">
      <c r="A34" s="635"/>
      <c r="B34" s="1249"/>
      <c r="C34" s="1250"/>
      <c r="D34" s="1250"/>
      <c r="E34" s="1251"/>
      <c r="F34" s="631"/>
      <c r="G34" s="637" t="s">
        <v>759</v>
      </c>
      <c r="H34" s="652">
        <v>0</v>
      </c>
    </row>
    <row r="35" spans="1:8" s="599" customFormat="1" ht="22.5" customHeight="1" thickBot="1" x14ac:dyDescent="0.3">
      <c r="A35" s="635"/>
      <c r="B35" s="1249"/>
      <c r="C35" s="1250"/>
      <c r="D35" s="1250"/>
      <c r="E35" s="1251"/>
      <c r="F35" s="631"/>
      <c r="G35" s="1280" t="s">
        <v>761</v>
      </c>
      <c r="H35" s="1267">
        <v>0</v>
      </c>
    </row>
    <row r="36" spans="1:8" s="599" customFormat="1" ht="22.5" customHeight="1" x14ac:dyDescent="0.25">
      <c r="A36" s="635"/>
      <c r="B36" s="1249"/>
      <c r="C36" s="1250"/>
      <c r="D36" s="1250"/>
      <c r="E36" s="1251"/>
      <c r="F36" s="1270"/>
      <c r="G36" s="1281"/>
      <c r="H36" s="1268"/>
    </row>
    <row r="37" spans="1:8" s="599" customFormat="1" ht="22.5" customHeight="1" thickBot="1" x14ac:dyDescent="0.3">
      <c r="A37" s="635"/>
      <c r="B37" s="1249"/>
      <c r="C37" s="1250"/>
      <c r="D37" s="1250"/>
      <c r="E37" s="1251"/>
      <c r="F37" s="1292"/>
      <c r="G37" s="1286"/>
      <c r="H37" s="1269"/>
    </row>
    <row r="38" spans="1:8" s="599" customFormat="1" ht="22.5" customHeight="1" x14ac:dyDescent="0.25">
      <c r="A38" s="635"/>
      <c r="B38" s="1249"/>
      <c r="C38" s="1250"/>
      <c r="D38" s="1250"/>
      <c r="E38" s="1250"/>
      <c r="F38" s="1250"/>
      <c r="G38" s="1287"/>
      <c r="H38" s="1288"/>
    </row>
    <row r="39" spans="1:8" s="599" customFormat="1" ht="22.5" customHeight="1" x14ac:dyDescent="0.25">
      <c r="A39" s="635"/>
      <c r="B39" s="1249"/>
      <c r="C39" s="1250"/>
      <c r="D39" s="1250"/>
      <c r="E39" s="1250"/>
      <c r="F39" s="1250"/>
      <c r="G39" s="1250"/>
      <c r="H39" s="1282"/>
    </row>
    <row r="40" spans="1:8" s="599" customFormat="1" ht="22.5" customHeight="1" x14ac:dyDescent="0.25">
      <c r="A40" s="635"/>
      <c r="B40" s="1249"/>
      <c r="C40" s="1250"/>
      <c r="D40" s="1250"/>
      <c r="E40" s="1250"/>
      <c r="F40" s="1250"/>
      <c r="G40" s="1250"/>
      <c r="H40" s="1282"/>
    </row>
    <row r="41" spans="1:8" s="599" customFormat="1" ht="22.5" customHeight="1" x14ac:dyDescent="0.25">
      <c r="A41" s="635"/>
      <c r="B41" s="1249"/>
      <c r="C41" s="1250"/>
      <c r="D41" s="1250"/>
      <c r="E41" s="1250"/>
      <c r="F41" s="1250"/>
      <c r="G41" s="1250"/>
      <c r="H41" s="1282"/>
    </row>
    <row r="42" spans="1:8" s="599" customFormat="1" ht="22.5" customHeight="1" thickBot="1" x14ac:dyDescent="0.3">
      <c r="A42" s="635"/>
      <c r="B42" s="1289"/>
      <c r="C42" s="1290"/>
      <c r="D42" s="1290"/>
      <c r="E42" s="1290"/>
      <c r="F42" s="1290"/>
      <c r="G42" s="1290"/>
      <c r="H42" s="1291"/>
    </row>
    <row r="43" spans="1:8" s="599" customFormat="1" ht="22.5" customHeight="1" thickTop="1" thickBot="1" x14ac:dyDescent="0.3">
      <c r="A43" s="632" t="s">
        <v>755</v>
      </c>
      <c r="B43" s="1278" t="s">
        <v>756</v>
      </c>
      <c r="C43" s="1279"/>
      <c r="D43" s="1279"/>
      <c r="E43" s="1279"/>
      <c r="F43" s="633" t="s">
        <v>763</v>
      </c>
      <c r="G43" s="634" t="s">
        <v>764</v>
      </c>
      <c r="H43" s="634" t="s">
        <v>287</v>
      </c>
    </row>
    <row r="44" spans="1:8" s="599" customFormat="1" ht="22.5" customHeight="1" thickBot="1" x14ac:dyDescent="0.3">
      <c r="A44" s="635"/>
      <c r="B44" s="1249"/>
      <c r="C44" s="1250"/>
      <c r="D44" s="1250"/>
      <c r="E44" s="1251"/>
      <c r="F44" s="631"/>
      <c r="G44" s="637" t="s">
        <v>760</v>
      </c>
      <c r="H44" s="652">
        <v>0</v>
      </c>
    </row>
    <row r="45" spans="1:8" s="599" customFormat="1" ht="22.5" customHeight="1" thickBot="1" x14ac:dyDescent="0.3">
      <c r="A45" s="635"/>
      <c r="B45" s="1249"/>
      <c r="C45" s="1250"/>
      <c r="D45" s="1250"/>
      <c r="E45" s="1251"/>
      <c r="F45" s="631"/>
      <c r="G45" s="637" t="s">
        <v>762</v>
      </c>
      <c r="H45" s="652">
        <v>0</v>
      </c>
    </row>
    <row r="46" spans="1:8" s="599" customFormat="1" ht="22.5" customHeight="1" thickBot="1" x14ac:dyDescent="0.3">
      <c r="A46" s="635"/>
      <c r="B46" s="1249"/>
      <c r="C46" s="1250"/>
      <c r="D46" s="1250"/>
      <c r="E46" s="1251"/>
      <c r="F46" s="631"/>
      <c r="G46" s="1280" t="s">
        <v>761</v>
      </c>
      <c r="H46" s="1267">
        <v>0</v>
      </c>
    </row>
    <row r="47" spans="1:8" s="599" customFormat="1" ht="22.5" customHeight="1" thickBot="1" x14ac:dyDescent="0.3">
      <c r="A47" s="635"/>
      <c r="B47" s="1249"/>
      <c r="C47" s="1250"/>
      <c r="D47" s="1250"/>
      <c r="E47" s="1251"/>
      <c r="F47" s="640"/>
      <c r="G47" s="1281"/>
      <c r="H47" s="1268"/>
    </row>
    <row r="48" spans="1:8" s="599" customFormat="1" ht="22.5" customHeight="1" thickBot="1" x14ac:dyDescent="0.3">
      <c r="A48" s="635"/>
      <c r="B48" s="1249"/>
      <c r="C48" s="1250"/>
      <c r="D48" s="1250"/>
      <c r="E48" s="1251"/>
      <c r="F48" s="640"/>
      <c r="G48" s="1286"/>
      <c r="H48" s="1269"/>
    </row>
    <row r="49" spans="1:8" s="599" customFormat="1" ht="22.5" customHeight="1" x14ac:dyDescent="0.25">
      <c r="A49" s="635"/>
      <c r="B49" s="1249"/>
      <c r="C49" s="1250"/>
      <c r="D49" s="1250"/>
      <c r="E49" s="1250"/>
      <c r="F49" s="1250"/>
      <c r="G49" s="1287"/>
      <c r="H49" s="1288"/>
    </row>
    <row r="50" spans="1:8" s="599" customFormat="1" ht="22.5" customHeight="1" x14ac:dyDescent="0.25">
      <c r="A50" s="635"/>
      <c r="B50" s="1249"/>
      <c r="C50" s="1250"/>
      <c r="D50" s="1250"/>
      <c r="E50" s="1250"/>
      <c r="F50" s="1250"/>
      <c r="G50" s="1250"/>
      <c r="H50" s="1282"/>
    </row>
    <row r="51" spans="1:8" s="599" customFormat="1" ht="22.5" customHeight="1" x14ac:dyDescent="0.25">
      <c r="A51" s="635"/>
      <c r="B51" s="1249"/>
      <c r="C51" s="1250"/>
      <c r="D51" s="1250"/>
      <c r="E51" s="1250"/>
      <c r="F51" s="1250"/>
      <c r="G51" s="1250"/>
      <c r="H51" s="1282"/>
    </row>
    <row r="52" spans="1:8" s="599" customFormat="1" ht="22.5" customHeight="1" thickBot="1" x14ac:dyDescent="0.3">
      <c r="A52" s="635"/>
      <c r="B52" s="1289"/>
      <c r="C52" s="1290"/>
      <c r="D52" s="1290"/>
      <c r="E52" s="1290"/>
      <c r="F52" s="1290"/>
      <c r="G52" s="1290"/>
      <c r="H52" s="1291"/>
    </row>
    <row r="53" spans="1:8" s="599" customFormat="1" ht="22.5" customHeight="1" thickTop="1" x14ac:dyDescent="0.25">
      <c r="A53" s="1293" t="s">
        <v>767</v>
      </c>
      <c r="B53" s="1294"/>
      <c r="C53" s="1294"/>
      <c r="D53" s="1294"/>
      <c r="E53" s="1294"/>
      <c r="F53" s="1294"/>
      <c r="G53" s="1295"/>
      <c r="H53" s="1299">
        <f>SUM(H12:H21,H24:H28,H34:H37,H44:H48)</f>
        <v>0</v>
      </c>
    </row>
    <row r="54" spans="1:8" s="599" customFormat="1" ht="22.5" customHeight="1" thickBot="1" x14ac:dyDescent="0.3">
      <c r="A54" s="1296"/>
      <c r="B54" s="1297"/>
      <c r="C54" s="1297"/>
      <c r="D54" s="1297"/>
      <c r="E54" s="1297"/>
      <c r="F54" s="1297"/>
      <c r="G54" s="1298"/>
      <c r="H54" s="1300"/>
    </row>
    <row r="55" spans="1:8" s="599" customFormat="1" ht="22.5" customHeight="1" thickTop="1" x14ac:dyDescent="0.25">
      <c r="A55" s="1301" t="s">
        <v>706</v>
      </c>
      <c r="B55" s="1304"/>
      <c r="C55" s="1305"/>
      <c r="D55" s="1305"/>
      <c r="E55" s="1305"/>
      <c r="F55" s="1305"/>
      <c r="G55" s="1305"/>
      <c r="H55" s="1306"/>
    </row>
    <row r="56" spans="1:8" s="599" customFormat="1" ht="22.5" customHeight="1" x14ac:dyDescent="0.25">
      <c r="A56" s="1302"/>
      <c r="B56" s="1249"/>
      <c r="C56" s="1250"/>
      <c r="D56" s="1250"/>
      <c r="E56" s="1250"/>
      <c r="F56" s="1250"/>
      <c r="G56" s="1250"/>
      <c r="H56" s="1282"/>
    </row>
    <row r="57" spans="1:8" s="599" customFormat="1" ht="22.5" customHeight="1" x14ac:dyDescent="0.25">
      <c r="A57" s="1302"/>
      <c r="B57" s="1249"/>
      <c r="C57" s="1250"/>
      <c r="D57" s="1250"/>
      <c r="E57" s="1250"/>
      <c r="F57" s="1250"/>
      <c r="G57" s="1250"/>
      <c r="H57" s="1282"/>
    </row>
    <row r="58" spans="1:8" ht="21.9" customHeight="1" x14ac:dyDescent="0.3">
      <c r="A58" s="1302"/>
      <c r="B58" s="1249"/>
      <c r="C58" s="1250"/>
      <c r="D58" s="1250"/>
      <c r="E58" s="1250"/>
      <c r="F58" s="1250"/>
      <c r="G58" s="1250"/>
      <c r="H58" s="1282"/>
    </row>
    <row r="59" spans="1:8" ht="21.9" customHeight="1" thickBot="1" x14ac:dyDescent="0.35">
      <c r="A59" s="1303"/>
      <c r="B59" s="1289"/>
      <c r="C59" s="1290"/>
      <c r="D59" s="1290"/>
      <c r="E59" s="1290"/>
      <c r="F59" s="1290"/>
      <c r="G59" s="1290"/>
      <c r="H59" s="1291"/>
    </row>
    <row r="60" spans="1:8" ht="16.2" thickTop="1" x14ac:dyDescent="0.3"/>
  </sheetData>
  <mergeCells count="69">
    <mergeCell ref="A55:A59"/>
    <mergeCell ref="B55:H55"/>
    <mergeCell ref="B56:H56"/>
    <mergeCell ref="B57:H57"/>
    <mergeCell ref="B58:H58"/>
    <mergeCell ref="B59:H59"/>
    <mergeCell ref="B49:H49"/>
    <mergeCell ref="B50:H50"/>
    <mergeCell ref="B51:H51"/>
    <mergeCell ref="B52:H52"/>
    <mergeCell ref="A53:G54"/>
    <mergeCell ref="H53:H54"/>
    <mergeCell ref="B44:E44"/>
    <mergeCell ref="B45:E45"/>
    <mergeCell ref="B46:E46"/>
    <mergeCell ref="G46:G48"/>
    <mergeCell ref="H46:H48"/>
    <mergeCell ref="B47:E47"/>
    <mergeCell ref="B48:E48"/>
    <mergeCell ref="B43:E43"/>
    <mergeCell ref="B31:H31"/>
    <mergeCell ref="B32:H32"/>
    <mergeCell ref="B33:E33"/>
    <mergeCell ref="B34:E34"/>
    <mergeCell ref="B35:E35"/>
    <mergeCell ref="G35:G37"/>
    <mergeCell ref="H35:H37"/>
    <mergeCell ref="B36:E36"/>
    <mergeCell ref="F36:F37"/>
    <mergeCell ref="B37:E37"/>
    <mergeCell ref="B38:H38"/>
    <mergeCell ref="B39:H39"/>
    <mergeCell ref="B40:H40"/>
    <mergeCell ref="B41:H41"/>
    <mergeCell ref="B42:H42"/>
    <mergeCell ref="B30:H30"/>
    <mergeCell ref="B22:G22"/>
    <mergeCell ref="B23:E23"/>
    <mergeCell ref="B24:E24"/>
    <mergeCell ref="B25:E25"/>
    <mergeCell ref="B26:E26"/>
    <mergeCell ref="G26:G28"/>
    <mergeCell ref="H26:H28"/>
    <mergeCell ref="B27:E27"/>
    <mergeCell ref="F27:F28"/>
    <mergeCell ref="B28:E28"/>
    <mergeCell ref="B29:H29"/>
    <mergeCell ref="H19:H21"/>
    <mergeCell ref="B20:E20"/>
    <mergeCell ref="F20:F21"/>
    <mergeCell ref="B21:E21"/>
    <mergeCell ref="B9:H9"/>
    <mergeCell ref="B10:H10"/>
    <mergeCell ref="B11:E11"/>
    <mergeCell ref="B12:E12"/>
    <mergeCell ref="B13:E13"/>
    <mergeCell ref="B14:E14"/>
    <mergeCell ref="B16:E16"/>
    <mergeCell ref="B17:E17"/>
    <mergeCell ref="B18:E18"/>
    <mergeCell ref="B19:E19"/>
    <mergeCell ref="G19:G21"/>
    <mergeCell ref="B8:H8"/>
    <mergeCell ref="B15:E15"/>
    <mergeCell ref="A1:H4"/>
    <mergeCell ref="B5:D5"/>
    <mergeCell ref="E5:H5"/>
    <mergeCell ref="B6:H6"/>
    <mergeCell ref="B7:H7"/>
  </mergeCells>
  <printOptions horizontalCentered="1" verticalCentered="1"/>
  <pageMargins left="0.19685039370078741" right="0.19685039370078741" top="0.19685039370078741" bottom="0.19685039370078741" header="0" footer="0"/>
  <pageSetup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zoomScale="40" zoomScaleNormal="40" workbookViewId="0">
      <selection activeCell="S29" sqref="S29"/>
    </sheetView>
  </sheetViews>
  <sheetFormatPr defaultColWidth="12.5546875" defaultRowHeight="15.6" x14ac:dyDescent="0.3"/>
  <cols>
    <col min="1" max="1" width="21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7" width="37.109375" style="598" customWidth="1"/>
    <col min="8" max="16384" width="12.5546875" style="598"/>
  </cols>
  <sheetData>
    <row r="1" spans="1:8" ht="16.2" thickTop="1" x14ac:dyDescent="0.3">
      <c r="A1" s="1319"/>
      <c r="B1" s="1320"/>
      <c r="C1" s="1320"/>
      <c r="D1" s="1320"/>
      <c r="E1" s="1320"/>
      <c r="F1" s="1320"/>
      <c r="G1" s="1321"/>
    </row>
    <row r="2" spans="1:8" ht="84.6" customHeight="1" x14ac:dyDescent="0.3">
      <c r="A2" s="1322"/>
      <c r="B2" s="1323"/>
      <c r="C2" s="1323"/>
      <c r="D2" s="1323"/>
      <c r="E2" s="1323"/>
      <c r="F2" s="1323"/>
      <c r="G2" s="1324"/>
    </row>
    <row r="3" spans="1:8" ht="25.2" customHeight="1" x14ac:dyDescent="0.4">
      <c r="A3" s="1255" t="s">
        <v>696</v>
      </c>
      <c r="B3" s="1256"/>
      <c r="C3" s="1256"/>
      <c r="D3" s="1256"/>
      <c r="E3" s="1256"/>
      <c r="F3" s="1256"/>
      <c r="G3" s="1257"/>
      <c r="H3" s="600"/>
    </row>
    <row r="4" spans="1:8" ht="25.2" customHeight="1" x14ac:dyDescent="0.4">
      <c r="A4" s="1255"/>
      <c r="B4" s="1256"/>
      <c r="C4" s="1256"/>
      <c r="D4" s="1256"/>
      <c r="E4" s="1256"/>
      <c r="F4" s="1256"/>
      <c r="G4" s="1257"/>
      <c r="H4" s="600"/>
    </row>
    <row r="5" spans="1:8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325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HARRISON","k.harrison@ventilationjeanroy.com",IF(B5="KARELL ROY","k.roy@ventilationjeanroy.com",""))))))</f>
        <v/>
      </c>
      <c r="F5" s="1326"/>
      <c r="G5" s="1327"/>
      <c r="H5" s="600"/>
    </row>
    <row r="6" spans="1:8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8"/>
    </row>
    <row r="7" spans="1:8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8"/>
    </row>
    <row r="8" spans="1:8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8"/>
    </row>
    <row r="9" spans="1:8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8"/>
    </row>
    <row r="10" spans="1:8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7"/>
    </row>
    <row r="11" spans="1:8" s="599" customFormat="1" ht="22.5" customHeight="1" thickTop="1" x14ac:dyDescent="0.25">
      <c r="A11" s="1307" t="s">
        <v>768</v>
      </c>
      <c r="B11" s="1308"/>
      <c r="C11" s="1308"/>
      <c r="D11" s="1308"/>
      <c r="E11" s="1308"/>
      <c r="F11" s="1308"/>
      <c r="G11" s="1309"/>
    </row>
    <row r="12" spans="1:8" s="599" customFormat="1" ht="22.5" customHeight="1" thickBot="1" x14ac:dyDescent="0.3">
      <c r="A12" s="1310"/>
      <c r="B12" s="1311"/>
      <c r="C12" s="1311"/>
      <c r="D12" s="1311"/>
      <c r="E12" s="1311"/>
      <c r="F12" s="1311"/>
      <c r="G12" s="1312"/>
    </row>
    <row r="13" spans="1:8" s="599" customFormat="1" ht="22.5" customHeight="1" thickTop="1" x14ac:dyDescent="0.25">
      <c r="A13" s="635"/>
      <c r="B13" s="1316"/>
      <c r="C13" s="1317"/>
      <c r="D13" s="1317"/>
      <c r="E13" s="1317"/>
      <c r="F13" s="1317"/>
      <c r="G13" s="1318"/>
    </row>
    <row r="14" spans="1:8" s="599" customFormat="1" ht="22.5" customHeight="1" x14ac:dyDescent="0.25">
      <c r="A14" s="635"/>
      <c r="B14" s="1313"/>
      <c r="C14" s="1314"/>
      <c r="D14" s="1314"/>
      <c r="E14" s="1314"/>
      <c r="F14" s="1314"/>
      <c r="G14" s="1315"/>
    </row>
    <row r="15" spans="1:8" s="599" customFormat="1" ht="22.5" customHeight="1" x14ac:dyDescent="0.25">
      <c r="A15" s="635"/>
      <c r="B15" s="1313"/>
      <c r="C15" s="1314"/>
      <c r="D15" s="1314"/>
      <c r="E15" s="1314"/>
      <c r="F15" s="1314"/>
      <c r="G15" s="1315"/>
    </row>
    <row r="16" spans="1:8" s="599" customFormat="1" ht="22.5" customHeight="1" x14ac:dyDescent="0.25">
      <c r="A16" s="635"/>
      <c r="B16" s="1313"/>
      <c r="C16" s="1314"/>
      <c r="D16" s="1314"/>
      <c r="E16" s="1314"/>
      <c r="F16" s="1314"/>
      <c r="G16" s="1315"/>
    </row>
    <row r="17" spans="1:7" s="599" customFormat="1" ht="22.5" customHeight="1" x14ac:dyDescent="0.25">
      <c r="A17" s="635"/>
      <c r="B17" s="1313"/>
      <c r="C17" s="1314"/>
      <c r="D17" s="1314"/>
      <c r="E17" s="1314"/>
      <c r="F17" s="1314"/>
      <c r="G17" s="1315"/>
    </row>
    <row r="18" spans="1:7" s="599" customFormat="1" ht="22.5" customHeight="1" x14ac:dyDescent="0.25">
      <c r="A18" s="635"/>
      <c r="B18" s="1313"/>
      <c r="C18" s="1314"/>
      <c r="D18" s="1314"/>
      <c r="E18" s="1314"/>
      <c r="F18" s="1314"/>
      <c r="G18" s="1315"/>
    </row>
    <row r="19" spans="1:7" s="599" customFormat="1" ht="22.5" customHeight="1" x14ac:dyDescent="0.25">
      <c r="A19" s="635"/>
      <c r="B19" s="1313"/>
      <c r="C19" s="1314"/>
      <c r="D19" s="1314"/>
      <c r="E19" s="1314"/>
      <c r="F19" s="1314"/>
      <c r="G19" s="1315"/>
    </row>
    <row r="20" spans="1:7" s="599" customFormat="1" ht="22.5" customHeight="1" x14ac:dyDescent="0.25">
      <c r="A20" s="635"/>
      <c r="B20" s="1313"/>
      <c r="C20" s="1314"/>
      <c r="D20" s="1314"/>
      <c r="E20" s="1314"/>
      <c r="F20" s="1314"/>
      <c r="G20" s="1315"/>
    </row>
    <row r="21" spans="1:7" s="599" customFormat="1" ht="22.5" customHeight="1" x14ac:dyDescent="0.25">
      <c r="A21" s="635"/>
      <c r="B21" s="1313"/>
      <c r="C21" s="1314"/>
      <c r="D21" s="1314"/>
      <c r="E21" s="1314"/>
      <c r="F21" s="1314"/>
      <c r="G21" s="1315"/>
    </row>
    <row r="22" spans="1:7" s="599" customFormat="1" ht="22.5" customHeight="1" x14ac:dyDescent="0.25">
      <c r="A22" s="635"/>
      <c r="B22" s="1313"/>
      <c r="C22" s="1314"/>
      <c r="D22" s="1314"/>
      <c r="E22" s="1314"/>
      <c r="F22" s="1314"/>
      <c r="G22" s="1315"/>
    </row>
    <row r="23" spans="1:7" s="599" customFormat="1" ht="22.5" customHeight="1" x14ac:dyDescent="0.25">
      <c r="A23" s="635"/>
      <c r="B23" s="1313"/>
      <c r="C23" s="1314"/>
      <c r="D23" s="1314"/>
      <c r="E23" s="1314"/>
      <c r="F23" s="1314"/>
      <c r="G23" s="1315"/>
    </row>
    <row r="24" spans="1:7" s="599" customFormat="1" ht="22.5" customHeight="1" x14ac:dyDescent="0.25">
      <c r="A24" s="635"/>
      <c r="B24" s="1313"/>
      <c r="C24" s="1314"/>
      <c r="D24" s="1314"/>
      <c r="E24" s="1314"/>
      <c r="F24" s="1314"/>
      <c r="G24" s="1315"/>
    </row>
    <row r="25" spans="1:7" s="599" customFormat="1" ht="22.5" customHeight="1" x14ac:dyDescent="0.25">
      <c r="A25" s="635"/>
      <c r="B25" s="1313"/>
      <c r="C25" s="1314"/>
      <c r="D25" s="1314"/>
      <c r="E25" s="1314"/>
      <c r="F25" s="1314"/>
      <c r="G25" s="1315"/>
    </row>
    <row r="26" spans="1:7" s="599" customFormat="1" ht="22.5" customHeight="1" x14ac:dyDescent="0.25">
      <c r="A26" s="635"/>
      <c r="B26" s="1313"/>
      <c r="C26" s="1314"/>
      <c r="D26" s="1314"/>
      <c r="E26" s="1314"/>
      <c r="F26" s="1314"/>
      <c r="G26" s="1315"/>
    </row>
    <row r="27" spans="1:7" s="599" customFormat="1" ht="22.5" customHeight="1" x14ac:dyDescent="0.25">
      <c r="A27" s="635"/>
      <c r="B27" s="1313"/>
      <c r="C27" s="1314"/>
      <c r="D27" s="1314"/>
      <c r="E27" s="1314"/>
      <c r="F27" s="1314"/>
      <c r="G27" s="1315"/>
    </row>
    <row r="28" spans="1:7" s="599" customFormat="1" ht="22.5" customHeight="1" x14ac:dyDescent="0.25">
      <c r="A28" s="635"/>
      <c r="B28" s="1313"/>
      <c r="C28" s="1314"/>
      <c r="D28" s="1314"/>
      <c r="E28" s="1314"/>
      <c r="F28" s="1314"/>
      <c r="G28" s="1315"/>
    </row>
    <row r="29" spans="1:7" s="599" customFormat="1" ht="22.5" customHeight="1" x14ac:dyDescent="0.25">
      <c r="A29" s="635"/>
      <c r="B29" s="1313"/>
      <c r="C29" s="1314"/>
      <c r="D29" s="1314"/>
      <c r="E29" s="1314"/>
      <c r="F29" s="1314"/>
      <c r="G29" s="1315"/>
    </row>
    <row r="30" spans="1:7" s="599" customFormat="1" ht="22.5" customHeight="1" x14ac:dyDescent="0.25">
      <c r="A30" s="635"/>
      <c r="B30" s="1313"/>
      <c r="C30" s="1314"/>
      <c r="D30" s="1314"/>
      <c r="E30" s="1314"/>
      <c r="F30" s="1314"/>
      <c r="G30" s="1315"/>
    </row>
    <row r="31" spans="1:7" s="599" customFormat="1" ht="22.5" customHeight="1" x14ac:dyDescent="0.25">
      <c r="A31" s="635"/>
      <c r="B31" s="1313"/>
      <c r="C31" s="1314"/>
      <c r="D31" s="1314"/>
      <c r="E31" s="1314"/>
      <c r="F31" s="1314"/>
      <c r="G31" s="1315"/>
    </row>
    <row r="32" spans="1:7" s="599" customFormat="1" ht="22.5" customHeight="1" x14ac:dyDescent="0.25">
      <c r="A32" s="635"/>
      <c r="B32" s="1313"/>
      <c r="C32" s="1314"/>
      <c r="D32" s="1314"/>
      <c r="E32" s="1314"/>
      <c r="F32" s="1314"/>
      <c r="G32" s="1315"/>
    </row>
    <row r="33" spans="1:7" s="599" customFormat="1" ht="22.5" customHeight="1" x14ac:dyDescent="0.25">
      <c r="A33" s="635"/>
      <c r="B33" s="1313"/>
      <c r="C33" s="1314"/>
      <c r="D33" s="1314"/>
      <c r="E33" s="1314"/>
      <c r="F33" s="1314"/>
      <c r="G33" s="1315"/>
    </row>
    <row r="34" spans="1:7" s="599" customFormat="1" ht="22.5" customHeight="1" x14ac:dyDescent="0.25">
      <c r="A34" s="635"/>
      <c r="B34" s="1313"/>
      <c r="C34" s="1314"/>
      <c r="D34" s="1314"/>
      <c r="E34" s="1314"/>
      <c r="F34" s="1314"/>
      <c r="G34" s="1315"/>
    </row>
    <row r="35" spans="1:7" s="599" customFormat="1" ht="22.5" customHeight="1" x14ac:dyDescent="0.25">
      <c r="A35" s="635"/>
      <c r="B35" s="1313"/>
      <c r="C35" s="1314"/>
      <c r="D35" s="1314"/>
      <c r="E35" s="1314"/>
      <c r="F35" s="1314"/>
      <c r="G35" s="1315"/>
    </row>
    <row r="36" spans="1:7" s="599" customFormat="1" ht="22.5" customHeight="1" x14ac:dyDescent="0.25">
      <c r="A36" s="635"/>
      <c r="B36" s="1313"/>
      <c r="C36" s="1314"/>
      <c r="D36" s="1314"/>
      <c r="E36" s="1314"/>
      <c r="F36" s="1314"/>
      <c r="G36" s="1315"/>
    </row>
    <row r="37" spans="1:7" s="599" customFormat="1" ht="22.5" customHeight="1" x14ac:dyDescent="0.25">
      <c r="A37" s="635"/>
      <c r="B37" s="1313"/>
      <c r="C37" s="1314"/>
      <c r="D37" s="1314"/>
      <c r="E37" s="1314"/>
      <c r="F37" s="1314"/>
      <c r="G37" s="1315"/>
    </row>
    <row r="38" spans="1:7" s="599" customFormat="1" ht="22.5" customHeight="1" x14ac:dyDescent="0.25">
      <c r="A38" s="635"/>
      <c r="B38" s="1313"/>
      <c r="C38" s="1314"/>
      <c r="D38" s="1314"/>
      <c r="E38" s="1314"/>
      <c r="F38" s="1314"/>
      <c r="G38" s="1315"/>
    </row>
    <row r="39" spans="1:7" s="599" customFormat="1" ht="22.5" customHeight="1" x14ac:dyDescent="0.25">
      <c r="A39" s="635"/>
      <c r="B39" s="1313"/>
      <c r="C39" s="1314"/>
      <c r="D39" s="1314"/>
      <c r="E39" s="1314"/>
      <c r="F39" s="1314"/>
      <c r="G39" s="1315"/>
    </row>
    <row r="40" spans="1:7" s="599" customFormat="1" ht="22.5" customHeight="1" x14ac:dyDescent="0.25">
      <c r="A40" s="635"/>
      <c r="B40" s="1313"/>
      <c r="C40" s="1314"/>
      <c r="D40" s="1314"/>
      <c r="E40" s="1314"/>
      <c r="F40" s="1314"/>
      <c r="G40" s="1315"/>
    </row>
    <row r="41" spans="1:7" s="599" customFormat="1" ht="22.5" customHeight="1" x14ac:dyDescent="0.25">
      <c r="A41" s="635"/>
      <c r="B41" s="1313"/>
      <c r="C41" s="1314"/>
      <c r="D41" s="1314"/>
      <c r="E41" s="1314"/>
      <c r="F41" s="1314"/>
      <c r="G41" s="1315"/>
    </row>
    <row r="42" spans="1:7" s="599" customFormat="1" ht="22.5" customHeight="1" x14ac:dyDescent="0.25">
      <c r="A42" s="635"/>
      <c r="B42" s="1313"/>
      <c r="C42" s="1314"/>
      <c r="D42" s="1314"/>
      <c r="E42" s="1314"/>
      <c r="F42" s="1314"/>
      <c r="G42" s="1315"/>
    </row>
    <row r="43" spans="1:7" s="599" customFormat="1" ht="22.5" customHeight="1" x14ac:dyDescent="0.25">
      <c r="A43" s="635"/>
      <c r="B43" s="1313"/>
      <c r="C43" s="1314"/>
      <c r="D43" s="1314"/>
      <c r="E43" s="1314"/>
      <c r="F43" s="1314"/>
      <c r="G43" s="1315"/>
    </row>
    <row r="44" spans="1:7" s="599" customFormat="1" ht="22.5" customHeight="1" x14ac:dyDescent="0.25">
      <c r="A44" s="635"/>
      <c r="B44" s="1313"/>
      <c r="C44" s="1314"/>
      <c r="D44" s="1314"/>
      <c r="E44" s="1314"/>
      <c r="F44" s="1314"/>
      <c r="G44" s="1315"/>
    </row>
    <row r="45" spans="1:7" s="599" customFormat="1" ht="22.5" customHeight="1" x14ac:dyDescent="0.25">
      <c r="A45" s="635"/>
      <c r="B45" s="1313"/>
      <c r="C45" s="1314"/>
      <c r="D45" s="1314"/>
      <c r="E45" s="1314"/>
      <c r="F45" s="1314"/>
      <c r="G45" s="1315"/>
    </row>
    <row r="46" spans="1:7" s="599" customFormat="1" ht="22.5" customHeight="1" x14ac:dyDescent="0.25">
      <c r="A46" s="635"/>
      <c r="B46" s="1313"/>
      <c r="C46" s="1314"/>
      <c r="D46" s="1314"/>
      <c r="E46" s="1314"/>
      <c r="F46" s="1314"/>
      <c r="G46" s="1315"/>
    </row>
    <row r="47" spans="1:7" s="599" customFormat="1" ht="22.5" customHeight="1" x14ac:dyDescent="0.25">
      <c r="A47" s="635"/>
      <c r="B47" s="1313"/>
      <c r="C47" s="1314"/>
      <c r="D47" s="1314"/>
      <c r="E47" s="1314"/>
      <c r="F47" s="1314"/>
      <c r="G47" s="1315"/>
    </row>
    <row r="48" spans="1:7" s="599" customFormat="1" ht="22.5" customHeight="1" x14ac:dyDescent="0.25">
      <c r="A48" s="635"/>
      <c r="B48" s="1313"/>
      <c r="C48" s="1314"/>
      <c r="D48" s="1314"/>
      <c r="E48" s="1314"/>
      <c r="F48" s="1314"/>
      <c r="G48" s="1315"/>
    </row>
    <row r="49" spans="1:7" s="599" customFormat="1" ht="22.5" customHeight="1" x14ac:dyDescent="0.25">
      <c r="A49" s="635"/>
      <c r="B49" s="1313"/>
      <c r="C49" s="1314"/>
      <c r="D49" s="1314"/>
      <c r="E49" s="1314"/>
      <c r="F49" s="1314"/>
      <c r="G49" s="1315"/>
    </row>
    <row r="50" spans="1:7" s="599" customFormat="1" ht="22.5" customHeight="1" x14ac:dyDescent="0.25">
      <c r="A50" s="635"/>
      <c r="B50" s="1313"/>
      <c r="C50" s="1314"/>
      <c r="D50" s="1314"/>
      <c r="E50" s="1314"/>
      <c r="F50" s="1314"/>
      <c r="G50" s="1315"/>
    </row>
    <row r="51" spans="1:7" s="599" customFormat="1" ht="22.5" customHeight="1" x14ac:dyDescent="0.25">
      <c r="A51" s="635"/>
      <c r="B51" s="1313"/>
      <c r="C51" s="1314"/>
      <c r="D51" s="1314"/>
      <c r="E51" s="1314"/>
      <c r="F51" s="1314"/>
      <c r="G51" s="1315"/>
    </row>
    <row r="52" spans="1:7" s="599" customFormat="1" ht="22.5" customHeight="1" x14ac:dyDescent="0.25">
      <c r="A52" s="635"/>
      <c r="B52" s="1313"/>
      <c r="C52" s="1314"/>
      <c r="D52" s="1314"/>
      <c r="E52" s="1314"/>
      <c r="F52" s="1314"/>
      <c r="G52" s="1315"/>
    </row>
    <row r="53" spans="1:7" s="599" customFormat="1" ht="22.5" customHeight="1" x14ac:dyDescent="0.25">
      <c r="A53" s="635"/>
      <c r="B53" s="1313"/>
      <c r="C53" s="1314"/>
      <c r="D53" s="1314"/>
      <c r="E53" s="1314"/>
      <c r="F53" s="1314"/>
      <c r="G53" s="1315"/>
    </row>
    <row r="54" spans="1:7" s="599" customFormat="1" ht="22.5" customHeight="1" x14ac:dyDescent="0.25">
      <c r="A54" s="635"/>
      <c r="B54" s="1313"/>
      <c r="C54" s="1314"/>
      <c r="D54" s="1314"/>
      <c r="E54" s="1314"/>
      <c r="F54" s="1314"/>
      <c r="G54" s="1315"/>
    </row>
    <row r="55" spans="1:7" s="599" customFormat="1" ht="22.5" customHeight="1" x14ac:dyDescent="0.25">
      <c r="A55" s="635"/>
      <c r="B55" s="1313"/>
      <c r="C55" s="1314"/>
      <c r="D55" s="1314"/>
      <c r="E55" s="1314"/>
      <c r="F55" s="1314"/>
      <c r="G55" s="1315"/>
    </row>
    <row r="56" spans="1:7" s="599" customFormat="1" ht="22.5" customHeight="1" thickBot="1" x14ac:dyDescent="0.3">
      <c r="A56" s="639"/>
      <c r="B56" s="1289"/>
      <c r="C56" s="1290"/>
      <c r="D56" s="1290"/>
      <c r="E56" s="1290"/>
      <c r="F56" s="1290"/>
      <c r="G56" s="1291"/>
    </row>
    <row r="57" spans="1:7" ht="16.2" thickTop="1" x14ac:dyDescent="0.3"/>
  </sheetData>
  <mergeCells count="54">
    <mergeCell ref="B8:G8"/>
    <mergeCell ref="B9:G9"/>
    <mergeCell ref="B10:G10"/>
    <mergeCell ref="A1:G2"/>
    <mergeCell ref="A3:G4"/>
    <mergeCell ref="B5:D5"/>
    <mergeCell ref="E5:G5"/>
    <mergeCell ref="B6:G6"/>
    <mergeCell ref="B7:G7"/>
    <mergeCell ref="B29:G29"/>
    <mergeCell ref="B30:G30"/>
    <mergeCell ref="B31:G31"/>
    <mergeCell ref="B33:G33"/>
    <mergeCell ref="B21:G21"/>
    <mergeCell ref="B22:G22"/>
    <mergeCell ref="B55:G55"/>
    <mergeCell ref="B56:G56"/>
    <mergeCell ref="B53:G53"/>
    <mergeCell ref="B44:G44"/>
    <mergeCell ref="B45:G45"/>
    <mergeCell ref="B46:G46"/>
    <mergeCell ref="B52:G52"/>
    <mergeCell ref="B17:G17"/>
    <mergeCell ref="B18:G18"/>
    <mergeCell ref="B19:G19"/>
    <mergeCell ref="B20:G20"/>
    <mergeCell ref="B54:G54"/>
    <mergeCell ref="B38:G38"/>
    <mergeCell ref="B39:G39"/>
    <mergeCell ref="B40:G40"/>
    <mergeCell ref="B41:G41"/>
    <mergeCell ref="B42:G42"/>
    <mergeCell ref="B43:G43"/>
    <mergeCell ref="B37:G37"/>
    <mergeCell ref="B34:G34"/>
    <mergeCell ref="B35:G35"/>
    <mergeCell ref="B36:G36"/>
    <mergeCell ref="B28:G28"/>
    <mergeCell ref="A11:G12"/>
    <mergeCell ref="B51:G51"/>
    <mergeCell ref="B47:G47"/>
    <mergeCell ref="B48:G48"/>
    <mergeCell ref="B49:G49"/>
    <mergeCell ref="B50:G50"/>
    <mergeCell ref="B23:G23"/>
    <mergeCell ref="B24:G24"/>
    <mergeCell ref="B25:G25"/>
    <mergeCell ref="B26:G26"/>
    <mergeCell ref="B27:G27"/>
    <mergeCell ref="B32:G32"/>
    <mergeCell ref="B13:G13"/>
    <mergeCell ref="B14:G14"/>
    <mergeCell ref="B15:G15"/>
    <mergeCell ref="B16:G16"/>
  </mergeCells>
  <printOptions horizontalCentered="1" verticalCentered="1"/>
  <pageMargins left="0.19685039370078741" right="0.19685039370078741" top="0.19685039370078741" bottom="0.19685039370078741" header="0" footer="0"/>
  <pageSetup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workbookViewId="0">
      <selection activeCell="E3" sqref="E3"/>
    </sheetView>
  </sheetViews>
  <sheetFormatPr defaultRowHeight="13.2" x14ac:dyDescent="0.25"/>
  <cols>
    <col min="2" max="2" width="24.109375" bestFit="1" customWidth="1"/>
    <col min="3" max="3" width="15.88671875" customWidth="1"/>
    <col min="5" max="5" width="17.33203125" bestFit="1" customWidth="1"/>
    <col min="10" max="10" width="24.109375" bestFit="1" customWidth="1"/>
    <col min="11" max="11" width="31.88671875" bestFit="1" customWidth="1"/>
  </cols>
  <sheetData>
    <row r="1" spans="1:11" ht="13.8" thickBot="1" x14ac:dyDescent="0.3">
      <c r="A1" s="136" t="s">
        <v>778</v>
      </c>
      <c r="B1" s="136" t="s">
        <v>776</v>
      </c>
      <c r="C1" s="136" t="s">
        <v>777</v>
      </c>
      <c r="E1" s="136" t="s">
        <v>827</v>
      </c>
    </row>
    <row r="2" spans="1:11" ht="25.5" customHeight="1" x14ac:dyDescent="0.25">
      <c r="A2" s="654" t="s">
        <v>779</v>
      </c>
      <c r="B2" s="655" t="s">
        <v>780</v>
      </c>
      <c r="C2" s="656">
        <f t="shared" ref="C2:C24" ca="1" si="0">E2</f>
        <v>750</v>
      </c>
      <c r="D2" s="136"/>
      <c r="E2" cm="1">
        <f t="array" aca="1" ref="E2" ca="1">INDIRECT("ESTIMÉ!"&amp;A2)</f>
        <v>750</v>
      </c>
      <c r="I2" s="1328" t="s">
        <v>829</v>
      </c>
      <c r="J2" s="1329"/>
      <c r="K2" s="1330"/>
    </row>
    <row r="3" spans="1:11" x14ac:dyDescent="0.25">
      <c r="A3" s="657" t="s">
        <v>782</v>
      </c>
      <c r="B3" s="325" t="s">
        <v>783</v>
      </c>
      <c r="C3" s="658">
        <f t="shared" ca="1" si="0"/>
        <v>0</v>
      </c>
      <c r="E3" cm="1">
        <f t="array" aca="1" ref="E3" ca="1">INDIRECT("ESTIMÉ!"&amp;A3)</f>
        <v>0</v>
      </c>
      <c r="I3" s="1331"/>
      <c r="J3" s="1332"/>
      <c r="K3" s="1333"/>
    </row>
    <row r="4" spans="1:11" x14ac:dyDescent="0.25">
      <c r="A4" s="657" t="s">
        <v>785</v>
      </c>
      <c r="B4" s="325" t="s">
        <v>786</v>
      </c>
      <c r="C4" s="658">
        <f t="shared" ca="1" si="0"/>
        <v>0</v>
      </c>
      <c r="E4" cm="1">
        <f t="array" aca="1" ref="E4" ca="1">INDIRECT("ESTIMÉ!"&amp;A4)</f>
        <v>0</v>
      </c>
      <c r="I4" s="657" t="s">
        <v>779</v>
      </c>
      <c r="J4" s="325" t="s">
        <v>780</v>
      </c>
      <c r="K4" s="658" t="s">
        <v>781</v>
      </c>
    </row>
    <row r="5" spans="1:11" x14ac:dyDescent="0.25">
      <c r="A5" s="657" t="s">
        <v>788</v>
      </c>
      <c r="B5" s="325" t="s">
        <v>789</v>
      </c>
      <c r="C5" s="658">
        <f t="shared" ca="1" si="0"/>
        <v>0</v>
      </c>
      <c r="E5" cm="1">
        <f t="array" aca="1" ref="E5" ca="1">INDIRECT("ESTIMÉ!"&amp;A5)</f>
        <v>0</v>
      </c>
      <c r="I5" s="657" t="s">
        <v>782</v>
      </c>
      <c r="J5" s="325" t="s">
        <v>783</v>
      </c>
      <c r="K5" s="658" t="s">
        <v>784</v>
      </c>
    </row>
    <row r="6" spans="1:11" x14ac:dyDescent="0.25">
      <c r="A6" s="657" t="s">
        <v>791</v>
      </c>
      <c r="B6" s="325" t="s">
        <v>792</v>
      </c>
      <c r="C6" s="658">
        <f t="shared" ca="1" si="0"/>
        <v>0</v>
      </c>
      <c r="E6" cm="1">
        <f t="array" aca="1" ref="E6" ca="1">INDIRECT("ESTIMÉ!"&amp;A6)</f>
        <v>0</v>
      </c>
      <c r="I6" s="657" t="s">
        <v>785</v>
      </c>
      <c r="J6" s="325" t="s">
        <v>786</v>
      </c>
      <c r="K6" s="658" t="s">
        <v>787</v>
      </c>
    </row>
    <row r="7" spans="1:11" x14ac:dyDescent="0.25">
      <c r="A7" s="657" t="s">
        <v>794</v>
      </c>
      <c r="B7" s="325" t="s">
        <v>795</v>
      </c>
      <c r="C7" s="658">
        <f t="shared" ca="1" si="0"/>
        <v>0</v>
      </c>
      <c r="E7" cm="1">
        <f t="array" aca="1" ref="E7" ca="1">INDIRECT("ESTIMÉ!"&amp;A7)</f>
        <v>0</v>
      </c>
      <c r="I7" s="657" t="s">
        <v>788</v>
      </c>
      <c r="J7" s="325" t="s">
        <v>789</v>
      </c>
      <c r="K7" s="658" t="s">
        <v>790</v>
      </c>
    </row>
    <row r="8" spans="1:11" x14ac:dyDescent="0.25">
      <c r="A8" s="657" t="s">
        <v>797</v>
      </c>
      <c r="B8" s="325" t="s">
        <v>798</v>
      </c>
      <c r="C8" s="658">
        <f t="shared" ca="1" si="0"/>
        <v>0</v>
      </c>
      <c r="E8" cm="1">
        <f t="array" aca="1" ref="E8" ca="1">INDIRECT("ESTIMÉ!"&amp;A8)</f>
        <v>0</v>
      </c>
      <c r="I8" s="657" t="s">
        <v>791</v>
      </c>
      <c r="J8" s="325" t="s">
        <v>792</v>
      </c>
      <c r="K8" s="658" t="s">
        <v>793</v>
      </c>
    </row>
    <row r="9" spans="1:11" x14ac:dyDescent="0.25">
      <c r="A9" s="657" t="s">
        <v>800</v>
      </c>
      <c r="B9" s="325" t="s">
        <v>801</v>
      </c>
      <c r="C9" s="658">
        <f t="shared" ca="1" si="0"/>
        <v>0</v>
      </c>
      <c r="E9" cm="1">
        <f t="array" aca="1" ref="E9" ca="1">INDIRECT("ESTIMÉ!"&amp;A9)</f>
        <v>0</v>
      </c>
      <c r="I9" s="657" t="s">
        <v>794</v>
      </c>
      <c r="J9" s="325" t="s">
        <v>795</v>
      </c>
      <c r="K9" s="658" t="s">
        <v>796</v>
      </c>
    </row>
    <row r="10" spans="1:11" x14ac:dyDescent="0.25">
      <c r="A10" s="657" t="s">
        <v>803</v>
      </c>
      <c r="B10" s="325" t="s">
        <v>804</v>
      </c>
      <c r="C10" s="658">
        <f t="shared" ca="1" si="0"/>
        <v>0</v>
      </c>
      <c r="E10" cm="1">
        <f t="array" aca="1" ref="E10" ca="1">INDIRECT("ESTIMÉ!"&amp;A10)</f>
        <v>0</v>
      </c>
      <c r="I10" s="657" t="s">
        <v>797</v>
      </c>
      <c r="J10" s="325" t="s">
        <v>798</v>
      </c>
      <c r="K10" s="658" t="s">
        <v>799</v>
      </c>
    </row>
    <row r="11" spans="1:11" x14ac:dyDescent="0.25">
      <c r="A11" s="657" t="s">
        <v>805</v>
      </c>
      <c r="B11" s="325" t="s">
        <v>806</v>
      </c>
      <c r="C11" s="658">
        <f t="shared" ca="1" si="0"/>
        <v>0</v>
      </c>
      <c r="E11" cm="1">
        <f t="array" aca="1" ref="E11" ca="1">INDIRECT("ESTIMÉ!"&amp;A11)</f>
        <v>0</v>
      </c>
      <c r="I11" s="657" t="s">
        <v>800</v>
      </c>
      <c r="J11" s="325" t="s">
        <v>801</v>
      </c>
      <c r="K11" s="658" t="s">
        <v>802</v>
      </c>
    </row>
    <row r="12" spans="1:11" x14ac:dyDescent="0.25">
      <c r="A12" s="657" t="s">
        <v>808</v>
      </c>
      <c r="B12" s="325" t="s">
        <v>809</v>
      </c>
      <c r="C12" s="658">
        <f t="shared" ca="1" si="0"/>
        <v>0</v>
      </c>
      <c r="E12" cm="1">
        <f t="array" aca="1" ref="E12" ca="1">INDIRECT("ESTIMÉ!"&amp;A12)</f>
        <v>0</v>
      </c>
      <c r="I12" s="657" t="s">
        <v>803</v>
      </c>
      <c r="J12" s="325" t="s">
        <v>804</v>
      </c>
      <c r="K12" s="658" t="s">
        <v>802</v>
      </c>
    </row>
    <row r="13" spans="1:11" x14ac:dyDescent="0.25">
      <c r="A13" s="657" t="s">
        <v>811</v>
      </c>
      <c r="B13" s="325" t="s">
        <v>812</v>
      </c>
      <c r="C13" s="658">
        <f t="shared" ca="1" si="0"/>
        <v>0</v>
      </c>
      <c r="E13" cm="1">
        <f t="array" aca="1" ref="E13" ca="1">INDIRECT("ESTIMÉ!"&amp;A13)</f>
        <v>0</v>
      </c>
      <c r="I13" s="657" t="s">
        <v>805</v>
      </c>
      <c r="J13" s="325" t="s">
        <v>806</v>
      </c>
      <c r="K13" s="658" t="s">
        <v>807</v>
      </c>
    </row>
    <row r="14" spans="1:11" x14ac:dyDescent="0.25">
      <c r="A14" s="657" t="s">
        <v>814</v>
      </c>
      <c r="B14" s="325" t="s">
        <v>815</v>
      </c>
      <c r="C14" s="658">
        <f t="shared" ca="1" si="0"/>
        <v>0</v>
      </c>
      <c r="E14" cm="1">
        <f t="array" aca="1" ref="E14" ca="1">INDIRECT("ESTIMÉ!"&amp;A14)</f>
        <v>0</v>
      </c>
      <c r="I14" s="657" t="s">
        <v>808</v>
      </c>
      <c r="J14" s="325" t="s">
        <v>809</v>
      </c>
      <c r="K14" s="658" t="s">
        <v>810</v>
      </c>
    </row>
    <row r="15" spans="1:11" x14ac:dyDescent="0.25">
      <c r="A15" s="657" t="s">
        <v>817</v>
      </c>
      <c r="B15" s="325" t="s">
        <v>822</v>
      </c>
      <c r="C15" s="658">
        <f t="shared" ca="1" si="0"/>
        <v>0</v>
      </c>
      <c r="E15" cm="1">
        <f t="array" aca="1" ref="E15" ca="1">INDIRECT("ESTIMÉ!"&amp;A15)</f>
        <v>0</v>
      </c>
      <c r="I15" s="657" t="s">
        <v>811</v>
      </c>
      <c r="J15" s="325" t="s">
        <v>812</v>
      </c>
      <c r="K15" s="658" t="s">
        <v>813</v>
      </c>
    </row>
    <row r="16" spans="1:11" x14ac:dyDescent="0.25">
      <c r="A16" s="657" t="s">
        <v>818</v>
      </c>
      <c r="B16" s="325" t="s">
        <v>823</v>
      </c>
      <c r="C16" s="658">
        <f t="shared" ca="1" si="0"/>
        <v>0</v>
      </c>
      <c r="E16" cm="1">
        <f t="array" aca="1" ref="E16" ca="1">INDIRECT("ESTIMÉ!"&amp;A16)</f>
        <v>0</v>
      </c>
      <c r="I16" s="657" t="s">
        <v>814</v>
      </c>
      <c r="J16" s="325" t="s">
        <v>815</v>
      </c>
      <c r="K16" s="658" t="s">
        <v>816</v>
      </c>
    </row>
    <row r="17" spans="1:11" x14ac:dyDescent="0.25">
      <c r="A17" s="657" t="s">
        <v>819</v>
      </c>
      <c r="B17" s="325" t="s">
        <v>824</v>
      </c>
      <c r="C17" s="658">
        <f t="shared" ca="1" si="0"/>
        <v>0</v>
      </c>
      <c r="E17" cm="1">
        <f t="array" aca="1" ref="E17" ca="1">INDIRECT("ESTIMÉ!"&amp;A17)</f>
        <v>0</v>
      </c>
      <c r="I17" s="657" t="s">
        <v>817</v>
      </c>
      <c r="J17" s="325" t="s">
        <v>822</v>
      </c>
      <c r="K17" s="658" t="s">
        <v>822</v>
      </c>
    </row>
    <row r="18" spans="1:11" x14ac:dyDescent="0.25">
      <c r="A18" s="657" t="s">
        <v>820</v>
      </c>
      <c r="B18" s="325" t="s">
        <v>825</v>
      </c>
      <c r="C18" s="658">
        <f t="shared" ca="1" si="0"/>
        <v>750</v>
      </c>
      <c r="E18" cm="1">
        <f t="array" aca="1" ref="E18" ca="1">INDIRECT("ESTIMÉ!"&amp;A18)</f>
        <v>750</v>
      </c>
      <c r="I18" s="657" t="s">
        <v>818</v>
      </c>
      <c r="J18" s="325" t="s">
        <v>823</v>
      </c>
      <c r="K18" s="658" t="s">
        <v>823</v>
      </c>
    </row>
    <row r="19" spans="1:11" x14ac:dyDescent="0.25">
      <c r="A19" s="657" t="s">
        <v>821</v>
      </c>
      <c r="B19" s="325" t="s">
        <v>826</v>
      </c>
      <c r="C19" s="658">
        <f t="shared" ca="1" si="0"/>
        <v>0</v>
      </c>
      <c r="E19" cm="1">
        <f t="array" aca="1" ref="E19" ca="1">INDIRECT("ESTIMÉ!"&amp;A19)</f>
        <v>0</v>
      </c>
      <c r="I19" s="657" t="s">
        <v>819</v>
      </c>
      <c r="J19" s="325" t="s">
        <v>824</v>
      </c>
      <c r="K19" s="658" t="s">
        <v>824</v>
      </c>
    </row>
    <row r="20" spans="1:11" x14ac:dyDescent="0.25">
      <c r="A20" s="657"/>
      <c r="B20" s="325"/>
      <c r="C20" s="658">
        <f t="shared" si="0"/>
        <v>0</v>
      </c>
      <c r="I20" s="657" t="s">
        <v>820</v>
      </c>
      <c r="J20" s="325" t="s">
        <v>825</v>
      </c>
      <c r="K20" s="658" t="s">
        <v>825</v>
      </c>
    </row>
    <row r="21" spans="1:11" ht="13.8" thickBot="1" x14ac:dyDescent="0.3">
      <c r="A21" s="657"/>
      <c r="B21" s="325"/>
      <c r="C21" s="658">
        <f t="shared" si="0"/>
        <v>0</v>
      </c>
      <c r="I21" s="659" t="s">
        <v>821</v>
      </c>
      <c r="J21" s="660" t="s">
        <v>826</v>
      </c>
      <c r="K21" s="661" t="s">
        <v>828</v>
      </c>
    </row>
    <row r="22" spans="1:11" x14ac:dyDescent="0.25">
      <c r="A22" s="657"/>
      <c r="B22" s="325"/>
      <c r="C22" s="658">
        <f t="shared" si="0"/>
        <v>0</v>
      </c>
    </row>
    <row r="23" spans="1:11" x14ac:dyDescent="0.25">
      <c r="A23" s="657"/>
      <c r="B23" s="325"/>
      <c r="C23" s="658">
        <f t="shared" si="0"/>
        <v>0</v>
      </c>
    </row>
    <row r="24" spans="1:11" ht="13.8" thickBot="1" x14ac:dyDescent="0.3">
      <c r="A24" s="659"/>
      <c r="B24" s="660"/>
      <c r="C24" s="661">
        <f t="shared" si="0"/>
        <v>0</v>
      </c>
    </row>
  </sheetData>
  <mergeCells count="1">
    <mergeCell ref="I2:K3"/>
  </mergeCell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"/>
  <sheetViews>
    <sheetView topLeftCell="A196" zoomScaleNormal="100" workbookViewId="0">
      <selection activeCell="B226" sqref="B226"/>
    </sheetView>
  </sheetViews>
  <sheetFormatPr defaultColWidth="11.44140625" defaultRowHeight="13.2" x14ac:dyDescent="0.25"/>
  <sheetData>
    <row r="1" spans="1:12" x14ac:dyDescent="0.25">
      <c r="A1" s="334">
        <v>45334</v>
      </c>
      <c r="L1" s="135" t="s">
        <v>446</v>
      </c>
    </row>
    <row r="2" spans="1:12" x14ac:dyDescent="0.25">
      <c r="A2" t="s">
        <v>445</v>
      </c>
      <c r="L2" t="s">
        <v>447</v>
      </c>
    </row>
    <row r="3" spans="1:12" x14ac:dyDescent="0.25">
      <c r="A3" s="136" t="s">
        <v>448</v>
      </c>
      <c r="L3" s="136" t="s">
        <v>449</v>
      </c>
    </row>
    <row r="4" spans="1:12" x14ac:dyDescent="0.25">
      <c r="A4" s="136"/>
      <c r="L4" t="s">
        <v>462</v>
      </c>
    </row>
    <row r="5" spans="1:12" x14ac:dyDescent="0.25">
      <c r="A5" s="336">
        <v>45441</v>
      </c>
    </row>
    <row r="6" spans="1:12" x14ac:dyDescent="0.25">
      <c r="A6" t="s">
        <v>463</v>
      </c>
    </row>
    <row r="7" spans="1:12" x14ac:dyDescent="0.25">
      <c r="A7" t="s">
        <v>465</v>
      </c>
    </row>
    <row r="9" spans="1:12" x14ac:dyDescent="0.25">
      <c r="A9" s="336">
        <v>45441</v>
      </c>
      <c r="L9" s="122"/>
    </row>
    <row r="10" spans="1:12" x14ac:dyDescent="0.25">
      <c r="A10" s="136" t="s">
        <v>466</v>
      </c>
      <c r="L10" s="122" t="s">
        <v>467</v>
      </c>
    </row>
    <row r="11" spans="1:12" x14ac:dyDescent="0.25">
      <c r="L11" s="122" t="s">
        <v>468</v>
      </c>
    </row>
    <row r="14" spans="1:12" x14ac:dyDescent="0.25">
      <c r="A14" s="334">
        <v>45455</v>
      </c>
    </row>
    <row r="15" spans="1:12" x14ac:dyDescent="0.25">
      <c r="A15" t="s">
        <v>473</v>
      </c>
      <c r="B15" s="344">
        <v>147.5</v>
      </c>
    </row>
    <row r="16" spans="1:12" x14ac:dyDescent="0.25">
      <c r="A16" s="136" t="s">
        <v>490</v>
      </c>
    </row>
    <row r="17" spans="1:1" x14ac:dyDescent="0.25">
      <c r="A17" s="136" t="s">
        <v>491</v>
      </c>
    </row>
    <row r="18" spans="1:1" x14ac:dyDescent="0.25">
      <c r="A18" s="136" t="s">
        <v>492</v>
      </c>
    </row>
    <row r="19" spans="1:1" x14ac:dyDescent="0.25">
      <c r="A19" s="136" t="s">
        <v>491</v>
      </c>
    </row>
    <row r="20" spans="1:1" x14ac:dyDescent="0.25">
      <c r="A20" s="136" t="s">
        <v>494</v>
      </c>
    </row>
    <row r="21" spans="1:1" x14ac:dyDescent="0.25">
      <c r="A21" s="136" t="s">
        <v>499</v>
      </c>
    </row>
    <row r="22" spans="1:1" x14ac:dyDescent="0.25">
      <c r="A22" s="136" t="s">
        <v>522</v>
      </c>
    </row>
    <row r="23" spans="1:1" x14ac:dyDescent="0.25">
      <c r="A23" s="136" t="s">
        <v>523</v>
      </c>
    </row>
    <row r="24" spans="1:1" x14ac:dyDescent="0.25">
      <c r="A24" s="136" t="s">
        <v>524</v>
      </c>
    </row>
    <row r="26" spans="1:1" x14ac:dyDescent="0.25">
      <c r="A26" s="336">
        <v>45456</v>
      </c>
    </row>
    <row r="27" spans="1:1" x14ac:dyDescent="0.25">
      <c r="A27" t="s">
        <v>528</v>
      </c>
    </row>
    <row r="29" spans="1:1" x14ac:dyDescent="0.25">
      <c r="A29" s="336">
        <v>45470</v>
      </c>
    </row>
    <row r="30" spans="1:1" x14ac:dyDescent="0.25">
      <c r="A30" t="s">
        <v>529</v>
      </c>
    </row>
    <row r="32" spans="1:1" x14ac:dyDescent="0.25">
      <c r="A32" s="334">
        <v>45477</v>
      </c>
    </row>
    <row r="33" spans="1:2" x14ac:dyDescent="0.25">
      <c r="A33" s="136" t="s">
        <v>530</v>
      </c>
    </row>
    <row r="35" spans="1:2" x14ac:dyDescent="0.25">
      <c r="A35" s="136" t="s">
        <v>531</v>
      </c>
    </row>
    <row r="36" spans="1:2" x14ac:dyDescent="0.25">
      <c r="A36" s="136" t="s">
        <v>532</v>
      </c>
    </row>
    <row r="38" spans="1:2" x14ac:dyDescent="0.25">
      <c r="A38" s="336">
        <v>45534</v>
      </c>
    </row>
    <row r="39" spans="1:2" x14ac:dyDescent="0.25">
      <c r="A39" s="136" t="s">
        <v>533</v>
      </c>
    </row>
    <row r="40" spans="1:2" x14ac:dyDescent="0.25">
      <c r="A40" s="136" t="s">
        <v>551</v>
      </c>
    </row>
    <row r="41" spans="1:2" x14ac:dyDescent="0.25">
      <c r="A41" s="136" t="s">
        <v>559</v>
      </c>
    </row>
    <row r="42" spans="1:2" x14ac:dyDescent="0.25">
      <c r="A42" s="136" t="s">
        <v>621</v>
      </c>
    </row>
    <row r="44" spans="1:2" x14ac:dyDescent="0.25">
      <c r="A44" s="334">
        <v>45555</v>
      </c>
    </row>
    <row r="45" spans="1:2" x14ac:dyDescent="0.25">
      <c r="A45" t="s">
        <v>622</v>
      </c>
      <c r="B45" t="s">
        <v>623</v>
      </c>
    </row>
    <row r="46" spans="1:2" x14ac:dyDescent="0.25">
      <c r="A46" t="s">
        <v>624</v>
      </c>
    </row>
    <row r="48" spans="1:2" x14ac:dyDescent="0.25">
      <c r="A48" s="334">
        <v>45574</v>
      </c>
    </row>
    <row r="49" spans="1:2" x14ac:dyDescent="0.25">
      <c r="A49" s="136" t="s">
        <v>622</v>
      </c>
      <c r="B49" s="136" t="s">
        <v>638</v>
      </c>
    </row>
    <row r="50" spans="1:2" x14ac:dyDescent="0.25">
      <c r="A50" s="136" t="s">
        <v>639</v>
      </c>
      <c r="B50" s="136" t="s">
        <v>640</v>
      </c>
    </row>
    <row r="51" spans="1:2" x14ac:dyDescent="0.25">
      <c r="A51" s="136" t="s">
        <v>641</v>
      </c>
    </row>
    <row r="69" spans="1:1" x14ac:dyDescent="0.25">
      <c r="A69" s="334">
        <v>45614</v>
      </c>
    </row>
    <row r="70" spans="1:1" x14ac:dyDescent="0.25">
      <c r="A70" s="136" t="s">
        <v>654</v>
      </c>
    </row>
    <row r="71" spans="1:1" x14ac:dyDescent="0.25">
      <c r="A71" s="136" t="s">
        <v>655</v>
      </c>
    </row>
    <row r="72" spans="1:1" x14ac:dyDescent="0.25">
      <c r="A72" s="136" t="s">
        <v>657</v>
      </c>
    </row>
    <row r="73" spans="1:1" x14ac:dyDescent="0.25">
      <c r="A73" s="136" t="s">
        <v>656</v>
      </c>
    </row>
    <row r="75" spans="1:1" x14ac:dyDescent="0.25">
      <c r="A75" s="334">
        <v>45705</v>
      </c>
    </row>
    <row r="76" spans="1:1" x14ac:dyDescent="0.25">
      <c r="A76" t="s">
        <v>661</v>
      </c>
    </row>
    <row r="78" spans="1:1" x14ac:dyDescent="0.25">
      <c r="A78" t="s">
        <v>662</v>
      </c>
    </row>
    <row r="80" spans="1:1" x14ac:dyDescent="0.25">
      <c r="A80" s="336">
        <v>45714</v>
      </c>
    </row>
    <row r="82" spans="1:1" x14ac:dyDescent="0.25">
      <c r="A82" t="s">
        <v>707</v>
      </c>
    </row>
    <row r="83" spans="1:1" x14ac:dyDescent="0.25">
      <c r="A83" t="s">
        <v>708</v>
      </c>
    </row>
    <row r="85" spans="1:1" x14ac:dyDescent="0.25">
      <c r="A85" s="336">
        <v>45744</v>
      </c>
    </row>
    <row r="86" spans="1:1" x14ac:dyDescent="0.25">
      <c r="A86" t="s">
        <v>710</v>
      </c>
    </row>
    <row r="88" spans="1:1" x14ac:dyDescent="0.25">
      <c r="A88" s="136" t="s">
        <v>728</v>
      </c>
    </row>
    <row r="105" spans="1:1" x14ac:dyDescent="0.25">
      <c r="A105" s="336">
        <v>45756</v>
      </c>
    </row>
    <row r="106" spans="1:1" x14ac:dyDescent="0.25">
      <c r="A106" t="s">
        <v>729</v>
      </c>
    </row>
    <row r="108" spans="1:1" x14ac:dyDescent="0.25">
      <c r="A108" t="s">
        <v>730</v>
      </c>
    </row>
    <row r="110" spans="1:1" x14ac:dyDescent="0.25">
      <c r="A110" t="s">
        <v>731</v>
      </c>
    </row>
    <row r="111" spans="1:1" x14ac:dyDescent="0.25">
      <c r="A111" t="s">
        <v>732</v>
      </c>
    </row>
    <row r="113" spans="1:1" x14ac:dyDescent="0.25">
      <c r="A113" s="334">
        <v>45761</v>
      </c>
    </row>
    <row r="114" spans="1:1" x14ac:dyDescent="0.25">
      <c r="A114" t="s">
        <v>733</v>
      </c>
    </row>
    <row r="116" spans="1:1" x14ac:dyDescent="0.25">
      <c r="A116" s="336">
        <v>45776</v>
      </c>
    </row>
    <row r="117" spans="1:1" x14ac:dyDescent="0.25">
      <c r="A117" s="136" t="s">
        <v>734</v>
      </c>
    </row>
    <row r="125" spans="1:1" x14ac:dyDescent="0.25">
      <c r="A125" s="334">
        <v>45791</v>
      </c>
    </row>
    <row r="126" spans="1:1" x14ac:dyDescent="0.25">
      <c r="A126" t="s">
        <v>744</v>
      </c>
    </row>
    <row r="127" spans="1:1" x14ac:dyDescent="0.25">
      <c r="A127" t="s">
        <v>745</v>
      </c>
    </row>
    <row r="129" spans="1:1" x14ac:dyDescent="0.25">
      <c r="A129" s="334">
        <v>45797</v>
      </c>
    </row>
    <row r="130" spans="1:1" x14ac:dyDescent="0.25">
      <c r="A130" t="s">
        <v>746</v>
      </c>
    </row>
    <row r="132" spans="1:1" x14ac:dyDescent="0.25">
      <c r="A132" s="334">
        <v>45799</v>
      </c>
    </row>
    <row r="133" spans="1:1" x14ac:dyDescent="0.25">
      <c r="A133" t="s">
        <v>747</v>
      </c>
    </row>
    <row r="134" spans="1:1" x14ac:dyDescent="0.25">
      <c r="A134" t="s">
        <v>748</v>
      </c>
    </row>
    <row r="137" spans="1:1" x14ac:dyDescent="0.25">
      <c r="A137" s="336">
        <v>45820</v>
      </c>
    </row>
    <row r="138" spans="1:1" x14ac:dyDescent="0.25">
      <c r="A138" t="s">
        <v>750</v>
      </c>
    </row>
    <row r="140" spans="1:1" x14ac:dyDescent="0.25">
      <c r="A140" s="336">
        <v>45853</v>
      </c>
    </row>
    <row r="141" spans="1:1" x14ac:dyDescent="0.25">
      <c r="A141" t="s">
        <v>751</v>
      </c>
    </row>
    <row r="171" spans="1:1" x14ac:dyDescent="0.25">
      <c r="A171" t="s">
        <v>753</v>
      </c>
    </row>
    <row r="173" spans="1:1" x14ac:dyDescent="0.25">
      <c r="A173" s="336">
        <v>45910</v>
      </c>
    </row>
    <row r="174" spans="1:1" x14ac:dyDescent="0.25">
      <c r="A174" s="136" t="s">
        <v>766</v>
      </c>
    </row>
    <row r="176" spans="1:1" x14ac:dyDescent="0.25">
      <c r="A176" s="336">
        <v>45917</v>
      </c>
    </row>
    <row r="177" spans="1:1" x14ac:dyDescent="0.25">
      <c r="A177" s="136" t="s">
        <v>772</v>
      </c>
    </row>
    <row r="179" spans="1:1" x14ac:dyDescent="0.25">
      <c r="A179" s="336">
        <v>45923</v>
      </c>
    </row>
    <row r="222" spans="1:1" x14ac:dyDescent="0.25">
      <c r="A222" s="336">
        <v>45961</v>
      </c>
    </row>
    <row r="223" spans="1:1" x14ac:dyDescent="0.25">
      <c r="A223" t="s">
        <v>775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1fcd3b-4346-4e24-855c-cf2649863589" xsi:nil="true"/>
    <lcf76f155ced4ddcb4097134ff3c332f xmlns="90768a90-c48c-465f-9d06-1ef27cc4e3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FFB582F96D0419B75FD42B3EEC196" ma:contentTypeVersion="14" ma:contentTypeDescription="Crée un document." ma:contentTypeScope="" ma:versionID="1bc2d5ce4d29523c732e1c40e8efd761">
  <xsd:schema xmlns:xsd="http://www.w3.org/2001/XMLSchema" xmlns:xs="http://www.w3.org/2001/XMLSchema" xmlns:p="http://schemas.microsoft.com/office/2006/metadata/properties" xmlns:ns2="90768a90-c48c-465f-9d06-1ef27cc4e3eb" xmlns:ns3="a21fcd3b-4346-4e24-855c-cf2649863589" targetNamespace="http://schemas.microsoft.com/office/2006/metadata/properties" ma:root="true" ma:fieldsID="d0252adc2ac74a99d0cd0f18218fda8e" ns2:_="" ns3:_="">
    <xsd:import namespace="90768a90-c48c-465f-9d06-1ef27cc4e3eb"/>
    <xsd:import namespace="a21fcd3b-4346-4e24-855c-cf26498635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8a90-c48c-465f-9d06-1ef27cc4e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df9c6ff-3565-489e-81ce-6ad46d283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cd3b-4346-4e24-855c-cf26498635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0328c0-5373-4417-9171-9c9b4aa3e5e5}" ma:internalName="TaxCatchAll" ma:showField="CatchAllData" ma:web="a21fcd3b-4346-4e24-855c-cf2649863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55D0FC2-BE7B-4F85-AB3E-85721EACF25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0768a90-c48c-465f-9d06-1ef27cc4e3eb"/>
    <ds:schemaRef ds:uri="http://purl.org/dc/elements/1.1/"/>
    <ds:schemaRef ds:uri="a21fcd3b-4346-4e24-855c-cf264986358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24AF376-9530-4A87-9AB0-CCBD308B1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B1EA7-55BF-4667-B0A9-B42577A88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8a90-c48c-465f-9d06-1ef27cc4e3eb"/>
    <ds:schemaRef ds:uri="a21fcd3b-4346-4e24-855c-cf26498635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F9E145-E3B2-497A-A40B-B053B1D3EDA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ESTIMÉ</vt:lpstr>
      <vt:lpstr>TAKE OFF</vt:lpstr>
      <vt:lpstr>SPIRALE</vt:lpstr>
      <vt:lpstr>ROND ET FLEX</vt:lpstr>
      <vt:lpstr>COMPARATIF FLEX</vt:lpstr>
      <vt:lpstr>DONNÉES</vt:lpstr>
      <vt:lpstr>SOMM. T.OFF</vt:lpstr>
      <vt:lpstr>INFOSPROJET</vt:lpstr>
      <vt:lpstr>INFOSDESSIN</vt:lpstr>
      <vt:lpstr>DEMANDE RÉFRI</vt:lpstr>
      <vt:lpstr>DEMANDE RÉFRI (2)</vt:lpstr>
      <vt:lpstr>Automatisation</vt:lpstr>
      <vt:lpstr>Registre modifications</vt:lpstr>
      <vt:lpstr>INFOSDESSIN!ESTIMATEUR</vt:lpstr>
      <vt:lpstr>ESTIMATEUR</vt:lpstr>
      <vt:lpstr>'COMPARATIF FLEX'!Print_Area</vt:lpstr>
      <vt:lpstr>'DEMANDE RÉFRI'!Print_Area</vt:lpstr>
      <vt:lpstr>'DEMANDE RÉFRI (2)'!Print_Area</vt:lpstr>
      <vt:lpstr>ESTIMÉ!Print_Area</vt:lpstr>
    </vt:vector>
  </TitlesOfParts>
  <Manager/>
  <Company>VENTILATION DESBIENS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emailhot@ventilationjeanroy.com</dc:creator>
  <cp:keywords/>
  <dc:description/>
  <cp:lastModifiedBy>ADMIN</cp:lastModifiedBy>
  <cp:revision/>
  <cp:lastPrinted>2025-10-29T18:32:12Z</cp:lastPrinted>
  <dcterms:created xsi:type="dcterms:W3CDTF">1997-10-29T22:17:59Z</dcterms:created>
  <dcterms:modified xsi:type="dcterms:W3CDTF">2026-05-18T05:28:23Z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{E1F9E145-E3B2-497A-A40B-B053B1D3EDA4}</vt:lpwstr>
  </property>
  <property fmtid="{D5CDD505-2E9C-101B-9397-08002B2CF9AE}" pid="5" name="ContentTypeId">
    <vt:lpwstr>0x0101006D6FFB582F96D0419B75FD42B3EEC196</vt:lpwstr>
  </property>
  <property fmtid="{D5CDD505-2E9C-101B-9397-08002B2CF9AE}" pid="6" name="Order">
    <vt:r8>400</vt:r8>
  </property>
  <property fmtid="{D5CDD505-2E9C-101B-9397-08002B2CF9AE}" pid="7" name="MediaServiceImageTags">
    <vt:lpwstr/>
  </property>
</Properties>
</file>